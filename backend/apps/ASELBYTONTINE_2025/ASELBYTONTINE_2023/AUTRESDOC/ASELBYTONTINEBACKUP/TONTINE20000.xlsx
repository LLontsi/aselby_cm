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ASELBYTONTINE\"/>
    </mc:Choice>
  </mc:AlternateContent>
  <bookViews>
    <workbookView xWindow="240" yWindow="60" windowWidth="15600" windowHeight="7950" firstSheet="2" activeTab="3"/>
  </bookViews>
  <sheets>
    <sheet name="RECAPEMPRUNTREMB" sheetId="18" r:id="rId1"/>
    <sheet name="LISTADHERENT" sheetId="15" r:id="rId2"/>
    <sheet name="TRAVAUXINVENTAIREBACKUP" sheetId="19" r:id="rId3"/>
    <sheet name="TRAVAUXINVENTAIRE" sheetId="17" r:id="rId4"/>
    <sheet name="FONDSDECAISSE" sheetId="16" r:id="rId5"/>
    <sheet name="TONT20000DEC2015" sheetId="14" r:id="rId6"/>
    <sheet name="TONT20000JANV" sheetId="1" r:id="rId7"/>
    <sheet name="TONT20000FEV" sheetId="4" r:id="rId8"/>
    <sheet name="TONT20000MARS" sheetId="5" r:id="rId9"/>
    <sheet name="TONT20000AVRIL" sheetId="7" r:id="rId10"/>
    <sheet name="TONT20000MAI" sheetId="8" r:id="rId11"/>
    <sheet name="TONT20000JUIN" sheetId="9" r:id="rId12"/>
    <sheet name="TONT20000JUIL" sheetId="10" r:id="rId13"/>
    <sheet name="TONT20000AOUT" sheetId="6" r:id="rId14"/>
    <sheet name="TONT20000SEPT" sheetId="3" r:id="rId15"/>
    <sheet name="TONT20000OCT" sheetId="12" r:id="rId16"/>
    <sheet name="TONT20000NOV" sheetId="11" r:id="rId17"/>
    <sheet name="RECAPTONT20000" sheetId="2" r:id="rId18"/>
  </sheets>
  <externalReferences>
    <externalReference r:id="rId19"/>
  </externalReferences>
  <definedNames>
    <definedName name="_xlnm._FilterDatabase" localSheetId="1" hidden="1">LISTADHERENT!$A$4:$H$51</definedName>
    <definedName name="_xlnm._FilterDatabase" localSheetId="0" hidden="1">RECAPEMPRUNTREMB!$A$4:$E$49</definedName>
    <definedName name="_xlnm._FilterDatabase" localSheetId="17" hidden="1">RECAPTONT20000!$A$4:$V$50</definedName>
    <definedName name="_xlnm._FilterDatabase" localSheetId="13" hidden="1">TONT20000AOUT!$A$4:$O$51</definedName>
    <definedName name="_xlnm._FilterDatabase" localSheetId="9" hidden="1">TONT20000AVRIL!$A$4:$O$51</definedName>
    <definedName name="_xlnm._FilterDatabase" localSheetId="5" hidden="1">TONT20000DEC2015!$A$4:$Q$49</definedName>
    <definedName name="_xlnm._FilterDatabase" localSheetId="7" hidden="1">TONT20000FEV!$A$4:$O$51</definedName>
    <definedName name="_xlnm._FilterDatabase" localSheetId="6" hidden="1">TONT20000JANV!$A$4:$O$51</definedName>
    <definedName name="_xlnm._FilterDatabase" localSheetId="12" hidden="1">TONT20000JUIL!$A$4:$O$51</definedName>
    <definedName name="_xlnm._FilterDatabase" localSheetId="11" hidden="1">TONT20000JUIN!$A$4:$O$51</definedName>
    <definedName name="_xlnm._FilterDatabase" localSheetId="10" hidden="1">TONT20000MAI!$A$4:$O$51</definedName>
    <definedName name="_xlnm._FilterDatabase" localSheetId="8" hidden="1">TONT20000MARS!$A$4:$O$51</definedName>
    <definedName name="_xlnm._FilterDatabase" localSheetId="16" hidden="1">TONT20000NOV!$A$4:$P$51</definedName>
    <definedName name="_xlnm._FilterDatabase" localSheetId="15" hidden="1">TONT20000OCT!$A$4:$O$51</definedName>
    <definedName name="_xlnm._FilterDatabase" localSheetId="14" hidden="1">TONT20000SEPT!$A$4:$O$51</definedName>
    <definedName name="_xlnm._FilterDatabase" localSheetId="3" hidden="1">TRAVAUXINVENTAIRE!$A$4:$AD$50</definedName>
    <definedName name="_xlnm._FilterDatabase" localSheetId="2" hidden="1">TRAVAUXINVENTAIREBACKUP!$A$4:$AB$50</definedName>
    <definedName name="_xlnm.Print_Titles" localSheetId="1">LISTADHERENT!$1:$4</definedName>
    <definedName name="MODEPAID">[1]Feuil2!$A$1:$A$3</definedName>
  </definedNames>
  <calcPr calcId="152511"/>
</workbook>
</file>

<file path=xl/calcChain.xml><?xml version="1.0" encoding="utf-8"?>
<calcChain xmlns="http://schemas.openxmlformats.org/spreadsheetml/2006/main">
  <c r="E54" i="17" l="1"/>
  <c r="E6" i="17"/>
  <c r="E7" i="17"/>
  <c r="E8" i="17"/>
  <c r="E9" i="17"/>
  <c r="E10" i="17"/>
  <c r="E11" i="17"/>
  <c r="E12" i="17"/>
  <c r="E13" i="17"/>
  <c r="E14" i="17"/>
  <c r="E15" i="17"/>
  <c r="E16" i="17"/>
  <c r="E17" i="17"/>
  <c r="E18" i="17"/>
  <c r="E19" i="17"/>
  <c r="E20" i="17"/>
  <c r="E21" i="17"/>
  <c r="E22" i="17"/>
  <c r="E23" i="17"/>
  <c r="E24" i="17"/>
  <c r="E25" i="17"/>
  <c r="E26" i="17"/>
  <c r="E27" i="17"/>
  <c r="E28" i="17"/>
  <c r="E29" i="17"/>
  <c r="E30" i="17"/>
  <c r="E31" i="17"/>
  <c r="E32" i="17"/>
  <c r="E33" i="17"/>
  <c r="E34" i="17"/>
  <c r="E35" i="17"/>
  <c r="E36" i="17"/>
  <c r="E37" i="17"/>
  <c r="E38" i="17"/>
  <c r="E39" i="17"/>
  <c r="E40" i="17"/>
  <c r="E41" i="17"/>
  <c r="E42" i="17"/>
  <c r="E43" i="17"/>
  <c r="E44" i="17"/>
  <c r="E45" i="17"/>
  <c r="E46" i="17"/>
  <c r="E47" i="17"/>
  <c r="E48" i="17"/>
  <c r="E49" i="17"/>
  <c r="E50" i="17"/>
  <c r="E51" i="17"/>
  <c r="E52" i="17"/>
  <c r="E5" i="17"/>
  <c r="L63" i="17" l="1"/>
  <c r="L64" i="17"/>
  <c r="L59" i="17"/>
  <c r="G63" i="17"/>
  <c r="L54" i="17" l="1"/>
  <c r="R33" i="17"/>
  <c r="G33" i="6"/>
  <c r="R31" i="17"/>
  <c r="B37" i="17" l="1"/>
  <c r="B35" i="17"/>
  <c r="B11" i="17"/>
  <c r="O19" i="17" l="1"/>
  <c r="F64" i="19" l="1"/>
  <c r="L54" i="19"/>
  <c r="F66" i="19" s="1"/>
  <c r="K54" i="19"/>
  <c r="D54" i="19"/>
  <c r="E58" i="19" s="1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I52" i="19" s="1"/>
  <c r="C52" i="19"/>
  <c r="E52" i="19" s="1"/>
  <c r="B52" i="19"/>
  <c r="AA51" i="19"/>
  <c r="Z51" i="19"/>
  <c r="Y51" i="19"/>
  <c r="X51" i="19"/>
  <c r="W51" i="19"/>
  <c r="V51" i="19"/>
  <c r="U51" i="19"/>
  <c r="T51" i="19"/>
  <c r="S51" i="19"/>
  <c r="R51" i="19"/>
  <c r="Q51" i="19"/>
  <c r="N51" i="19" s="1"/>
  <c r="I51" i="19" s="1"/>
  <c r="P51" i="19"/>
  <c r="O51" i="19"/>
  <c r="C51" i="19"/>
  <c r="E51" i="19" s="1"/>
  <c r="B51" i="19"/>
  <c r="AA50" i="19"/>
  <c r="Z50" i="19"/>
  <c r="Y50" i="19"/>
  <c r="X50" i="19"/>
  <c r="W50" i="19"/>
  <c r="V50" i="19"/>
  <c r="U50" i="19"/>
  <c r="T50" i="19"/>
  <c r="S50" i="19"/>
  <c r="R50" i="19"/>
  <c r="Q50" i="19"/>
  <c r="N50" i="19" s="1"/>
  <c r="I50" i="19" s="1"/>
  <c r="P50" i="19"/>
  <c r="O50" i="19"/>
  <c r="C50" i="19"/>
  <c r="E50" i="19" s="1"/>
  <c r="B50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O49" i="19"/>
  <c r="C49" i="19"/>
  <c r="B49" i="19"/>
  <c r="AA48" i="19"/>
  <c r="Z48" i="19"/>
  <c r="Y48" i="19"/>
  <c r="X48" i="19"/>
  <c r="W48" i="19"/>
  <c r="V48" i="19"/>
  <c r="U48" i="19"/>
  <c r="T48" i="19"/>
  <c r="S48" i="19"/>
  <c r="R48" i="19"/>
  <c r="Q48" i="19"/>
  <c r="P48" i="19"/>
  <c r="O48" i="19"/>
  <c r="N48" i="19"/>
  <c r="I48" i="19" s="1"/>
  <c r="C48" i="19"/>
  <c r="E48" i="19" s="1"/>
  <c r="B48" i="19"/>
  <c r="AA47" i="19"/>
  <c r="Z47" i="19"/>
  <c r="Y47" i="19"/>
  <c r="X47" i="19"/>
  <c r="W47" i="19"/>
  <c r="V47" i="19"/>
  <c r="U47" i="19"/>
  <c r="T47" i="19"/>
  <c r="S47" i="19"/>
  <c r="R47" i="19"/>
  <c r="Q47" i="19"/>
  <c r="P47" i="19"/>
  <c r="E47" i="19" s="1"/>
  <c r="B47" i="19"/>
  <c r="AA46" i="19"/>
  <c r="Z46" i="19"/>
  <c r="Y46" i="19"/>
  <c r="X46" i="19"/>
  <c r="W46" i="19"/>
  <c r="V46" i="19"/>
  <c r="U46" i="19"/>
  <c r="T46" i="19"/>
  <c r="S46" i="19"/>
  <c r="R46" i="19"/>
  <c r="Q46" i="19"/>
  <c r="N46" i="19" s="1"/>
  <c r="P46" i="19"/>
  <c r="E46" i="19" s="1"/>
  <c r="I46" i="19"/>
  <c r="C46" i="19"/>
  <c r="B46" i="19"/>
  <c r="AA45" i="19"/>
  <c r="Z45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I45" i="19" s="1"/>
  <c r="M45" i="19"/>
  <c r="E45" i="19"/>
  <c r="C45" i="19"/>
  <c r="B45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I44" i="19" s="1"/>
  <c r="E44" i="19"/>
  <c r="B44" i="19"/>
  <c r="AA43" i="19"/>
  <c r="Z43" i="19"/>
  <c r="Y43" i="19"/>
  <c r="X43" i="19"/>
  <c r="W43" i="19"/>
  <c r="V43" i="19"/>
  <c r="U43" i="19"/>
  <c r="T43" i="19"/>
  <c r="S43" i="19"/>
  <c r="N43" i="19" s="1"/>
  <c r="I43" i="19" s="1"/>
  <c r="R43" i="19"/>
  <c r="Q43" i="19"/>
  <c r="P43" i="19"/>
  <c r="O43" i="19"/>
  <c r="C43" i="19"/>
  <c r="E43" i="19" s="1"/>
  <c r="B43" i="19"/>
  <c r="AA42" i="19"/>
  <c r="Z42" i="19"/>
  <c r="Y42" i="19"/>
  <c r="X42" i="19"/>
  <c r="W42" i="19"/>
  <c r="V42" i="19"/>
  <c r="U42" i="19"/>
  <c r="T42" i="19"/>
  <c r="S42" i="19"/>
  <c r="R42" i="19"/>
  <c r="Q42" i="19"/>
  <c r="N42" i="19" s="1"/>
  <c r="I42" i="19" s="1"/>
  <c r="P42" i="19"/>
  <c r="O42" i="19"/>
  <c r="E42" i="19"/>
  <c r="C42" i="19"/>
  <c r="B42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I41" i="19" s="1"/>
  <c r="C41" i="19"/>
  <c r="E41" i="19" s="1"/>
  <c r="B41" i="19"/>
  <c r="AA40" i="19"/>
  <c r="Z40" i="19"/>
  <c r="Y40" i="19"/>
  <c r="X40" i="19"/>
  <c r="W40" i="19"/>
  <c r="V40" i="19"/>
  <c r="U40" i="19"/>
  <c r="T40" i="19"/>
  <c r="S40" i="19"/>
  <c r="R40" i="19"/>
  <c r="Q40" i="19"/>
  <c r="N40" i="19" s="1"/>
  <c r="P40" i="19"/>
  <c r="E40" i="19" s="1"/>
  <c r="O40" i="19"/>
  <c r="M40" i="19"/>
  <c r="B40" i="19"/>
  <c r="AA39" i="19"/>
  <c r="Z39" i="19"/>
  <c r="Y39" i="19"/>
  <c r="X39" i="19"/>
  <c r="W39" i="19"/>
  <c r="V39" i="19"/>
  <c r="U39" i="19"/>
  <c r="T39" i="19"/>
  <c r="S39" i="19"/>
  <c r="N39" i="19" s="1"/>
  <c r="I39" i="19" s="1"/>
  <c r="R39" i="19"/>
  <c r="Q39" i="19"/>
  <c r="P39" i="19"/>
  <c r="O39" i="19"/>
  <c r="E39" i="19"/>
  <c r="C39" i="19"/>
  <c r="B39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E38" i="19" s="1"/>
  <c r="O38" i="19"/>
  <c r="N38" i="19"/>
  <c r="I38" i="19" s="1"/>
  <c r="C38" i="19"/>
  <c r="B38" i="19"/>
  <c r="AA37" i="19"/>
  <c r="Z37" i="19"/>
  <c r="Y37" i="19"/>
  <c r="X37" i="19"/>
  <c r="W37" i="19"/>
  <c r="V37" i="19"/>
  <c r="U37" i="19"/>
  <c r="T37" i="19"/>
  <c r="S37" i="19"/>
  <c r="N37" i="19" s="1"/>
  <c r="I37" i="19" s="1"/>
  <c r="R37" i="19"/>
  <c r="Q37" i="19"/>
  <c r="P37" i="19"/>
  <c r="O37" i="19"/>
  <c r="E37" i="19"/>
  <c r="C37" i="19"/>
  <c r="B37" i="19"/>
  <c r="AA36" i="19"/>
  <c r="Z36" i="19"/>
  <c r="Y36" i="19"/>
  <c r="X36" i="19"/>
  <c r="W36" i="19"/>
  <c r="V36" i="19"/>
  <c r="U36" i="19"/>
  <c r="T36" i="19"/>
  <c r="S36" i="19"/>
  <c r="R36" i="19"/>
  <c r="Q36" i="19"/>
  <c r="P36" i="19"/>
  <c r="E36" i="19" s="1"/>
  <c r="O36" i="19"/>
  <c r="N36" i="19"/>
  <c r="I36" i="19"/>
  <c r="C36" i="19"/>
  <c r="B36" i="19"/>
  <c r="AA35" i="19"/>
  <c r="Z35" i="19"/>
  <c r="Y35" i="19"/>
  <c r="X35" i="19"/>
  <c r="W35" i="19"/>
  <c r="V35" i="19"/>
  <c r="U35" i="19"/>
  <c r="T35" i="19"/>
  <c r="S35" i="19"/>
  <c r="N35" i="19" s="1"/>
  <c r="I35" i="19" s="1"/>
  <c r="R35" i="19"/>
  <c r="Q35" i="19"/>
  <c r="P35" i="19"/>
  <c r="O35" i="19"/>
  <c r="E35" i="19"/>
  <c r="C35" i="19"/>
  <c r="B35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E34" i="19" s="1"/>
  <c r="N34" i="19"/>
  <c r="I34" i="19" s="1"/>
  <c r="C34" i="19"/>
  <c r="B34" i="19"/>
  <c r="AA33" i="19"/>
  <c r="Z33" i="19"/>
  <c r="Y33" i="19"/>
  <c r="X33" i="19"/>
  <c r="W33" i="19"/>
  <c r="V33" i="19"/>
  <c r="U33" i="19"/>
  <c r="T33" i="19"/>
  <c r="S33" i="19"/>
  <c r="N33" i="19" s="1"/>
  <c r="I33" i="19" s="1"/>
  <c r="R33" i="19"/>
  <c r="Q33" i="19"/>
  <c r="P33" i="19"/>
  <c r="E33" i="19" s="1"/>
  <c r="M33" i="19"/>
  <c r="B33" i="19"/>
  <c r="AA32" i="19"/>
  <c r="Z32" i="19"/>
  <c r="Y32" i="19"/>
  <c r="X32" i="19"/>
  <c r="W32" i="19"/>
  <c r="V32" i="19"/>
  <c r="U32" i="19"/>
  <c r="T32" i="19"/>
  <c r="S32" i="19"/>
  <c r="R32" i="19"/>
  <c r="Q32" i="19"/>
  <c r="N32" i="19" s="1"/>
  <c r="I32" i="19" s="1"/>
  <c r="P32" i="19"/>
  <c r="E32" i="19"/>
  <c r="C32" i="19"/>
  <c r="B32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E31" i="19" s="1"/>
  <c r="N31" i="19"/>
  <c r="I31" i="19" s="1"/>
  <c r="B31" i="19"/>
  <c r="AA30" i="19"/>
  <c r="Z30" i="19"/>
  <c r="Y30" i="19"/>
  <c r="X30" i="19"/>
  <c r="W30" i="19"/>
  <c r="V30" i="19"/>
  <c r="U30" i="19"/>
  <c r="T30" i="19"/>
  <c r="S30" i="19"/>
  <c r="R30" i="19"/>
  <c r="Q30" i="19"/>
  <c r="N30" i="19" s="1"/>
  <c r="P30" i="19"/>
  <c r="E30" i="19" s="1"/>
  <c r="O30" i="19"/>
  <c r="M30" i="19"/>
  <c r="I30" i="19" s="1"/>
  <c r="C30" i="19"/>
  <c r="B30" i="19"/>
  <c r="AA29" i="19"/>
  <c r="Z29" i="19"/>
  <c r="Y29" i="19"/>
  <c r="X29" i="19"/>
  <c r="W29" i="19"/>
  <c r="V29" i="19"/>
  <c r="U29" i="19"/>
  <c r="T29" i="19"/>
  <c r="S29" i="19"/>
  <c r="N29" i="19" s="1"/>
  <c r="I29" i="19" s="1"/>
  <c r="R29" i="19"/>
  <c r="Q29" i="19"/>
  <c r="P29" i="19"/>
  <c r="O29" i="19"/>
  <c r="E29" i="19"/>
  <c r="C29" i="19"/>
  <c r="B29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I28" i="19"/>
  <c r="C28" i="19"/>
  <c r="E28" i="19" s="1"/>
  <c r="B28" i="19"/>
  <c r="AA27" i="19"/>
  <c r="Z27" i="19"/>
  <c r="Y27" i="19"/>
  <c r="X27" i="19"/>
  <c r="W27" i="19"/>
  <c r="V27" i="19"/>
  <c r="U27" i="19"/>
  <c r="T27" i="19"/>
  <c r="S27" i="19"/>
  <c r="R27" i="19"/>
  <c r="Q27" i="19"/>
  <c r="N27" i="19" s="1"/>
  <c r="I27" i="19" s="1"/>
  <c r="P27" i="19"/>
  <c r="C27" i="19"/>
  <c r="B27" i="19"/>
  <c r="AA26" i="19"/>
  <c r="Z26" i="19"/>
  <c r="Y26" i="19"/>
  <c r="X26" i="19"/>
  <c r="W26" i="19"/>
  <c r="V26" i="19"/>
  <c r="U26" i="19"/>
  <c r="T26" i="19"/>
  <c r="S26" i="19"/>
  <c r="R26" i="19"/>
  <c r="Q26" i="19"/>
  <c r="N26" i="19" s="1"/>
  <c r="P26" i="19"/>
  <c r="E26" i="19" s="1"/>
  <c r="I26" i="19"/>
  <c r="C26" i="19"/>
  <c r="B26" i="19"/>
  <c r="AA25" i="19"/>
  <c r="Z25" i="19"/>
  <c r="Y25" i="19"/>
  <c r="X25" i="19"/>
  <c r="W25" i="19"/>
  <c r="V25" i="19"/>
  <c r="U25" i="19"/>
  <c r="T25" i="19"/>
  <c r="S25" i="19"/>
  <c r="R25" i="19"/>
  <c r="Q25" i="19"/>
  <c r="P25" i="19"/>
  <c r="O25" i="19"/>
  <c r="N25" i="19"/>
  <c r="I25" i="19" s="1"/>
  <c r="C25" i="19"/>
  <c r="E25" i="19" s="1"/>
  <c r="B25" i="19"/>
  <c r="AA24" i="19"/>
  <c r="Z24" i="19"/>
  <c r="Y24" i="19"/>
  <c r="X24" i="19"/>
  <c r="W24" i="19"/>
  <c r="V24" i="19"/>
  <c r="U24" i="19"/>
  <c r="T24" i="19"/>
  <c r="S24" i="19"/>
  <c r="R24" i="19"/>
  <c r="Q24" i="19"/>
  <c r="P24" i="19"/>
  <c r="O24" i="19"/>
  <c r="C24" i="19"/>
  <c r="E24" i="19" s="1"/>
  <c r="B24" i="19"/>
  <c r="AA23" i="19"/>
  <c r="Z23" i="19"/>
  <c r="Y23" i="19"/>
  <c r="X23" i="19"/>
  <c r="W23" i="19"/>
  <c r="V23" i="19"/>
  <c r="U23" i="19"/>
  <c r="T23" i="19"/>
  <c r="S23" i="19"/>
  <c r="R23" i="19"/>
  <c r="Q23" i="19"/>
  <c r="N23" i="19" s="1"/>
  <c r="I23" i="19" s="1"/>
  <c r="P23" i="19"/>
  <c r="O23" i="19"/>
  <c r="C23" i="19"/>
  <c r="E23" i="19" s="1"/>
  <c r="B23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E22" i="19"/>
  <c r="B22" i="19"/>
  <c r="AA21" i="19"/>
  <c r="Z21" i="19"/>
  <c r="Y21" i="19"/>
  <c r="X21" i="19"/>
  <c r="W21" i="19"/>
  <c r="V21" i="19"/>
  <c r="U21" i="19"/>
  <c r="T21" i="19"/>
  <c r="S21" i="19"/>
  <c r="R21" i="19"/>
  <c r="Q21" i="19"/>
  <c r="N21" i="19" s="1"/>
  <c r="I21" i="19" s="1"/>
  <c r="P21" i="19"/>
  <c r="O21" i="19"/>
  <c r="E21" i="19"/>
  <c r="C21" i="19"/>
  <c r="B21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N20" i="19"/>
  <c r="I20" i="19" s="1"/>
  <c r="C20" i="19"/>
  <c r="B20" i="19"/>
  <c r="AA19" i="19"/>
  <c r="Z19" i="19"/>
  <c r="Y19" i="19"/>
  <c r="X19" i="19"/>
  <c r="W19" i="19"/>
  <c r="V19" i="19"/>
  <c r="U19" i="19"/>
  <c r="T19" i="19"/>
  <c r="S19" i="19"/>
  <c r="R19" i="19"/>
  <c r="Q19" i="19"/>
  <c r="N19" i="19" s="1"/>
  <c r="P19" i="19"/>
  <c r="M19" i="19"/>
  <c r="C19" i="19"/>
  <c r="E19" i="19" s="1"/>
  <c r="B19" i="19"/>
  <c r="AA18" i="19"/>
  <c r="Z18" i="19"/>
  <c r="Y18" i="19"/>
  <c r="X18" i="19"/>
  <c r="W18" i="19"/>
  <c r="V18" i="19"/>
  <c r="U18" i="19"/>
  <c r="T18" i="19"/>
  <c r="S18" i="19"/>
  <c r="R18" i="19"/>
  <c r="Q18" i="19"/>
  <c r="N18" i="19" s="1"/>
  <c r="P18" i="19"/>
  <c r="O18" i="19"/>
  <c r="I18" i="19"/>
  <c r="C18" i="19"/>
  <c r="E18" i="19" s="1"/>
  <c r="B18" i="19"/>
  <c r="AA17" i="19"/>
  <c r="Z17" i="19"/>
  <c r="Y17" i="19"/>
  <c r="X17" i="19"/>
  <c r="W17" i="19"/>
  <c r="V17" i="19"/>
  <c r="U17" i="19"/>
  <c r="T17" i="19"/>
  <c r="S17" i="19"/>
  <c r="R17" i="19"/>
  <c r="Q17" i="19"/>
  <c r="N17" i="19" s="1"/>
  <c r="P17" i="19"/>
  <c r="O17" i="19"/>
  <c r="M17" i="19"/>
  <c r="E17" i="19"/>
  <c r="B17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C16" i="19"/>
  <c r="E16" i="19" s="1"/>
  <c r="B16" i="19"/>
  <c r="AA15" i="19"/>
  <c r="Z15" i="19"/>
  <c r="Y15" i="19"/>
  <c r="X15" i="19"/>
  <c r="W15" i="19"/>
  <c r="V15" i="19"/>
  <c r="U15" i="19"/>
  <c r="T15" i="19"/>
  <c r="S15" i="19"/>
  <c r="R15" i="19"/>
  <c r="Q15" i="19"/>
  <c r="N15" i="19" s="1"/>
  <c r="I15" i="19" s="1"/>
  <c r="P15" i="19"/>
  <c r="O15" i="19"/>
  <c r="C15" i="19"/>
  <c r="E15" i="19" s="1"/>
  <c r="B15" i="19"/>
  <c r="AA14" i="19"/>
  <c r="Z14" i="19"/>
  <c r="Y14" i="19"/>
  <c r="X14" i="19"/>
  <c r="W14" i="19"/>
  <c r="V14" i="19"/>
  <c r="U14" i="19"/>
  <c r="T14" i="19"/>
  <c r="S14" i="19"/>
  <c r="R14" i="19"/>
  <c r="Q14" i="19"/>
  <c r="N14" i="19" s="1"/>
  <c r="P14" i="19"/>
  <c r="O14" i="19"/>
  <c r="I14" i="19"/>
  <c r="E14" i="19"/>
  <c r="C14" i="19"/>
  <c r="B14" i="19"/>
  <c r="AA13" i="19"/>
  <c r="Z13" i="19"/>
  <c r="Y13" i="19"/>
  <c r="X13" i="19"/>
  <c r="W13" i="19"/>
  <c r="V13" i="19"/>
  <c r="U13" i="19"/>
  <c r="T13" i="19"/>
  <c r="S13" i="19"/>
  <c r="R13" i="19"/>
  <c r="Q13" i="19"/>
  <c r="P13" i="19"/>
  <c r="O13" i="19"/>
  <c r="N13" i="19"/>
  <c r="I13" i="19" s="1"/>
  <c r="E13" i="19"/>
  <c r="B13" i="19"/>
  <c r="AA12" i="19"/>
  <c r="Z12" i="19"/>
  <c r="Y12" i="19"/>
  <c r="X12" i="19"/>
  <c r="W12" i="19"/>
  <c r="V12" i="19"/>
  <c r="U12" i="19"/>
  <c r="T12" i="19"/>
  <c r="S12" i="19"/>
  <c r="R12" i="19"/>
  <c r="Q12" i="19"/>
  <c r="P12" i="19"/>
  <c r="O12" i="19"/>
  <c r="N12" i="19"/>
  <c r="I12" i="19" s="1"/>
  <c r="C12" i="19"/>
  <c r="E12" i="19" s="1"/>
  <c r="B12" i="19"/>
  <c r="AA11" i="19"/>
  <c r="Z11" i="19"/>
  <c r="Y11" i="19"/>
  <c r="X11" i="19"/>
  <c r="W11" i="19"/>
  <c r="V11" i="19"/>
  <c r="U11" i="19"/>
  <c r="T11" i="19"/>
  <c r="S11" i="19"/>
  <c r="R11" i="19"/>
  <c r="Q11" i="19"/>
  <c r="P11" i="19"/>
  <c r="O11" i="19"/>
  <c r="I11" i="19"/>
  <c r="E11" i="19"/>
  <c r="C11" i="19"/>
  <c r="B11" i="19"/>
  <c r="AA10" i="19"/>
  <c r="Z10" i="19"/>
  <c r="Y10" i="19"/>
  <c r="X10" i="19"/>
  <c r="W10" i="19"/>
  <c r="V10" i="19"/>
  <c r="U10" i="19"/>
  <c r="T10" i="19"/>
  <c r="S10" i="19"/>
  <c r="R10" i="19"/>
  <c r="Q10" i="19"/>
  <c r="P10" i="19"/>
  <c r="O10" i="19"/>
  <c r="N10" i="19"/>
  <c r="I10" i="19" s="1"/>
  <c r="C10" i="19"/>
  <c r="E10" i="19" s="1"/>
  <c r="B10" i="19"/>
  <c r="AA9" i="19"/>
  <c r="Z9" i="19"/>
  <c r="Y9" i="19"/>
  <c r="X9" i="19"/>
  <c r="W9" i="19"/>
  <c r="V9" i="19"/>
  <c r="U9" i="19"/>
  <c r="T9" i="19"/>
  <c r="S9" i="19"/>
  <c r="R9" i="19"/>
  <c r="Q9" i="19"/>
  <c r="P9" i="19"/>
  <c r="O9" i="19"/>
  <c r="C9" i="19"/>
  <c r="E9" i="19" s="1"/>
  <c r="B9" i="19"/>
  <c r="AA8" i="19"/>
  <c r="Z8" i="19"/>
  <c r="Y8" i="19"/>
  <c r="X8" i="19"/>
  <c r="W8" i="19"/>
  <c r="V8" i="19"/>
  <c r="U8" i="19"/>
  <c r="T8" i="19"/>
  <c r="S8" i="19"/>
  <c r="R8" i="19"/>
  <c r="Q8" i="19"/>
  <c r="N8" i="19" s="1"/>
  <c r="I8" i="19" s="1"/>
  <c r="P8" i="19"/>
  <c r="O8" i="19"/>
  <c r="C8" i="19"/>
  <c r="E8" i="19" s="1"/>
  <c r="B8" i="19"/>
  <c r="AA7" i="19"/>
  <c r="Z7" i="19"/>
  <c r="Y7" i="19"/>
  <c r="Y54" i="19" s="1"/>
  <c r="X7" i="19"/>
  <c r="W7" i="19"/>
  <c r="V7" i="19"/>
  <c r="U7" i="19"/>
  <c r="U54" i="19" s="1"/>
  <c r="T7" i="19"/>
  <c r="S7" i="19"/>
  <c r="R7" i="19"/>
  <c r="Q7" i="19"/>
  <c r="N7" i="19" s="1"/>
  <c r="I7" i="19" s="1"/>
  <c r="P7" i="19"/>
  <c r="O7" i="19"/>
  <c r="E7" i="19"/>
  <c r="C7" i="19"/>
  <c r="B7" i="19"/>
  <c r="AA6" i="19"/>
  <c r="Z6" i="19"/>
  <c r="Z54" i="19" s="1"/>
  <c r="Y6" i="19"/>
  <c r="X6" i="19"/>
  <c r="W6" i="19"/>
  <c r="V6" i="19"/>
  <c r="V54" i="19" s="1"/>
  <c r="U6" i="19"/>
  <c r="T6" i="19"/>
  <c r="S6" i="19"/>
  <c r="R6" i="19"/>
  <c r="R54" i="19" s="1"/>
  <c r="Q6" i="19"/>
  <c r="P6" i="19"/>
  <c r="O6" i="19"/>
  <c r="C6" i="19"/>
  <c r="E6" i="19" s="1"/>
  <c r="B6" i="19"/>
  <c r="AA5" i="19"/>
  <c r="Z5" i="19"/>
  <c r="Y5" i="19"/>
  <c r="X5" i="19"/>
  <c r="X54" i="19" s="1"/>
  <c r="W5" i="19"/>
  <c r="V5" i="19"/>
  <c r="U5" i="19"/>
  <c r="T5" i="19"/>
  <c r="T54" i="19" s="1"/>
  <c r="S5" i="19"/>
  <c r="R5" i="19"/>
  <c r="Q5" i="19"/>
  <c r="P5" i="19"/>
  <c r="O5" i="19"/>
  <c r="I5" i="19"/>
  <c r="E5" i="19"/>
  <c r="C5" i="19"/>
  <c r="B5" i="19"/>
  <c r="P54" i="19" l="1"/>
  <c r="E60" i="19" s="1"/>
  <c r="E27" i="19"/>
  <c r="E20" i="19"/>
  <c r="E54" i="19"/>
  <c r="I17" i="19"/>
  <c r="N22" i="19"/>
  <c r="I22" i="19" s="1"/>
  <c r="N47" i="19"/>
  <c r="I47" i="19" s="1"/>
  <c r="E49" i="19"/>
  <c r="Q54" i="19"/>
  <c r="C54" i="19"/>
  <c r="N24" i="19"/>
  <c r="I24" i="19" s="1"/>
  <c r="N6" i="19"/>
  <c r="I19" i="19"/>
  <c r="I40" i="19"/>
  <c r="M54" i="19"/>
  <c r="F63" i="19" s="1"/>
  <c r="S54" i="19"/>
  <c r="W54" i="19"/>
  <c r="AA54" i="19"/>
  <c r="N9" i="19"/>
  <c r="I9" i="19" s="1"/>
  <c r="N16" i="19"/>
  <c r="I16" i="19" s="1"/>
  <c r="N49" i="19"/>
  <c r="I49" i="19" s="1"/>
  <c r="J28" i="17"/>
  <c r="J5" i="17"/>
  <c r="I6" i="19" l="1"/>
  <c r="I54" i="19" s="1"/>
  <c r="N54" i="19"/>
  <c r="F65" i="19" s="1"/>
  <c r="O45" i="17"/>
  <c r="O40" i="17"/>
  <c r="O30" i="17"/>
  <c r="O17" i="17"/>
  <c r="M54" i="17" l="1"/>
  <c r="G65" i="17" s="1"/>
  <c r="R43" i="17"/>
  <c r="R17" i="17"/>
  <c r="R45" i="17"/>
  <c r="D12" i="2"/>
  <c r="R19" i="17"/>
  <c r="R48" i="17"/>
  <c r="R40" i="17"/>
  <c r="R30" i="17"/>
  <c r="K47" i="16"/>
  <c r="C22" i="16"/>
  <c r="D54" i="16"/>
  <c r="E54" i="16"/>
  <c r="F54" i="16"/>
  <c r="G54" i="16"/>
  <c r="H54" i="16"/>
  <c r="I54" i="16"/>
  <c r="J54" i="16"/>
  <c r="K54" i="16"/>
  <c r="L54" i="16"/>
  <c r="M54" i="16"/>
  <c r="N54" i="16"/>
  <c r="C58" i="18" l="1"/>
  <c r="D56" i="18"/>
  <c r="E56" i="18"/>
  <c r="F56" i="18"/>
  <c r="G56" i="18"/>
  <c r="H56" i="18"/>
  <c r="I56" i="18"/>
  <c r="J56" i="18"/>
  <c r="K56" i="18"/>
  <c r="L56" i="18"/>
  <c r="M56" i="18"/>
  <c r="N56" i="18"/>
  <c r="O56" i="18"/>
  <c r="P56" i="18"/>
  <c r="Q56" i="18"/>
  <c r="R56" i="18"/>
  <c r="S56" i="18"/>
  <c r="T56" i="18"/>
  <c r="U56" i="18"/>
  <c r="V56" i="18"/>
  <c r="W56" i="18"/>
  <c r="X56" i="18"/>
  <c r="Y56" i="18"/>
  <c r="Z56" i="18"/>
  <c r="AA56" i="18"/>
  <c r="AB56" i="18"/>
  <c r="AC56" i="18"/>
  <c r="AD56" i="18"/>
  <c r="AE56" i="18"/>
  <c r="AF56" i="18"/>
  <c r="AG56" i="18"/>
  <c r="AH56" i="18"/>
  <c r="AI56" i="18"/>
  <c r="AJ56" i="18"/>
  <c r="AK56" i="18"/>
  <c r="AL56" i="18"/>
  <c r="AJ6" i="18"/>
  <c r="AK6" i="18"/>
  <c r="AL6" i="18"/>
  <c r="AJ7" i="18"/>
  <c r="AK7" i="18"/>
  <c r="AL7" i="18"/>
  <c r="AJ8" i="18"/>
  <c r="AK8" i="18"/>
  <c r="AL8" i="18"/>
  <c r="AJ9" i="18"/>
  <c r="AK9" i="18"/>
  <c r="AL9" i="18"/>
  <c r="AJ10" i="18"/>
  <c r="AK10" i="18"/>
  <c r="AL10" i="18"/>
  <c r="AJ11" i="18"/>
  <c r="AK11" i="18"/>
  <c r="AL11" i="18"/>
  <c r="AJ12" i="18"/>
  <c r="AK12" i="18"/>
  <c r="AL12" i="18"/>
  <c r="AJ13" i="18"/>
  <c r="AK13" i="18"/>
  <c r="AL13" i="18"/>
  <c r="AJ14" i="18"/>
  <c r="AK14" i="18"/>
  <c r="AL14" i="18"/>
  <c r="AJ15" i="18"/>
  <c r="AK15" i="18"/>
  <c r="AL15" i="18"/>
  <c r="AJ16" i="18"/>
  <c r="AK16" i="18"/>
  <c r="AL16" i="18"/>
  <c r="AJ17" i="18"/>
  <c r="AK17" i="18"/>
  <c r="AL17" i="18"/>
  <c r="AJ18" i="18"/>
  <c r="AK18" i="18"/>
  <c r="AL18" i="18"/>
  <c r="AJ19" i="18"/>
  <c r="AK19" i="18"/>
  <c r="AL19" i="18"/>
  <c r="AJ20" i="18"/>
  <c r="AK20" i="18"/>
  <c r="AL20" i="18"/>
  <c r="AJ21" i="18"/>
  <c r="AK21" i="18"/>
  <c r="AL21" i="18"/>
  <c r="AJ22" i="18"/>
  <c r="AK22" i="18"/>
  <c r="AL22" i="18"/>
  <c r="AJ23" i="18"/>
  <c r="AK23" i="18"/>
  <c r="AL23" i="18"/>
  <c r="AJ24" i="18"/>
  <c r="AK24" i="18"/>
  <c r="AL24" i="18"/>
  <c r="AJ25" i="18"/>
  <c r="AK25" i="18"/>
  <c r="AL25" i="18"/>
  <c r="AJ26" i="18"/>
  <c r="AK26" i="18"/>
  <c r="AL26" i="18"/>
  <c r="AJ27" i="18"/>
  <c r="AK27" i="18"/>
  <c r="AL27" i="18"/>
  <c r="AJ28" i="18"/>
  <c r="AK28" i="18"/>
  <c r="AL28" i="18"/>
  <c r="AJ29" i="18"/>
  <c r="AK29" i="18"/>
  <c r="AL29" i="18"/>
  <c r="AJ30" i="18"/>
  <c r="AK30" i="18"/>
  <c r="AL30" i="18"/>
  <c r="AJ31" i="18"/>
  <c r="AK31" i="18"/>
  <c r="AL31" i="18"/>
  <c r="AJ32" i="18"/>
  <c r="AK32" i="18"/>
  <c r="AL32" i="18"/>
  <c r="AJ33" i="18"/>
  <c r="AK33" i="18"/>
  <c r="AL33" i="18"/>
  <c r="AJ34" i="18"/>
  <c r="AK34" i="18"/>
  <c r="AL34" i="18"/>
  <c r="AJ35" i="18"/>
  <c r="AK35" i="18"/>
  <c r="AL35" i="18"/>
  <c r="AJ36" i="18"/>
  <c r="AK36" i="18"/>
  <c r="AL36" i="18"/>
  <c r="AJ37" i="18"/>
  <c r="AK37" i="18"/>
  <c r="AL37" i="18"/>
  <c r="AJ38" i="18"/>
  <c r="AK38" i="18"/>
  <c r="AL38" i="18"/>
  <c r="AJ39" i="18"/>
  <c r="AK39" i="18"/>
  <c r="AL39" i="18"/>
  <c r="AJ40" i="18"/>
  <c r="AK40" i="18"/>
  <c r="AL40" i="18"/>
  <c r="AJ41" i="18"/>
  <c r="AK41" i="18"/>
  <c r="AL41" i="18"/>
  <c r="AJ42" i="18"/>
  <c r="AK42" i="18"/>
  <c r="AL42" i="18"/>
  <c r="AJ43" i="18"/>
  <c r="AK43" i="18"/>
  <c r="AL43" i="18"/>
  <c r="AJ44" i="18"/>
  <c r="AK44" i="18"/>
  <c r="AL44" i="18"/>
  <c r="AJ45" i="18"/>
  <c r="AK45" i="18"/>
  <c r="AL45" i="18"/>
  <c r="AJ46" i="18"/>
  <c r="AK46" i="18"/>
  <c r="AL46" i="18"/>
  <c r="AJ47" i="18"/>
  <c r="AK47" i="18"/>
  <c r="AL47" i="18"/>
  <c r="AJ48" i="18"/>
  <c r="AK48" i="18"/>
  <c r="AL48" i="18"/>
  <c r="AJ49" i="18"/>
  <c r="AK49" i="18"/>
  <c r="AL49" i="18"/>
  <c r="AJ50" i="18"/>
  <c r="AK50" i="18"/>
  <c r="AL50" i="18"/>
  <c r="AJ51" i="18"/>
  <c r="AK51" i="18"/>
  <c r="AL51" i="18"/>
  <c r="AJ52" i="18"/>
  <c r="AK52" i="18"/>
  <c r="AL52" i="18"/>
  <c r="AL5" i="18"/>
  <c r="AK5" i="18"/>
  <c r="AJ5" i="18"/>
  <c r="C6" i="18"/>
  <c r="D6" i="18"/>
  <c r="E6" i="18"/>
  <c r="F6" i="18"/>
  <c r="G6" i="18"/>
  <c r="H6" i="18"/>
  <c r="I6" i="18"/>
  <c r="J6" i="18"/>
  <c r="K6" i="18"/>
  <c r="L6" i="18"/>
  <c r="M6" i="18"/>
  <c r="N6" i="18"/>
  <c r="O6" i="18"/>
  <c r="P6" i="18"/>
  <c r="Q6" i="18"/>
  <c r="R6" i="18"/>
  <c r="S6" i="18"/>
  <c r="T6" i="18"/>
  <c r="U6" i="18"/>
  <c r="V6" i="18"/>
  <c r="W6" i="18"/>
  <c r="X6" i="18"/>
  <c r="Y6" i="18"/>
  <c r="Z6" i="18"/>
  <c r="AA6" i="18"/>
  <c r="AB6" i="18"/>
  <c r="AC6" i="18"/>
  <c r="AD6" i="18"/>
  <c r="AE6" i="18"/>
  <c r="AF6" i="18"/>
  <c r="AG6" i="18"/>
  <c r="AH6" i="18"/>
  <c r="AI6" i="18"/>
  <c r="C7" i="18"/>
  <c r="D7" i="18"/>
  <c r="E7" i="18"/>
  <c r="F7" i="18"/>
  <c r="G7" i="18"/>
  <c r="H7" i="18"/>
  <c r="I7" i="18"/>
  <c r="J7" i="18"/>
  <c r="K7" i="18"/>
  <c r="L7" i="18"/>
  <c r="M7" i="18"/>
  <c r="N7" i="18"/>
  <c r="O7" i="18"/>
  <c r="P7" i="18"/>
  <c r="Q7" i="18"/>
  <c r="R7" i="18"/>
  <c r="S7" i="18"/>
  <c r="T7" i="18"/>
  <c r="U7" i="18"/>
  <c r="V7" i="18"/>
  <c r="W7" i="18"/>
  <c r="X7" i="18"/>
  <c r="Y7" i="18"/>
  <c r="Z7" i="18"/>
  <c r="AA7" i="18"/>
  <c r="AB7" i="18"/>
  <c r="AC7" i="18"/>
  <c r="AD7" i="18"/>
  <c r="AE7" i="18"/>
  <c r="AF7" i="18"/>
  <c r="AG7" i="18"/>
  <c r="AH7" i="18"/>
  <c r="AI7" i="18"/>
  <c r="C8" i="18"/>
  <c r="D8" i="18"/>
  <c r="E8" i="18"/>
  <c r="F8" i="18"/>
  <c r="G8" i="18"/>
  <c r="H8" i="18"/>
  <c r="I8" i="18"/>
  <c r="J8" i="18"/>
  <c r="K8" i="18"/>
  <c r="L8" i="18"/>
  <c r="M8" i="18"/>
  <c r="N8" i="18"/>
  <c r="O8" i="18"/>
  <c r="P8" i="18"/>
  <c r="Q8" i="18"/>
  <c r="R8" i="18"/>
  <c r="S8" i="18"/>
  <c r="T8" i="18"/>
  <c r="U8" i="18"/>
  <c r="V8" i="18"/>
  <c r="W8" i="18"/>
  <c r="X8" i="18"/>
  <c r="Y8" i="18"/>
  <c r="Z8" i="18"/>
  <c r="AA8" i="18"/>
  <c r="AB8" i="18"/>
  <c r="AC8" i="18"/>
  <c r="AD8" i="18"/>
  <c r="AE8" i="18"/>
  <c r="AF8" i="18"/>
  <c r="AG8" i="18"/>
  <c r="AH8" i="18"/>
  <c r="AI8" i="18"/>
  <c r="C9" i="18"/>
  <c r="D9" i="18"/>
  <c r="E9" i="18"/>
  <c r="F9" i="18"/>
  <c r="G9" i="18"/>
  <c r="H9" i="18"/>
  <c r="I9" i="18"/>
  <c r="J9" i="18"/>
  <c r="K9" i="18"/>
  <c r="L9" i="18"/>
  <c r="M9" i="18"/>
  <c r="N9" i="18"/>
  <c r="O9" i="18"/>
  <c r="P9" i="18"/>
  <c r="Q9" i="18"/>
  <c r="R9" i="18"/>
  <c r="S9" i="18"/>
  <c r="T9" i="18"/>
  <c r="U9" i="18"/>
  <c r="V9" i="18"/>
  <c r="W9" i="18"/>
  <c r="X9" i="18"/>
  <c r="Y9" i="18"/>
  <c r="Z9" i="18"/>
  <c r="AA9" i="18"/>
  <c r="AB9" i="18"/>
  <c r="AC9" i="18"/>
  <c r="AD9" i="18"/>
  <c r="AE9" i="18"/>
  <c r="AF9" i="18"/>
  <c r="AG9" i="18"/>
  <c r="AH9" i="18"/>
  <c r="AI9" i="18"/>
  <c r="C10" i="18"/>
  <c r="D10" i="18"/>
  <c r="E10" i="18"/>
  <c r="F10" i="18"/>
  <c r="G10" i="18"/>
  <c r="H10" i="18"/>
  <c r="I10" i="18"/>
  <c r="J10" i="18"/>
  <c r="K10" i="18"/>
  <c r="L10" i="18"/>
  <c r="M10" i="18"/>
  <c r="N10" i="18"/>
  <c r="O10" i="18"/>
  <c r="P10" i="18"/>
  <c r="Q10" i="18"/>
  <c r="R10" i="18"/>
  <c r="S10" i="18"/>
  <c r="T10" i="18"/>
  <c r="U10" i="18"/>
  <c r="V10" i="18"/>
  <c r="W10" i="18"/>
  <c r="X10" i="18"/>
  <c r="Y10" i="18"/>
  <c r="Z10" i="18"/>
  <c r="AA10" i="18"/>
  <c r="AB10" i="18"/>
  <c r="AC10" i="18"/>
  <c r="AD10" i="18"/>
  <c r="AE10" i="18"/>
  <c r="AF10" i="18"/>
  <c r="AG10" i="18"/>
  <c r="AH10" i="18"/>
  <c r="AI10" i="18"/>
  <c r="C11" i="18"/>
  <c r="D11" i="18"/>
  <c r="E11" i="18"/>
  <c r="F11" i="18"/>
  <c r="G11" i="18"/>
  <c r="H11" i="18"/>
  <c r="I11" i="18"/>
  <c r="J11" i="18"/>
  <c r="K11" i="18"/>
  <c r="L11" i="18"/>
  <c r="M11" i="18"/>
  <c r="N11" i="18"/>
  <c r="O11" i="18"/>
  <c r="P11" i="18"/>
  <c r="Q11" i="18"/>
  <c r="R11" i="18"/>
  <c r="S11" i="18"/>
  <c r="T11" i="18"/>
  <c r="U11" i="18"/>
  <c r="V11" i="18"/>
  <c r="W11" i="18"/>
  <c r="X11" i="18"/>
  <c r="Y11" i="18"/>
  <c r="Z11" i="18"/>
  <c r="AA11" i="18"/>
  <c r="AB11" i="18"/>
  <c r="AC11" i="18"/>
  <c r="AD11" i="18"/>
  <c r="AE11" i="18"/>
  <c r="AF11" i="18"/>
  <c r="AG11" i="18"/>
  <c r="AH11" i="18"/>
  <c r="AI11" i="18"/>
  <c r="C12" i="18"/>
  <c r="D12" i="18"/>
  <c r="E12" i="18"/>
  <c r="F12" i="18"/>
  <c r="G12" i="18"/>
  <c r="H12" i="18"/>
  <c r="I12" i="18"/>
  <c r="J12" i="18"/>
  <c r="K12" i="18"/>
  <c r="L12" i="18"/>
  <c r="M12" i="18"/>
  <c r="N12" i="18"/>
  <c r="O12" i="18"/>
  <c r="P12" i="18"/>
  <c r="Q12" i="18"/>
  <c r="R12" i="18"/>
  <c r="S12" i="18"/>
  <c r="T12" i="18"/>
  <c r="U12" i="18"/>
  <c r="V12" i="18"/>
  <c r="W12" i="18"/>
  <c r="X12" i="18"/>
  <c r="Y12" i="18"/>
  <c r="Z12" i="18"/>
  <c r="AA12" i="18"/>
  <c r="AB12" i="18"/>
  <c r="AC12" i="18"/>
  <c r="AD12" i="18"/>
  <c r="AE12" i="18"/>
  <c r="AF12" i="18"/>
  <c r="AG12" i="18"/>
  <c r="AH12" i="18"/>
  <c r="AI12" i="18"/>
  <c r="C13" i="18"/>
  <c r="D13" i="18"/>
  <c r="E13" i="18"/>
  <c r="F13" i="18"/>
  <c r="G13" i="18"/>
  <c r="H13" i="18"/>
  <c r="I13" i="18"/>
  <c r="J13" i="18"/>
  <c r="K13" i="18"/>
  <c r="L13" i="18"/>
  <c r="M13" i="18"/>
  <c r="N13" i="18"/>
  <c r="O13" i="18"/>
  <c r="P13" i="18"/>
  <c r="Q13" i="18"/>
  <c r="R13" i="18"/>
  <c r="S13" i="18"/>
  <c r="T13" i="18"/>
  <c r="U13" i="18"/>
  <c r="V13" i="18"/>
  <c r="W13" i="18"/>
  <c r="X13" i="18"/>
  <c r="Y13" i="18"/>
  <c r="Z13" i="18"/>
  <c r="AA13" i="18"/>
  <c r="AB13" i="18"/>
  <c r="AC13" i="18"/>
  <c r="AD13" i="18"/>
  <c r="AE13" i="18"/>
  <c r="AF13" i="18"/>
  <c r="AG13" i="18"/>
  <c r="AH13" i="18"/>
  <c r="AI13" i="18"/>
  <c r="C14" i="18"/>
  <c r="D14" i="18"/>
  <c r="E14" i="18"/>
  <c r="F14" i="18"/>
  <c r="G14" i="18"/>
  <c r="H14" i="18"/>
  <c r="I14" i="18"/>
  <c r="J14" i="18"/>
  <c r="K14" i="18"/>
  <c r="L14" i="18"/>
  <c r="M14" i="18"/>
  <c r="N14" i="18"/>
  <c r="O14" i="18"/>
  <c r="P14" i="18"/>
  <c r="Q14" i="18"/>
  <c r="R14" i="18"/>
  <c r="S14" i="18"/>
  <c r="T14" i="18"/>
  <c r="U14" i="18"/>
  <c r="V14" i="18"/>
  <c r="W14" i="18"/>
  <c r="X14" i="18"/>
  <c r="Y14" i="18"/>
  <c r="Z14" i="18"/>
  <c r="AA14" i="18"/>
  <c r="AB14" i="18"/>
  <c r="AC14" i="18"/>
  <c r="AD14" i="18"/>
  <c r="AE14" i="18"/>
  <c r="AF14" i="18"/>
  <c r="AG14" i="18"/>
  <c r="AH14" i="18"/>
  <c r="AI14" i="18"/>
  <c r="C15" i="18"/>
  <c r="D15" i="18"/>
  <c r="E15" i="18"/>
  <c r="F15" i="18"/>
  <c r="G15" i="18"/>
  <c r="H15" i="18"/>
  <c r="I15" i="18"/>
  <c r="J15" i="18"/>
  <c r="K15" i="18"/>
  <c r="L15" i="18"/>
  <c r="M15" i="18"/>
  <c r="N15" i="18"/>
  <c r="O15" i="18"/>
  <c r="P15" i="18"/>
  <c r="Q15" i="18"/>
  <c r="R15" i="18"/>
  <c r="S15" i="18"/>
  <c r="T15" i="18"/>
  <c r="U15" i="18"/>
  <c r="V15" i="18"/>
  <c r="W15" i="18"/>
  <c r="X15" i="18"/>
  <c r="Y15" i="18"/>
  <c r="Z15" i="18"/>
  <c r="AA15" i="18"/>
  <c r="AB15" i="18"/>
  <c r="AC15" i="18"/>
  <c r="AD15" i="18"/>
  <c r="AE15" i="18"/>
  <c r="AF15" i="18"/>
  <c r="AG15" i="18"/>
  <c r="AH15" i="18"/>
  <c r="AI15" i="18"/>
  <c r="C16" i="18"/>
  <c r="D16" i="18"/>
  <c r="E16" i="18"/>
  <c r="F16" i="18"/>
  <c r="G16" i="18"/>
  <c r="H16" i="18"/>
  <c r="I16" i="18"/>
  <c r="J16" i="18"/>
  <c r="K16" i="18"/>
  <c r="L16" i="18"/>
  <c r="M16" i="18"/>
  <c r="N16" i="18"/>
  <c r="O16" i="18"/>
  <c r="P16" i="18"/>
  <c r="Q16" i="18"/>
  <c r="R16" i="18"/>
  <c r="S16" i="18"/>
  <c r="T16" i="18"/>
  <c r="U16" i="18"/>
  <c r="V16" i="18"/>
  <c r="W16" i="18"/>
  <c r="X16" i="18"/>
  <c r="Y16" i="18"/>
  <c r="Z16" i="18"/>
  <c r="AA16" i="18"/>
  <c r="AB16" i="18"/>
  <c r="AC16" i="18"/>
  <c r="AD16" i="18"/>
  <c r="AE16" i="18"/>
  <c r="AF16" i="18"/>
  <c r="AG16" i="18"/>
  <c r="AH16" i="18"/>
  <c r="AI16" i="18"/>
  <c r="C17" i="18"/>
  <c r="D17" i="18"/>
  <c r="E17" i="18"/>
  <c r="F17" i="18"/>
  <c r="G17" i="18"/>
  <c r="H17" i="18"/>
  <c r="I17" i="18"/>
  <c r="J17" i="18"/>
  <c r="K17" i="18"/>
  <c r="L17" i="18"/>
  <c r="M17" i="18"/>
  <c r="N17" i="18"/>
  <c r="O17" i="18"/>
  <c r="P17" i="18"/>
  <c r="Q17" i="18"/>
  <c r="R17" i="18"/>
  <c r="S17" i="18"/>
  <c r="T17" i="18"/>
  <c r="U17" i="18"/>
  <c r="V17" i="18"/>
  <c r="W17" i="18"/>
  <c r="X17" i="18"/>
  <c r="Y17" i="18"/>
  <c r="Z17" i="18"/>
  <c r="AA17" i="18"/>
  <c r="AB17" i="18"/>
  <c r="AC17" i="18"/>
  <c r="AD17" i="18"/>
  <c r="AE17" i="18"/>
  <c r="AF17" i="18"/>
  <c r="AG17" i="18"/>
  <c r="AH17" i="18"/>
  <c r="AI17" i="18"/>
  <c r="C18" i="18"/>
  <c r="D18" i="18"/>
  <c r="E18" i="18"/>
  <c r="F18" i="18"/>
  <c r="G18" i="18"/>
  <c r="H18" i="18"/>
  <c r="I18" i="18"/>
  <c r="J18" i="18"/>
  <c r="K18" i="18"/>
  <c r="L18" i="18"/>
  <c r="M18" i="18"/>
  <c r="N18" i="18"/>
  <c r="O18" i="18"/>
  <c r="P18" i="18"/>
  <c r="Q18" i="18"/>
  <c r="R18" i="18"/>
  <c r="S18" i="18"/>
  <c r="T18" i="18"/>
  <c r="U18" i="18"/>
  <c r="V18" i="18"/>
  <c r="W18" i="18"/>
  <c r="X18" i="18"/>
  <c r="Y18" i="18"/>
  <c r="Z18" i="18"/>
  <c r="AA18" i="18"/>
  <c r="AB18" i="18"/>
  <c r="AC18" i="18"/>
  <c r="AD18" i="18"/>
  <c r="AE18" i="18"/>
  <c r="AF18" i="18"/>
  <c r="AG18" i="18"/>
  <c r="AH18" i="18"/>
  <c r="AI18" i="18"/>
  <c r="C19" i="18"/>
  <c r="D19" i="18"/>
  <c r="E19" i="18"/>
  <c r="F19" i="18"/>
  <c r="G19" i="18"/>
  <c r="H19" i="18"/>
  <c r="I19" i="18"/>
  <c r="J19" i="18"/>
  <c r="K19" i="18"/>
  <c r="L19" i="18"/>
  <c r="M19" i="18"/>
  <c r="N19" i="18"/>
  <c r="O19" i="18"/>
  <c r="P19" i="18"/>
  <c r="Q19" i="18"/>
  <c r="R19" i="18"/>
  <c r="S19" i="18"/>
  <c r="T19" i="18"/>
  <c r="U19" i="18"/>
  <c r="V19" i="18"/>
  <c r="W19" i="18"/>
  <c r="X19" i="18"/>
  <c r="Y19" i="18"/>
  <c r="Z19" i="18"/>
  <c r="AA19" i="18"/>
  <c r="AB19" i="18"/>
  <c r="AC19" i="18"/>
  <c r="AD19" i="18"/>
  <c r="AE19" i="18"/>
  <c r="AF19" i="18"/>
  <c r="AG19" i="18"/>
  <c r="AH19" i="18"/>
  <c r="AI19" i="18"/>
  <c r="C20" i="18"/>
  <c r="D20" i="18"/>
  <c r="E20" i="18"/>
  <c r="F20" i="18"/>
  <c r="G20" i="18"/>
  <c r="H20" i="18"/>
  <c r="I20" i="18"/>
  <c r="J20" i="18"/>
  <c r="K20" i="18"/>
  <c r="L20" i="18"/>
  <c r="M20" i="18"/>
  <c r="N20" i="18"/>
  <c r="O20" i="18"/>
  <c r="P20" i="18"/>
  <c r="Q20" i="18"/>
  <c r="R20" i="18"/>
  <c r="S20" i="18"/>
  <c r="T20" i="18"/>
  <c r="U20" i="18"/>
  <c r="V20" i="18"/>
  <c r="W20" i="18"/>
  <c r="X20" i="18"/>
  <c r="Y20" i="18"/>
  <c r="Z20" i="18"/>
  <c r="AA20" i="18"/>
  <c r="AB20" i="18"/>
  <c r="AC20" i="18"/>
  <c r="AD20" i="18"/>
  <c r="AE20" i="18"/>
  <c r="AF20" i="18"/>
  <c r="AG20" i="18"/>
  <c r="AH20" i="18"/>
  <c r="AI20" i="18"/>
  <c r="C21" i="18"/>
  <c r="D21" i="18"/>
  <c r="E21" i="18"/>
  <c r="F21" i="18"/>
  <c r="G21" i="18"/>
  <c r="H21" i="18"/>
  <c r="I21" i="18"/>
  <c r="J21" i="18"/>
  <c r="K21" i="18"/>
  <c r="L21" i="18"/>
  <c r="M21" i="18"/>
  <c r="N21" i="18"/>
  <c r="O21" i="18"/>
  <c r="P21" i="18"/>
  <c r="Q21" i="18"/>
  <c r="R21" i="18"/>
  <c r="S21" i="18"/>
  <c r="T21" i="18"/>
  <c r="U21" i="18"/>
  <c r="V21" i="18"/>
  <c r="W21" i="18"/>
  <c r="X21" i="18"/>
  <c r="Y21" i="18"/>
  <c r="Z21" i="18"/>
  <c r="AA21" i="18"/>
  <c r="AB21" i="18"/>
  <c r="AC21" i="18"/>
  <c r="AD21" i="18"/>
  <c r="AE21" i="18"/>
  <c r="AF21" i="18"/>
  <c r="AG21" i="18"/>
  <c r="AH21" i="18"/>
  <c r="AI21" i="18"/>
  <c r="C22" i="18"/>
  <c r="D22" i="18"/>
  <c r="E22" i="18"/>
  <c r="F22" i="18"/>
  <c r="G22" i="18"/>
  <c r="H22" i="18"/>
  <c r="I22" i="18"/>
  <c r="J22" i="18"/>
  <c r="K22" i="18"/>
  <c r="L22" i="18"/>
  <c r="M22" i="18"/>
  <c r="N22" i="18"/>
  <c r="O22" i="18"/>
  <c r="P22" i="18"/>
  <c r="Q22" i="18"/>
  <c r="R22" i="18"/>
  <c r="S22" i="18"/>
  <c r="T22" i="18"/>
  <c r="U22" i="18"/>
  <c r="V22" i="18"/>
  <c r="W22" i="18"/>
  <c r="X22" i="18"/>
  <c r="Y22" i="18"/>
  <c r="Z22" i="18"/>
  <c r="AA22" i="18"/>
  <c r="AB22" i="18"/>
  <c r="AC22" i="18"/>
  <c r="AD22" i="18"/>
  <c r="AE22" i="18"/>
  <c r="AF22" i="18"/>
  <c r="AG22" i="18"/>
  <c r="AH22" i="18"/>
  <c r="AI22" i="18"/>
  <c r="C23" i="18"/>
  <c r="D23" i="18"/>
  <c r="E23" i="18"/>
  <c r="F23" i="18"/>
  <c r="G23" i="18"/>
  <c r="H23" i="18"/>
  <c r="I23" i="18"/>
  <c r="J23" i="18"/>
  <c r="K23" i="18"/>
  <c r="L23" i="18"/>
  <c r="M23" i="18"/>
  <c r="N23" i="18"/>
  <c r="O23" i="18"/>
  <c r="P23" i="18"/>
  <c r="Q23" i="18"/>
  <c r="R23" i="18"/>
  <c r="S23" i="18"/>
  <c r="T23" i="18"/>
  <c r="U23" i="18"/>
  <c r="V23" i="18"/>
  <c r="W23" i="18"/>
  <c r="X23" i="18"/>
  <c r="Y23" i="18"/>
  <c r="Z23" i="18"/>
  <c r="AA23" i="18"/>
  <c r="AB23" i="18"/>
  <c r="AC23" i="18"/>
  <c r="AD23" i="18"/>
  <c r="AE23" i="18"/>
  <c r="AF23" i="18"/>
  <c r="AG23" i="18"/>
  <c r="AH23" i="18"/>
  <c r="AI23" i="18"/>
  <c r="C24" i="18"/>
  <c r="D24" i="18"/>
  <c r="E24" i="18"/>
  <c r="F24" i="18"/>
  <c r="G24" i="18"/>
  <c r="H24" i="18"/>
  <c r="I24" i="18"/>
  <c r="J24" i="18"/>
  <c r="K24" i="18"/>
  <c r="L24" i="18"/>
  <c r="M24" i="18"/>
  <c r="N24" i="18"/>
  <c r="O24" i="18"/>
  <c r="P24" i="18"/>
  <c r="Q24" i="18"/>
  <c r="R24" i="18"/>
  <c r="S24" i="18"/>
  <c r="T24" i="18"/>
  <c r="U24" i="18"/>
  <c r="V24" i="18"/>
  <c r="W24" i="18"/>
  <c r="X24" i="18"/>
  <c r="Y24" i="18"/>
  <c r="Z24" i="18"/>
  <c r="AA24" i="18"/>
  <c r="AB24" i="18"/>
  <c r="AC24" i="18"/>
  <c r="AD24" i="18"/>
  <c r="AE24" i="18"/>
  <c r="AF24" i="18"/>
  <c r="AG24" i="18"/>
  <c r="AH24" i="18"/>
  <c r="AI24" i="18"/>
  <c r="C25" i="18"/>
  <c r="D25" i="18"/>
  <c r="E25" i="18"/>
  <c r="F25" i="18"/>
  <c r="G25" i="18"/>
  <c r="H25" i="18"/>
  <c r="I25" i="18"/>
  <c r="J25" i="18"/>
  <c r="K25" i="18"/>
  <c r="L25" i="18"/>
  <c r="M25" i="18"/>
  <c r="N25" i="18"/>
  <c r="O25" i="18"/>
  <c r="P25" i="18"/>
  <c r="Q25" i="18"/>
  <c r="R25" i="18"/>
  <c r="S25" i="18"/>
  <c r="T25" i="18"/>
  <c r="U25" i="18"/>
  <c r="V25" i="18"/>
  <c r="W25" i="18"/>
  <c r="X25" i="18"/>
  <c r="Y25" i="18"/>
  <c r="Z25" i="18"/>
  <c r="AA25" i="18"/>
  <c r="AB25" i="18"/>
  <c r="AC25" i="18"/>
  <c r="AD25" i="18"/>
  <c r="AE25" i="18"/>
  <c r="AF25" i="18"/>
  <c r="AG25" i="18"/>
  <c r="AH25" i="18"/>
  <c r="AI25" i="18"/>
  <c r="C26" i="18"/>
  <c r="D26" i="18"/>
  <c r="E26" i="18"/>
  <c r="F26" i="18"/>
  <c r="G26" i="18"/>
  <c r="H26" i="18"/>
  <c r="I26" i="18"/>
  <c r="J26" i="18"/>
  <c r="K26" i="18"/>
  <c r="L26" i="18"/>
  <c r="M26" i="18"/>
  <c r="N26" i="18"/>
  <c r="O26" i="18"/>
  <c r="P26" i="18"/>
  <c r="Q26" i="18"/>
  <c r="R26" i="18"/>
  <c r="S26" i="18"/>
  <c r="T26" i="18"/>
  <c r="U26" i="18"/>
  <c r="V26" i="18"/>
  <c r="W26" i="18"/>
  <c r="X26" i="18"/>
  <c r="Y26" i="18"/>
  <c r="Z26" i="18"/>
  <c r="AA26" i="18"/>
  <c r="AB26" i="18"/>
  <c r="AC26" i="18"/>
  <c r="AD26" i="18"/>
  <c r="AE26" i="18"/>
  <c r="AF26" i="18"/>
  <c r="AG26" i="18"/>
  <c r="AH26" i="18"/>
  <c r="AI26" i="18"/>
  <c r="C27" i="18"/>
  <c r="D27" i="18"/>
  <c r="E27" i="18"/>
  <c r="F27" i="18"/>
  <c r="G27" i="18"/>
  <c r="H27" i="18"/>
  <c r="I27" i="18"/>
  <c r="J27" i="18"/>
  <c r="K27" i="18"/>
  <c r="L27" i="18"/>
  <c r="M27" i="18"/>
  <c r="N27" i="18"/>
  <c r="O27" i="18"/>
  <c r="P27" i="18"/>
  <c r="Q27" i="18"/>
  <c r="R27" i="18"/>
  <c r="S27" i="18"/>
  <c r="T27" i="18"/>
  <c r="U27" i="18"/>
  <c r="V27" i="18"/>
  <c r="W27" i="18"/>
  <c r="X27" i="18"/>
  <c r="Y27" i="18"/>
  <c r="Z27" i="18"/>
  <c r="AA27" i="18"/>
  <c r="AB27" i="18"/>
  <c r="AC27" i="18"/>
  <c r="AD27" i="18"/>
  <c r="AE27" i="18"/>
  <c r="AF27" i="18"/>
  <c r="AG27" i="18"/>
  <c r="AH27" i="18"/>
  <c r="AI27" i="18"/>
  <c r="C28" i="18"/>
  <c r="D28" i="18"/>
  <c r="E28" i="18"/>
  <c r="F28" i="18"/>
  <c r="G28" i="18"/>
  <c r="H28" i="18"/>
  <c r="I28" i="18"/>
  <c r="J28" i="18"/>
  <c r="K28" i="18"/>
  <c r="L28" i="18"/>
  <c r="M28" i="18"/>
  <c r="N28" i="18"/>
  <c r="O28" i="18"/>
  <c r="P28" i="18"/>
  <c r="Q28" i="18"/>
  <c r="R28" i="18"/>
  <c r="S28" i="18"/>
  <c r="T28" i="18"/>
  <c r="U28" i="18"/>
  <c r="V28" i="18"/>
  <c r="W28" i="18"/>
  <c r="X28" i="18"/>
  <c r="Y28" i="18"/>
  <c r="Z28" i="18"/>
  <c r="AA28" i="18"/>
  <c r="AB28" i="18"/>
  <c r="AC28" i="18"/>
  <c r="AD28" i="18"/>
  <c r="AE28" i="18"/>
  <c r="AF28" i="18"/>
  <c r="AG28" i="18"/>
  <c r="AH28" i="18"/>
  <c r="AI28" i="18"/>
  <c r="C29" i="18"/>
  <c r="D29" i="18"/>
  <c r="E29" i="18"/>
  <c r="F29" i="18"/>
  <c r="G29" i="18"/>
  <c r="H29" i="18"/>
  <c r="I29" i="18"/>
  <c r="J29" i="18"/>
  <c r="K29" i="18"/>
  <c r="L29" i="18"/>
  <c r="M29" i="18"/>
  <c r="N29" i="18"/>
  <c r="O29" i="18"/>
  <c r="P29" i="18"/>
  <c r="Q29" i="18"/>
  <c r="R29" i="18"/>
  <c r="S29" i="18"/>
  <c r="T29" i="18"/>
  <c r="U29" i="18"/>
  <c r="V29" i="18"/>
  <c r="W29" i="18"/>
  <c r="X29" i="18"/>
  <c r="Y29" i="18"/>
  <c r="Z29" i="18"/>
  <c r="AA29" i="18"/>
  <c r="AB29" i="18"/>
  <c r="AC29" i="18"/>
  <c r="AD29" i="18"/>
  <c r="AE29" i="18"/>
  <c r="AF29" i="18"/>
  <c r="AG29" i="18"/>
  <c r="AH29" i="18"/>
  <c r="AI29" i="18"/>
  <c r="C30" i="18"/>
  <c r="D30" i="18"/>
  <c r="E30" i="18"/>
  <c r="F30" i="18"/>
  <c r="G30" i="18"/>
  <c r="H30" i="18"/>
  <c r="I30" i="18"/>
  <c r="J30" i="18"/>
  <c r="K30" i="18"/>
  <c r="L30" i="18"/>
  <c r="M30" i="18"/>
  <c r="N30" i="18"/>
  <c r="O30" i="18"/>
  <c r="P30" i="18"/>
  <c r="Q30" i="18"/>
  <c r="R30" i="18"/>
  <c r="S30" i="18"/>
  <c r="T30" i="18"/>
  <c r="U30" i="18"/>
  <c r="V30" i="18"/>
  <c r="W30" i="18"/>
  <c r="X30" i="18"/>
  <c r="Y30" i="18"/>
  <c r="Z30" i="18"/>
  <c r="AA30" i="18"/>
  <c r="AB30" i="18"/>
  <c r="AC30" i="18"/>
  <c r="AD30" i="18"/>
  <c r="AE30" i="18"/>
  <c r="AF30" i="18"/>
  <c r="AG30" i="18"/>
  <c r="AH30" i="18"/>
  <c r="AI30" i="18"/>
  <c r="C31" i="18"/>
  <c r="D31" i="18"/>
  <c r="E31" i="18"/>
  <c r="F31" i="18"/>
  <c r="G31" i="18"/>
  <c r="H31" i="18"/>
  <c r="I31" i="18"/>
  <c r="J31" i="18"/>
  <c r="K31" i="18"/>
  <c r="L31" i="18"/>
  <c r="M31" i="18"/>
  <c r="N31" i="18"/>
  <c r="O31" i="18"/>
  <c r="P31" i="18"/>
  <c r="Q31" i="18"/>
  <c r="R31" i="18"/>
  <c r="S31" i="18"/>
  <c r="T31" i="18"/>
  <c r="U31" i="18"/>
  <c r="V31" i="18"/>
  <c r="W31" i="18"/>
  <c r="X31" i="18"/>
  <c r="Y31" i="18"/>
  <c r="Z31" i="18"/>
  <c r="AA31" i="18"/>
  <c r="AB31" i="18"/>
  <c r="AC31" i="18"/>
  <c r="AD31" i="18"/>
  <c r="AE31" i="18"/>
  <c r="AF31" i="18"/>
  <c r="AG31" i="18"/>
  <c r="AH31" i="18"/>
  <c r="AI31" i="18"/>
  <c r="C32" i="18"/>
  <c r="D32" i="18"/>
  <c r="E32" i="18"/>
  <c r="F32" i="18"/>
  <c r="G32" i="18"/>
  <c r="H32" i="18"/>
  <c r="I32" i="18"/>
  <c r="J32" i="18"/>
  <c r="K32" i="18"/>
  <c r="L32" i="18"/>
  <c r="M32" i="18"/>
  <c r="N32" i="18"/>
  <c r="O32" i="18"/>
  <c r="P32" i="18"/>
  <c r="Q32" i="18"/>
  <c r="R32" i="18"/>
  <c r="S32" i="18"/>
  <c r="T32" i="18"/>
  <c r="U32" i="18"/>
  <c r="V32" i="18"/>
  <c r="W32" i="18"/>
  <c r="X32" i="18"/>
  <c r="Y32" i="18"/>
  <c r="Z32" i="18"/>
  <c r="AA32" i="18"/>
  <c r="AB32" i="18"/>
  <c r="AC32" i="18"/>
  <c r="AD32" i="18"/>
  <c r="AE32" i="18"/>
  <c r="AF32" i="18"/>
  <c r="AG32" i="18"/>
  <c r="AH32" i="18"/>
  <c r="AI32" i="18"/>
  <c r="C33" i="18"/>
  <c r="D33" i="18"/>
  <c r="E33" i="18"/>
  <c r="F33" i="18"/>
  <c r="G33" i="18"/>
  <c r="H33" i="18"/>
  <c r="I33" i="18"/>
  <c r="J33" i="18"/>
  <c r="K33" i="18"/>
  <c r="L33" i="18"/>
  <c r="M33" i="18"/>
  <c r="N33" i="18"/>
  <c r="O33" i="18"/>
  <c r="P33" i="18"/>
  <c r="Q33" i="18"/>
  <c r="R33" i="18"/>
  <c r="S33" i="18"/>
  <c r="T33" i="18"/>
  <c r="U33" i="18"/>
  <c r="V33" i="18"/>
  <c r="W33" i="18"/>
  <c r="X33" i="18"/>
  <c r="Y33" i="18"/>
  <c r="Z33" i="18"/>
  <c r="AA33" i="18"/>
  <c r="AB33" i="18"/>
  <c r="AC33" i="18"/>
  <c r="AD33" i="18"/>
  <c r="AE33" i="18"/>
  <c r="AF33" i="18"/>
  <c r="AG33" i="18"/>
  <c r="AH33" i="18"/>
  <c r="AI33" i="18"/>
  <c r="C34" i="18"/>
  <c r="D34" i="18"/>
  <c r="E34" i="18"/>
  <c r="F34" i="18"/>
  <c r="G34" i="18"/>
  <c r="H34" i="18"/>
  <c r="I34" i="18"/>
  <c r="J34" i="18"/>
  <c r="K34" i="18"/>
  <c r="L34" i="18"/>
  <c r="M34" i="18"/>
  <c r="N34" i="18"/>
  <c r="O34" i="18"/>
  <c r="P34" i="18"/>
  <c r="Q34" i="18"/>
  <c r="R34" i="18"/>
  <c r="S34" i="18"/>
  <c r="T34" i="18"/>
  <c r="U34" i="18"/>
  <c r="V34" i="18"/>
  <c r="W34" i="18"/>
  <c r="X34" i="18"/>
  <c r="Y34" i="18"/>
  <c r="Z34" i="18"/>
  <c r="AA34" i="18"/>
  <c r="AB34" i="18"/>
  <c r="AC34" i="18"/>
  <c r="AD34" i="18"/>
  <c r="AE34" i="18"/>
  <c r="AF34" i="18"/>
  <c r="AG34" i="18"/>
  <c r="AH34" i="18"/>
  <c r="AI34" i="18"/>
  <c r="C35" i="18"/>
  <c r="D35" i="18"/>
  <c r="E35" i="18"/>
  <c r="F35" i="18"/>
  <c r="G35" i="18"/>
  <c r="H35" i="18"/>
  <c r="I35" i="18"/>
  <c r="J35" i="18"/>
  <c r="K35" i="18"/>
  <c r="L35" i="18"/>
  <c r="M35" i="18"/>
  <c r="N35" i="18"/>
  <c r="O35" i="18"/>
  <c r="P35" i="18"/>
  <c r="Q35" i="18"/>
  <c r="R35" i="18"/>
  <c r="S35" i="18"/>
  <c r="T35" i="18"/>
  <c r="U35" i="18"/>
  <c r="V35" i="18"/>
  <c r="W35" i="18"/>
  <c r="X35" i="18"/>
  <c r="Y35" i="18"/>
  <c r="Z35" i="18"/>
  <c r="AA35" i="18"/>
  <c r="AB35" i="18"/>
  <c r="AC35" i="18"/>
  <c r="AD35" i="18"/>
  <c r="AE35" i="18"/>
  <c r="AF35" i="18"/>
  <c r="AG35" i="18"/>
  <c r="AH35" i="18"/>
  <c r="AI35" i="18"/>
  <c r="C36" i="18"/>
  <c r="D36" i="18"/>
  <c r="E36" i="18"/>
  <c r="F36" i="18"/>
  <c r="G36" i="18"/>
  <c r="H36" i="18"/>
  <c r="I36" i="18"/>
  <c r="J36" i="18"/>
  <c r="K36" i="18"/>
  <c r="L36" i="18"/>
  <c r="M36" i="18"/>
  <c r="N36" i="18"/>
  <c r="O36" i="18"/>
  <c r="P36" i="18"/>
  <c r="Q36" i="18"/>
  <c r="R36" i="18"/>
  <c r="S36" i="18"/>
  <c r="T36" i="18"/>
  <c r="U36" i="18"/>
  <c r="V36" i="18"/>
  <c r="W36" i="18"/>
  <c r="X36" i="18"/>
  <c r="Y36" i="18"/>
  <c r="Z36" i="18"/>
  <c r="AA36" i="18"/>
  <c r="AB36" i="18"/>
  <c r="AC36" i="18"/>
  <c r="AD36" i="18"/>
  <c r="AE36" i="18"/>
  <c r="AF36" i="18"/>
  <c r="AG36" i="18"/>
  <c r="AH36" i="18"/>
  <c r="AI36" i="18"/>
  <c r="C37" i="18"/>
  <c r="D37" i="18"/>
  <c r="E37" i="18"/>
  <c r="F37" i="18"/>
  <c r="G37" i="18"/>
  <c r="H37" i="18"/>
  <c r="I37" i="18"/>
  <c r="J37" i="18"/>
  <c r="K37" i="18"/>
  <c r="L37" i="18"/>
  <c r="M37" i="18"/>
  <c r="N37" i="18"/>
  <c r="O37" i="18"/>
  <c r="P37" i="18"/>
  <c r="Q37" i="18"/>
  <c r="R37" i="18"/>
  <c r="S37" i="18"/>
  <c r="T37" i="18"/>
  <c r="U37" i="18"/>
  <c r="V37" i="18"/>
  <c r="W37" i="18"/>
  <c r="X37" i="18"/>
  <c r="Y37" i="18"/>
  <c r="Z37" i="18"/>
  <c r="AA37" i="18"/>
  <c r="AB37" i="18"/>
  <c r="AC37" i="18"/>
  <c r="AD37" i="18"/>
  <c r="AE37" i="18"/>
  <c r="AF37" i="18"/>
  <c r="AG37" i="18"/>
  <c r="AH37" i="18"/>
  <c r="AI37" i="18"/>
  <c r="C38" i="18"/>
  <c r="D38" i="18"/>
  <c r="E38" i="18"/>
  <c r="F38" i="18"/>
  <c r="G38" i="18"/>
  <c r="H38" i="18"/>
  <c r="I38" i="18"/>
  <c r="J38" i="18"/>
  <c r="K38" i="18"/>
  <c r="L38" i="18"/>
  <c r="M38" i="18"/>
  <c r="N38" i="18"/>
  <c r="O38" i="18"/>
  <c r="P38" i="18"/>
  <c r="Q38" i="18"/>
  <c r="R38" i="18"/>
  <c r="S38" i="18"/>
  <c r="T38" i="18"/>
  <c r="U38" i="18"/>
  <c r="V38" i="18"/>
  <c r="W38" i="18"/>
  <c r="X38" i="18"/>
  <c r="Y38" i="18"/>
  <c r="Z38" i="18"/>
  <c r="AA38" i="18"/>
  <c r="AB38" i="18"/>
  <c r="AC38" i="18"/>
  <c r="AD38" i="18"/>
  <c r="AE38" i="18"/>
  <c r="AF38" i="18"/>
  <c r="AG38" i="18"/>
  <c r="AH38" i="18"/>
  <c r="AI38" i="18"/>
  <c r="C39" i="18"/>
  <c r="D39" i="18"/>
  <c r="E39" i="18"/>
  <c r="F39" i="18"/>
  <c r="G39" i="18"/>
  <c r="H39" i="18"/>
  <c r="I39" i="18"/>
  <c r="J39" i="18"/>
  <c r="K39" i="18"/>
  <c r="L39" i="18"/>
  <c r="M39" i="18"/>
  <c r="N39" i="18"/>
  <c r="O39" i="18"/>
  <c r="P39" i="18"/>
  <c r="Q39" i="18"/>
  <c r="R39" i="18"/>
  <c r="S39" i="18"/>
  <c r="T39" i="18"/>
  <c r="U39" i="18"/>
  <c r="V39" i="18"/>
  <c r="W39" i="18"/>
  <c r="X39" i="18"/>
  <c r="Y39" i="18"/>
  <c r="Z39" i="18"/>
  <c r="AA39" i="18"/>
  <c r="AB39" i="18"/>
  <c r="AC39" i="18"/>
  <c r="AD39" i="18"/>
  <c r="AE39" i="18"/>
  <c r="AF39" i="18"/>
  <c r="AG39" i="18"/>
  <c r="AH39" i="18"/>
  <c r="AI39" i="18"/>
  <c r="C40" i="18"/>
  <c r="D40" i="18"/>
  <c r="E40" i="18"/>
  <c r="F40" i="18"/>
  <c r="G40" i="18"/>
  <c r="H40" i="18"/>
  <c r="I40" i="18"/>
  <c r="J40" i="18"/>
  <c r="K40" i="18"/>
  <c r="L40" i="18"/>
  <c r="M40" i="18"/>
  <c r="N40" i="18"/>
  <c r="O40" i="18"/>
  <c r="P40" i="18"/>
  <c r="Q40" i="18"/>
  <c r="R40" i="18"/>
  <c r="S40" i="18"/>
  <c r="T40" i="18"/>
  <c r="U40" i="18"/>
  <c r="V40" i="18"/>
  <c r="W40" i="18"/>
  <c r="X40" i="18"/>
  <c r="Y40" i="18"/>
  <c r="Z40" i="18"/>
  <c r="AA40" i="18"/>
  <c r="AB40" i="18"/>
  <c r="AC40" i="18"/>
  <c r="AD40" i="18"/>
  <c r="AE40" i="18"/>
  <c r="AF40" i="18"/>
  <c r="AG40" i="18"/>
  <c r="AH40" i="18"/>
  <c r="AI40" i="18"/>
  <c r="C41" i="18"/>
  <c r="D41" i="18"/>
  <c r="E41" i="18"/>
  <c r="F41" i="18"/>
  <c r="G41" i="18"/>
  <c r="H41" i="18"/>
  <c r="I41" i="18"/>
  <c r="J41" i="18"/>
  <c r="K41" i="18"/>
  <c r="L41" i="18"/>
  <c r="M41" i="18"/>
  <c r="N41" i="18"/>
  <c r="O41" i="18"/>
  <c r="P41" i="18"/>
  <c r="Q41" i="18"/>
  <c r="R41" i="18"/>
  <c r="S41" i="18"/>
  <c r="T41" i="18"/>
  <c r="U41" i="18"/>
  <c r="V41" i="18"/>
  <c r="W41" i="18"/>
  <c r="X41" i="18"/>
  <c r="Y41" i="18"/>
  <c r="Z41" i="18"/>
  <c r="AA41" i="18"/>
  <c r="AB41" i="18"/>
  <c r="AC41" i="18"/>
  <c r="AD41" i="18"/>
  <c r="AE41" i="18"/>
  <c r="AF41" i="18"/>
  <c r="AG41" i="18"/>
  <c r="AH41" i="18"/>
  <c r="AI41" i="18"/>
  <c r="C42" i="18"/>
  <c r="D42" i="18"/>
  <c r="E42" i="18"/>
  <c r="F42" i="18"/>
  <c r="G42" i="18"/>
  <c r="H42" i="18"/>
  <c r="I42" i="18"/>
  <c r="J42" i="18"/>
  <c r="K42" i="18"/>
  <c r="L42" i="18"/>
  <c r="M42" i="18"/>
  <c r="N42" i="18"/>
  <c r="O42" i="18"/>
  <c r="P42" i="18"/>
  <c r="Q42" i="18"/>
  <c r="R42" i="18"/>
  <c r="S42" i="18"/>
  <c r="T42" i="18"/>
  <c r="U42" i="18"/>
  <c r="V42" i="18"/>
  <c r="W42" i="18"/>
  <c r="X42" i="18"/>
  <c r="Y42" i="18"/>
  <c r="Z42" i="18"/>
  <c r="AA42" i="18"/>
  <c r="AB42" i="18"/>
  <c r="AC42" i="18"/>
  <c r="AD42" i="18"/>
  <c r="AE42" i="18"/>
  <c r="AF42" i="18"/>
  <c r="AG42" i="18"/>
  <c r="AH42" i="18"/>
  <c r="AI42" i="18"/>
  <c r="C43" i="18"/>
  <c r="D43" i="18"/>
  <c r="E43" i="18"/>
  <c r="F43" i="18"/>
  <c r="G43" i="18"/>
  <c r="H43" i="18"/>
  <c r="I43" i="18"/>
  <c r="J43" i="18"/>
  <c r="K43" i="18"/>
  <c r="L43" i="18"/>
  <c r="M43" i="18"/>
  <c r="N43" i="18"/>
  <c r="O43" i="18"/>
  <c r="P43" i="18"/>
  <c r="Q43" i="18"/>
  <c r="R43" i="18"/>
  <c r="S43" i="18"/>
  <c r="T43" i="18"/>
  <c r="U43" i="18"/>
  <c r="V43" i="18"/>
  <c r="W43" i="18"/>
  <c r="X43" i="18"/>
  <c r="Y43" i="18"/>
  <c r="Z43" i="18"/>
  <c r="AA43" i="18"/>
  <c r="AB43" i="18"/>
  <c r="AC43" i="18"/>
  <c r="AD43" i="18"/>
  <c r="AE43" i="18"/>
  <c r="AF43" i="18"/>
  <c r="AG43" i="18"/>
  <c r="AH43" i="18"/>
  <c r="AI43" i="18"/>
  <c r="C44" i="18"/>
  <c r="D44" i="18"/>
  <c r="E44" i="18"/>
  <c r="F44" i="18"/>
  <c r="G44" i="18"/>
  <c r="H44" i="18"/>
  <c r="I44" i="18"/>
  <c r="J44" i="18"/>
  <c r="K44" i="18"/>
  <c r="L44" i="18"/>
  <c r="M44" i="18"/>
  <c r="N44" i="18"/>
  <c r="O44" i="18"/>
  <c r="P44" i="18"/>
  <c r="Q44" i="18"/>
  <c r="R44" i="18"/>
  <c r="S44" i="18"/>
  <c r="T44" i="18"/>
  <c r="U44" i="18"/>
  <c r="V44" i="18"/>
  <c r="W44" i="18"/>
  <c r="X44" i="18"/>
  <c r="Y44" i="18"/>
  <c r="Z44" i="18"/>
  <c r="AA44" i="18"/>
  <c r="AB44" i="18"/>
  <c r="AC44" i="18"/>
  <c r="AD44" i="18"/>
  <c r="AE44" i="18"/>
  <c r="AF44" i="18"/>
  <c r="AG44" i="18"/>
  <c r="AH44" i="18"/>
  <c r="AI44" i="18"/>
  <c r="C45" i="18"/>
  <c r="D45" i="18"/>
  <c r="E45" i="18"/>
  <c r="F45" i="18"/>
  <c r="G45" i="18"/>
  <c r="H45" i="18"/>
  <c r="I45" i="18"/>
  <c r="J45" i="18"/>
  <c r="K45" i="18"/>
  <c r="L45" i="18"/>
  <c r="M45" i="18"/>
  <c r="N45" i="18"/>
  <c r="O45" i="18"/>
  <c r="P45" i="18"/>
  <c r="Q45" i="18"/>
  <c r="R45" i="18"/>
  <c r="S45" i="18"/>
  <c r="T45" i="18"/>
  <c r="U45" i="18"/>
  <c r="V45" i="18"/>
  <c r="W45" i="18"/>
  <c r="X45" i="18"/>
  <c r="Y45" i="18"/>
  <c r="Z45" i="18"/>
  <c r="AA45" i="18"/>
  <c r="AB45" i="18"/>
  <c r="AC45" i="18"/>
  <c r="AD45" i="18"/>
  <c r="AE45" i="18"/>
  <c r="AF45" i="18"/>
  <c r="AG45" i="18"/>
  <c r="AH45" i="18"/>
  <c r="AI45" i="18"/>
  <c r="C46" i="18"/>
  <c r="D46" i="18"/>
  <c r="E46" i="18"/>
  <c r="F46" i="18"/>
  <c r="G46" i="18"/>
  <c r="H46" i="18"/>
  <c r="I46" i="18"/>
  <c r="J46" i="18"/>
  <c r="K46" i="18"/>
  <c r="L46" i="18"/>
  <c r="M46" i="18"/>
  <c r="N46" i="18"/>
  <c r="O46" i="18"/>
  <c r="P46" i="18"/>
  <c r="Q46" i="18"/>
  <c r="R46" i="18"/>
  <c r="S46" i="18"/>
  <c r="T46" i="18"/>
  <c r="U46" i="18"/>
  <c r="V46" i="18"/>
  <c r="W46" i="18"/>
  <c r="X46" i="18"/>
  <c r="Y46" i="18"/>
  <c r="Z46" i="18"/>
  <c r="AA46" i="18"/>
  <c r="AB46" i="18"/>
  <c r="AC46" i="18"/>
  <c r="AD46" i="18"/>
  <c r="AE46" i="18"/>
  <c r="AF46" i="18"/>
  <c r="AG46" i="18"/>
  <c r="AH46" i="18"/>
  <c r="AI46" i="18"/>
  <c r="C47" i="18"/>
  <c r="D47" i="18"/>
  <c r="E47" i="18"/>
  <c r="F47" i="18"/>
  <c r="G47" i="18"/>
  <c r="H47" i="18"/>
  <c r="I47" i="18"/>
  <c r="J47" i="18"/>
  <c r="K47" i="18"/>
  <c r="L47" i="18"/>
  <c r="M47" i="18"/>
  <c r="N47" i="18"/>
  <c r="O47" i="18"/>
  <c r="P47" i="18"/>
  <c r="Q47" i="18"/>
  <c r="R47" i="18"/>
  <c r="S47" i="18"/>
  <c r="T47" i="18"/>
  <c r="U47" i="18"/>
  <c r="V47" i="18"/>
  <c r="W47" i="18"/>
  <c r="X47" i="18"/>
  <c r="Y47" i="18"/>
  <c r="Z47" i="18"/>
  <c r="AA47" i="18"/>
  <c r="AB47" i="18"/>
  <c r="AC47" i="18"/>
  <c r="AD47" i="18"/>
  <c r="AE47" i="18"/>
  <c r="AF47" i="18"/>
  <c r="AG47" i="18"/>
  <c r="AH47" i="18"/>
  <c r="AI47" i="18"/>
  <c r="C48" i="18"/>
  <c r="D48" i="18"/>
  <c r="E48" i="18"/>
  <c r="F48" i="18"/>
  <c r="G48" i="18"/>
  <c r="H48" i="18"/>
  <c r="I48" i="18"/>
  <c r="J48" i="18"/>
  <c r="K48" i="18"/>
  <c r="L48" i="18"/>
  <c r="M48" i="18"/>
  <c r="N48" i="18"/>
  <c r="O48" i="18"/>
  <c r="P48" i="18"/>
  <c r="Q48" i="18"/>
  <c r="R48" i="18"/>
  <c r="S48" i="18"/>
  <c r="T48" i="18"/>
  <c r="U48" i="18"/>
  <c r="V48" i="18"/>
  <c r="W48" i="18"/>
  <c r="X48" i="18"/>
  <c r="Y48" i="18"/>
  <c r="Z48" i="18"/>
  <c r="AA48" i="18"/>
  <c r="AB48" i="18"/>
  <c r="AC48" i="18"/>
  <c r="AD48" i="18"/>
  <c r="AE48" i="18"/>
  <c r="AF48" i="18"/>
  <c r="AG48" i="18"/>
  <c r="AH48" i="18"/>
  <c r="AI48" i="18"/>
  <c r="C49" i="18"/>
  <c r="D49" i="18"/>
  <c r="E49" i="18"/>
  <c r="F49" i="18"/>
  <c r="G49" i="18"/>
  <c r="H49" i="18"/>
  <c r="I49" i="18"/>
  <c r="J49" i="18"/>
  <c r="K49" i="18"/>
  <c r="L49" i="18"/>
  <c r="M49" i="18"/>
  <c r="N49" i="18"/>
  <c r="O49" i="18"/>
  <c r="P49" i="18"/>
  <c r="Q49" i="18"/>
  <c r="R49" i="18"/>
  <c r="S49" i="18"/>
  <c r="T49" i="18"/>
  <c r="U49" i="18"/>
  <c r="V49" i="18"/>
  <c r="W49" i="18"/>
  <c r="X49" i="18"/>
  <c r="Y49" i="18"/>
  <c r="Z49" i="18"/>
  <c r="AA49" i="18"/>
  <c r="AB49" i="18"/>
  <c r="AC49" i="18"/>
  <c r="AD49" i="18"/>
  <c r="AE49" i="18"/>
  <c r="AF49" i="18"/>
  <c r="AG49" i="18"/>
  <c r="AH49" i="18"/>
  <c r="AI49" i="18"/>
  <c r="C50" i="18"/>
  <c r="D50" i="18"/>
  <c r="E50" i="18"/>
  <c r="F50" i="18"/>
  <c r="G50" i="18"/>
  <c r="H50" i="18"/>
  <c r="I50" i="18"/>
  <c r="J50" i="18"/>
  <c r="K50" i="18"/>
  <c r="L50" i="18"/>
  <c r="M50" i="18"/>
  <c r="N50" i="18"/>
  <c r="O50" i="18"/>
  <c r="P50" i="18"/>
  <c r="Q50" i="18"/>
  <c r="R50" i="18"/>
  <c r="S50" i="18"/>
  <c r="T50" i="18"/>
  <c r="U50" i="18"/>
  <c r="V50" i="18"/>
  <c r="W50" i="18"/>
  <c r="X50" i="18"/>
  <c r="Y50" i="18"/>
  <c r="Z50" i="18"/>
  <c r="AA50" i="18"/>
  <c r="AB50" i="18"/>
  <c r="AC50" i="18"/>
  <c r="AD50" i="18"/>
  <c r="AE50" i="18"/>
  <c r="AF50" i="18"/>
  <c r="AG50" i="18"/>
  <c r="AH50" i="18"/>
  <c r="AI50" i="18"/>
  <c r="C51" i="18"/>
  <c r="D51" i="18"/>
  <c r="E51" i="18"/>
  <c r="F51" i="18"/>
  <c r="G51" i="18"/>
  <c r="H51" i="18"/>
  <c r="I51" i="18"/>
  <c r="J51" i="18"/>
  <c r="K51" i="18"/>
  <c r="L51" i="18"/>
  <c r="M51" i="18"/>
  <c r="N51" i="18"/>
  <c r="O51" i="18"/>
  <c r="P51" i="18"/>
  <c r="Q51" i="18"/>
  <c r="R51" i="18"/>
  <c r="S51" i="18"/>
  <c r="T51" i="18"/>
  <c r="U51" i="18"/>
  <c r="V51" i="18"/>
  <c r="W51" i="18"/>
  <c r="X51" i="18"/>
  <c r="Y51" i="18"/>
  <c r="Z51" i="18"/>
  <c r="AA51" i="18"/>
  <c r="AB51" i="18"/>
  <c r="AC51" i="18"/>
  <c r="AD51" i="18"/>
  <c r="AE51" i="18"/>
  <c r="AF51" i="18"/>
  <c r="AG51" i="18"/>
  <c r="AH51" i="18"/>
  <c r="AI51" i="18"/>
  <c r="C52" i="18"/>
  <c r="D52" i="18"/>
  <c r="E52" i="18"/>
  <c r="F52" i="18"/>
  <c r="G52" i="18"/>
  <c r="H52" i="18"/>
  <c r="I52" i="18"/>
  <c r="J52" i="18"/>
  <c r="K52" i="18"/>
  <c r="L52" i="18"/>
  <c r="M52" i="18"/>
  <c r="N52" i="18"/>
  <c r="O52" i="18"/>
  <c r="P52" i="18"/>
  <c r="Q52" i="18"/>
  <c r="R52" i="18"/>
  <c r="S52" i="18"/>
  <c r="T52" i="18"/>
  <c r="U52" i="18"/>
  <c r="V52" i="18"/>
  <c r="W52" i="18"/>
  <c r="X52" i="18"/>
  <c r="Y52" i="18"/>
  <c r="Z52" i="18"/>
  <c r="AA52" i="18"/>
  <c r="AB52" i="18"/>
  <c r="AC52" i="18"/>
  <c r="AD52" i="18"/>
  <c r="AE52" i="18"/>
  <c r="AF52" i="18"/>
  <c r="AG52" i="18"/>
  <c r="AH52" i="18"/>
  <c r="AI52" i="18"/>
  <c r="AI5" i="18"/>
  <c r="AH5" i="18"/>
  <c r="AG5" i="18"/>
  <c r="AF5" i="18"/>
  <c r="AE5" i="18"/>
  <c r="AD5" i="18"/>
  <c r="AC5" i="18"/>
  <c r="AB5" i="18"/>
  <c r="AA5" i="18"/>
  <c r="Z5" i="18"/>
  <c r="Y5" i="18"/>
  <c r="X5" i="18"/>
  <c r="W5" i="18"/>
  <c r="V5" i="18"/>
  <c r="U5" i="18"/>
  <c r="T5" i="18"/>
  <c r="S5" i="18"/>
  <c r="R5" i="18"/>
  <c r="Q5" i="18"/>
  <c r="P5" i="18"/>
  <c r="O5" i="18"/>
  <c r="N5" i="18"/>
  <c r="M5" i="18"/>
  <c r="L5" i="18"/>
  <c r="K5" i="18"/>
  <c r="J5" i="18"/>
  <c r="I5" i="18"/>
  <c r="H5" i="18"/>
  <c r="G5" i="18"/>
  <c r="F5" i="18"/>
  <c r="E5" i="18"/>
  <c r="D5" i="18"/>
  <c r="C5" i="18"/>
  <c r="C56" i="18"/>
  <c r="B52" i="18"/>
  <c r="B51" i="18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B8" i="18"/>
  <c r="B7" i="18"/>
  <c r="B6" i="18"/>
  <c r="B5" i="18"/>
  <c r="X5" i="17" l="1"/>
  <c r="X6" i="17"/>
  <c r="X7" i="17"/>
  <c r="X8" i="17"/>
  <c r="X9" i="17"/>
  <c r="X10" i="17"/>
  <c r="X12" i="17"/>
  <c r="X13" i="17"/>
  <c r="X14" i="17"/>
  <c r="X15" i="17"/>
  <c r="X16" i="17"/>
  <c r="X17" i="17"/>
  <c r="X18" i="17"/>
  <c r="X19" i="17"/>
  <c r="X20" i="17"/>
  <c r="X21" i="17"/>
  <c r="X22" i="17"/>
  <c r="X23" i="17"/>
  <c r="X24" i="17"/>
  <c r="X25" i="17"/>
  <c r="X26" i="17"/>
  <c r="X27" i="17"/>
  <c r="X28" i="17"/>
  <c r="X29" i="17"/>
  <c r="X30" i="17"/>
  <c r="X31" i="17"/>
  <c r="X32" i="17"/>
  <c r="X33" i="17"/>
  <c r="X34" i="17"/>
  <c r="X36" i="17"/>
  <c r="X38" i="17"/>
  <c r="X39" i="17"/>
  <c r="X40" i="17"/>
  <c r="X41" i="17"/>
  <c r="X42" i="17"/>
  <c r="X43" i="17"/>
  <c r="X44" i="17"/>
  <c r="X45" i="17"/>
  <c r="X46" i="17"/>
  <c r="X47" i="17"/>
  <c r="X48" i="17"/>
  <c r="X49" i="17"/>
  <c r="X50" i="17"/>
  <c r="X51" i="17"/>
  <c r="X52" i="17"/>
  <c r="Q9" i="17"/>
  <c r="R9" i="17"/>
  <c r="S9" i="17"/>
  <c r="T9" i="17"/>
  <c r="U9" i="17"/>
  <c r="V9" i="17"/>
  <c r="W9" i="17"/>
  <c r="Y9" i="17"/>
  <c r="Z9" i="17"/>
  <c r="AA9" i="17"/>
  <c r="AB9" i="17"/>
  <c r="AC9" i="17"/>
  <c r="Q10" i="17"/>
  <c r="R10" i="17"/>
  <c r="S10" i="17"/>
  <c r="T10" i="17"/>
  <c r="U10" i="17"/>
  <c r="V10" i="17"/>
  <c r="W10" i="17"/>
  <c r="Y10" i="17"/>
  <c r="Z10" i="17"/>
  <c r="AA10" i="17"/>
  <c r="AB10" i="17"/>
  <c r="AC10" i="17"/>
  <c r="Q12" i="17"/>
  <c r="R12" i="17"/>
  <c r="S12" i="17"/>
  <c r="T12" i="17"/>
  <c r="U12" i="17"/>
  <c r="V12" i="17"/>
  <c r="W12" i="17"/>
  <c r="Y12" i="17"/>
  <c r="Z12" i="17"/>
  <c r="AA12" i="17"/>
  <c r="AB12" i="17"/>
  <c r="AC12" i="17"/>
  <c r="Q13" i="17"/>
  <c r="R13" i="17"/>
  <c r="S13" i="17"/>
  <c r="T13" i="17"/>
  <c r="U13" i="17"/>
  <c r="V13" i="17"/>
  <c r="W13" i="17"/>
  <c r="Y13" i="17"/>
  <c r="Z13" i="17"/>
  <c r="AA13" i="17"/>
  <c r="AB13" i="17"/>
  <c r="AC13" i="17"/>
  <c r="Q14" i="17"/>
  <c r="R14" i="17"/>
  <c r="S14" i="17"/>
  <c r="T14" i="17"/>
  <c r="U14" i="17"/>
  <c r="V14" i="17"/>
  <c r="W14" i="17"/>
  <c r="Y14" i="17"/>
  <c r="Z14" i="17"/>
  <c r="AA14" i="17"/>
  <c r="AB14" i="17"/>
  <c r="AC14" i="17"/>
  <c r="Q15" i="17"/>
  <c r="R15" i="17"/>
  <c r="S15" i="17"/>
  <c r="T15" i="17"/>
  <c r="U15" i="17"/>
  <c r="V15" i="17"/>
  <c r="W15" i="17"/>
  <c r="Y15" i="17"/>
  <c r="Z15" i="17"/>
  <c r="AA15" i="17"/>
  <c r="AB15" i="17"/>
  <c r="AC15" i="17"/>
  <c r="Q16" i="17"/>
  <c r="R16" i="17"/>
  <c r="S16" i="17"/>
  <c r="T16" i="17"/>
  <c r="U16" i="17"/>
  <c r="V16" i="17"/>
  <c r="W16" i="17"/>
  <c r="Y16" i="17"/>
  <c r="Z16" i="17"/>
  <c r="AA16" i="17"/>
  <c r="AB16" i="17"/>
  <c r="AC16" i="17"/>
  <c r="Q17" i="17"/>
  <c r="S17" i="17"/>
  <c r="T17" i="17"/>
  <c r="U17" i="17"/>
  <c r="V17" i="17"/>
  <c r="W17" i="17"/>
  <c r="Y17" i="17"/>
  <c r="Z17" i="17"/>
  <c r="AA17" i="17"/>
  <c r="AB17" i="17"/>
  <c r="AC17" i="17"/>
  <c r="Q18" i="17"/>
  <c r="R18" i="17"/>
  <c r="S18" i="17"/>
  <c r="T18" i="17"/>
  <c r="U18" i="17"/>
  <c r="V18" i="17"/>
  <c r="W18" i="17"/>
  <c r="Y18" i="17"/>
  <c r="Z18" i="17"/>
  <c r="AA18" i="17"/>
  <c r="AB18" i="17"/>
  <c r="AC18" i="17"/>
  <c r="S19" i="17"/>
  <c r="T19" i="17"/>
  <c r="U19" i="17"/>
  <c r="V19" i="17"/>
  <c r="W19" i="17"/>
  <c r="Y19" i="17"/>
  <c r="Z19" i="17"/>
  <c r="AA19" i="17"/>
  <c r="AB19" i="17"/>
  <c r="AC19" i="17"/>
  <c r="R20" i="17"/>
  <c r="S20" i="17"/>
  <c r="T20" i="17"/>
  <c r="U20" i="17"/>
  <c r="V20" i="17"/>
  <c r="W20" i="17"/>
  <c r="Y20" i="17"/>
  <c r="Z20" i="17"/>
  <c r="AA20" i="17"/>
  <c r="AB20" i="17"/>
  <c r="AC20" i="17"/>
  <c r="Q21" i="17"/>
  <c r="R21" i="17"/>
  <c r="S21" i="17"/>
  <c r="T21" i="17"/>
  <c r="U21" i="17"/>
  <c r="V21" i="17"/>
  <c r="W21" i="17"/>
  <c r="Y21" i="17"/>
  <c r="Z21" i="17"/>
  <c r="AA21" i="17"/>
  <c r="AB21" i="17"/>
  <c r="AC21" i="17"/>
  <c r="Q22" i="17"/>
  <c r="R22" i="17"/>
  <c r="S22" i="17"/>
  <c r="T22" i="17"/>
  <c r="U22" i="17"/>
  <c r="V22" i="17"/>
  <c r="W22" i="17"/>
  <c r="Y22" i="17"/>
  <c r="Z22" i="17"/>
  <c r="AA22" i="17"/>
  <c r="AB22" i="17"/>
  <c r="AC22" i="17"/>
  <c r="Q23" i="17"/>
  <c r="R23" i="17"/>
  <c r="S23" i="17"/>
  <c r="T23" i="17"/>
  <c r="U23" i="17"/>
  <c r="V23" i="17"/>
  <c r="W23" i="17"/>
  <c r="Y23" i="17"/>
  <c r="Z23" i="17"/>
  <c r="AA23" i="17"/>
  <c r="AB23" i="17"/>
  <c r="AC23" i="17"/>
  <c r="Q24" i="17"/>
  <c r="R24" i="17"/>
  <c r="S24" i="17"/>
  <c r="T24" i="17"/>
  <c r="U24" i="17"/>
  <c r="V24" i="17"/>
  <c r="W24" i="17"/>
  <c r="Y24" i="17"/>
  <c r="Z24" i="17"/>
  <c r="AA24" i="17"/>
  <c r="AB24" i="17"/>
  <c r="AC24" i="17"/>
  <c r="Q25" i="17"/>
  <c r="R25" i="17"/>
  <c r="S25" i="17"/>
  <c r="T25" i="17"/>
  <c r="U25" i="17"/>
  <c r="V25" i="17"/>
  <c r="W25" i="17"/>
  <c r="Y25" i="17"/>
  <c r="Z25" i="17"/>
  <c r="AA25" i="17"/>
  <c r="AB25" i="17"/>
  <c r="AC25" i="17"/>
  <c r="R26" i="17"/>
  <c r="S26" i="17"/>
  <c r="T26" i="17"/>
  <c r="U26" i="17"/>
  <c r="V26" i="17"/>
  <c r="W26" i="17"/>
  <c r="Y26" i="17"/>
  <c r="Z26" i="17"/>
  <c r="AA26" i="17"/>
  <c r="AB26" i="17"/>
  <c r="AC26" i="17"/>
  <c r="R27" i="17"/>
  <c r="S27" i="17"/>
  <c r="T27" i="17"/>
  <c r="U27" i="17"/>
  <c r="V27" i="17"/>
  <c r="W27" i="17"/>
  <c r="Y27" i="17"/>
  <c r="Z27" i="17"/>
  <c r="AA27" i="17"/>
  <c r="AB27" i="17"/>
  <c r="AC27" i="17"/>
  <c r="Q28" i="17"/>
  <c r="R28" i="17"/>
  <c r="S28" i="17"/>
  <c r="T28" i="17"/>
  <c r="U28" i="17"/>
  <c r="V28" i="17"/>
  <c r="W28" i="17"/>
  <c r="Y28" i="17"/>
  <c r="Z28" i="17"/>
  <c r="AA28" i="17"/>
  <c r="AB28" i="17"/>
  <c r="AC28" i="17"/>
  <c r="Q29" i="17"/>
  <c r="R29" i="17"/>
  <c r="S29" i="17"/>
  <c r="T29" i="17"/>
  <c r="U29" i="17"/>
  <c r="V29" i="17"/>
  <c r="W29" i="17"/>
  <c r="Y29" i="17"/>
  <c r="Z29" i="17"/>
  <c r="AA29" i="17"/>
  <c r="AB29" i="17"/>
  <c r="AC29" i="17"/>
  <c r="Q30" i="17"/>
  <c r="S30" i="17"/>
  <c r="T30" i="17"/>
  <c r="U30" i="17"/>
  <c r="V30" i="17"/>
  <c r="W30" i="17"/>
  <c r="Y30" i="17"/>
  <c r="Z30" i="17"/>
  <c r="AA30" i="17"/>
  <c r="AB30" i="17"/>
  <c r="AC30" i="17"/>
  <c r="S31" i="17"/>
  <c r="T31" i="17"/>
  <c r="U31" i="17"/>
  <c r="V31" i="17"/>
  <c r="W31" i="17"/>
  <c r="Y31" i="17"/>
  <c r="Z31" i="17"/>
  <c r="AA31" i="17"/>
  <c r="AB31" i="17"/>
  <c r="AC31" i="17"/>
  <c r="R32" i="17"/>
  <c r="S32" i="17"/>
  <c r="T32" i="17"/>
  <c r="U32" i="17"/>
  <c r="V32" i="17"/>
  <c r="W32" i="17"/>
  <c r="Y32" i="17"/>
  <c r="Z32" i="17"/>
  <c r="AA32" i="17"/>
  <c r="AB32" i="17"/>
  <c r="AC32" i="17"/>
  <c r="S33" i="17"/>
  <c r="T33" i="17"/>
  <c r="U33" i="17"/>
  <c r="V33" i="17"/>
  <c r="W33" i="17"/>
  <c r="Y33" i="17"/>
  <c r="Z33" i="17"/>
  <c r="AA33" i="17"/>
  <c r="AB33" i="17"/>
  <c r="AC33" i="17"/>
  <c r="R34" i="17"/>
  <c r="S34" i="17"/>
  <c r="T34" i="17"/>
  <c r="U34" i="17"/>
  <c r="V34" i="17"/>
  <c r="W34" i="17"/>
  <c r="Y34" i="17"/>
  <c r="Z34" i="17"/>
  <c r="AA34" i="17"/>
  <c r="AB34" i="17"/>
  <c r="AC34" i="17"/>
  <c r="Q36" i="17"/>
  <c r="R36" i="17"/>
  <c r="S36" i="17"/>
  <c r="T36" i="17"/>
  <c r="U36" i="17"/>
  <c r="V36" i="17"/>
  <c r="W36" i="17"/>
  <c r="Y36" i="17"/>
  <c r="Z36" i="17"/>
  <c r="AA36" i="17"/>
  <c r="AB36" i="17"/>
  <c r="AC36" i="17"/>
  <c r="Q38" i="17"/>
  <c r="R38" i="17"/>
  <c r="S38" i="17"/>
  <c r="T38" i="17"/>
  <c r="U38" i="17"/>
  <c r="V38" i="17"/>
  <c r="W38" i="17"/>
  <c r="Y38" i="17"/>
  <c r="Z38" i="17"/>
  <c r="AA38" i="17"/>
  <c r="AB38" i="17"/>
  <c r="AC38" i="17"/>
  <c r="Q39" i="17"/>
  <c r="R39" i="17"/>
  <c r="S39" i="17"/>
  <c r="T39" i="17"/>
  <c r="U39" i="17"/>
  <c r="V39" i="17"/>
  <c r="W39" i="17"/>
  <c r="Y39" i="17"/>
  <c r="Z39" i="17"/>
  <c r="AA39" i="17"/>
  <c r="AB39" i="17"/>
  <c r="AC39" i="17"/>
  <c r="Q40" i="17"/>
  <c r="S40" i="17"/>
  <c r="T40" i="17"/>
  <c r="U40" i="17"/>
  <c r="V40" i="17"/>
  <c r="W40" i="17"/>
  <c r="Y40" i="17"/>
  <c r="Z40" i="17"/>
  <c r="AA40" i="17"/>
  <c r="AB40" i="17"/>
  <c r="AC40" i="17"/>
  <c r="Q41" i="17"/>
  <c r="R41" i="17"/>
  <c r="S41" i="17"/>
  <c r="T41" i="17"/>
  <c r="U41" i="17"/>
  <c r="V41" i="17"/>
  <c r="W41" i="17"/>
  <c r="Y41" i="17"/>
  <c r="Z41" i="17"/>
  <c r="AA41" i="17"/>
  <c r="AB41" i="17"/>
  <c r="AC41" i="17"/>
  <c r="R42" i="17"/>
  <c r="S42" i="17"/>
  <c r="T42" i="17"/>
  <c r="U42" i="17"/>
  <c r="V42" i="17"/>
  <c r="W42" i="17"/>
  <c r="Y42" i="17"/>
  <c r="Z42" i="17"/>
  <c r="AA42" i="17"/>
  <c r="AB42" i="17"/>
  <c r="AC42" i="17"/>
  <c r="S43" i="17"/>
  <c r="T43" i="17"/>
  <c r="U43" i="17"/>
  <c r="V43" i="17"/>
  <c r="W43" i="17"/>
  <c r="Y43" i="17"/>
  <c r="Z43" i="17"/>
  <c r="AA43" i="17"/>
  <c r="AB43" i="17"/>
  <c r="AC43" i="17"/>
  <c r="Q44" i="17"/>
  <c r="R44" i="17"/>
  <c r="S44" i="17"/>
  <c r="T44" i="17"/>
  <c r="U44" i="17"/>
  <c r="V44" i="17"/>
  <c r="W44" i="17"/>
  <c r="Y44" i="17"/>
  <c r="Z44" i="17"/>
  <c r="AA44" i="17"/>
  <c r="AB44" i="17"/>
  <c r="AC44" i="17"/>
  <c r="Q45" i="17"/>
  <c r="S45" i="17"/>
  <c r="T45" i="17"/>
  <c r="U45" i="17"/>
  <c r="V45" i="17"/>
  <c r="W45" i="17"/>
  <c r="Y45" i="17"/>
  <c r="Z45" i="17"/>
  <c r="AA45" i="17"/>
  <c r="AB45" i="17"/>
  <c r="AC45" i="17"/>
  <c r="R46" i="17"/>
  <c r="S46" i="17"/>
  <c r="T46" i="17"/>
  <c r="U46" i="17"/>
  <c r="V46" i="17"/>
  <c r="W46" i="17"/>
  <c r="Y46" i="17"/>
  <c r="Z46" i="17"/>
  <c r="AA46" i="17"/>
  <c r="AB46" i="17"/>
  <c r="AC46" i="17"/>
  <c r="R47" i="17"/>
  <c r="S47" i="17"/>
  <c r="T47" i="17"/>
  <c r="U47" i="17"/>
  <c r="V47" i="17"/>
  <c r="W47" i="17"/>
  <c r="Y47" i="17"/>
  <c r="Z47" i="17"/>
  <c r="AA47" i="17"/>
  <c r="AB47" i="17"/>
  <c r="AC47" i="17"/>
  <c r="Q48" i="17"/>
  <c r="S48" i="17"/>
  <c r="T48" i="17"/>
  <c r="U48" i="17"/>
  <c r="V48" i="17"/>
  <c r="W48" i="17"/>
  <c r="Y48" i="17"/>
  <c r="Z48" i="17"/>
  <c r="AA48" i="17"/>
  <c r="AB48" i="17"/>
  <c r="AC48" i="17"/>
  <c r="Q49" i="17"/>
  <c r="R49" i="17"/>
  <c r="S49" i="17"/>
  <c r="T49" i="17"/>
  <c r="U49" i="17"/>
  <c r="V49" i="17"/>
  <c r="W49" i="17"/>
  <c r="Y49" i="17"/>
  <c r="Z49" i="17"/>
  <c r="AA49" i="17"/>
  <c r="AB49" i="17"/>
  <c r="AC49" i="17"/>
  <c r="Q50" i="17"/>
  <c r="R50" i="17"/>
  <c r="S50" i="17"/>
  <c r="T50" i="17"/>
  <c r="U50" i="17"/>
  <c r="V50" i="17"/>
  <c r="W50" i="17"/>
  <c r="Y50" i="17"/>
  <c r="Z50" i="17"/>
  <c r="AA50" i="17"/>
  <c r="AB50" i="17"/>
  <c r="AC50" i="17"/>
  <c r="Q51" i="17"/>
  <c r="R51" i="17"/>
  <c r="S51" i="17"/>
  <c r="T51" i="17"/>
  <c r="U51" i="17"/>
  <c r="V51" i="17"/>
  <c r="W51" i="17"/>
  <c r="Y51" i="17"/>
  <c r="Z51" i="17"/>
  <c r="AA51" i="17"/>
  <c r="AB51" i="17"/>
  <c r="AC51" i="17"/>
  <c r="Q52" i="17"/>
  <c r="R52" i="17"/>
  <c r="S52" i="17"/>
  <c r="T52" i="17"/>
  <c r="U52" i="17"/>
  <c r="V52" i="17"/>
  <c r="W52" i="17"/>
  <c r="Y52" i="17"/>
  <c r="Z52" i="17"/>
  <c r="AA52" i="17"/>
  <c r="AB52" i="17"/>
  <c r="AC52" i="17"/>
  <c r="Q6" i="17"/>
  <c r="R6" i="17"/>
  <c r="S6" i="17"/>
  <c r="T6" i="17"/>
  <c r="U6" i="17"/>
  <c r="V6" i="17"/>
  <c r="W6" i="17"/>
  <c r="Y6" i="17"/>
  <c r="Z6" i="17"/>
  <c r="AA6" i="17"/>
  <c r="AB6" i="17"/>
  <c r="AC6" i="17"/>
  <c r="Q7" i="17"/>
  <c r="R7" i="17"/>
  <c r="S7" i="17"/>
  <c r="T7" i="17"/>
  <c r="U7" i="17"/>
  <c r="V7" i="17"/>
  <c r="W7" i="17"/>
  <c r="Y7" i="17"/>
  <c r="Z7" i="17"/>
  <c r="AA7" i="17"/>
  <c r="AB7" i="17"/>
  <c r="AC7" i="17"/>
  <c r="Q8" i="17"/>
  <c r="R8" i="17"/>
  <c r="S8" i="17"/>
  <c r="T8" i="17"/>
  <c r="U8" i="17"/>
  <c r="V8" i="17"/>
  <c r="W8" i="17"/>
  <c r="Y8" i="17"/>
  <c r="Z8" i="17"/>
  <c r="AA8" i="17"/>
  <c r="AB8" i="17"/>
  <c r="AC8" i="17"/>
  <c r="R5" i="17"/>
  <c r="S5" i="17"/>
  <c r="T5" i="17"/>
  <c r="U5" i="17"/>
  <c r="V5" i="17"/>
  <c r="W5" i="17"/>
  <c r="Y5" i="17"/>
  <c r="Z5" i="17"/>
  <c r="AA5" i="17"/>
  <c r="AB5" i="17"/>
  <c r="AC5" i="17"/>
  <c r="Q5" i="17"/>
  <c r="D54" i="17"/>
  <c r="F58" i="17" s="1"/>
  <c r="C52" i="17"/>
  <c r="B52" i="17"/>
  <c r="C51" i="17"/>
  <c r="B51" i="17"/>
  <c r="C50" i="17"/>
  <c r="B50" i="17"/>
  <c r="C49" i="17"/>
  <c r="B49" i="17"/>
  <c r="C48" i="17"/>
  <c r="B48" i="17"/>
  <c r="B47" i="17"/>
  <c r="C46" i="17"/>
  <c r="B46" i="17"/>
  <c r="C45" i="17"/>
  <c r="B45" i="17"/>
  <c r="B44" i="17"/>
  <c r="C43" i="17"/>
  <c r="B43" i="17"/>
  <c r="C42" i="17"/>
  <c r="B42" i="17"/>
  <c r="C41" i="17"/>
  <c r="B41" i="17"/>
  <c r="B40" i="17"/>
  <c r="C39" i="17"/>
  <c r="B39" i="17"/>
  <c r="C38" i="17"/>
  <c r="B38" i="17"/>
  <c r="C36" i="17"/>
  <c r="B36" i="17"/>
  <c r="C34" i="17"/>
  <c r="B34" i="17"/>
  <c r="B33" i="17"/>
  <c r="C32" i="17"/>
  <c r="B32" i="17"/>
  <c r="B31" i="17"/>
  <c r="C30" i="17"/>
  <c r="B30" i="17"/>
  <c r="C29" i="17"/>
  <c r="B29" i="17"/>
  <c r="C28" i="17"/>
  <c r="B28" i="17"/>
  <c r="C27" i="17"/>
  <c r="B27" i="17"/>
  <c r="C26" i="17"/>
  <c r="B26" i="17"/>
  <c r="C25" i="17"/>
  <c r="B25" i="17"/>
  <c r="C24" i="17"/>
  <c r="B24" i="17"/>
  <c r="C23" i="17"/>
  <c r="B23" i="17"/>
  <c r="B22" i="17"/>
  <c r="C21" i="17"/>
  <c r="B21" i="17"/>
  <c r="C20" i="17"/>
  <c r="B20" i="17"/>
  <c r="C19" i="17"/>
  <c r="B19" i="17"/>
  <c r="C18" i="17"/>
  <c r="B18" i="17"/>
  <c r="B17" i="17"/>
  <c r="C16" i="17"/>
  <c r="B16" i="17"/>
  <c r="C15" i="17"/>
  <c r="B15" i="17"/>
  <c r="C14" i="17"/>
  <c r="B14" i="17"/>
  <c r="B13" i="17"/>
  <c r="C12" i="17"/>
  <c r="B12" i="17"/>
  <c r="C10" i="17"/>
  <c r="B10" i="17"/>
  <c r="C9" i="17"/>
  <c r="B9" i="17"/>
  <c r="C8" i="17"/>
  <c r="B8" i="17"/>
  <c r="C7" i="17"/>
  <c r="B7" i="17"/>
  <c r="C6" i="17"/>
  <c r="B6" i="17"/>
  <c r="C5" i="17"/>
  <c r="B5" i="17"/>
  <c r="R56" i="11"/>
  <c r="Q56" i="11"/>
  <c r="P56" i="11"/>
  <c r="O56" i="11"/>
  <c r="N56" i="11"/>
  <c r="M56" i="11"/>
  <c r="L56" i="11"/>
  <c r="K56" i="11"/>
  <c r="J56" i="11"/>
  <c r="I56" i="11"/>
  <c r="H56" i="11"/>
  <c r="G56" i="11"/>
  <c r="F56" i="11"/>
  <c r="Q56" i="12"/>
  <c r="P56" i="12"/>
  <c r="O56" i="12"/>
  <c r="N56" i="12"/>
  <c r="M56" i="12"/>
  <c r="L56" i="12"/>
  <c r="K56" i="12"/>
  <c r="J56" i="12"/>
  <c r="I56" i="12"/>
  <c r="H56" i="12"/>
  <c r="G56" i="12"/>
  <c r="F56" i="12"/>
  <c r="E56" i="12"/>
  <c r="Q56" i="3"/>
  <c r="P56" i="3"/>
  <c r="O56" i="3"/>
  <c r="N56" i="3"/>
  <c r="M56" i="3"/>
  <c r="L56" i="3"/>
  <c r="K56" i="3"/>
  <c r="J56" i="3"/>
  <c r="I56" i="3"/>
  <c r="H56" i="3"/>
  <c r="G56" i="3"/>
  <c r="F56" i="3"/>
  <c r="E56" i="3"/>
  <c r="Q56" i="6"/>
  <c r="P56" i="6"/>
  <c r="O56" i="6"/>
  <c r="N56" i="6"/>
  <c r="M56" i="6"/>
  <c r="L56" i="6"/>
  <c r="K56" i="6"/>
  <c r="J56" i="6"/>
  <c r="I56" i="6"/>
  <c r="H56" i="6"/>
  <c r="G56" i="6"/>
  <c r="E56" i="6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Q56" i="9"/>
  <c r="P56" i="9"/>
  <c r="O56" i="9"/>
  <c r="N56" i="9"/>
  <c r="M56" i="9"/>
  <c r="L56" i="9"/>
  <c r="K56" i="9"/>
  <c r="J56" i="9"/>
  <c r="I56" i="9"/>
  <c r="H56" i="9"/>
  <c r="G56" i="9"/>
  <c r="F56" i="9"/>
  <c r="E56" i="9"/>
  <c r="Q56" i="8"/>
  <c r="P56" i="8"/>
  <c r="O56" i="8"/>
  <c r="N56" i="8"/>
  <c r="M56" i="8"/>
  <c r="L56" i="8"/>
  <c r="K56" i="8"/>
  <c r="J56" i="8"/>
  <c r="I56" i="8"/>
  <c r="H56" i="8"/>
  <c r="G56" i="8"/>
  <c r="F56" i="8"/>
  <c r="E56" i="8"/>
  <c r="Q56" i="7"/>
  <c r="P56" i="7"/>
  <c r="O56" i="7"/>
  <c r="N56" i="7"/>
  <c r="M56" i="7"/>
  <c r="L56" i="7"/>
  <c r="K56" i="7"/>
  <c r="J56" i="7"/>
  <c r="I56" i="7"/>
  <c r="H56" i="7"/>
  <c r="G56" i="7"/>
  <c r="F56" i="7"/>
  <c r="E56" i="7"/>
  <c r="Q56" i="5"/>
  <c r="P56" i="5"/>
  <c r="O56" i="5"/>
  <c r="N56" i="5"/>
  <c r="M56" i="5"/>
  <c r="L56" i="5"/>
  <c r="K56" i="5"/>
  <c r="J56" i="5"/>
  <c r="I56" i="5"/>
  <c r="H56" i="5"/>
  <c r="G56" i="5"/>
  <c r="F56" i="5"/>
  <c r="E56" i="5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E56" i="1"/>
  <c r="F56" i="1"/>
  <c r="G56" i="1"/>
  <c r="H56" i="1"/>
  <c r="I56" i="1"/>
  <c r="J56" i="1"/>
  <c r="K56" i="1"/>
  <c r="L56" i="1"/>
  <c r="M56" i="1"/>
  <c r="N56" i="1"/>
  <c r="O56" i="1"/>
  <c r="P56" i="1"/>
  <c r="Q56" i="1"/>
  <c r="D56" i="14"/>
  <c r="G56" i="14"/>
  <c r="I56" i="14"/>
  <c r="J56" i="14"/>
  <c r="K56" i="14"/>
  <c r="L56" i="14"/>
  <c r="M56" i="14"/>
  <c r="N56" i="14"/>
  <c r="O56" i="14"/>
  <c r="P56" i="14"/>
  <c r="Q56" i="14"/>
  <c r="R56" i="14"/>
  <c r="C52" i="2"/>
  <c r="F52" i="14" s="1"/>
  <c r="C51" i="2"/>
  <c r="F51" i="14" s="1"/>
  <c r="C50" i="2"/>
  <c r="F50" i="14" s="1"/>
  <c r="C49" i="2"/>
  <c r="F49" i="14" s="1"/>
  <c r="C48" i="2"/>
  <c r="F48" i="14" s="1"/>
  <c r="C47" i="2"/>
  <c r="F47" i="14" s="1"/>
  <c r="C46" i="2"/>
  <c r="F46" i="14" s="1"/>
  <c r="C45" i="2"/>
  <c r="F45" i="14" s="1"/>
  <c r="C44" i="2"/>
  <c r="F44" i="14" s="1"/>
  <c r="C43" i="2"/>
  <c r="F43" i="14" s="1"/>
  <c r="C42" i="2"/>
  <c r="F42" i="14" s="1"/>
  <c r="C41" i="2"/>
  <c r="F41" i="14" s="1"/>
  <c r="C40" i="2"/>
  <c r="F40" i="14" s="1"/>
  <c r="C39" i="2"/>
  <c r="F39" i="14" s="1"/>
  <c r="C38" i="2"/>
  <c r="F38" i="14" s="1"/>
  <c r="C37" i="2"/>
  <c r="F37" i="14" s="1"/>
  <c r="C36" i="2"/>
  <c r="F36" i="14" s="1"/>
  <c r="C35" i="2"/>
  <c r="F35" i="14" s="1"/>
  <c r="C34" i="2"/>
  <c r="F34" i="14" s="1"/>
  <c r="C33" i="2"/>
  <c r="F33" i="14" s="1"/>
  <c r="C32" i="2"/>
  <c r="F32" i="14" s="1"/>
  <c r="C31" i="2"/>
  <c r="F31" i="14" s="1"/>
  <c r="C30" i="2"/>
  <c r="F30" i="14" s="1"/>
  <c r="C29" i="2"/>
  <c r="F29" i="14" s="1"/>
  <c r="C28" i="2"/>
  <c r="F28" i="14" s="1"/>
  <c r="C27" i="2"/>
  <c r="F27" i="14" s="1"/>
  <c r="C26" i="2"/>
  <c r="F26" i="14" s="1"/>
  <c r="C25" i="2"/>
  <c r="F25" i="14" s="1"/>
  <c r="C24" i="2"/>
  <c r="F24" i="14" s="1"/>
  <c r="C23" i="2"/>
  <c r="F23" i="14" s="1"/>
  <c r="C22" i="2"/>
  <c r="F22" i="14" s="1"/>
  <c r="C21" i="2"/>
  <c r="F21" i="14" s="1"/>
  <c r="C20" i="2"/>
  <c r="F20" i="14" s="1"/>
  <c r="C19" i="2"/>
  <c r="F19" i="14" s="1"/>
  <c r="C18" i="2"/>
  <c r="F18" i="14" s="1"/>
  <c r="C17" i="2"/>
  <c r="F17" i="14" s="1"/>
  <c r="C16" i="2"/>
  <c r="F16" i="14" s="1"/>
  <c r="C15" i="2"/>
  <c r="F15" i="14" s="1"/>
  <c r="C14" i="2"/>
  <c r="F14" i="14" s="1"/>
  <c r="C13" i="2"/>
  <c r="F13" i="14" s="1"/>
  <c r="C12" i="2"/>
  <c r="F12" i="14" s="1"/>
  <c r="C11" i="2"/>
  <c r="F11" i="14" s="1"/>
  <c r="C10" i="2"/>
  <c r="F10" i="14" s="1"/>
  <c r="C9" i="2"/>
  <c r="F9" i="14" s="1"/>
  <c r="C8" i="2"/>
  <c r="F8" i="14" s="1"/>
  <c r="C7" i="2"/>
  <c r="F7" i="14" s="1"/>
  <c r="C6" i="2"/>
  <c r="F6" i="14" s="1"/>
  <c r="C5" i="2"/>
  <c r="F5" i="14" s="1"/>
  <c r="C6" i="14"/>
  <c r="C7" i="14"/>
  <c r="C8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22" i="14"/>
  <c r="C23" i="14"/>
  <c r="C24" i="14"/>
  <c r="C25" i="14"/>
  <c r="C26" i="14"/>
  <c r="C27" i="14"/>
  <c r="C28" i="14"/>
  <c r="C29" i="14"/>
  <c r="C30" i="14"/>
  <c r="C31" i="14"/>
  <c r="C32" i="14"/>
  <c r="C33" i="14"/>
  <c r="C34" i="14"/>
  <c r="C35" i="14"/>
  <c r="C36" i="14"/>
  <c r="C37" i="14"/>
  <c r="C38" i="14"/>
  <c r="C39" i="14"/>
  <c r="C40" i="14"/>
  <c r="C41" i="14"/>
  <c r="C42" i="14"/>
  <c r="C43" i="14"/>
  <c r="C44" i="14"/>
  <c r="C45" i="14"/>
  <c r="C46" i="14"/>
  <c r="C47" i="14"/>
  <c r="C48" i="14"/>
  <c r="C49" i="14"/>
  <c r="C50" i="14"/>
  <c r="C51" i="14"/>
  <c r="C52" i="14"/>
  <c r="C5" i="14"/>
  <c r="B5" i="11"/>
  <c r="B5" i="12"/>
  <c r="B5" i="3"/>
  <c r="B5" i="6"/>
  <c r="B5" i="10"/>
  <c r="B5" i="9"/>
  <c r="B5" i="8"/>
  <c r="B6" i="8"/>
  <c r="F6" i="8"/>
  <c r="N6" i="8"/>
  <c r="B5" i="7"/>
  <c r="B5" i="5"/>
  <c r="B5" i="4"/>
  <c r="B5" i="1"/>
  <c r="B5" i="14"/>
  <c r="D55" i="2"/>
  <c r="H55" i="2"/>
  <c r="U55" i="2"/>
  <c r="B5" i="2"/>
  <c r="B5" i="16"/>
  <c r="C47" i="16"/>
  <c r="C31" i="16"/>
  <c r="C13" i="16"/>
  <c r="C54" i="16" s="1"/>
  <c r="B52" i="16"/>
  <c r="B51" i="16"/>
  <c r="B50" i="16"/>
  <c r="B49" i="16"/>
  <c r="B48" i="16"/>
  <c r="B47" i="16"/>
  <c r="B46" i="16"/>
  <c r="B45" i="16"/>
  <c r="B44" i="16"/>
  <c r="B43" i="16"/>
  <c r="B42" i="16"/>
  <c r="B41" i="16"/>
  <c r="B40" i="16"/>
  <c r="B39" i="16"/>
  <c r="B38" i="16"/>
  <c r="B37" i="16"/>
  <c r="B36" i="16"/>
  <c r="B35" i="16"/>
  <c r="B34" i="16"/>
  <c r="B33" i="16"/>
  <c r="B32" i="16"/>
  <c r="B31" i="16"/>
  <c r="B30" i="16"/>
  <c r="B29" i="16"/>
  <c r="B28" i="16"/>
  <c r="B27" i="16"/>
  <c r="B26" i="16"/>
  <c r="B25" i="16"/>
  <c r="B24" i="16"/>
  <c r="B23" i="16"/>
  <c r="B22" i="16"/>
  <c r="B21" i="16"/>
  <c r="B20" i="16"/>
  <c r="B19" i="16"/>
  <c r="B18" i="16"/>
  <c r="B17" i="16"/>
  <c r="B16" i="16"/>
  <c r="B15" i="16"/>
  <c r="B14" i="16"/>
  <c r="B13" i="16"/>
  <c r="B12" i="16"/>
  <c r="B11" i="16"/>
  <c r="B10" i="16"/>
  <c r="B9" i="16"/>
  <c r="B8" i="16"/>
  <c r="B7" i="16"/>
  <c r="B6" i="16"/>
  <c r="B6" i="5"/>
  <c r="B6" i="4"/>
  <c r="B6" i="1"/>
  <c r="B6" i="14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4" i="2"/>
  <c r="S6" i="2"/>
  <c r="N43" i="1"/>
  <c r="N7" i="10"/>
  <c r="N32" i="5"/>
  <c r="N8" i="1"/>
  <c r="O54" i="11"/>
  <c r="O52" i="11"/>
  <c r="O51" i="11"/>
  <c r="O50" i="11"/>
  <c r="O49" i="11"/>
  <c r="O48" i="11"/>
  <c r="O47" i="11"/>
  <c r="O46" i="11"/>
  <c r="O45" i="11"/>
  <c r="O44" i="11"/>
  <c r="O43" i="11"/>
  <c r="O42" i="11"/>
  <c r="O41" i="11"/>
  <c r="O40" i="11"/>
  <c r="O39" i="11"/>
  <c r="O38" i="11"/>
  <c r="O37" i="11"/>
  <c r="O36" i="11"/>
  <c r="O35" i="11"/>
  <c r="O34" i="11"/>
  <c r="O33" i="11"/>
  <c r="O32" i="11"/>
  <c r="O31" i="11"/>
  <c r="O30" i="11"/>
  <c r="O29" i="11"/>
  <c r="O28" i="11"/>
  <c r="O27" i="11"/>
  <c r="O26" i="11"/>
  <c r="O25" i="11"/>
  <c r="O24" i="11"/>
  <c r="O23" i="11"/>
  <c r="O22" i="11"/>
  <c r="O21" i="11"/>
  <c r="O20" i="11"/>
  <c r="O19" i="11"/>
  <c r="O18" i="11"/>
  <c r="O17" i="11"/>
  <c r="O16" i="11"/>
  <c r="O15" i="11"/>
  <c r="O14" i="11"/>
  <c r="O13" i="11"/>
  <c r="O12" i="11"/>
  <c r="O11" i="11"/>
  <c r="O10" i="11"/>
  <c r="O9" i="11"/>
  <c r="O8" i="11"/>
  <c r="O7" i="11"/>
  <c r="O6" i="11"/>
  <c r="N54" i="12"/>
  <c r="N52" i="12"/>
  <c r="N51" i="12"/>
  <c r="N50" i="12"/>
  <c r="N49" i="12"/>
  <c r="N48" i="12"/>
  <c r="N47" i="12"/>
  <c r="N46" i="12"/>
  <c r="N45" i="12"/>
  <c r="N44" i="12"/>
  <c r="N43" i="12"/>
  <c r="N42" i="12"/>
  <c r="N41" i="12"/>
  <c r="N40" i="12"/>
  <c r="N39" i="12"/>
  <c r="N38" i="12"/>
  <c r="N37" i="12"/>
  <c r="N36" i="12"/>
  <c r="N35" i="12"/>
  <c r="N34" i="12"/>
  <c r="N33" i="12"/>
  <c r="N32" i="12"/>
  <c r="N31" i="12"/>
  <c r="N30" i="12"/>
  <c r="N29" i="12"/>
  <c r="N28" i="12"/>
  <c r="N27" i="12"/>
  <c r="N26" i="12"/>
  <c r="N25" i="12"/>
  <c r="N24" i="12"/>
  <c r="N23" i="12"/>
  <c r="N22" i="12"/>
  <c r="N21" i="12"/>
  <c r="N20" i="12"/>
  <c r="N19" i="12"/>
  <c r="N18" i="12"/>
  <c r="N17" i="12"/>
  <c r="N16" i="12"/>
  <c r="N15" i="12"/>
  <c r="N14" i="12"/>
  <c r="N13" i="12"/>
  <c r="N12" i="12"/>
  <c r="N11" i="12"/>
  <c r="N10" i="12"/>
  <c r="N9" i="12"/>
  <c r="N8" i="12"/>
  <c r="N7" i="12"/>
  <c r="N6" i="12"/>
  <c r="N54" i="3"/>
  <c r="N52" i="3"/>
  <c r="N51" i="3"/>
  <c r="N50" i="3"/>
  <c r="N49" i="3"/>
  <c r="N48" i="3"/>
  <c r="N47" i="3"/>
  <c r="N46" i="3"/>
  <c r="N45" i="3"/>
  <c r="N44" i="3"/>
  <c r="N43" i="3"/>
  <c r="N42" i="3"/>
  <c r="N41" i="3"/>
  <c r="N40" i="3"/>
  <c r="N39" i="3"/>
  <c r="N38" i="3"/>
  <c r="N37" i="3"/>
  <c r="N36" i="3"/>
  <c r="N35" i="3"/>
  <c r="N34" i="3"/>
  <c r="N33" i="3"/>
  <c r="N32" i="3"/>
  <c r="N31" i="3"/>
  <c r="N30" i="3"/>
  <c r="N29" i="3"/>
  <c r="N28" i="3"/>
  <c r="N27" i="3"/>
  <c r="N26" i="3"/>
  <c r="N25" i="3"/>
  <c r="N24" i="3"/>
  <c r="N23" i="3"/>
  <c r="N22" i="3"/>
  <c r="N21" i="3"/>
  <c r="N20" i="3"/>
  <c r="N19" i="3"/>
  <c r="N18" i="3"/>
  <c r="N17" i="3"/>
  <c r="N16" i="3"/>
  <c r="N15" i="3"/>
  <c r="N14" i="3"/>
  <c r="N13" i="3"/>
  <c r="N12" i="3"/>
  <c r="N11" i="3"/>
  <c r="N10" i="3"/>
  <c r="N9" i="3"/>
  <c r="N8" i="3"/>
  <c r="N7" i="3"/>
  <c r="N6" i="3"/>
  <c r="N54" i="6"/>
  <c r="N52" i="6"/>
  <c r="N51" i="6"/>
  <c r="N50" i="6"/>
  <c r="N49" i="6"/>
  <c r="N48" i="6"/>
  <c r="N47" i="6"/>
  <c r="N46" i="6"/>
  <c r="N45" i="6"/>
  <c r="N44" i="6"/>
  <c r="N43" i="6"/>
  <c r="N42" i="6"/>
  <c r="N41" i="6"/>
  <c r="N40" i="6"/>
  <c r="N39" i="6"/>
  <c r="N38" i="6"/>
  <c r="N37" i="6"/>
  <c r="N36" i="6"/>
  <c r="N35" i="6"/>
  <c r="N34" i="6"/>
  <c r="N33" i="6"/>
  <c r="N32" i="6"/>
  <c r="N31" i="6"/>
  <c r="N30" i="6"/>
  <c r="N29" i="6"/>
  <c r="N28" i="6"/>
  <c r="N27" i="6"/>
  <c r="N26" i="6"/>
  <c r="N25" i="6"/>
  <c r="N24" i="6"/>
  <c r="N23" i="6"/>
  <c r="N22" i="6"/>
  <c r="N21" i="6"/>
  <c r="N20" i="6"/>
  <c r="N19" i="6"/>
  <c r="N18" i="6"/>
  <c r="N17" i="6"/>
  <c r="N16" i="6"/>
  <c r="N15" i="6"/>
  <c r="N14" i="6"/>
  <c r="N13" i="6"/>
  <c r="N12" i="6"/>
  <c r="N11" i="6"/>
  <c r="N10" i="6"/>
  <c r="N9" i="6"/>
  <c r="N8" i="6"/>
  <c r="N7" i="6"/>
  <c r="N6" i="6"/>
  <c r="N54" i="10"/>
  <c r="N52" i="10"/>
  <c r="N51" i="10"/>
  <c r="N50" i="10"/>
  <c r="N49" i="10"/>
  <c r="N48" i="10"/>
  <c r="N47" i="10"/>
  <c r="N46" i="10"/>
  <c r="N45" i="10"/>
  <c r="N44" i="10"/>
  <c r="N43" i="10"/>
  <c r="N42" i="10"/>
  <c r="N41" i="10"/>
  <c r="N40" i="10"/>
  <c r="N39" i="10"/>
  <c r="N38" i="10"/>
  <c r="N37" i="10"/>
  <c r="N36" i="10"/>
  <c r="N35" i="10"/>
  <c r="N34" i="10"/>
  <c r="N33" i="10"/>
  <c r="N32" i="10"/>
  <c r="N31" i="10"/>
  <c r="N30" i="10"/>
  <c r="N29" i="10"/>
  <c r="N28" i="10"/>
  <c r="N27" i="10"/>
  <c r="N26" i="10"/>
  <c r="N25" i="10"/>
  <c r="N24" i="10"/>
  <c r="N22" i="10"/>
  <c r="N21" i="10"/>
  <c r="N20" i="10"/>
  <c r="N19" i="10"/>
  <c r="N18" i="10"/>
  <c r="N17" i="10"/>
  <c r="N16" i="10"/>
  <c r="N15" i="10"/>
  <c r="N14" i="10"/>
  <c r="N13" i="10"/>
  <c r="N12" i="10"/>
  <c r="N11" i="10"/>
  <c r="N10" i="10"/>
  <c r="N9" i="10"/>
  <c r="N8" i="10"/>
  <c r="N6" i="10"/>
  <c r="N54" i="9"/>
  <c r="N52" i="9"/>
  <c r="N51" i="9"/>
  <c r="N50" i="9"/>
  <c r="N49" i="9"/>
  <c r="N48" i="9"/>
  <c r="N47" i="9"/>
  <c r="N46" i="9"/>
  <c r="N45" i="9"/>
  <c r="N44" i="9"/>
  <c r="N43" i="9"/>
  <c r="N42" i="9"/>
  <c r="N41" i="9"/>
  <c r="N40" i="9"/>
  <c r="N39" i="9"/>
  <c r="N38" i="9"/>
  <c r="N37" i="9"/>
  <c r="N36" i="9"/>
  <c r="N35" i="9"/>
  <c r="N34" i="9"/>
  <c r="N33" i="9"/>
  <c r="N32" i="9"/>
  <c r="N31" i="9"/>
  <c r="N30" i="9"/>
  <c r="N29" i="9"/>
  <c r="N28" i="9"/>
  <c r="N27" i="9"/>
  <c r="N26" i="9"/>
  <c r="N25" i="9"/>
  <c r="N24" i="9"/>
  <c r="N23" i="9"/>
  <c r="N22" i="9"/>
  <c r="N21" i="9"/>
  <c r="N20" i="9"/>
  <c r="N19" i="9"/>
  <c r="N18" i="9"/>
  <c r="N17" i="9"/>
  <c r="N16" i="9"/>
  <c r="N15" i="9"/>
  <c r="N14" i="9"/>
  <c r="N13" i="9"/>
  <c r="N12" i="9"/>
  <c r="N11" i="9"/>
  <c r="N10" i="9"/>
  <c r="N9" i="9"/>
  <c r="N8" i="9"/>
  <c r="N7" i="9"/>
  <c r="N6" i="9"/>
  <c r="N54" i="8"/>
  <c r="N52" i="8"/>
  <c r="N51" i="8"/>
  <c r="N50" i="8"/>
  <c r="N49" i="8"/>
  <c r="N48" i="8"/>
  <c r="N47" i="8"/>
  <c r="N46" i="8"/>
  <c r="N45" i="8"/>
  <c r="N44" i="8"/>
  <c r="N43" i="8"/>
  <c r="N42" i="8"/>
  <c r="N41" i="8"/>
  <c r="N40" i="8"/>
  <c r="N39" i="8"/>
  <c r="N38" i="8"/>
  <c r="N37" i="8"/>
  <c r="N36" i="8"/>
  <c r="N35" i="8"/>
  <c r="N34" i="8"/>
  <c r="N33" i="8"/>
  <c r="N32" i="8"/>
  <c r="N31" i="8"/>
  <c r="N30" i="8"/>
  <c r="N29" i="8"/>
  <c r="N28" i="8"/>
  <c r="N27" i="8"/>
  <c r="N26" i="8"/>
  <c r="N25" i="8"/>
  <c r="N24" i="8"/>
  <c r="N23" i="8"/>
  <c r="N22" i="8"/>
  <c r="N21" i="8"/>
  <c r="N20" i="8"/>
  <c r="N19" i="8"/>
  <c r="N18" i="8"/>
  <c r="N17" i="8"/>
  <c r="N16" i="8"/>
  <c r="N15" i="8"/>
  <c r="N14" i="8"/>
  <c r="N13" i="8"/>
  <c r="N12" i="8"/>
  <c r="N11" i="8"/>
  <c r="N10" i="8"/>
  <c r="N9" i="8"/>
  <c r="N8" i="8"/>
  <c r="N7" i="8"/>
  <c r="N54" i="7"/>
  <c r="N52" i="7"/>
  <c r="N51" i="7"/>
  <c r="N50" i="7"/>
  <c r="N49" i="7"/>
  <c r="N48" i="7"/>
  <c r="N47" i="7"/>
  <c r="N46" i="7"/>
  <c r="N45" i="7"/>
  <c r="N44" i="7"/>
  <c r="N43" i="7"/>
  <c r="N42" i="7"/>
  <c r="N41" i="7"/>
  <c r="N40" i="7"/>
  <c r="N39" i="7"/>
  <c r="N38" i="7"/>
  <c r="N37" i="7"/>
  <c r="N36" i="7"/>
  <c r="N35" i="7"/>
  <c r="N34" i="7"/>
  <c r="N33" i="7"/>
  <c r="N32" i="7"/>
  <c r="N31" i="7"/>
  <c r="N30" i="7"/>
  <c r="N29" i="7"/>
  <c r="N28" i="7"/>
  <c r="N27" i="7"/>
  <c r="N26" i="7"/>
  <c r="N25" i="7"/>
  <c r="N24" i="7"/>
  <c r="N23" i="7"/>
  <c r="N22" i="7"/>
  <c r="N21" i="7"/>
  <c r="N20" i="7"/>
  <c r="N19" i="7"/>
  <c r="N18" i="7"/>
  <c r="N17" i="7"/>
  <c r="N16" i="7"/>
  <c r="N15" i="7"/>
  <c r="N14" i="7"/>
  <c r="N13" i="7"/>
  <c r="N12" i="7"/>
  <c r="N11" i="7"/>
  <c r="N10" i="7"/>
  <c r="N9" i="7"/>
  <c r="N8" i="7"/>
  <c r="N7" i="7"/>
  <c r="N6" i="7"/>
  <c r="N54" i="5"/>
  <c r="N52" i="5"/>
  <c r="N51" i="5"/>
  <c r="N50" i="5"/>
  <c r="N49" i="5"/>
  <c r="N48" i="5"/>
  <c r="N47" i="5"/>
  <c r="N46" i="5"/>
  <c r="N45" i="5"/>
  <c r="N44" i="5"/>
  <c r="N43" i="5"/>
  <c r="N42" i="5"/>
  <c r="N41" i="5"/>
  <c r="N40" i="5"/>
  <c r="N39" i="5"/>
  <c r="N38" i="5"/>
  <c r="N37" i="5"/>
  <c r="N36" i="5"/>
  <c r="N35" i="5"/>
  <c r="N34" i="5"/>
  <c r="N33" i="5"/>
  <c r="N31" i="5"/>
  <c r="N30" i="5"/>
  <c r="N29" i="5"/>
  <c r="N28" i="5"/>
  <c r="N27" i="5"/>
  <c r="N26" i="5"/>
  <c r="N25" i="5"/>
  <c r="N24" i="5"/>
  <c r="N23" i="5"/>
  <c r="N22" i="5"/>
  <c r="N21" i="5"/>
  <c r="N20" i="5"/>
  <c r="N19" i="5"/>
  <c r="N18" i="5"/>
  <c r="N17" i="5"/>
  <c r="N16" i="5"/>
  <c r="N15" i="5"/>
  <c r="N14" i="5"/>
  <c r="N13" i="5"/>
  <c r="N12" i="5"/>
  <c r="N11" i="5"/>
  <c r="N10" i="5"/>
  <c r="N9" i="5"/>
  <c r="N8" i="5"/>
  <c r="N7" i="5"/>
  <c r="N6" i="5"/>
  <c r="N54" i="4"/>
  <c r="N52" i="4"/>
  <c r="N51" i="4"/>
  <c r="N50" i="4"/>
  <c r="N49" i="4"/>
  <c r="N48" i="4"/>
  <c r="N47" i="4"/>
  <c r="N46" i="4"/>
  <c r="N45" i="4"/>
  <c r="N44" i="4"/>
  <c r="N43" i="4"/>
  <c r="N42" i="4"/>
  <c r="N41" i="4"/>
  <c r="N40" i="4"/>
  <c r="N39" i="4"/>
  <c r="N38" i="4"/>
  <c r="N37" i="4"/>
  <c r="N36" i="4"/>
  <c r="N35" i="4"/>
  <c r="N34" i="4"/>
  <c r="N33" i="4"/>
  <c r="N32" i="4"/>
  <c r="N31" i="4"/>
  <c r="N30" i="4"/>
  <c r="N29" i="4"/>
  <c r="N28" i="4"/>
  <c r="N27" i="4"/>
  <c r="N26" i="4"/>
  <c r="N25" i="4"/>
  <c r="N24" i="4"/>
  <c r="N23" i="4"/>
  <c r="N22" i="4"/>
  <c r="N21" i="4"/>
  <c r="N20" i="4"/>
  <c r="N19" i="4"/>
  <c r="N18" i="4"/>
  <c r="N17" i="4"/>
  <c r="N16" i="4"/>
  <c r="N15" i="4"/>
  <c r="N14" i="4"/>
  <c r="N13" i="4"/>
  <c r="N12" i="4"/>
  <c r="N11" i="4"/>
  <c r="N10" i="4"/>
  <c r="N9" i="4"/>
  <c r="N8" i="4"/>
  <c r="N7" i="4"/>
  <c r="N6" i="4"/>
  <c r="N54" i="1"/>
  <c r="N52" i="1"/>
  <c r="N51" i="1"/>
  <c r="N50" i="1"/>
  <c r="N49" i="1"/>
  <c r="N48" i="1"/>
  <c r="N47" i="1"/>
  <c r="N46" i="1"/>
  <c r="N45" i="1"/>
  <c r="N44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7" i="1"/>
  <c r="N6" i="1"/>
  <c r="P7" i="14"/>
  <c r="P8" i="14"/>
  <c r="P9" i="14"/>
  <c r="P10" i="14"/>
  <c r="P11" i="14"/>
  <c r="P12" i="14"/>
  <c r="P13" i="14"/>
  <c r="P14" i="14"/>
  <c r="P15" i="14"/>
  <c r="P16" i="14"/>
  <c r="P17" i="14"/>
  <c r="P18" i="14"/>
  <c r="P19" i="14"/>
  <c r="P20" i="14"/>
  <c r="P21" i="14"/>
  <c r="P22" i="14"/>
  <c r="P23" i="14"/>
  <c r="P24" i="14"/>
  <c r="P25" i="14"/>
  <c r="P26" i="14"/>
  <c r="P27" i="14"/>
  <c r="P28" i="14"/>
  <c r="P29" i="14"/>
  <c r="P30" i="14"/>
  <c r="P31" i="14"/>
  <c r="P32" i="14"/>
  <c r="P33" i="14"/>
  <c r="P34" i="14"/>
  <c r="P35" i="14"/>
  <c r="P36" i="14"/>
  <c r="P37" i="14"/>
  <c r="P38" i="14"/>
  <c r="P39" i="14"/>
  <c r="P40" i="14"/>
  <c r="P41" i="14"/>
  <c r="P42" i="14"/>
  <c r="P43" i="14"/>
  <c r="P44" i="14"/>
  <c r="P45" i="14"/>
  <c r="P46" i="14"/>
  <c r="P47" i="14"/>
  <c r="P48" i="14"/>
  <c r="P49" i="14"/>
  <c r="P50" i="14"/>
  <c r="P51" i="14"/>
  <c r="P52" i="14"/>
  <c r="P54" i="14"/>
  <c r="P6" i="14"/>
  <c r="J54" i="2"/>
  <c r="K54" i="2"/>
  <c r="L54" i="2"/>
  <c r="M54" i="2"/>
  <c r="N54" i="2"/>
  <c r="P54" i="2"/>
  <c r="R54" i="2"/>
  <c r="T54" i="2"/>
  <c r="R51" i="2"/>
  <c r="R52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6" i="2"/>
  <c r="T27" i="2"/>
  <c r="T28" i="2"/>
  <c r="T29" i="2"/>
  <c r="T30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6" i="2"/>
  <c r="F13" i="6"/>
  <c r="F31" i="3"/>
  <c r="F7" i="6"/>
  <c r="F8" i="6"/>
  <c r="F9" i="6"/>
  <c r="F10" i="6"/>
  <c r="F11" i="6"/>
  <c r="F12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6" i="6"/>
  <c r="L54" i="9"/>
  <c r="L54" i="8"/>
  <c r="G52" i="11"/>
  <c r="B52" i="11"/>
  <c r="G51" i="11"/>
  <c r="B51" i="11"/>
  <c r="G50" i="11"/>
  <c r="B50" i="11"/>
  <c r="G49" i="11"/>
  <c r="B49" i="11"/>
  <c r="G48" i="11"/>
  <c r="B48" i="11"/>
  <c r="G47" i="11"/>
  <c r="B47" i="11"/>
  <c r="G46" i="11"/>
  <c r="B46" i="11"/>
  <c r="G45" i="11"/>
  <c r="B45" i="11"/>
  <c r="G44" i="11"/>
  <c r="B44" i="11"/>
  <c r="G43" i="11"/>
  <c r="B43" i="11"/>
  <c r="G42" i="11"/>
  <c r="B42" i="11"/>
  <c r="G41" i="11"/>
  <c r="B41" i="11"/>
  <c r="G40" i="11"/>
  <c r="B40" i="11"/>
  <c r="G39" i="11"/>
  <c r="B39" i="11"/>
  <c r="G38" i="11"/>
  <c r="B38" i="11"/>
  <c r="G37" i="11"/>
  <c r="B37" i="11"/>
  <c r="G36" i="11"/>
  <c r="B36" i="11"/>
  <c r="G35" i="11"/>
  <c r="B35" i="11"/>
  <c r="G34" i="11"/>
  <c r="B34" i="11"/>
  <c r="G33" i="11"/>
  <c r="B33" i="11"/>
  <c r="G32" i="11"/>
  <c r="B32" i="11"/>
  <c r="G31" i="11"/>
  <c r="B31" i="11"/>
  <c r="G30" i="11"/>
  <c r="B30" i="11"/>
  <c r="G29" i="11"/>
  <c r="B29" i="11"/>
  <c r="G28" i="11"/>
  <c r="B28" i="11"/>
  <c r="G27" i="11"/>
  <c r="B27" i="11"/>
  <c r="G26" i="11"/>
  <c r="B26" i="11"/>
  <c r="G25" i="11"/>
  <c r="B25" i="11"/>
  <c r="G24" i="11"/>
  <c r="B24" i="11"/>
  <c r="G23" i="11"/>
  <c r="B23" i="11"/>
  <c r="G22" i="11"/>
  <c r="B22" i="11"/>
  <c r="G21" i="11"/>
  <c r="B21" i="11"/>
  <c r="G20" i="11"/>
  <c r="B20" i="11"/>
  <c r="G19" i="11"/>
  <c r="B19" i="11"/>
  <c r="G18" i="11"/>
  <c r="B18" i="11"/>
  <c r="G17" i="11"/>
  <c r="B17" i="11"/>
  <c r="G16" i="11"/>
  <c r="B16" i="11"/>
  <c r="G15" i="11"/>
  <c r="B15" i="11"/>
  <c r="G14" i="11"/>
  <c r="B14" i="11"/>
  <c r="G13" i="11"/>
  <c r="B13" i="11"/>
  <c r="G12" i="11"/>
  <c r="B12" i="11"/>
  <c r="G11" i="11"/>
  <c r="B11" i="11"/>
  <c r="G10" i="11"/>
  <c r="B10" i="11"/>
  <c r="G9" i="11"/>
  <c r="B9" i="11"/>
  <c r="G8" i="11"/>
  <c r="B8" i="11"/>
  <c r="G7" i="11"/>
  <c r="B7" i="11"/>
  <c r="G6" i="11"/>
  <c r="B6" i="11"/>
  <c r="F52" i="12"/>
  <c r="B52" i="12"/>
  <c r="F51" i="12"/>
  <c r="B51" i="12"/>
  <c r="F50" i="12"/>
  <c r="B50" i="12"/>
  <c r="F49" i="12"/>
  <c r="B49" i="12"/>
  <c r="F48" i="12"/>
  <c r="B48" i="12"/>
  <c r="F47" i="12"/>
  <c r="B47" i="12"/>
  <c r="F46" i="12"/>
  <c r="B46" i="12"/>
  <c r="F45" i="12"/>
  <c r="B45" i="12"/>
  <c r="F44" i="12"/>
  <c r="B44" i="12"/>
  <c r="F43" i="12"/>
  <c r="B43" i="12"/>
  <c r="F42" i="12"/>
  <c r="B42" i="12"/>
  <c r="F41" i="12"/>
  <c r="B41" i="12"/>
  <c r="F40" i="12"/>
  <c r="B40" i="12"/>
  <c r="F39" i="12"/>
  <c r="B39" i="12"/>
  <c r="F38" i="12"/>
  <c r="B38" i="12"/>
  <c r="F37" i="12"/>
  <c r="B37" i="12"/>
  <c r="F36" i="12"/>
  <c r="B36" i="12"/>
  <c r="F35" i="12"/>
  <c r="B35" i="12"/>
  <c r="F34" i="12"/>
  <c r="B34" i="12"/>
  <c r="F33" i="12"/>
  <c r="B33" i="12"/>
  <c r="F32" i="12"/>
  <c r="B32" i="12"/>
  <c r="F31" i="12"/>
  <c r="B31" i="12"/>
  <c r="F30" i="12"/>
  <c r="B30" i="12"/>
  <c r="F29" i="12"/>
  <c r="B29" i="12"/>
  <c r="F28" i="12"/>
  <c r="B28" i="12"/>
  <c r="F27" i="12"/>
  <c r="B27" i="12"/>
  <c r="F26" i="12"/>
  <c r="B26" i="12"/>
  <c r="F25" i="12"/>
  <c r="B25" i="12"/>
  <c r="F24" i="12"/>
  <c r="B24" i="12"/>
  <c r="F23" i="12"/>
  <c r="B23" i="12"/>
  <c r="F22" i="12"/>
  <c r="B22" i="12"/>
  <c r="F21" i="12"/>
  <c r="B21" i="12"/>
  <c r="F20" i="12"/>
  <c r="B20" i="12"/>
  <c r="F19" i="12"/>
  <c r="B19" i="12"/>
  <c r="F18" i="12"/>
  <c r="B18" i="12"/>
  <c r="F17" i="12"/>
  <c r="B17" i="12"/>
  <c r="F16" i="12"/>
  <c r="B16" i="12"/>
  <c r="F15" i="12"/>
  <c r="B15" i="12"/>
  <c r="F14" i="12"/>
  <c r="B14" i="12"/>
  <c r="F13" i="12"/>
  <c r="B13" i="12"/>
  <c r="F12" i="12"/>
  <c r="B12" i="12"/>
  <c r="F11" i="12"/>
  <c r="B11" i="12"/>
  <c r="F10" i="12"/>
  <c r="B10" i="12"/>
  <c r="F9" i="12"/>
  <c r="B9" i="12"/>
  <c r="F8" i="12"/>
  <c r="B8" i="12"/>
  <c r="F7" i="12"/>
  <c r="B7" i="12"/>
  <c r="F6" i="12"/>
  <c r="B6" i="12"/>
  <c r="F52" i="3"/>
  <c r="B52" i="3"/>
  <c r="F51" i="3"/>
  <c r="B51" i="3"/>
  <c r="F50" i="3"/>
  <c r="B50" i="3"/>
  <c r="F49" i="3"/>
  <c r="B49" i="3"/>
  <c r="F48" i="3"/>
  <c r="B48" i="3"/>
  <c r="F47" i="3"/>
  <c r="B47" i="3"/>
  <c r="F46" i="3"/>
  <c r="B46" i="3"/>
  <c r="F45" i="3"/>
  <c r="B45" i="3"/>
  <c r="F44" i="3"/>
  <c r="B44" i="3"/>
  <c r="F43" i="3"/>
  <c r="B43" i="3"/>
  <c r="F42" i="3"/>
  <c r="B42" i="3"/>
  <c r="F41" i="3"/>
  <c r="B41" i="3"/>
  <c r="F40" i="3"/>
  <c r="B40" i="3"/>
  <c r="F39" i="3"/>
  <c r="B39" i="3"/>
  <c r="F38" i="3"/>
  <c r="B38" i="3"/>
  <c r="F37" i="3"/>
  <c r="B37" i="3"/>
  <c r="F36" i="3"/>
  <c r="B36" i="3"/>
  <c r="F35" i="3"/>
  <c r="B35" i="3"/>
  <c r="F34" i="3"/>
  <c r="B34" i="3"/>
  <c r="F33" i="3"/>
  <c r="B33" i="3"/>
  <c r="F32" i="3"/>
  <c r="B32" i="3"/>
  <c r="B31" i="3"/>
  <c r="F30" i="3"/>
  <c r="B30" i="3"/>
  <c r="F29" i="3"/>
  <c r="B29" i="3"/>
  <c r="F28" i="3"/>
  <c r="B28" i="3"/>
  <c r="F27" i="3"/>
  <c r="B27" i="3"/>
  <c r="F26" i="3"/>
  <c r="B26" i="3"/>
  <c r="F25" i="3"/>
  <c r="B25" i="3"/>
  <c r="F24" i="3"/>
  <c r="B24" i="3"/>
  <c r="F23" i="3"/>
  <c r="B23" i="3"/>
  <c r="F22" i="3"/>
  <c r="B22" i="3"/>
  <c r="F21" i="3"/>
  <c r="B21" i="3"/>
  <c r="F20" i="3"/>
  <c r="B20" i="3"/>
  <c r="F19" i="3"/>
  <c r="B19" i="3"/>
  <c r="F18" i="3"/>
  <c r="B18" i="3"/>
  <c r="F17" i="3"/>
  <c r="B17" i="3"/>
  <c r="F16" i="3"/>
  <c r="B16" i="3"/>
  <c r="F15" i="3"/>
  <c r="B15" i="3"/>
  <c r="F14" i="3"/>
  <c r="B14" i="3"/>
  <c r="F13" i="3"/>
  <c r="B13" i="3"/>
  <c r="F12" i="3"/>
  <c r="B12" i="3"/>
  <c r="F11" i="3"/>
  <c r="B11" i="3"/>
  <c r="F10" i="3"/>
  <c r="B10" i="3"/>
  <c r="F9" i="3"/>
  <c r="B9" i="3"/>
  <c r="F8" i="3"/>
  <c r="B8" i="3"/>
  <c r="F7" i="3"/>
  <c r="B7" i="3"/>
  <c r="F6" i="3"/>
  <c r="B6" i="3"/>
  <c r="B52" i="6"/>
  <c r="B51" i="6"/>
  <c r="B50" i="6"/>
  <c r="B49" i="6"/>
  <c r="B48" i="6"/>
  <c r="B47" i="6"/>
  <c r="B46" i="6"/>
  <c r="B45" i="6"/>
  <c r="B44" i="6"/>
  <c r="B43" i="6"/>
  <c r="B42" i="6"/>
  <c r="B41" i="6"/>
  <c r="B40" i="6"/>
  <c r="B39" i="6"/>
  <c r="B38" i="6"/>
  <c r="B37" i="6"/>
  <c r="B36" i="6"/>
  <c r="B35" i="6"/>
  <c r="B34" i="6"/>
  <c r="B33" i="6"/>
  <c r="B32" i="6"/>
  <c r="B31" i="6"/>
  <c r="B30" i="6"/>
  <c r="B29" i="6"/>
  <c r="B28" i="6"/>
  <c r="B27" i="6"/>
  <c r="B26" i="6"/>
  <c r="B25" i="6"/>
  <c r="B24" i="6"/>
  <c r="B23" i="6"/>
  <c r="B22" i="6"/>
  <c r="B21" i="6"/>
  <c r="B20" i="6"/>
  <c r="B19" i="6"/>
  <c r="B18" i="6"/>
  <c r="B17" i="6"/>
  <c r="B16" i="6"/>
  <c r="B15" i="6"/>
  <c r="B14" i="6"/>
  <c r="B13" i="6"/>
  <c r="B12" i="6"/>
  <c r="B11" i="6"/>
  <c r="B10" i="6"/>
  <c r="B9" i="6"/>
  <c r="B8" i="6"/>
  <c r="B7" i="6"/>
  <c r="B6" i="6"/>
  <c r="F52" i="10"/>
  <c r="B52" i="10"/>
  <c r="F51" i="10"/>
  <c r="B51" i="10"/>
  <c r="F50" i="10"/>
  <c r="B50" i="10"/>
  <c r="F49" i="10"/>
  <c r="B49" i="10"/>
  <c r="F48" i="10"/>
  <c r="B48" i="10"/>
  <c r="F47" i="10"/>
  <c r="B47" i="10"/>
  <c r="F46" i="10"/>
  <c r="B46" i="10"/>
  <c r="F45" i="10"/>
  <c r="B45" i="10"/>
  <c r="F44" i="10"/>
  <c r="B44" i="10"/>
  <c r="F43" i="10"/>
  <c r="B43" i="10"/>
  <c r="F42" i="10"/>
  <c r="B42" i="10"/>
  <c r="F41" i="10"/>
  <c r="B41" i="10"/>
  <c r="F40" i="10"/>
  <c r="B40" i="10"/>
  <c r="F39" i="10"/>
  <c r="B39" i="10"/>
  <c r="F38" i="10"/>
  <c r="B38" i="10"/>
  <c r="F37" i="10"/>
  <c r="B37" i="10"/>
  <c r="F36" i="10"/>
  <c r="B36" i="10"/>
  <c r="F35" i="10"/>
  <c r="B35" i="10"/>
  <c r="F34" i="10"/>
  <c r="B34" i="10"/>
  <c r="F33" i="10"/>
  <c r="B33" i="10"/>
  <c r="F32" i="10"/>
  <c r="B32" i="10"/>
  <c r="F31" i="10"/>
  <c r="B31" i="10"/>
  <c r="F30" i="10"/>
  <c r="B30" i="10"/>
  <c r="F29" i="10"/>
  <c r="B29" i="10"/>
  <c r="F28" i="10"/>
  <c r="B28" i="10"/>
  <c r="F27" i="10"/>
  <c r="B27" i="10"/>
  <c r="F26" i="10"/>
  <c r="B26" i="10"/>
  <c r="F25" i="10"/>
  <c r="B25" i="10"/>
  <c r="F24" i="10"/>
  <c r="B24" i="10"/>
  <c r="F23" i="10"/>
  <c r="B23" i="10"/>
  <c r="F22" i="10"/>
  <c r="B22" i="10"/>
  <c r="F21" i="10"/>
  <c r="B21" i="10"/>
  <c r="F20" i="10"/>
  <c r="B20" i="10"/>
  <c r="F19" i="10"/>
  <c r="B19" i="10"/>
  <c r="F18" i="10"/>
  <c r="B18" i="10"/>
  <c r="F17" i="10"/>
  <c r="B17" i="10"/>
  <c r="F16" i="10"/>
  <c r="B16" i="10"/>
  <c r="F15" i="10"/>
  <c r="B15" i="10"/>
  <c r="F14" i="10"/>
  <c r="B14" i="10"/>
  <c r="F13" i="10"/>
  <c r="B13" i="10"/>
  <c r="F12" i="10"/>
  <c r="B12" i="10"/>
  <c r="F11" i="10"/>
  <c r="B11" i="10"/>
  <c r="F10" i="10"/>
  <c r="B10" i="10"/>
  <c r="F9" i="10"/>
  <c r="B9" i="10"/>
  <c r="F8" i="10"/>
  <c r="B8" i="10"/>
  <c r="F7" i="10"/>
  <c r="B7" i="10"/>
  <c r="F6" i="10"/>
  <c r="B6" i="10"/>
  <c r="F52" i="9"/>
  <c r="B52" i="9"/>
  <c r="F51" i="9"/>
  <c r="B51" i="9"/>
  <c r="F50" i="9"/>
  <c r="B50" i="9"/>
  <c r="F49" i="9"/>
  <c r="B49" i="9"/>
  <c r="F48" i="9"/>
  <c r="B48" i="9"/>
  <c r="F47" i="9"/>
  <c r="B47" i="9"/>
  <c r="F46" i="9"/>
  <c r="B46" i="9"/>
  <c r="F45" i="9"/>
  <c r="B45" i="9"/>
  <c r="F44" i="9"/>
  <c r="B44" i="9"/>
  <c r="F43" i="9"/>
  <c r="B43" i="9"/>
  <c r="F42" i="9"/>
  <c r="B42" i="9"/>
  <c r="F41" i="9"/>
  <c r="B41" i="9"/>
  <c r="F40" i="9"/>
  <c r="B40" i="9"/>
  <c r="F39" i="9"/>
  <c r="B39" i="9"/>
  <c r="F38" i="9"/>
  <c r="B38" i="9"/>
  <c r="F37" i="9"/>
  <c r="B37" i="9"/>
  <c r="F36" i="9"/>
  <c r="B36" i="9"/>
  <c r="F35" i="9"/>
  <c r="B35" i="9"/>
  <c r="F34" i="9"/>
  <c r="B34" i="9"/>
  <c r="F33" i="9"/>
  <c r="B33" i="9"/>
  <c r="F32" i="9"/>
  <c r="B32" i="9"/>
  <c r="F31" i="9"/>
  <c r="B31" i="9"/>
  <c r="F30" i="9"/>
  <c r="B30" i="9"/>
  <c r="F29" i="9"/>
  <c r="B29" i="9"/>
  <c r="F28" i="9"/>
  <c r="B28" i="9"/>
  <c r="F27" i="9"/>
  <c r="B27" i="9"/>
  <c r="F26" i="9"/>
  <c r="B26" i="9"/>
  <c r="F25" i="9"/>
  <c r="B25" i="9"/>
  <c r="F24" i="9"/>
  <c r="B24" i="9"/>
  <c r="F23" i="9"/>
  <c r="B23" i="9"/>
  <c r="F22" i="9"/>
  <c r="B22" i="9"/>
  <c r="F21" i="9"/>
  <c r="B21" i="9"/>
  <c r="F20" i="9"/>
  <c r="B20" i="9"/>
  <c r="F19" i="9"/>
  <c r="B19" i="9"/>
  <c r="F18" i="9"/>
  <c r="B18" i="9"/>
  <c r="F17" i="9"/>
  <c r="B17" i="9"/>
  <c r="F16" i="9"/>
  <c r="B16" i="9"/>
  <c r="F15" i="9"/>
  <c r="B15" i="9"/>
  <c r="F14" i="9"/>
  <c r="B14" i="9"/>
  <c r="F13" i="9"/>
  <c r="B13" i="9"/>
  <c r="F12" i="9"/>
  <c r="B12" i="9"/>
  <c r="F11" i="9"/>
  <c r="B11" i="9"/>
  <c r="F10" i="9"/>
  <c r="B10" i="9"/>
  <c r="F9" i="9"/>
  <c r="B9" i="9"/>
  <c r="F8" i="9"/>
  <c r="B8" i="9"/>
  <c r="F7" i="9"/>
  <c r="B7" i="9"/>
  <c r="F6" i="9"/>
  <c r="B6" i="9"/>
  <c r="F52" i="8"/>
  <c r="B52" i="8"/>
  <c r="F51" i="8"/>
  <c r="B51" i="8"/>
  <c r="F50" i="8"/>
  <c r="B50" i="8"/>
  <c r="F49" i="8"/>
  <c r="B49" i="8"/>
  <c r="F48" i="8"/>
  <c r="B48" i="8"/>
  <c r="F47" i="8"/>
  <c r="B47" i="8"/>
  <c r="F46" i="8"/>
  <c r="B46" i="8"/>
  <c r="F45" i="8"/>
  <c r="B45" i="8"/>
  <c r="F44" i="8"/>
  <c r="B44" i="8"/>
  <c r="F43" i="8"/>
  <c r="B43" i="8"/>
  <c r="F42" i="8"/>
  <c r="B42" i="8"/>
  <c r="F41" i="8"/>
  <c r="B41" i="8"/>
  <c r="F40" i="8"/>
  <c r="B40" i="8"/>
  <c r="F39" i="8"/>
  <c r="B39" i="8"/>
  <c r="F38" i="8"/>
  <c r="B38" i="8"/>
  <c r="F37" i="8"/>
  <c r="B37" i="8"/>
  <c r="F36" i="8"/>
  <c r="B36" i="8"/>
  <c r="F35" i="8"/>
  <c r="B35" i="8"/>
  <c r="F34" i="8"/>
  <c r="B34" i="8"/>
  <c r="F33" i="8"/>
  <c r="B33" i="8"/>
  <c r="F32" i="8"/>
  <c r="B32" i="8"/>
  <c r="F31" i="8"/>
  <c r="B31" i="8"/>
  <c r="F30" i="8"/>
  <c r="B30" i="8"/>
  <c r="F29" i="8"/>
  <c r="B29" i="8"/>
  <c r="F28" i="8"/>
  <c r="B28" i="8"/>
  <c r="F27" i="8"/>
  <c r="B27" i="8"/>
  <c r="F26" i="8"/>
  <c r="B26" i="8"/>
  <c r="F25" i="8"/>
  <c r="B25" i="8"/>
  <c r="F24" i="8"/>
  <c r="B24" i="8"/>
  <c r="F23" i="8"/>
  <c r="B23" i="8"/>
  <c r="F22" i="8"/>
  <c r="B22" i="8"/>
  <c r="F21" i="8"/>
  <c r="B21" i="8"/>
  <c r="F20" i="8"/>
  <c r="B20" i="8"/>
  <c r="F19" i="8"/>
  <c r="B19" i="8"/>
  <c r="F18" i="8"/>
  <c r="B18" i="8"/>
  <c r="F17" i="8"/>
  <c r="B17" i="8"/>
  <c r="F16" i="8"/>
  <c r="B16" i="8"/>
  <c r="F15" i="8"/>
  <c r="B15" i="8"/>
  <c r="F14" i="8"/>
  <c r="B14" i="8"/>
  <c r="F13" i="8"/>
  <c r="B13" i="8"/>
  <c r="F12" i="8"/>
  <c r="B12" i="8"/>
  <c r="F11" i="8"/>
  <c r="B11" i="8"/>
  <c r="F10" i="8"/>
  <c r="B10" i="8"/>
  <c r="F9" i="8"/>
  <c r="B9" i="8"/>
  <c r="F8" i="8"/>
  <c r="B8" i="8"/>
  <c r="F7" i="8"/>
  <c r="B7" i="8"/>
  <c r="F52" i="7"/>
  <c r="B52" i="7"/>
  <c r="F51" i="7"/>
  <c r="B51" i="7"/>
  <c r="F50" i="7"/>
  <c r="B50" i="7"/>
  <c r="F49" i="7"/>
  <c r="B49" i="7"/>
  <c r="F48" i="7"/>
  <c r="B48" i="7"/>
  <c r="F47" i="7"/>
  <c r="B47" i="7"/>
  <c r="F46" i="7"/>
  <c r="B46" i="7"/>
  <c r="F45" i="7"/>
  <c r="B45" i="7"/>
  <c r="F44" i="7"/>
  <c r="B44" i="7"/>
  <c r="F43" i="7"/>
  <c r="B43" i="7"/>
  <c r="F42" i="7"/>
  <c r="B42" i="7"/>
  <c r="F41" i="7"/>
  <c r="B41" i="7"/>
  <c r="F40" i="7"/>
  <c r="B40" i="7"/>
  <c r="F39" i="7"/>
  <c r="B39" i="7"/>
  <c r="F38" i="7"/>
  <c r="B38" i="7"/>
  <c r="F37" i="7"/>
  <c r="B37" i="7"/>
  <c r="F36" i="7"/>
  <c r="B36" i="7"/>
  <c r="F35" i="7"/>
  <c r="B35" i="7"/>
  <c r="F34" i="7"/>
  <c r="B34" i="7"/>
  <c r="F33" i="7"/>
  <c r="B33" i="7"/>
  <c r="F32" i="7"/>
  <c r="B32" i="7"/>
  <c r="F31" i="7"/>
  <c r="B31" i="7"/>
  <c r="F30" i="7"/>
  <c r="B30" i="7"/>
  <c r="F29" i="7"/>
  <c r="B29" i="7"/>
  <c r="F28" i="7"/>
  <c r="B28" i="7"/>
  <c r="F27" i="7"/>
  <c r="B27" i="7"/>
  <c r="F26" i="7"/>
  <c r="B26" i="7"/>
  <c r="F25" i="7"/>
  <c r="B25" i="7"/>
  <c r="F24" i="7"/>
  <c r="B24" i="7"/>
  <c r="F23" i="7"/>
  <c r="B23" i="7"/>
  <c r="F22" i="7"/>
  <c r="B22" i="7"/>
  <c r="F21" i="7"/>
  <c r="B21" i="7"/>
  <c r="F20" i="7"/>
  <c r="B20" i="7"/>
  <c r="F19" i="7"/>
  <c r="B19" i="7"/>
  <c r="F18" i="7"/>
  <c r="B18" i="7"/>
  <c r="F17" i="7"/>
  <c r="B17" i="7"/>
  <c r="F16" i="7"/>
  <c r="B16" i="7"/>
  <c r="F15" i="7"/>
  <c r="B15" i="7"/>
  <c r="F14" i="7"/>
  <c r="B14" i="7"/>
  <c r="F13" i="7"/>
  <c r="B13" i="7"/>
  <c r="F12" i="7"/>
  <c r="B12" i="7"/>
  <c r="F11" i="7"/>
  <c r="B11" i="7"/>
  <c r="F10" i="7"/>
  <c r="B10" i="7"/>
  <c r="F9" i="7"/>
  <c r="B9" i="7"/>
  <c r="F8" i="7"/>
  <c r="B8" i="7"/>
  <c r="F7" i="7"/>
  <c r="B7" i="7"/>
  <c r="F6" i="7"/>
  <c r="B6" i="7"/>
  <c r="F52" i="5"/>
  <c r="B52" i="5"/>
  <c r="F51" i="5"/>
  <c r="B51" i="5"/>
  <c r="F50" i="5"/>
  <c r="B50" i="5"/>
  <c r="F49" i="5"/>
  <c r="B49" i="5"/>
  <c r="F48" i="5"/>
  <c r="B48" i="5"/>
  <c r="F47" i="5"/>
  <c r="B47" i="5"/>
  <c r="F46" i="5"/>
  <c r="B46" i="5"/>
  <c r="F45" i="5"/>
  <c r="B45" i="5"/>
  <c r="F44" i="5"/>
  <c r="B44" i="5"/>
  <c r="F43" i="5"/>
  <c r="B43" i="5"/>
  <c r="F42" i="5"/>
  <c r="B42" i="5"/>
  <c r="F41" i="5"/>
  <c r="B41" i="5"/>
  <c r="F40" i="5"/>
  <c r="B40" i="5"/>
  <c r="F39" i="5"/>
  <c r="B39" i="5"/>
  <c r="F38" i="5"/>
  <c r="B38" i="5"/>
  <c r="F37" i="5"/>
  <c r="B37" i="5"/>
  <c r="F36" i="5"/>
  <c r="B36" i="5"/>
  <c r="F35" i="5"/>
  <c r="B35" i="5"/>
  <c r="F34" i="5"/>
  <c r="B34" i="5"/>
  <c r="F33" i="5"/>
  <c r="B33" i="5"/>
  <c r="F32" i="5"/>
  <c r="B32" i="5"/>
  <c r="F31" i="5"/>
  <c r="B31" i="5"/>
  <c r="F30" i="5"/>
  <c r="B30" i="5"/>
  <c r="F29" i="5"/>
  <c r="B29" i="5"/>
  <c r="F28" i="5"/>
  <c r="B28" i="5"/>
  <c r="F27" i="5"/>
  <c r="B27" i="5"/>
  <c r="F26" i="5"/>
  <c r="B26" i="5"/>
  <c r="F25" i="5"/>
  <c r="B25" i="5"/>
  <c r="F24" i="5"/>
  <c r="B24" i="5"/>
  <c r="F23" i="5"/>
  <c r="B23" i="5"/>
  <c r="F22" i="5"/>
  <c r="B22" i="5"/>
  <c r="F21" i="5"/>
  <c r="B21" i="5"/>
  <c r="F20" i="5"/>
  <c r="B20" i="5"/>
  <c r="F19" i="5"/>
  <c r="B19" i="5"/>
  <c r="F18" i="5"/>
  <c r="B18" i="5"/>
  <c r="F17" i="5"/>
  <c r="B17" i="5"/>
  <c r="F16" i="5"/>
  <c r="B16" i="5"/>
  <c r="F15" i="5"/>
  <c r="B15" i="5"/>
  <c r="F14" i="5"/>
  <c r="B14" i="5"/>
  <c r="F13" i="5"/>
  <c r="B13" i="5"/>
  <c r="F12" i="5"/>
  <c r="B12" i="5"/>
  <c r="F11" i="5"/>
  <c r="B11" i="5"/>
  <c r="F10" i="5"/>
  <c r="B10" i="5"/>
  <c r="F9" i="5"/>
  <c r="B9" i="5"/>
  <c r="F8" i="5"/>
  <c r="B8" i="5"/>
  <c r="F7" i="5"/>
  <c r="B7" i="5"/>
  <c r="F6" i="5"/>
  <c r="F52" i="4"/>
  <c r="B52" i="4"/>
  <c r="F51" i="4"/>
  <c r="B51" i="4"/>
  <c r="F50" i="4"/>
  <c r="B50" i="4"/>
  <c r="F49" i="4"/>
  <c r="B49" i="4"/>
  <c r="F48" i="4"/>
  <c r="B48" i="4"/>
  <c r="F47" i="4"/>
  <c r="B47" i="4"/>
  <c r="F46" i="4"/>
  <c r="B46" i="4"/>
  <c r="F45" i="4"/>
  <c r="B45" i="4"/>
  <c r="F44" i="4"/>
  <c r="B44" i="4"/>
  <c r="F43" i="4"/>
  <c r="B43" i="4"/>
  <c r="F42" i="4"/>
  <c r="B42" i="4"/>
  <c r="F41" i="4"/>
  <c r="B41" i="4"/>
  <c r="F40" i="4"/>
  <c r="B40" i="4"/>
  <c r="F39" i="4"/>
  <c r="B39" i="4"/>
  <c r="F38" i="4"/>
  <c r="B38" i="4"/>
  <c r="F37" i="4"/>
  <c r="B37" i="4"/>
  <c r="F36" i="4"/>
  <c r="B36" i="4"/>
  <c r="F35" i="4"/>
  <c r="B35" i="4"/>
  <c r="F34" i="4"/>
  <c r="B34" i="4"/>
  <c r="F33" i="4"/>
  <c r="B33" i="4"/>
  <c r="F32" i="4"/>
  <c r="B32" i="4"/>
  <c r="F31" i="4"/>
  <c r="B31" i="4"/>
  <c r="F30" i="4"/>
  <c r="B30" i="4"/>
  <c r="F29" i="4"/>
  <c r="B29" i="4"/>
  <c r="F28" i="4"/>
  <c r="B28" i="4"/>
  <c r="F27" i="4"/>
  <c r="B27" i="4"/>
  <c r="F26" i="4"/>
  <c r="B26" i="4"/>
  <c r="F25" i="4"/>
  <c r="B25" i="4"/>
  <c r="F24" i="4"/>
  <c r="B24" i="4"/>
  <c r="F23" i="4"/>
  <c r="B23" i="4"/>
  <c r="F22" i="4"/>
  <c r="B22" i="4"/>
  <c r="F21" i="4"/>
  <c r="B21" i="4"/>
  <c r="F20" i="4"/>
  <c r="B20" i="4"/>
  <c r="F19" i="4"/>
  <c r="B19" i="4"/>
  <c r="F18" i="4"/>
  <c r="B18" i="4"/>
  <c r="F17" i="4"/>
  <c r="B17" i="4"/>
  <c r="F16" i="4"/>
  <c r="B16" i="4"/>
  <c r="F15" i="4"/>
  <c r="B15" i="4"/>
  <c r="F14" i="4"/>
  <c r="B14" i="4"/>
  <c r="F13" i="4"/>
  <c r="B13" i="4"/>
  <c r="F12" i="4"/>
  <c r="B12" i="4"/>
  <c r="F11" i="4"/>
  <c r="B11" i="4"/>
  <c r="F10" i="4"/>
  <c r="B10" i="4"/>
  <c r="F9" i="4"/>
  <c r="B9" i="4"/>
  <c r="F8" i="4"/>
  <c r="B8" i="4"/>
  <c r="F7" i="4"/>
  <c r="B7" i="4"/>
  <c r="F6" i="4"/>
  <c r="F28" i="1"/>
  <c r="F27" i="1"/>
  <c r="F6" i="1"/>
  <c r="F52" i="1"/>
  <c r="B50" i="1"/>
  <c r="B51" i="1"/>
  <c r="B52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H52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6" i="14"/>
  <c r="B27" i="14"/>
  <c r="B28" i="14"/>
  <c r="B29" i="14"/>
  <c r="B30" i="14"/>
  <c r="B31" i="14"/>
  <c r="B32" i="14"/>
  <c r="B33" i="14"/>
  <c r="B34" i="14"/>
  <c r="B35" i="14"/>
  <c r="B36" i="14"/>
  <c r="B37" i="14"/>
  <c r="B38" i="14"/>
  <c r="B39" i="14"/>
  <c r="B40" i="14"/>
  <c r="B41" i="14"/>
  <c r="B42" i="14"/>
  <c r="B43" i="14"/>
  <c r="B44" i="14"/>
  <c r="B45" i="14"/>
  <c r="B46" i="14"/>
  <c r="B47" i="14"/>
  <c r="B48" i="14"/>
  <c r="B49" i="14"/>
  <c r="B50" i="14"/>
  <c r="B51" i="14"/>
  <c r="B52" i="14"/>
  <c r="J52" i="2"/>
  <c r="L52" i="2"/>
  <c r="M52" i="2"/>
  <c r="N52" i="2"/>
  <c r="O52" i="2"/>
  <c r="P52" i="2"/>
  <c r="J51" i="2"/>
  <c r="L51" i="2"/>
  <c r="M51" i="2"/>
  <c r="N51" i="2"/>
  <c r="O51" i="2"/>
  <c r="P51" i="2"/>
  <c r="H27" i="14"/>
  <c r="O27" i="19" s="1"/>
  <c r="H51" i="14"/>
  <c r="H50" i="14"/>
  <c r="J7" i="2"/>
  <c r="L7" i="2"/>
  <c r="M7" i="2"/>
  <c r="N7" i="2"/>
  <c r="O7" i="2"/>
  <c r="P7" i="2"/>
  <c r="R7" i="2"/>
  <c r="J8" i="2"/>
  <c r="L8" i="2"/>
  <c r="M8" i="2"/>
  <c r="N8" i="2"/>
  <c r="O8" i="2"/>
  <c r="P8" i="2"/>
  <c r="R8" i="2"/>
  <c r="J9" i="2"/>
  <c r="L9" i="2"/>
  <c r="M9" i="2"/>
  <c r="N9" i="2"/>
  <c r="O9" i="2"/>
  <c r="P9" i="2"/>
  <c r="R9" i="2"/>
  <c r="J10" i="2"/>
  <c r="L10" i="2"/>
  <c r="M10" i="2"/>
  <c r="N10" i="2"/>
  <c r="O10" i="2"/>
  <c r="P10" i="2"/>
  <c r="R10" i="2"/>
  <c r="J11" i="2"/>
  <c r="L11" i="2"/>
  <c r="M11" i="2"/>
  <c r="N11" i="2"/>
  <c r="O11" i="2"/>
  <c r="P11" i="2"/>
  <c r="R11" i="2"/>
  <c r="J12" i="2"/>
  <c r="L12" i="2"/>
  <c r="M12" i="2"/>
  <c r="N12" i="2"/>
  <c r="O12" i="2"/>
  <c r="P12" i="2"/>
  <c r="R12" i="2"/>
  <c r="J13" i="2"/>
  <c r="L13" i="2"/>
  <c r="M13" i="2"/>
  <c r="N13" i="2"/>
  <c r="O13" i="2"/>
  <c r="P13" i="2"/>
  <c r="R13" i="2"/>
  <c r="J14" i="2"/>
  <c r="L14" i="2"/>
  <c r="M14" i="2"/>
  <c r="N14" i="2"/>
  <c r="O14" i="2"/>
  <c r="P14" i="2"/>
  <c r="R14" i="2"/>
  <c r="J15" i="2"/>
  <c r="L15" i="2"/>
  <c r="M15" i="2"/>
  <c r="N15" i="2"/>
  <c r="O15" i="2"/>
  <c r="P15" i="2"/>
  <c r="R15" i="2"/>
  <c r="J16" i="2"/>
  <c r="L16" i="2"/>
  <c r="M16" i="2"/>
  <c r="N16" i="2"/>
  <c r="O16" i="2"/>
  <c r="P16" i="2"/>
  <c r="R16" i="2"/>
  <c r="J17" i="2"/>
  <c r="L17" i="2"/>
  <c r="M17" i="2"/>
  <c r="N17" i="2"/>
  <c r="O17" i="2"/>
  <c r="P17" i="2"/>
  <c r="R17" i="2"/>
  <c r="J18" i="2"/>
  <c r="L18" i="2"/>
  <c r="M18" i="2"/>
  <c r="N18" i="2"/>
  <c r="O18" i="2"/>
  <c r="P18" i="2"/>
  <c r="R18" i="2"/>
  <c r="J19" i="2"/>
  <c r="L19" i="2"/>
  <c r="M19" i="2"/>
  <c r="N19" i="2"/>
  <c r="O19" i="2"/>
  <c r="P19" i="2"/>
  <c r="R19" i="2"/>
  <c r="J20" i="2"/>
  <c r="L20" i="2"/>
  <c r="M20" i="2"/>
  <c r="N20" i="2"/>
  <c r="O20" i="2"/>
  <c r="P20" i="2"/>
  <c r="R20" i="2"/>
  <c r="J21" i="2"/>
  <c r="L21" i="2"/>
  <c r="M21" i="2"/>
  <c r="N21" i="2"/>
  <c r="O21" i="2"/>
  <c r="P21" i="2"/>
  <c r="R21" i="2"/>
  <c r="J22" i="2"/>
  <c r="L22" i="2"/>
  <c r="M22" i="2"/>
  <c r="N22" i="2"/>
  <c r="O22" i="2"/>
  <c r="P22" i="2"/>
  <c r="R22" i="2"/>
  <c r="J23" i="2"/>
  <c r="L23" i="2"/>
  <c r="M23" i="2"/>
  <c r="N23" i="2"/>
  <c r="O23" i="2"/>
  <c r="P23" i="2"/>
  <c r="R23" i="2"/>
  <c r="J24" i="2"/>
  <c r="L24" i="2"/>
  <c r="M24" i="2"/>
  <c r="N24" i="2"/>
  <c r="O24" i="2"/>
  <c r="P24" i="2"/>
  <c r="R24" i="2"/>
  <c r="J25" i="2"/>
  <c r="L25" i="2"/>
  <c r="M25" i="2"/>
  <c r="N25" i="2"/>
  <c r="O25" i="2"/>
  <c r="P25" i="2"/>
  <c r="R25" i="2"/>
  <c r="J26" i="2"/>
  <c r="L26" i="2"/>
  <c r="M26" i="2"/>
  <c r="N26" i="2"/>
  <c r="O26" i="2"/>
  <c r="P26" i="2"/>
  <c r="R26" i="2"/>
  <c r="J27" i="2"/>
  <c r="L27" i="2"/>
  <c r="M27" i="2"/>
  <c r="N27" i="2"/>
  <c r="O27" i="2"/>
  <c r="P27" i="2"/>
  <c r="R27" i="2"/>
  <c r="J28" i="2"/>
  <c r="L28" i="2"/>
  <c r="M28" i="2"/>
  <c r="N28" i="2"/>
  <c r="O28" i="2"/>
  <c r="P28" i="2"/>
  <c r="R28" i="2"/>
  <c r="J29" i="2"/>
  <c r="L29" i="2"/>
  <c r="M29" i="2"/>
  <c r="N29" i="2"/>
  <c r="O29" i="2"/>
  <c r="P29" i="2"/>
  <c r="R29" i="2"/>
  <c r="J30" i="2"/>
  <c r="L30" i="2"/>
  <c r="M30" i="2"/>
  <c r="N30" i="2"/>
  <c r="O30" i="2"/>
  <c r="P30" i="2"/>
  <c r="R30" i="2"/>
  <c r="J31" i="2"/>
  <c r="L31" i="2"/>
  <c r="M31" i="2"/>
  <c r="N31" i="2"/>
  <c r="O31" i="2"/>
  <c r="P31" i="2"/>
  <c r="R31" i="2"/>
  <c r="J32" i="2"/>
  <c r="L32" i="2"/>
  <c r="M32" i="2"/>
  <c r="N32" i="2"/>
  <c r="O32" i="2"/>
  <c r="P32" i="2"/>
  <c r="R32" i="2"/>
  <c r="J33" i="2"/>
  <c r="L33" i="2"/>
  <c r="M33" i="2"/>
  <c r="N33" i="2"/>
  <c r="O33" i="2"/>
  <c r="P33" i="2"/>
  <c r="R33" i="2"/>
  <c r="J34" i="2"/>
  <c r="L34" i="2"/>
  <c r="M34" i="2"/>
  <c r="N34" i="2"/>
  <c r="O34" i="2"/>
  <c r="P34" i="2"/>
  <c r="R34" i="2"/>
  <c r="J35" i="2"/>
  <c r="L35" i="2"/>
  <c r="M35" i="2"/>
  <c r="N35" i="2"/>
  <c r="O35" i="2"/>
  <c r="P35" i="2"/>
  <c r="R35" i="2"/>
  <c r="J36" i="2"/>
  <c r="L36" i="2"/>
  <c r="M36" i="2"/>
  <c r="N36" i="2"/>
  <c r="O36" i="2"/>
  <c r="P36" i="2"/>
  <c r="R36" i="2"/>
  <c r="J37" i="2"/>
  <c r="L37" i="2"/>
  <c r="M37" i="2"/>
  <c r="N37" i="2"/>
  <c r="O37" i="2"/>
  <c r="P37" i="2"/>
  <c r="R37" i="2"/>
  <c r="J38" i="2"/>
  <c r="L38" i="2"/>
  <c r="M38" i="2"/>
  <c r="N38" i="2"/>
  <c r="O38" i="2"/>
  <c r="P38" i="2"/>
  <c r="R38" i="2"/>
  <c r="J39" i="2"/>
  <c r="L39" i="2"/>
  <c r="M39" i="2"/>
  <c r="N39" i="2"/>
  <c r="O39" i="2"/>
  <c r="P39" i="2"/>
  <c r="R39" i="2"/>
  <c r="J40" i="2"/>
  <c r="L40" i="2"/>
  <c r="M40" i="2"/>
  <c r="N40" i="2"/>
  <c r="O40" i="2"/>
  <c r="P40" i="2"/>
  <c r="R40" i="2"/>
  <c r="J41" i="2"/>
  <c r="L41" i="2"/>
  <c r="M41" i="2"/>
  <c r="N41" i="2"/>
  <c r="O41" i="2"/>
  <c r="P41" i="2"/>
  <c r="R41" i="2"/>
  <c r="J42" i="2"/>
  <c r="L42" i="2"/>
  <c r="M42" i="2"/>
  <c r="N42" i="2"/>
  <c r="O42" i="2"/>
  <c r="P42" i="2"/>
  <c r="R42" i="2"/>
  <c r="J43" i="2"/>
  <c r="L43" i="2"/>
  <c r="M43" i="2"/>
  <c r="N43" i="2"/>
  <c r="O43" i="2"/>
  <c r="P43" i="2"/>
  <c r="R43" i="2"/>
  <c r="J44" i="2"/>
  <c r="L44" i="2"/>
  <c r="M44" i="2"/>
  <c r="N44" i="2"/>
  <c r="O44" i="2"/>
  <c r="P44" i="2"/>
  <c r="R44" i="2"/>
  <c r="J45" i="2"/>
  <c r="L45" i="2"/>
  <c r="M45" i="2"/>
  <c r="N45" i="2"/>
  <c r="O45" i="2"/>
  <c r="P45" i="2"/>
  <c r="R45" i="2"/>
  <c r="J46" i="2"/>
  <c r="L46" i="2"/>
  <c r="M46" i="2"/>
  <c r="N46" i="2"/>
  <c r="O46" i="2"/>
  <c r="P46" i="2"/>
  <c r="R46" i="2"/>
  <c r="J47" i="2"/>
  <c r="L47" i="2"/>
  <c r="M47" i="2"/>
  <c r="N47" i="2"/>
  <c r="O47" i="2"/>
  <c r="P47" i="2"/>
  <c r="R47" i="2"/>
  <c r="J48" i="2"/>
  <c r="L48" i="2"/>
  <c r="M48" i="2"/>
  <c r="N48" i="2"/>
  <c r="O48" i="2"/>
  <c r="P48" i="2"/>
  <c r="R48" i="2"/>
  <c r="J49" i="2"/>
  <c r="L49" i="2"/>
  <c r="M49" i="2"/>
  <c r="N49" i="2"/>
  <c r="O49" i="2"/>
  <c r="P49" i="2"/>
  <c r="R49" i="2"/>
  <c r="J50" i="2"/>
  <c r="L50" i="2"/>
  <c r="M50" i="2"/>
  <c r="N50" i="2"/>
  <c r="O50" i="2"/>
  <c r="P50" i="2"/>
  <c r="R50" i="2"/>
  <c r="R6" i="2"/>
  <c r="L6" i="2"/>
  <c r="M6" i="2"/>
  <c r="N6" i="2"/>
  <c r="O6" i="2"/>
  <c r="P6" i="2"/>
  <c r="J6" i="2"/>
  <c r="F56" i="6" l="1"/>
  <c r="Q27" i="17"/>
  <c r="P36" i="17"/>
  <c r="J36" i="17" s="1"/>
  <c r="C56" i="14"/>
  <c r="F5" i="17"/>
  <c r="F46" i="17"/>
  <c r="F50" i="17"/>
  <c r="F52" i="17"/>
  <c r="F8" i="17"/>
  <c r="P48" i="17"/>
  <c r="J48" i="17" s="1"/>
  <c r="P32" i="17"/>
  <c r="J32" i="17" s="1"/>
  <c r="P20" i="17"/>
  <c r="J20" i="17" s="1"/>
  <c r="P16" i="17"/>
  <c r="J16" i="17" s="1"/>
  <c r="P12" i="17"/>
  <c r="J12" i="17" s="1"/>
  <c r="P52" i="17"/>
  <c r="J52" i="17" s="1"/>
  <c r="P44" i="17"/>
  <c r="J44" i="17" s="1"/>
  <c r="P40" i="17"/>
  <c r="J40" i="17" s="1"/>
  <c r="P24" i="17"/>
  <c r="J24" i="17" s="1"/>
  <c r="P8" i="17"/>
  <c r="J8" i="17" s="1"/>
  <c r="P7" i="17"/>
  <c r="J7" i="17" s="1"/>
  <c r="P6" i="17"/>
  <c r="J6" i="17" s="1"/>
  <c r="P51" i="17"/>
  <c r="J51" i="17" s="1"/>
  <c r="P50" i="17"/>
  <c r="J50" i="17" s="1"/>
  <c r="P49" i="17"/>
  <c r="J49" i="17" s="1"/>
  <c r="P47" i="17"/>
  <c r="J47" i="17" s="1"/>
  <c r="P46" i="17"/>
  <c r="J46" i="17" s="1"/>
  <c r="P45" i="17"/>
  <c r="J45" i="17" s="1"/>
  <c r="P43" i="17"/>
  <c r="J43" i="17" s="1"/>
  <c r="P42" i="17"/>
  <c r="J42" i="17" s="1"/>
  <c r="P41" i="17"/>
  <c r="J41" i="17" s="1"/>
  <c r="P39" i="17"/>
  <c r="J39" i="17" s="1"/>
  <c r="P38" i="17"/>
  <c r="J38" i="17" s="1"/>
  <c r="P34" i="17"/>
  <c r="J34" i="17" s="1"/>
  <c r="P33" i="17"/>
  <c r="J33" i="17" s="1"/>
  <c r="P31" i="17"/>
  <c r="J31" i="17" s="1"/>
  <c r="P30" i="17"/>
  <c r="J30" i="17" s="1"/>
  <c r="P29" i="17"/>
  <c r="J29" i="17" s="1"/>
  <c r="P27" i="17"/>
  <c r="J27" i="17" s="1"/>
  <c r="P26" i="17"/>
  <c r="J26" i="17" s="1"/>
  <c r="P25" i="17"/>
  <c r="J25" i="17" s="1"/>
  <c r="P23" i="17"/>
  <c r="J23" i="17" s="1"/>
  <c r="P22" i="17"/>
  <c r="J22" i="17" s="1"/>
  <c r="P21" i="17"/>
  <c r="J21" i="17" s="1"/>
  <c r="P19" i="17"/>
  <c r="J19" i="17" s="1"/>
  <c r="P18" i="17"/>
  <c r="J18" i="17" s="1"/>
  <c r="P17" i="17"/>
  <c r="J17" i="17" s="1"/>
  <c r="P15" i="17"/>
  <c r="J15" i="17" s="1"/>
  <c r="P14" i="17"/>
  <c r="J14" i="17" s="1"/>
  <c r="P13" i="17"/>
  <c r="J13" i="17" s="1"/>
  <c r="P10" i="17"/>
  <c r="J10" i="17" s="1"/>
  <c r="P9" i="17"/>
  <c r="J9" i="17" s="1"/>
  <c r="F56" i="14"/>
  <c r="F16" i="17"/>
  <c r="F20" i="17"/>
  <c r="F24" i="17"/>
  <c r="F32" i="17"/>
  <c r="F36" i="17"/>
  <c r="F40" i="17"/>
  <c r="F48" i="17"/>
  <c r="AC54" i="17"/>
  <c r="F12" i="17"/>
  <c r="F28" i="17"/>
  <c r="F44" i="17"/>
  <c r="F6" i="17"/>
  <c r="F10" i="17"/>
  <c r="F14" i="17"/>
  <c r="F18" i="17"/>
  <c r="F22" i="17"/>
  <c r="F26" i="17"/>
  <c r="F30" i="17"/>
  <c r="F34" i="17"/>
  <c r="F38" i="17"/>
  <c r="F42" i="17"/>
  <c r="F7" i="17"/>
  <c r="F15" i="17"/>
  <c r="F19" i="17"/>
  <c r="F23" i="17"/>
  <c r="F27" i="17"/>
  <c r="F31" i="17"/>
  <c r="F39" i="17"/>
  <c r="F43" i="17"/>
  <c r="F47" i="17"/>
  <c r="F51" i="17"/>
  <c r="U54" i="17"/>
  <c r="Y54" i="17"/>
  <c r="F49" i="17"/>
  <c r="F45" i="17"/>
  <c r="F41" i="17"/>
  <c r="F33" i="17"/>
  <c r="F29" i="17"/>
  <c r="F25" i="17"/>
  <c r="F21" i="17"/>
  <c r="F17" i="17"/>
  <c r="F13" i="17"/>
  <c r="F9" i="17"/>
  <c r="V54" i="17"/>
  <c r="C54" i="17"/>
  <c r="S54" i="17"/>
  <c r="W54" i="17"/>
  <c r="AA54" i="17"/>
  <c r="R54" i="17"/>
  <c r="F60" i="17" s="1"/>
  <c r="Z54" i="17"/>
  <c r="T54" i="17"/>
  <c r="X54" i="17"/>
  <c r="AB54" i="17"/>
  <c r="O54" i="2"/>
  <c r="Q6" i="2"/>
  <c r="C55" i="2"/>
  <c r="N55" i="2"/>
  <c r="M55" i="2"/>
  <c r="P55" i="2"/>
  <c r="L55" i="2"/>
  <c r="J55" i="2"/>
  <c r="O55" i="2"/>
  <c r="R55" i="2"/>
  <c r="T55" i="2"/>
  <c r="K55" i="2"/>
  <c r="S55" i="2"/>
  <c r="Q54" i="2"/>
  <c r="Q49" i="2"/>
  <c r="Q45" i="2"/>
  <c r="Q41" i="2"/>
  <c r="Q37" i="2"/>
  <c r="Q33" i="2"/>
  <c r="Q29" i="2"/>
  <c r="Q25" i="2"/>
  <c r="Q21" i="2"/>
  <c r="Q17" i="2"/>
  <c r="Q13" i="2"/>
  <c r="Q9" i="2"/>
  <c r="Q51" i="2"/>
  <c r="Q28" i="2"/>
  <c r="Q24" i="2"/>
  <c r="Q20" i="2"/>
  <c r="Q16" i="2"/>
  <c r="Q12" i="2"/>
  <c r="Q8" i="2"/>
  <c r="Q52" i="2"/>
  <c r="Q7" i="2"/>
  <c r="Q32" i="2"/>
  <c r="Q36" i="2"/>
  <c r="Q40" i="2"/>
  <c r="Q44" i="2"/>
  <c r="Q48" i="2"/>
  <c r="Q11" i="2"/>
  <c r="Q15" i="2"/>
  <c r="Q19" i="2"/>
  <c r="Q23" i="2"/>
  <c r="Q27" i="2"/>
  <c r="Q31" i="2"/>
  <c r="Q35" i="2"/>
  <c r="Q39" i="2"/>
  <c r="Q47" i="2"/>
  <c r="Q10" i="2"/>
  <c r="Q14" i="2"/>
  <c r="Q18" i="2"/>
  <c r="Q22" i="2"/>
  <c r="Q26" i="2"/>
  <c r="Q30" i="2"/>
  <c r="Q34" i="2"/>
  <c r="Q38" i="2"/>
  <c r="Q42" i="2"/>
  <c r="Q46" i="2"/>
  <c r="Q50" i="2"/>
  <c r="Q43" i="2"/>
  <c r="I6" i="2"/>
  <c r="I51" i="2"/>
  <c r="I52" i="2"/>
  <c r="I50" i="2"/>
  <c r="I49" i="2"/>
  <c r="I48" i="2"/>
  <c r="I47" i="2"/>
  <c r="I45" i="2"/>
  <c r="I44" i="2"/>
  <c r="I43" i="2"/>
  <c r="I42" i="2"/>
  <c r="I41" i="2"/>
  <c r="I40" i="2"/>
  <c r="I39" i="2"/>
  <c r="I38" i="2"/>
  <c r="I37" i="2"/>
  <c r="I36" i="2"/>
  <c r="I35" i="2"/>
  <c r="I34" i="2"/>
  <c r="I33" i="2"/>
  <c r="I32" i="2"/>
  <c r="I31" i="2"/>
  <c r="I30" i="2"/>
  <c r="I29" i="2"/>
  <c r="I28" i="2"/>
  <c r="I27" i="2"/>
  <c r="I26" i="2"/>
  <c r="I25" i="2"/>
  <c r="I24" i="2"/>
  <c r="I23" i="2"/>
  <c r="I22" i="2"/>
  <c r="I21" i="2"/>
  <c r="I20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54" i="2"/>
  <c r="I46" i="2"/>
  <c r="J54" i="17" l="1"/>
  <c r="P54" i="17"/>
  <c r="F54" i="17"/>
  <c r="Q55" i="2"/>
  <c r="I55" i="2"/>
  <c r="H42" i="14"/>
  <c r="Q42" i="17" s="1"/>
  <c r="H23" i="14"/>
  <c r="H43" i="14"/>
  <c r="H7" i="14"/>
  <c r="H49" i="14"/>
  <c r="H48" i="14"/>
  <c r="H47" i="14"/>
  <c r="H46" i="14"/>
  <c r="H45" i="14"/>
  <c r="H44" i="14"/>
  <c r="H41" i="14"/>
  <c r="H40" i="14"/>
  <c r="H39" i="14"/>
  <c r="H38" i="14"/>
  <c r="H37" i="14"/>
  <c r="H36" i="14"/>
  <c r="H35" i="14"/>
  <c r="H33" i="14"/>
  <c r="H32" i="14"/>
  <c r="H31" i="14"/>
  <c r="H30" i="14"/>
  <c r="H29" i="14"/>
  <c r="H28" i="14"/>
  <c r="H26" i="14"/>
  <c r="H25" i="14"/>
  <c r="H24" i="14"/>
  <c r="H22" i="14"/>
  <c r="H21" i="14"/>
  <c r="H20" i="14"/>
  <c r="H34" i="14"/>
  <c r="H19" i="14"/>
  <c r="H18" i="14"/>
  <c r="H17" i="14"/>
  <c r="H16" i="14"/>
  <c r="H15" i="14"/>
  <c r="H14" i="14"/>
  <c r="H13" i="14"/>
  <c r="H12" i="14"/>
  <c r="H11" i="14"/>
  <c r="H10" i="14"/>
  <c r="H9" i="14"/>
  <c r="H8" i="14"/>
  <c r="H6" i="14"/>
  <c r="F43" i="1"/>
  <c r="F24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34" i="1"/>
  <c r="F20" i="1"/>
  <c r="F21" i="1"/>
  <c r="F22" i="1"/>
  <c r="F23" i="1"/>
  <c r="F25" i="1"/>
  <c r="F26" i="1"/>
  <c r="F29" i="1"/>
  <c r="F30" i="1"/>
  <c r="F31" i="1"/>
  <c r="F32" i="1"/>
  <c r="F33" i="1"/>
  <c r="F35" i="1"/>
  <c r="F36" i="1"/>
  <c r="F37" i="1"/>
  <c r="F38" i="1"/>
  <c r="F39" i="1"/>
  <c r="F40" i="1"/>
  <c r="F41" i="1"/>
  <c r="F42" i="1"/>
  <c r="F44" i="1"/>
  <c r="F45" i="1"/>
  <c r="F46" i="1"/>
  <c r="F47" i="1"/>
  <c r="F48" i="1"/>
  <c r="F49" i="1"/>
  <c r="F50" i="1"/>
  <c r="F51" i="1"/>
  <c r="O47" i="19" l="1"/>
  <c r="Q47" i="17"/>
  <c r="O46" i="19"/>
  <c r="Q46" i="17"/>
  <c r="O32" i="19"/>
  <c r="Q32" i="17"/>
  <c r="O31" i="19"/>
  <c r="Q31" i="17"/>
  <c r="O34" i="19"/>
  <c r="Q34" i="17"/>
  <c r="O33" i="19"/>
  <c r="Q33" i="17"/>
  <c r="O26" i="19"/>
  <c r="Q26" i="17"/>
  <c r="O20" i="19"/>
  <c r="Q20" i="17"/>
  <c r="O19" i="19"/>
  <c r="Q19" i="17"/>
  <c r="G66" i="17"/>
  <c r="H56" i="14"/>
  <c r="Q43" i="17"/>
  <c r="E5" i="14"/>
  <c r="E7" i="14"/>
  <c r="E11" i="14"/>
  <c r="E15" i="14"/>
  <c r="E19" i="14"/>
  <c r="E23" i="14"/>
  <c r="E27" i="14"/>
  <c r="E31" i="14"/>
  <c r="E35" i="14"/>
  <c r="E39" i="14"/>
  <c r="E43" i="14"/>
  <c r="E47" i="14"/>
  <c r="E51" i="14"/>
  <c r="E8" i="14"/>
  <c r="E12" i="14"/>
  <c r="E16" i="14"/>
  <c r="E20" i="14"/>
  <c r="E24" i="14"/>
  <c r="E28" i="14"/>
  <c r="E32" i="14"/>
  <c r="E36" i="14"/>
  <c r="E40" i="14"/>
  <c r="E44" i="14"/>
  <c r="E48" i="14"/>
  <c r="E52" i="14"/>
  <c r="E9" i="14"/>
  <c r="E13" i="14"/>
  <c r="E17" i="14"/>
  <c r="E21" i="14"/>
  <c r="E25" i="14"/>
  <c r="E29" i="14"/>
  <c r="E33" i="14"/>
  <c r="E37" i="14"/>
  <c r="E41" i="14"/>
  <c r="E45" i="14"/>
  <c r="E49" i="14"/>
  <c r="E6" i="14"/>
  <c r="E10" i="14"/>
  <c r="E14" i="14"/>
  <c r="E18" i="14"/>
  <c r="E22" i="14"/>
  <c r="E26" i="14"/>
  <c r="E30" i="14"/>
  <c r="E34" i="14"/>
  <c r="E38" i="14"/>
  <c r="E42" i="14"/>
  <c r="E46" i="14"/>
  <c r="E50" i="14"/>
  <c r="O54" i="19" l="1"/>
  <c r="Q54" i="17"/>
  <c r="D30" i="1"/>
  <c r="D45" i="1"/>
  <c r="D13" i="1"/>
  <c r="D28" i="1"/>
  <c r="D12" i="1"/>
  <c r="D43" i="1"/>
  <c r="D27" i="1"/>
  <c r="D11" i="1"/>
  <c r="D42" i="1"/>
  <c r="D10" i="1"/>
  <c r="D25" i="1"/>
  <c r="D40" i="1"/>
  <c r="D24" i="1"/>
  <c r="D8" i="1"/>
  <c r="D39" i="1"/>
  <c r="D23" i="1"/>
  <c r="D7" i="1"/>
  <c r="D38" i="1"/>
  <c r="D22" i="1"/>
  <c r="D6" i="1"/>
  <c r="D37" i="1"/>
  <c r="D21" i="1"/>
  <c r="D52" i="1"/>
  <c r="D36" i="1"/>
  <c r="D20" i="1"/>
  <c r="D51" i="1"/>
  <c r="D35" i="1"/>
  <c r="D19" i="1"/>
  <c r="D46" i="1"/>
  <c r="D14" i="1"/>
  <c r="D29" i="1"/>
  <c r="D44" i="1"/>
  <c r="D26" i="1"/>
  <c r="D41" i="1"/>
  <c r="D9" i="1"/>
  <c r="D50" i="1"/>
  <c r="D34" i="1"/>
  <c r="D18" i="1"/>
  <c r="D49" i="1"/>
  <c r="D33" i="1"/>
  <c r="D17" i="1"/>
  <c r="D48" i="1"/>
  <c r="D32" i="1"/>
  <c r="D16" i="1"/>
  <c r="D47" i="1"/>
  <c r="D31" i="1"/>
  <c r="D15" i="1"/>
  <c r="E56" i="14"/>
  <c r="D5" i="1"/>
  <c r="D56" i="1" l="1"/>
  <c r="C52" i="1" s="1"/>
  <c r="D52" i="4" s="1"/>
  <c r="C48" i="1" l="1"/>
  <c r="D48" i="4" s="1"/>
  <c r="C39" i="1"/>
  <c r="C51" i="1"/>
  <c r="D51" i="4" s="1"/>
  <c r="C14" i="1"/>
  <c r="D14" i="4" s="1"/>
  <c r="C50" i="1"/>
  <c r="D50" i="4" s="1"/>
  <c r="C38" i="1"/>
  <c r="C34" i="1"/>
  <c r="D34" i="4" s="1"/>
  <c r="C44" i="1"/>
  <c r="D44" i="4" s="1"/>
  <c r="C33" i="1"/>
  <c r="D33" i="4" s="1"/>
  <c r="C46" i="1"/>
  <c r="C37" i="1"/>
  <c r="D37" i="4" s="1"/>
  <c r="C32" i="1"/>
  <c r="D32" i="4" s="1"/>
  <c r="C5" i="1"/>
  <c r="D5" i="4" s="1"/>
  <c r="C25" i="1"/>
  <c r="C27" i="1"/>
  <c r="D27" i="4" s="1"/>
  <c r="C30" i="1"/>
  <c r="D30" i="4" s="1"/>
  <c r="C49" i="1"/>
  <c r="D49" i="4" s="1"/>
  <c r="C36" i="1"/>
  <c r="C6" i="1"/>
  <c r="D6" i="4" s="1"/>
  <c r="C17" i="1"/>
  <c r="D17" i="4" s="1"/>
  <c r="C24" i="1"/>
  <c r="D24" i="4" s="1"/>
  <c r="C41" i="1"/>
  <c r="D41" i="4" s="1"/>
  <c r="C43" i="1"/>
  <c r="D43" i="4" s="1"/>
  <c r="C45" i="1"/>
  <c r="D45" i="4" s="1"/>
  <c r="C47" i="1"/>
  <c r="D47" i="4" s="1"/>
  <c r="C35" i="1"/>
  <c r="C42" i="1"/>
  <c r="D42" i="4" s="1"/>
  <c r="C23" i="1"/>
  <c r="D23" i="4" s="1"/>
  <c r="C40" i="1"/>
  <c r="D40" i="4" s="1"/>
  <c r="C10" i="1"/>
  <c r="D10" i="4" s="1"/>
  <c r="C28" i="1"/>
  <c r="D28" i="4" s="1"/>
  <c r="C18" i="1"/>
  <c r="D18" i="4" s="1"/>
  <c r="C16" i="1"/>
  <c r="D16" i="4" s="1"/>
  <c r="C19" i="1"/>
  <c r="C20" i="1"/>
  <c r="D20" i="4" s="1"/>
  <c r="C21" i="1"/>
  <c r="C15" i="1"/>
  <c r="C26" i="1"/>
  <c r="D26" i="4" s="1"/>
  <c r="C8" i="1"/>
  <c r="D8" i="4" s="1"/>
  <c r="C9" i="1"/>
  <c r="D9" i="4" s="1"/>
  <c r="C31" i="1"/>
  <c r="C22" i="1"/>
  <c r="C29" i="1"/>
  <c r="D29" i="4" s="1"/>
  <c r="D21" i="4"/>
  <c r="D36" i="4"/>
  <c r="D38" i="4"/>
  <c r="D39" i="4"/>
  <c r="C11" i="1"/>
  <c r="C12" i="1"/>
  <c r="C13" i="1"/>
  <c r="C7" i="1"/>
  <c r="D35" i="4"/>
  <c r="D25" i="4"/>
  <c r="D46" i="4"/>
  <c r="D22" i="4" l="1"/>
  <c r="D15" i="4"/>
  <c r="D19" i="4"/>
  <c r="D31" i="4"/>
  <c r="D11" i="4"/>
  <c r="D13" i="4"/>
  <c r="D12" i="4"/>
  <c r="C56" i="1"/>
  <c r="D7" i="4"/>
  <c r="D56" i="4" l="1"/>
  <c r="C9" i="4" s="1"/>
  <c r="C31" i="4" l="1"/>
  <c r="D31" i="5" s="1"/>
  <c r="C23" i="4"/>
  <c r="D23" i="5" s="1"/>
  <c r="C29" i="4"/>
  <c r="D29" i="5" s="1"/>
  <c r="C21" i="4"/>
  <c r="D21" i="5" s="1"/>
  <c r="C42" i="4"/>
  <c r="D42" i="5" s="1"/>
  <c r="C5" i="4"/>
  <c r="C25" i="4"/>
  <c r="D25" i="5" s="1"/>
  <c r="C30" i="4"/>
  <c r="D30" i="5" s="1"/>
  <c r="C11" i="4"/>
  <c r="D11" i="5" s="1"/>
  <c r="C38" i="4"/>
  <c r="D38" i="5" s="1"/>
  <c r="C17" i="4"/>
  <c r="D17" i="5" s="1"/>
  <c r="C37" i="4"/>
  <c r="D37" i="5" s="1"/>
  <c r="C41" i="4"/>
  <c r="D41" i="5" s="1"/>
  <c r="C12" i="4"/>
  <c r="C47" i="4"/>
  <c r="D47" i="5" s="1"/>
  <c r="C45" i="4"/>
  <c r="C20" i="4"/>
  <c r="C33" i="4"/>
  <c r="D33" i="5" s="1"/>
  <c r="C46" i="4"/>
  <c r="D46" i="5" s="1"/>
  <c r="C39" i="4"/>
  <c r="C34" i="4"/>
  <c r="D34" i="5" s="1"/>
  <c r="C50" i="4"/>
  <c r="C36" i="4"/>
  <c r="C18" i="4"/>
  <c r="C6" i="4"/>
  <c r="D6" i="5" s="1"/>
  <c r="C44" i="4"/>
  <c r="D44" i="5" s="1"/>
  <c r="C24" i="4"/>
  <c r="C10" i="4"/>
  <c r="C52" i="4"/>
  <c r="D52" i="5" s="1"/>
  <c r="C49" i="4"/>
  <c r="D49" i="5" s="1"/>
  <c r="C28" i="4"/>
  <c r="C8" i="4"/>
  <c r="C27" i="4"/>
  <c r="D27" i="5" s="1"/>
  <c r="C35" i="4"/>
  <c r="D35" i="5" s="1"/>
  <c r="C43" i="4"/>
  <c r="D43" i="5" s="1"/>
  <c r="C51" i="4"/>
  <c r="C22" i="4"/>
  <c r="D22" i="5" s="1"/>
  <c r="C15" i="4"/>
  <c r="C13" i="4"/>
  <c r="C26" i="4"/>
  <c r="C19" i="4"/>
  <c r="D19" i="5" s="1"/>
  <c r="C14" i="4"/>
  <c r="C7" i="4"/>
  <c r="C40" i="4"/>
  <c r="C16" i="4"/>
  <c r="D16" i="5" s="1"/>
  <c r="C32" i="4"/>
  <c r="C48" i="4"/>
  <c r="D9" i="5"/>
  <c r="D20" i="5"/>
  <c r="D50" i="5"/>
  <c r="D24" i="5"/>
  <c r="D5" i="5"/>
  <c r="C56" i="4" l="1"/>
  <c r="D39" i="5"/>
  <c r="D40" i="5"/>
  <c r="D26" i="5"/>
  <c r="D51" i="5"/>
  <c r="D10" i="5"/>
  <c r="D48" i="5"/>
  <c r="D7" i="5"/>
  <c r="D13" i="5"/>
  <c r="D28" i="5"/>
  <c r="D36" i="5"/>
  <c r="D45" i="5"/>
  <c r="D32" i="5"/>
  <c r="D14" i="5"/>
  <c r="D15" i="5"/>
  <c r="D8" i="5"/>
  <c r="D18" i="5"/>
  <c r="D12" i="5"/>
  <c r="D56" i="5" l="1"/>
  <c r="C12" i="5" s="1"/>
  <c r="C5" i="5" l="1"/>
  <c r="D5" i="7" s="1"/>
  <c r="C19" i="5"/>
  <c r="D19" i="7" s="1"/>
  <c r="C11" i="5"/>
  <c r="D11" i="7" s="1"/>
  <c r="C50" i="5"/>
  <c r="D50" i="7" s="1"/>
  <c r="C22" i="5"/>
  <c r="D22" i="7" s="1"/>
  <c r="C16" i="5"/>
  <c r="D16" i="7" s="1"/>
  <c r="C46" i="5"/>
  <c r="D46" i="7" s="1"/>
  <c r="C27" i="5"/>
  <c r="D27" i="7" s="1"/>
  <c r="C32" i="5"/>
  <c r="D32" i="7" s="1"/>
  <c r="C7" i="5"/>
  <c r="D7" i="7" s="1"/>
  <c r="C23" i="5"/>
  <c r="D23" i="7" s="1"/>
  <c r="C31" i="5"/>
  <c r="D31" i="7" s="1"/>
  <c r="C43" i="5"/>
  <c r="D43" i="7" s="1"/>
  <c r="C41" i="5"/>
  <c r="D41" i="7" s="1"/>
  <c r="C15" i="5"/>
  <c r="D15" i="7" s="1"/>
  <c r="C39" i="5"/>
  <c r="D39" i="7" s="1"/>
  <c r="C35" i="5"/>
  <c r="D35" i="7" s="1"/>
  <c r="C51" i="5"/>
  <c r="D51" i="7" s="1"/>
  <c r="C25" i="5"/>
  <c r="D25" i="7" s="1"/>
  <c r="C37" i="5"/>
  <c r="D37" i="7" s="1"/>
  <c r="C47" i="5"/>
  <c r="D47" i="7" s="1"/>
  <c r="C33" i="5"/>
  <c r="D33" i="7" s="1"/>
  <c r="C17" i="5"/>
  <c r="D17" i="7" s="1"/>
  <c r="C44" i="5"/>
  <c r="D44" i="7" s="1"/>
  <c r="C42" i="5"/>
  <c r="D42" i="7" s="1"/>
  <c r="C48" i="5"/>
  <c r="D48" i="7" s="1"/>
  <c r="C10" i="5"/>
  <c r="D10" i="7" s="1"/>
  <c r="C28" i="5"/>
  <c r="D28" i="7" s="1"/>
  <c r="C45" i="5"/>
  <c r="C18" i="5"/>
  <c r="D18" i="7" s="1"/>
  <c r="C34" i="5"/>
  <c r="D34" i="7" s="1"/>
  <c r="C20" i="5"/>
  <c r="D20" i="7" s="1"/>
  <c r="C29" i="5"/>
  <c r="D29" i="7" s="1"/>
  <c r="C36" i="5"/>
  <c r="D36" i="7" s="1"/>
  <c r="C30" i="5"/>
  <c r="D30" i="7" s="1"/>
  <c r="C14" i="5"/>
  <c r="D14" i="7" s="1"/>
  <c r="C8" i="5"/>
  <c r="D8" i="7" s="1"/>
  <c r="C52" i="5"/>
  <c r="D52" i="7" s="1"/>
  <c r="C21" i="5"/>
  <c r="D21" i="7" s="1"/>
  <c r="C40" i="5"/>
  <c r="D40" i="7" s="1"/>
  <c r="C24" i="5"/>
  <c r="D24" i="7" s="1"/>
  <c r="C38" i="5"/>
  <c r="D38" i="7" s="1"/>
  <c r="C13" i="5"/>
  <c r="D13" i="7" s="1"/>
  <c r="C49" i="5"/>
  <c r="D49" i="7" s="1"/>
  <c r="C9" i="5"/>
  <c r="D9" i="7" s="1"/>
  <c r="C6" i="5"/>
  <c r="D6" i="7" s="1"/>
  <c r="C26" i="5"/>
  <c r="D26" i="7" s="1"/>
  <c r="D12" i="7"/>
  <c r="D45" i="7"/>
  <c r="C56" i="5" l="1"/>
  <c r="D56" i="7"/>
  <c r="C32" i="7" s="1"/>
  <c r="D32" i="8" s="1"/>
  <c r="C28" i="7"/>
  <c r="C44" i="7"/>
  <c r="C15" i="7"/>
  <c r="C13" i="7" l="1"/>
  <c r="D13" i="8" s="1"/>
  <c r="C36" i="7"/>
  <c r="D36" i="8" s="1"/>
  <c r="C38" i="7"/>
  <c r="D38" i="8" s="1"/>
  <c r="C50" i="7"/>
  <c r="C27" i="7"/>
  <c r="D27" i="8" s="1"/>
  <c r="C10" i="7"/>
  <c r="D10" i="8" s="1"/>
  <c r="C47" i="7"/>
  <c r="C16" i="7"/>
  <c r="D16" i="8" s="1"/>
  <c r="C45" i="7"/>
  <c r="D45" i="8" s="1"/>
  <c r="C5" i="7"/>
  <c r="D5" i="8" s="1"/>
  <c r="C30" i="7"/>
  <c r="D30" i="8" s="1"/>
  <c r="C42" i="7"/>
  <c r="C26" i="7"/>
  <c r="D26" i="8" s="1"/>
  <c r="C12" i="7"/>
  <c r="D12" i="8" s="1"/>
  <c r="C33" i="7"/>
  <c r="D33" i="8" s="1"/>
  <c r="C52" i="7"/>
  <c r="D52" i="8" s="1"/>
  <c r="C14" i="7"/>
  <c r="D14" i="8" s="1"/>
  <c r="C11" i="7"/>
  <c r="D11" i="8" s="1"/>
  <c r="C20" i="7"/>
  <c r="D20" i="8" s="1"/>
  <c r="C21" i="7"/>
  <c r="D21" i="8" s="1"/>
  <c r="C35" i="7"/>
  <c r="D35" i="8" s="1"/>
  <c r="C49" i="7"/>
  <c r="D49" i="8" s="1"/>
  <c r="C41" i="7"/>
  <c r="D41" i="8" s="1"/>
  <c r="C39" i="7"/>
  <c r="D39" i="8" s="1"/>
  <c r="C17" i="7"/>
  <c r="D17" i="8" s="1"/>
  <c r="C25" i="7"/>
  <c r="D25" i="8" s="1"/>
  <c r="C19" i="7"/>
  <c r="D19" i="8" s="1"/>
  <c r="C23" i="7"/>
  <c r="D23" i="8" s="1"/>
  <c r="C9" i="7"/>
  <c r="D9" i="8" s="1"/>
  <c r="C7" i="7"/>
  <c r="D7" i="8" s="1"/>
  <c r="C40" i="7"/>
  <c r="D40" i="8" s="1"/>
  <c r="C43" i="7"/>
  <c r="D43" i="8" s="1"/>
  <c r="C46" i="7"/>
  <c r="D46" i="8" s="1"/>
  <c r="C48" i="7"/>
  <c r="D48" i="8" s="1"/>
  <c r="C24" i="7"/>
  <c r="D24" i="8" s="1"/>
  <c r="C22" i="7"/>
  <c r="D22" i="8" s="1"/>
  <c r="C51" i="7"/>
  <c r="D51" i="8" s="1"/>
  <c r="C8" i="7"/>
  <c r="D8" i="8" s="1"/>
  <c r="C6" i="7"/>
  <c r="D6" i="8" s="1"/>
  <c r="C18" i="7"/>
  <c r="D18" i="8" s="1"/>
  <c r="C31" i="7"/>
  <c r="D31" i="8" s="1"/>
  <c r="C37" i="7"/>
  <c r="D37" i="8" s="1"/>
  <c r="C34" i="7"/>
  <c r="D34" i="8" s="1"/>
  <c r="C29" i="7"/>
  <c r="D29" i="8" s="1"/>
  <c r="D47" i="8"/>
  <c r="D15" i="8"/>
  <c r="D50" i="8"/>
  <c r="D42" i="8"/>
  <c r="D44" i="8"/>
  <c r="D28" i="8"/>
  <c r="C56" i="7" l="1"/>
  <c r="D56" i="8"/>
  <c r="C24" i="8" s="1"/>
  <c r="D24" i="9" s="1"/>
  <c r="C37" i="8"/>
  <c r="D37" i="9" s="1"/>
  <c r="C48" i="8"/>
  <c r="D48" i="9" s="1"/>
  <c r="C18" i="8"/>
  <c r="D18" i="9" s="1"/>
  <c r="C9" i="8" l="1"/>
  <c r="D9" i="9" s="1"/>
  <c r="C5" i="8"/>
  <c r="D5" i="9" s="1"/>
  <c r="C36" i="8"/>
  <c r="D36" i="9" s="1"/>
  <c r="C42" i="8"/>
  <c r="D42" i="9" s="1"/>
  <c r="C27" i="8"/>
  <c r="D27" i="9" s="1"/>
  <c r="C16" i="8"/>
  <c r="D16" i="9" s="1"/>
  <c r="C46" i="8"/>
  <c r="C20" i="8"/>
  <c r="D20" i="9" s="1"/>
  <c r="C50" i="8"/>
  <c r="D50" i="9" s="1"/>
  <c r="C21" i="8"/>
  <c r="D21" i="9" s="1"/>
  <c r="C34" i="8"/>
  <c r="D34" i="9" s="1"/>
  <c r="C31" i="8"/>
  <c r="D31" i="9" s="1"/>
  <c r="C43" i="8"/>
  <c r="D43" i="9" s="1"/>
  <c r="C35" i="8"/>
  <c r="D35" i="9" s="1"/>
  <c r="C12" i="8"/>
  <c r="D12" i="9" s="1"/>
  <c r="C26" i="8"/>
  <c r="D26" i="9" s="1"/>
  <c r="C14" i="8"/>
  <c r="D14" i="9" s="1"/>
  <c r="C41" i="8"/>
  <c r="D41" i="9" s="1"/>
  <c r="C13" i="8"/>
  <c r="D13" i="9" s="1"/>
  <c r="C33" i="8"/>
  <c r="D33" i="9" s="1"/>
  <c r="C10" i="8"/>
  <c r="D10" i="9" s="1"/>
  <c r="C45" i="8"/>
  <c r="D45" i="9" s="1"/>
  <c r="C44" i="8"/>
  <c r="D44" i="9" s="1"/>
  <c r="C19" i="8"/>
  <c r="D19" i="9" s="1"/>
  <c r="C30" i="8"/>
  <c r="D30" i="9" s="1"/>
  <c r="C6" i="8"/>
  <c r="D6" i="9" s="1"/>
  <c r="C51" i="8"/>
  <c r="D51" i="9" s="1"/>
  <c r="C15" i="8"/>
  <c r="D15" i="9" s="1"/>
  <c r="C38" i="8"/>
  <c r="D38" i="9" s="1"/>
  <c r="C28" i="8"/>
  <c r="D28" i="9" s="1"/>
  <c r="C47" i="8"/>
  <c r="D47" i="9" s="1"/>
  <c r="C23" i="8"/>
  <c r="D23" i="9" s="1"/>
  <c r="C29" i="8"/>
  <c r="C32" i="8"/>
  <c r="D32" i="9" s="1"/>
  <c r="C8" i="8"/>
  <c r="D8" i="9" s="1"/>
  <c r="C22" i="8"/>
  <c r="D22" i="9" s="1"/>
  <c r="C17" i="8"/>
  <c r="D17" i="9" s="1"/>
  <c r="C40" i="8"/>
  <c r="D40" i="9" s="1"/>
  <c r="C7" i="8"/>
  <c r="D7" i="9" s="1"/>
  <c r="C49" i="8"/>
  <c r="D49" i="9" s="1"/>
  <c r="C25" i="8"/>
  <c r="D25" i="9" s="1"/>
  <c r="C39" i="8"/>
  <c r="D39" i="9" s="1"/>
  <c r="C11" i="8"/>
  <c r="D11" i="9" s="1"/>
  <c r="C52" i="8"/>
  <c r="D52" i="9" s="1"/>
  <c r="D29" i="9"/>
  <c r="D46" i="9"/>
  <c r="C56" i="8" l="1"/>
  <c r="D56" i="9"/>
  <c r="C10" i="9" s="1"/>
  <c r="C28" i="9" l="1"/>
  <c r="D28" i="10" s="1"/>
  <c r="C34" i="9"/>
  <c r="D34" i="10" s="1"/>
  <c r="C8" i="9"/>
  <c r="D8" i="10" s="1"/>
  <c r="C50" i="9"/>
  <c r="C44" i="9"/>
  <c r="D44" i="10" s="1"/>
  <c r="C49" i="9"/>
  <c r="D49" i="10" s="1"/>
  <c r="C12" i="9"/>
  <c r="D12" i="10" s="1"/>
  <c r="C37" i="9"/>
  <c r="D37" i="10" s="1"/>
  <c r="C52" i="9"/>
  <c r="D52" i="10" s="1"/>
  <c r="C31" i="9"/>
  <c r="D31" i="10" s="1"/>
  <c r="C16" i="9"/>
  <c r="D16" i="10" s="1"/>
  <c r="C15" i="9"/>
  <c r="D15" i="10" s="1"/>
  <c r="C48" i="9"/>
  <c r="D48" i="10" s="1"/>
  <c r="C20" i="9"/>
  <c r="D20" i="10" s="1"/>
  <c r="C47" i="9"/>
  <c r="D47" i="10" s="1"/>
  <c r="C35" i="9"/>
  <c r="D35" i="10" s="1"/>
  <c r="C21" i="9"/>
  <c r="D21" i="10" s="1"/>
  <c r="C41" i="9"/>
  <c r="D41" i="10" s="1"/>
  <c r="C14" i="9"/>
  <c r="D14" i="10" s="1"/>
  <c r="C45" i="9"/>
  <c r="D45" i="10" s="1"/>
  <c r="C22" i="9"/>
  <c r="D22" i="10" s="1"/>
  <c r="C19" i="9"/>
  <c r="D19" i="10" s="1"/>
  <c r="C46" i="9"/>
  <c r="D46" i="10" s="1"/>
  <c r="C7" i="9"/>
  <c r="D7" i="10" s="1"/>
  <c r="C29" i="9"/>
  <c r="D29" i="10" s="1"/>
  <c r="C5" i="9"/>
  <c r="D5" i="10" s="1"/>
  <c r="C39" i="9"/>
  <c r="D39" i="10" s="1"/>
  <c r="C33" i="9"/>
  <c r="D33" i="10" s="1"/>
  <c r="C32" i="9"/>
  <c r="D32" i="10" s="1"/>
  <c r="C42" i="9"/>
  <c r="D42" i="10" s="1"/>
  <c r="C18" i="9"/>
  <c r="D18" i="10" s="1"/>
  <c r="C24" i="9"/>
  <c r="D24" i="10" s="1"/>
  <c r="C27" i="9"/>
  <c r="D27" i="10" s="1"/>
  <c r="C11" i="9"/>
  <c r="D11" i="10" s="1"/>
  <c r="C6" i="9"/>
  <c r="D6" i="10" s="1"/>
  <c r="C13" i="9"/>
  <c r="D13" i="10" s="1"/>
  <c r="C51" i="9"/>
  <c r="D51" i="10" s="1"/>
  <c r="C38" i="9"/>
  <c r="D38" i="10" s="1"/>
  <c r="C26" i="9"/>
  <c r="D26" i="10" s="1"/>
  <c r="C25" i="9"/>
  <c r="D25" i="10" s="1"/>
  <c r="C30" i="9"/>
  <c r="D30" i="10" s="1"/>
  <c r="C43" i="9"/>
  <c r="D43" i="10" s="1"/>
  <c r="C23" i="9"/>
  <c r="D23" i="10" s="1"/>
  <c r="C17" i="9"/>
  <c r="D17" i="10" s="1"/>
  <c r="C40" i="9"/>
  <c r="D40" i="10" s="1"/>
  <c r="C36" i="9"/>
  <c r="D36" i="10" s="1"/>
  <c r="C9" i="9"/>
  <c r="D9" i="10" s="1"/>
  <c r="D50" i="10"/>
  <c r="D10" i="10"/>
  <c r="D56" i="10" l="1"/>
  <c r="C50" i="10" s="1"/>
  <c r="D50" i="6" s="1"/>
  <c r="C56" i="9"/>
  <c r="C32" i="10" l="1"/>
  <c r="D32" i="6" s="1"/>
  <c r="C20" i="10"/>
  <c r="D20" i="6" s="1"/>
  <c r="C51" i="10"/>
  <c r="D51" i="6" s="1"/>
  <c r="C9" i="10"/>
  <c r="D9" i="6" s="1"/>
  <c r="C11" i="10"/>
  <c r="D11" i="6" s="1"/>
  <c r="C22" i="10"/>
  <c r="D22" i="6" s="1"/>
  <c r="C10" i="10"/>
  <c r="C21" i="10"/>
  <c r="D21" i="6" s="1"/>
  <c r="C52" i="10"/>
  <c r="D52" i="6" s="1"/>
  <c r="C48" i="10"/>
  <c r="D48" i="6" s="1"/>
  <c r="C29" i="10"/>
  <c r="D29" i="6" s="1"/>
  <c r="C14" i="10"/>
  <c r="D14" i="6" s="1"/>
  <c r="C23" i="10"/>
  <c r="D23" i="6" s="1"/>
  <c r="C38" i="10"/>
  <c r="D38" i="6" s="1"/>
  <c r="C7" i="10"/>
  <c r="D7" i="6" s="1"/>
  <c r="C16" i="10"/>
  <c r="D16" i="6" s="1"/>
  <c r="C12" i="10"/>
  <c r="D12" i="6" s="1"/>
  <c r="C5" i="10"/>
  <c r="D5" i="6" s="1"/>
  <c r="C19" i="10"/>
  <c r="D19" i="6" s="1"/>
  <c r="C37" i="10"/>
  <c r="D37" i="6" s="1"/>
  <c r="C45" i="10"/>
  <c r="D45" i="6" s="1"/>
  <c r="C8" i="10"/>
  <c r="D8" i="6" s="1"/>
  <c r="C6" i="10"/>
  <c r="D6" i="6" s="1"/>
  <c r="C41" i="10"/>
  <c r="D41" i="6" s="1"/>
  <c r="C36" i="10"/>
  <c r="D36" i="6" s="1"/>
  <c r="C46" i="10"/>
  <c r="D46" i="6" s="1"/>
  <c r="C30" i="10"/>
  <c r="D30" i="6" s="1"/>
  <c r="C31" i="10"/>
  <c r="D31" i="6" s="1"/>
  <c r="C40" i="10"/>
  <c r="D40" i="6" s="1"/>
  <c r="C42" i="10"/>
  <c r="D42" i="6" s="1"/>
  <c r="C17" i="10"/>
  <c r="D17" i="6" s="1"/>
  <c r="C18" i="10"/>
  <c r="D18" i="6" s="1"/>
  <c r="C43" i="10"/>
  <c r="D43" i="6" s="1"/>
  <c r="C34" i="10"/>
  <c r="D34" i="6" s="1"/>
  <c r="C47" i="10"/>
  <c r="D47" i="6" s="1"/>
  <c r="C28" i="10"/>
  <c r="D28" i="6" s="1"/>
  <c r="C33" i="10"/>
  <c r="D33" i="6" s="1"/>
  <c r="C24" i="10"/>
  <c r="D24" i="6" s="1"/>
  <c r="C26" i="10"/>
  <c r="D26" i="6" s="1"/>
  <c r="C44" i="10"/>
  <c r="D44" i="6" s="1"/>
  <c r="C13" i="10"/>
  <c r="D13" i="6" s="1"/>
  <c r="C25" i="10"/>
  <c r="D25" i="6" s="1"/>
  <c r="C39" i="10"/>
  <c r="D39" i="6" s="1"/>
  <c r="C15" i="10"/>
  <c r="D15" i="6" s="1"/>
  <c r="C49" i="10"/>
  <c r="D49" i="6" s="1"/>
  <c r="C27" i="10"/>
  <c r="D27" i="6" s="1"/>
  <c r="C35" i="10"/>
  <c r="D35" i="6" s="1"/>
  <c r="D10" i="6"/>
  <c r="D56" i="6" l="1"/>
  <c r="C6" i="6" s="1"/>
  <c r="C56" i="10"/>
  <c r="C8" i="6" l="1"/>
  <c r="D8" i="3" s="1"/>
  <c r="C46" i="6"/>
  <c r="D46" i="3" s="1"/>
  <c r="C39" i="6"/>
  <c r="C37" i="6"/>
  <c r="D37" i="3" s="1"/>
  <c r="C27" i="6"/>
  <c r="D27" i="3" s="1"/>
  <c r="C47" i="6"/>
  <c r="D47" i="3" s="1"/>
  <c r="C26" i="6"/>
  <c r="D26" i="3" s="1"/>
  <c r="C15" i="6"/>
  <c r="D15" i="3" s="1"/>
  <c r="C7" i="6"/>
  <c r="D7" i="3" s="1"/>
  <c r="C52" i="6"/>
  <c r="C38" i="6"/>
  <c r="D38" i="3" s="1"/>
  <c r="C50" i="6"/>
  <c r="D50" i="3" s="1"/>
  <c r="C42" i="6"/>
  <c r="D42" i="3" s="1"/>
  <c r="C5" i="6"/>
  <c r="D5" i="3" s="1"/>
  <c r="C30" i="6"/>
  <c r="D30" i="3" s="1"/>
  <c r="C49" i="6"/>
  <c r="C41" i="6"/>
  <c r="D41" i="3" s="1"/>
  <c r="C36" i="6"/>
  <c r="D36" i="3" s="1"/>
  <c r="C31" i="6"/>
  <c r="D31" i="3" s="1"/>
  <c r="C9" i="6"/>
  <c r="D9" i="3" s="1"/>
  <c r="C14" i="6"/>
  <c r="D14" i="3" s="1"/>
  <c r="C32" i="6"/>
  <c r="D32" i="3" s="1"/>
  <c r="C29" i="6"/>
  <c r="D29" i="3" s="1"/>
  <c r="C34" i="6"/>
  <c r="D34" i="3" s="1"/>
  <c r="C44" i="6"/>
  <c r="D44" i="3" s="1"/>
  <c r="C13" i="6"/>
  <c r="D13" i="3" s="1"/>
  <c r="C25" i="6"/>
  <c r="D25" i="3" s="1"/>
  <c r="C19" i="6"/>
  <c r="D19" i="3" s="1"/>
  <c r="C10" i="6"/>
  <c r="D10" i="3" s="1"/>
  <c r="C48" i="6"/>
  <c r="D48" i="3" s="1"/>
  <c r="C51" i="6"/>
  <c r="D51" i="3" s="1"/>
  <c r="C45" i="6"/>
  <c r="D45" i="3" s="1"/>
  <c r="C33" i="6"/>
  <c r="C21" i="6"/>
  <c r="D21" i="3" s="1"/>
  <c r="C20" i="6"/>
  <c r="C22" i="6"/>
  <c r="D22" i="3" s="1"/>
  <c r="C24" i="6"/>
  <c r="D24" i="3" s="1"/>
  <c r="C28" i="6"/>
  <c r="D28" i="3" s="1"/>
  <c r="C16" i="6"/>
  <c r="D16" i="3" s="1"/>
  <c r="C17" i="6"/>
  <c r="D17" i="3" s="1"/>
  <c r="C23" i="6"/>
  <c r="D23" i="3" s="1"/>
  <c r="C11" i="6"/>
  <c r="D11" i="3" s="1"/>
  <c r="C18" i="6"/>
  <c r="D18" i="3" s="1"/>
  <c r="C12" i="6"/>
  <c r="D12" i="3" s="1"/>
  <c r="C43" i="6"/>
  <c r="D43" i="3" s="1"/>
  <c r="C35" i="6"/>
  <c r="D35" i="3" s="1"/>
  <c r="C40" i="6"/>
  <c r="D40" i="3" s="1"/>
  <c r="D20" i="3"/>
  <c r="D33" i="3"/>
  <c r="D52" i="3"/>
  <c r="D39" i="3"/>
  <c r="D49" i="3"/>
  <c r="D6" i="3"/>
  <c r="C56" i="6" l="1"/>
  <c r="D56" i="3"/>
  <c r="C26" i="3" s="1"/>
  <c r="C18" i="3" l="1"/>
  <c r="D18" i="12" s="1"/>
  <c r="C39" i="3"/>
  <c r="D39" i="12" s="1"/>
  <c r="C48" i="3"/>
  <c r="D48" i="12" s="1"/>
  <c r="C34" i="3"/>
  <c r="D34" i="12" s="1"/>
  <c r="C49" i="3"/>
  <c r="D49" i="12" s="1"/>
  <c r="C37" i="3"/>
  <c r="D37" i="12" s="1"/>
  <c r="C41" i="3"/>
  <c r="D41" i="12" s="1"/>
  <c r="C19" i="3"/>
  <c r="D19" i="12" s="1"/>
  <c r="C30" i="3"/>
  <c r="D30" i="12" s="1"/>
  <c r="C7" i="3"/>
  <c r="D7" i="12" s="1"/>
  <c r="C21" i="3"/>
  <c r="D21" i="12" s="1"/>
  <c r="C9" i="3"/>
  <c r="C5" i="3"/>
  <c r="D5" i="12" s="1"/>
  <c r="C33" i="3"/>
  <c r="D33" i="12" s="1"/>
  <c r="C29" i="3"/>
  <c r="D29" i="12" s="1"/>
  <c r="C31" i="3"/>
  <c r="D31" i="12" s="1"/>
  <c r="C6" i="3"/>
  <c r="D6" i="12" s="1"/>
  <c r="C40" i="3"/>
  <c r="D40" i="12" s="1"/>
  <c r="C22" i="3"/>
  <c r="D22" i="12" s="1"/>
  <c r="C46" i="3"/>
  <c r="D46" i="12" s="1"/>
  <c r="C44" i="3"/>
  <c r="D44" i="12" s="1"/>
  <c r="C52" i="3"/>
  <c r="D52" i="12" s="1"/>
  <c r="C23" i="3"/>
  <c r="D23" i="12" s="1"/>
  <c r="C51" i="3"/>
  <c r="D51" i="12" s="1"/>
  <c r="C36" i="3"/>
  <c r="D36" i="12" s="1"/>
  <c r="C8" i="3"/>
  <c r="D8" i="12" s="1"/>
  <c r="C10" i="3"/>
  <c r="D10" i="12" s="1"/>
  <c r="C43" i="3"/>
  <c r="D43" i="12" s="1"/>
  <c r="C47" i="3"/>
  <c r="D47" i="12" s="1"/>
  <c r="C42" i="3"/>
  <c r="D42" i="12" s="1"/>
  <c r="C28" i="3"/>
  <c r="D28" i="12" s="1"/>
  <c r="C17" i="3"/>
  <c r="D17" i="12" s="1"/>
  <c r="C11" i="3"/>
  <c r="D11" i="12" s="1"/>
  <c r="C16" i="3"/>
  <c r="D16" i="12" s="1"/>
  <c r="C32" i="3"/>
  <c r="D32" i="12" s="1"/>
  <c r="C20" i="3"/>
  <c r="D20" i="12" s="1"/>
  <c r="C14" i="3"/>
  <c r="D14" i="12" s="1"/>
  <c r="C45" i="3"/>
  <c r="D45" i="12" s="1"/>
  <c r="C50" i="3"/>
  <c r="D50" i="12" s="1"/>
  <c r="C13" i="3"/>
  <c r="D13" i="12" s="1"/>
  <c r="C24" i="3"/>
  <c r="D24" i="12" s="1"/>
  <c r="C38" i="3"/>
  <c r="D38" i="12" s="1"/>
  <c r="C12" i="3"/>
  <c r="D12" i="12" s="1"/>
  <c r="C27" i="3"/>
  <c r="D27" i="12" s="1"/>
  <c r="C15" i="3"/>
  <c r="D15" i="12" s="1"/>
  <c r="C35" i="3"/>
  <c r="D35" i="12" s="1"/>
  <c r="C25" i="3"/>
  <c r="D25" i="12" s="1"/>
  <c r="D9" i="12"/>
  <c r="D26" i="12"/>
  <c r="C56" i="3" l="1"/>
  <c r="D56" i="12"/>
  <c r="C8" i="12" s="1"/>
  <c r="C12" i="12" l="1"/>
  <c r="D12" i="11" s="1"/>
  <c r="C35" i="12"/>
  <c r="D35" i="11" s="1"/>
  <c r="C47" i="12"/>
  <c r="D47" i="11" s="1"/>
  <c r="C41" i="12"/>
  <c r="D41" i="11" s="1"/>
  <c r="C20" i="12"/>
  <c r="C24" i="12"/>
  <c r="D24" i="11" s="1"/>
  <c r="C26" i="12"/>
  <c r="D26" i="11" s="1"/>
  <c r="C50" i="12"/>
  <c r="D50" i="11" s="1"/>
  <c r="C6" i="12"/>
  <c r="D6" i="11" s="1"/>
  <c r="C38" i="12"/>
  <c r="D38" i="11" s="1"/>
  <c r="C34" i="12"/>
  <c r="D34" i="11" s="1"/>
  <c r="C37" i="12"/>
  <c r="D37" i="11" s="1"/>
  <c r="C43" i="12"/>
  <c r="D43" i="11" s="1"/>
  <c r="C9" i="12"/>
  <c r="D9" i="11" s="1"/>
  <c r="C49" i="12"/>
  <c r="D49" i="11" s="1"/>
  <c r="C21" i="12"/>
  <c r="D21" i="11" s="1"/>
  <c r="C32" i="12"/>
  <c r="D32" i="11" s="1"/>
  <c r="C18" i="12"/>
  <c r="D18" i="11" s="1"/>
  <c r="C45" i="12"/>
  <c r="D45" i="11" s="1"/>
  <c r="C22" i="12"/>
  <c r="D22" i="11" s="1"/>
  <c r="C25" i="12"/>
  <c r="D25" i="11" s="1"/>
  <c r="C31" i="12"/>
  <c r="D31" i="11" s="1"/>
  <c r="C13" i="12"/>
  <c r="D13" i="11" s="1"/>
  <c r="C48" i="12"/>
  <c r="D48" i="11" s="1"/>
  <c r="C40" i="12"/>
  <c r="D40" i="11" s="1"/>
  <c r="C29" i="12"/>
  <c r="D29" i="11" s="1"/>
  <c r="C7" i="12"/>
  <c r="D7" i="11" s="1"/>
  <c r="C36" i="12"/>
  <c r="D36" i="11" s="1"/>
  <c r="C10" i="12"/>
  <c r="D10" i="11" s="1"/>
  <c r="C28" i="12"/>
  <c r="D28" i="11" s="1"/>
  <c r="C16" i="12"/>
  <c r="D16" i="11" s="1"/>
  <c r="C5" i="12"/>
  <c r="C15" i="12"/>
  <c r="D15" i="11" s="1"/>
  <c r="C44" i="12"/>
  <c r="C39" i="12"/>
  <c r="D39" i="11" s="1"/>
  <c r="C14" i="12"/>
  <c r="D14" i="11" s="1"/>
  <c r="C51" i="12"/>
  <c r="D51" i="11" s="1"/>
  <c r="C17" i="12"/>
  <c r="D17" i="11" s="1"/>
  <c r="C23" i="12"/>
  <c r="D23" i="11" s="1"/>
  <c r="C33" i="12"/>
  <c r="D33" i="11" s="1"/>
  <c r="C46" i="12"/>
  <c r="D46" i="11" s="1"/>
  <c r="C27" i="12"/>
  <c r="D27" i="11" s="1"/>
  <c r="C19" i="12"/>
  <c r="D19" i="11" s="1"/>
  <c r="C42" i="12"/>
  <c r="D42" i="11" s="1"/>
  <c r="C30" i="12"/>
  <c r="D30" i="11" s="1"/>
  <c r="C52" i="12"/>
  <c r="D52" i="11" s="1"/>
  <c r="C11" i="12"/>
  <c r="D11" i="11" s="1"/>
  <c r="D5" i="11"/>
  <c r="D20" i="11"/>
  <c r="D44" i="11"/>
  <c r="D8" i="11"/>
  <c r="C56" i="12" l="1"/>
  <c r="D56" i="11"/>
  <c r="C21" i="11" l="1"/>
  <c r="C37" i="11"/>
  <c r="C15" i="11"/>
  <c r="C6" i="11"/>
  <c r="C48" i="11"/>
  <c r="C50" i="11"/>
  <c r="C36" i="11"/>
  <c r="C12" i="11"/>
  <c r="C11" i="11"/>
  <c r="C46" i="11"/>
  <c r="C26" i="11"/>
  <c r="C27" i="11"/>
  <c r="C23" i="11"/>
  <c r="C32" i="11"/>
  <c r="C17" i="11"/>
  <c r="C35" i="11"/>
  <c r="C30" i="11"/>
  <c r="C33" i="11"/>
  <c r="C7" i="11"/>
  <c r="C49" i="11"/>
  <c r="C45" i="11"/>
  <c r="C25" i="11"/>
  <c r="C18" i="11"/>
  <c r="C28" i="11"/>
  <c r="C31" i="11"/>
  <c r="C22" i="11"/>
  <c r="C43" i="11"/>
  <c r="C9" i="11"/>
  <c r="C52" i="11"/>
  <c r="C14" i="11"/>
  <c r="C44" i="11"/>
  <c r="C8" i="11"/>
  <c r="C51" i="11"/>
  <c r="C5" i="11"/>
  <c r="C29" i="11"/>
  <c r="C20" i="11"/>
  <c r="C24" i="11"/>
  <c r="C42" i="11"/>
  <c r="C39" i="11"/>
  <c r="C38" i="11"/>
  <c r="C34" i="11"/>
  <c r="C19" i="11"/>
  <c r="C40" i="11"/>
  <c r="C41" i="11"/>
  <c r="C10" i="11"/>
  <c r="C16" i="11"/>
  <c r="C47" i="11"/>
  <c r="C13" i="11"/>
  <c r="O54" i="17"/>
  <c r="G64" i="17" s="1"/>
  <c r="N54" i="17"/>
  <c r="G13" i="17" l="1"/>
  <c r="I13" i="17" s="1"/>
  <c r="K13" i="17" s="1"/>
  <c r="F13" i="19"/>
  <c r="H13" i="19" s="1"/>
  <c r="J13" i="19" s="1"/>
  <c r="E13" i="11"/>
  <c r="G38" i="17"/>
  <c r="I38" i="17" s="1"/>
  <c r="K38" i="17" s="1"/>
  <c r="E38" i="11"/>
  <c r="F38" i="19"/>
  <c r="H38" i="19" s="1"/>
  <c r="J38" i="19" s="1"/>
  <c r="G20" i="17"/>
  <c r="I20" i="17" s="1"/>
  <c r="K20" i="17" s="1"/>
  <c r="F20" i="19"/>
  <c r="H20" i="19" s="1"/>
  <c r="J20" i="19" s="1"/>
  <c r="E20" i="11"/>
  <c r="G8" i="17"/>
  <c r="I8" i="17" s="1"/>
  <c r="K8" i="17" s="1"/>
  <c r="E8" i="11"/>
  <c r="F8" i="19"/>
  <c r="H8" i="19" s="1"/>
  <c r="J8" i="19" s="1"/>
  <c r="G9" i="17"/>
  <c r="I9" i="17" s="1"/>
  <c r="K9" i="17" s="1"/>
  <c r="F9" i="19"/>
  <c r="H9" i="19" s="1"/>
  <c r="J9" i="19" s="1"/>
  <c r="E9" i="11"/>
  <c r="G28" i="17"/>
  <c r="I28" i="17" s="1"/>
  <c r="K28" i="17" s="1"/>
  <c r="E28" i="11"/>
  <c r="F28" i="19"/>
  <c r="H28" i="19" s="1"/>
  <c r="J28" i="19" s="1"/>
  <c r="G49" i="17"/>
  <c r="I49" i="17" s="1"/>
  <c r="K49" i="17" s="1"/>
  <c r="E49" i="11"/>
  <c r="F49" i="19"/>
  <c r="H49" i="19" s="1"/>
  <c r="J49" i="19" s="1"/>
  <c r="F35" i="19"/>
  <c r="H35" i="19" s="1"/>
  <c r="J35" i="19" s="1"/>
  <c r="E35" i="11"/>
  <c r="G35" i="19" s="1"/>
  <c r="G27" i="17"/>
  <c r="I27" i="17" s="1"/>
  <c r="K27" i="17" s="1"/>
  <c r="F27" i="19"/>
  <c r="H27" i="19" s="1"/>
  <c r="J27" i="19" s="1"/>
  <c r="E27" i="11"/>
  <c r="G12" i="17"/>
  <c r="I12" i="17" s="1"/>
  <c r="K12" i="17" s="1"/>
  <c r="F12" i="19"/>
  <c r="H12" i="19" s="1"/>
  <c r="J12" i="19" s="1"/>
  <c r="E12" i="11"/>
  <c r="G6" i="17"/>
  <c r="I6" i="17" s="1"/>
  <c r="K6" i="17" s="1"/>
  <c r="E6" i="11"/>
  <c r="F6" i="19"/>
  <c r="H6" i="19" s="1"/>
  <c r="J6" i="19" s="1"/>
  <c r="G47" i="17"/>
  <c r="I47" i="17" s="1"/>
  <c r="K47" i="17" s="1"/>
  <c r="F47" i="19"/>
  <c r="H47" i="19" s="1"/>
  <c r="J47" i="19" s="1"/>
  <c r="E47" i="11"/>
  <c r="G40" i="17"/>
  <c r="I40" i="17" s="1"/>
  <c r="K40" i="17" s="1"/>
  <c r="F40" i="19"/>
  <c r="H40" i="19" s="1"/>
  <c r="J40" i="19" s="1"/>
  <c r="E40" i="11"/>
  <c r="G39" i="17"/>
  <c r="I39" i="17" s="1"/>
  <c r="K39" i="17" s="1"/>
  <c r="E39" i="11"/>
  <c r="F39" i="19"/>
  <c r="H39" i="19" s="1"/>
  <c r="J39" i="19" s="1"/>
  <c r="G29" i="17"/>
  <c r="I29" i="17" s="1"/>
  <c r="K29" i="17" s="1"/>
  <c r="F29" i="19"/>
  <c r="H29" i="19" s="1"/>
  <c r="J29" i="19" s="1"/>
  <c r="E29" i="11"/>
  <c r="G44" i="17"/>
  <c r="I44" i="17" s="1"/>
  <c r="K44" i="17" s="1"/>
  <c r="F44" i="19"/>
  <c r="H44" i="19" s="1"/>
  <c r="J44" i="19" s="1"/>
  <c r="E44" i="11"/>
  <c r="G43" i="17"/>
  <c r="I43" i="17" s="1"/>
  <c r="K43" i="17" s="1"/>
  <c r="E43" i="11"/>
  <c r="F43" i="19"/>
  <c r="H43" i="19" s="1"/>
  <c r="J43" i="19" s="1"/>
  <c r="G18" i="17"/>
  <c r="I18" i="17" s="1"/>
  <c r="K18" i="17" s="1"/>
  <c r="E18" i="11"/>
  <c r="F18" i="19"/>
  <c r="H18" i="19" s="1"/>
  <c r="J18" i="19" s="1"/>
  <c r="G7" i="17"/>
  <c r="I7" i="17" s="1"/>
  <c r="K7" i="17" s="1"/>
  <c r="E7" i="11"/>
  <c r="F7" i="19"/>
  <c r="H7" i="19" s="1"/>
  <c r="J7" i="19" s="1"/>
  <c r="G17" i="17"/>
  <c r="I17" i="17" s="1"/>
  <c r="K17" i="17" s="1"/>
  <c r="E17" i="11"/>
  <c r="F17" i="19"/>
  <c r="H17" i="19" s="1"/>
  <c r="J17" i="19" s="1"/>
  <c r="G26" i="17"/>
  <c r="I26" i="17" s="1"/>
  <c r="K26" i="17" s="1"/>
  <c r="F26" i="19"/>
  <c r="H26" i="19" s="1"/>
  <c r="J26" i="19" s="1"/>
  <c r="E26" i="11"/>
  <c r="G36" i="17"/>
  <c r="I36" i="17" s="1"/>
  <c r="K36" i="17" s="1"/>
  <c r="E36" i="11"/>
  <c r="F36" i="19"/>
  <c r="H36" i="19" s="1"/>
  <c r="J36" i="19" s="1"/>
  <c r="G15" i="17"/>
  <c r="I15" i="17" s="1"/>
  <c r="K15" i="17" s="1"/>
  <c r="F15" i="19"/>
  <c r="H15" i="19" s="1"/>
  <c r="J15" i="19" s="1"/>
  <c r="E15" i="11"/>
  <c r="G16" i="17"/>
  <c r="I16" i="17" s="1"/>
  <c r="K16" i="17" s="1"/>
  <c r="F16" i="19"/>
  <c r="H16" i="19" s="1"/>
  <c r="J16" i="19" s="1"/>
  <c r="E16" i="11"/>
  <c r="G19" i="17"/>
  <c r="I19" i="17" s="1"/>
  <c r="K19" i="17" s="1"/>
  <c r="E19" i="11"/>
  <c r="F19" i="19"/>
  <c r="H19" i="19" s="1"/>
  <c r="J19" i="19" s="1"/>
  <c r="G42" i="17"/>
  <c r="I42" i="17" s="1"/>
  <c r="K42" i="17" s="1"/>
  <c r="E42" i="11"/>
  <c r="F42" i="19"/>
  <c r="H42" i="19" s="1"/>
  <c r="J42" i="19" s="1"/>
  <c r="G5" i="17"/>
  <c r="C56" i="11"/>
  <c r="E5" i="11"/>
  <c r="F5" i="19"/>
  <c r="G14" i="17"/>
  <c r="I14" i="17" s="1"/>
  <c r="K14" i="17" s="1"/>
  <c r="F14" i="19"/>
  <c r="H14" i="19" s="1"/>
  <c r="J14" i="19" s="1"/>
  <c r="E14" i="11"/>
  <c r="G22" i="17"/>
  <c r="I22" i="17" s="1"/>
  <c r="K22" i="17" s="1"/>
  <c r="E22" i="11"/>
  <c r="F22" i="19"/>
  <c r="H22" i="19" s="1"/>
  <c r="J22" i="19" s="1"/>
  <c r="G25" i="17"/>
  <c r="I25" i="17" s="1"/>
  <c r="K25" i="17" s="1"/>
  <c r="F25" i="19"/>
  <c r="H25" i="19" s="1"/>
  <c r="J25" i="19" s="1"/>
  <c r="E25" i="11"/>
  <c r="G33" i="17"/>
  <c r="I33" i="17" s="1"/>
  <c r="K33" i="17" s="1"/>
  <c r="F33" i="19"/>
  <c r="H33" i="19" s="1"/>
  <c r="J33" i="19" s="1"/>
  <c r="E33" i="11"/>
  <c r="G32" i="17"/>
  <c r="I32" i="17" s="1"/>
  <c r="K32" i="17" s="1"/>
  <c r="E32" i="11"/>
  <c r="F32" i="19"/>
  <c r="H32" i="19" s="1"/>
  <c r="J32" i="19" s="1"/>
  <c r="G46" i="17"/>
  <c r="I46" i="17" s="1"/>
  <c r="K46" i="17" s="1"/>
  <c r="E46" i="11"/>
  <c r="F46" i="19"/>
  <c r="H46" i="19" s="1"/>
  <c r="J46" i="19" s="1"/>
  <c r="G50" i="17"/>
  <c r="I50" i="17" s="1"/>
  <c r="K50" i="17" s="1"/>
  <c r="F50" i="19"/>
  <c r="H50" i="19" s="1"/>
  <c r="J50" i="19" s="1"/>
  <c r="E50" i="11"/>
  <c r="F37" i="19"/>
  <c r="H37" i="19" s="1"/>
  <c r="J37" i="19" s="1"/>
  <c r="E37" i="11"/>
  <c r="G37" i="19" s="1"/>
  <c r="G41" i="17"/>
  <c r="I41" i="17" s="1"/>
  <c r="K41" i="17" s="1"/>
  <c r="E41" i="11"/>
  <c r="F41" i="19"/>
  <c r="H41" i="19" s="1"/>
  <c r="J41" i="19" s="1"/>
  <c r="G10" i="17"/>
  <c r="I10" i="17" s="1"/>
  <c r="K10" i="17" s="1"/>
  <c r="F10" i="19"/>
  <c r="H10" i="19" s="1"/>
  <c r="J10" i="19" s="1"/>
  <c r="E10" i="11"/>
  <c r="G34" i="17"/>
  <c r="I34" i="17" s="1"/>
  <c r="K34" i="17" s="1"/>
  <c r="E34" i="11"/>
  <c r="F34" i="19"/>
  <c r="H34" i="19" s="1"/>
  <c r="J34" i="19" s="1"/>
  <c r="G24" i="17"/>
  <c r="I24" i="17" s="1"/>
  <c r="K24" i="17" s="1"/>
  <c r="F24" i="19"/>
  <c r="H24" i="19" s="1"/>
  <c r="J24" i="19" s="1"/>
  <c r="E24" i="11"/>
  <c r="E51" i="11"/>
  <c r="G51" i="17"/>
  <c r="I51" i="17" s="1"/>
  <c r="K51" i="17" s="1"/>
  <c r="F51" i="19"/>
  <c r="H51" i="19" s="1"/>
  <c r="J51" i="19" s="1"/>
  <c r="G52" i="17"/>
  <c r="I52" i="17" s="1"/>
  <c r="K52" i="17" s="1"/>
  <c r="E52" i="11"/>
  <c r="F52" i="19"/>
  <c r="H52" i="19" s="1"/>
  <c r="J52" i="19" s="1"/>
  <c r="G31" i="17"/>
  <c r="I31" i="17" s="1"/>
  <c r="K31" i="17" s="1"/>
  <c r="E31" i="11"/>
  <c r="F31" i="19"/>
  <c r="H31" i="19" s="1"/>
  <c r="J31" i="19" s="1"/>
  <c r="G45" i="17"/>
  <c r="I45" i="17" s="1"/>
  <c r="K45" i="17" s="1"/>
  <c r="F45" i="19"/>
  <c r="H45" i="19" s="1"/>
  <c r="J45" i="19" s="1"/>
  <c r="E45" i="11"/>
  <c r="G30" i="17"/>
  <c r="I30" i="17" s="1"/>
  <c r="K30" i="17" s="1"/>
  <c r="F30" i="19"/>
  <c r="H30" i="19" s="1"/>
  <c r="J30" i="19" s="1"/>
  <c r="E30" i="11"/>
  <c r="G23" i="17"/>
  <c r="I23" i="17" s="1"/>
  <c r="K23" i="17" s="1"/>
  <c r="E23" i="11"/>
  <c r="F23" i="19"/>
  <c r="H23" i="19" s="1"/>
  <c r="J23" i="19" s="1"/>
  <c r="F11" i="19"/>
  <c r="H11" i="19" s="1"/>
  <c r="J11" i="19" s="1"/>
  <c r="E11" i="11"/>
  <c r="G11" i="19" s="1"/>
  <c r="G48" i="17"/>
  <c r="I48" i="17" s="1"/>
  <c r="K48" i="17" s="1"/>
  <c r="E48" i="11"/>
  <c r="F48" i="19"/>
  <c r="H48" i="19" s="1"/>
  <c r="J48" i="19" s="1"/>
  <c r="F21" i="19"/>
  <c r="H21" i="19" s="1"/>
  <c r="J21" i="19" s="1"/>
  <c r="G21" i="17"/>
  <c r="I21" i="17" s="1"/>
  <c r="K21" i="17" s="1"/>
  <c r="E21" i="11"/>
  <c r="G67" i="17"/>
  <c r="K56" i="17" l="1"/>
  <c r="H45" i="17"/>
  <c r="G45" i="19"/>
  <c r="H31" i="17"/>
  <c r="G31" i="19"/>
  <c r="G14" i="19"/>
  <c r="H14" i="17"/>
  <c r="H5" i="17"/>
  <c r="E56" i="11"/>
  <c r="G5" i="19"/>
  <c r="H42" i="17"/>
  <c r="G42" i="19"/>
  <c r="H29" i="17"/>
  <c r="G29" i="19"/>
  <c r="G39" i="19"/>
  <c r="H39" i="17"/>
  <c r="H49" i="17"/>
  <c r="G49" i="19"/>
  <c r="H30" i="17"/>
  <c r="G30" i="19"/>
  <c r="H16" i="17"/>
  <c r="G16" i="19"/>
  <c r="H44" i="17"/>
  <c r="G44" i="19"/>
  <c r="G47" i="19"/>
  <c r="H47" i="17"/>
  <c r="H6" i="17"/>
  <c r="G6" i="19"/>
  <c r="H9" i="17"/>
  <c r="G9" i="19"/>
  <c r="H8" i="17"/>
  <c r="G8" i="19"/>
  <c r="H13" i="17"/>
  <c r="G13" i="19"/>
  <c r="H21" i="17"/>
  <c r="G21" i="19"/>
  <c r="H48" i="17"/>
  <c r="G48" i="19"/>
  <c r="H10" i="17"/>
  <c r="G10" i="19"/>
  <c r="H41" i="17"/>
  <c r="G41" i="19"/>
  <c r="H50" i="17"/>
  <c r="G50" i="19"/>
  <c r="H46" i="17"/>
  <c r="G46" i="19"/>
  <c r="H25" i="17"/>
  <c r="G25" i="19"/>
  <c r="H22" i="17"/>
  <c r="G22" i="19"/>
  <c r="I5" i="17"/>
  <c r="G54" i="17"/>
  <c r="F59" i="17" s="1"/>
  <c r="H57" i="17" s="1"/>
  <c r="H26" i="17"/>
  <c r="G26" i="19"/>
  <c r="H17" i="17"/>
  <c r="G17" i="19"/>
  <c r="H40" i="17"/>
  <c r="G40" i="19"/>
  <c r="H27" i="17"/>
  <c r="G27" i="19"/>
  <c r="H24" i="17"/>
  <c r="G24" i="19"/>
  <c r="H34" i="17"/>
  <c r="G34" i="19"/>
  <c r="G15" i="19"/>
  <c r="H15" i="17"/>
  <c r="G36" i="19"/>
  <c r="H36" i="17"/>
  <c r="G18" i="19"/>
  <c r="H18" i="17"/>
  <c r="H32" i="17"/>
  <c r="G32" i="19"/>
  <c r="J56" i="19"/>
  <c r="H7" i="17"/>
  <c r="G7" i="19"/>
  <c r="H23" i="17"/>
  <c r="G23" i="19"/>
  <c r="H52" i="17"/>
  <c r="G52" i="19"/>
  <c r="H51" i="17"/>
  <c r="G51" i="19"/>
  <c r="H33" i="17"/>
  <c r="G33" i="19"/>
  <c r="H5" i="19"/>
  <c r="F54" i="19"/>
  <c r="E59" i="19" s="1"/>
  <c r="G57" i="19" s="1"/>
  <c r="G19" i="19"/>
  <c r="H19" i="17"/>
  <c r="H43" i="17"/>
  <c r="G43" i="19"/>
  <c r="G12" i="19"/>
  <c r="H12" i="17"/>
  <c r="H28" i="17"/>
  <c r="G28" i="19"/>
  <c r="G20" i="19"/>
  <c r="H20" i="17"/>
  <c r="H38" i="17"/>
  <c r="G38" i="19"/>
  <c r="J5" i="19" l="1"/>
  <c r="H54" i="19"/>
  <c r="H54" i="17"/>
  <c r="K5" i="17"/>
  <c r="K55" i="17" s="1"/>
  <c r="I54" i="17"/>
  <c r="G54" i="19"/>
  <c r="J54" i="19" l="1"/>
  <c r="J55" i="19"/>
  <c r="F62" i="19" s="1"/>
  <c r="G68" i="19" s="1"/>
  <c r="G70" i="19" s="1"/>
  <c r="G62" i="17"/>
  <c r="H69" i="17" s="1"/>
  <c r="H71" i="17" s="1"/>
  <c r="K54" i="17"/>
</calcChain>
</file>

<file path=xl/sharedStrings.xml><?xml version="1.0" encoding="utf-8"?>
<sst xmlns="http://schemas.openxmlformats.org/spreadsheetml/2006/main" count="1529" uniqueCount="226">
  <si>
    <t>ASSOCIATION</t>
  </si>
  <si>
    <t>ASELBY</t>
  </si>
  <si>
    <t>ANNEE</t>
  </si>
  <si>
    <t>2016/2017</t>
  </si>
  <si>
    <t xml:space="preserve">TONTINE </t>
  </si>
  <si>
    <t>20 000</t>
  </si>
  <si>
    <t>MATRICULE</t>
  </si>
  <si>
    <t>NOM ET PRENOM</t>
  </si>
  <si>
    <t>REMBOURSEMENT</t>
  </si>
  <si>
    <t>INTERET ACHAT</t>
  </si>
  <si>
    <t>DATE ACHAT</t>
  </si>
  <si>
    <t>AS201601</t>
  </si>
  <si>
    <t>AS201602</t>
  </si>
  <si>
    <t>AS201603</t>
  </si>
  <si>
    <t>AS201604</t>
  </si>
  <si>
    <t>AS201605</t>
  </si>
  <si>
    <t>AS201606</t>
  </si>
  <si>
    <t>AS201607</t>
  </si>
  <si>
    <t>AS201608</t>
  </si>
  <si>
    <t>AS201609</t>
  </si>
  <si>
    <t>AS201610</t>
  </si>
  <si>
    <t>AS201611</t>
  </si>
  <si>
    <t>AS201612</t>
  </si>
  <si>
    <t>AS201613</t>
  </si>
  <si>
    <t>AS201614</t>
  </si>
  <si>
    <t>AS201615</t>
  </si>
  <si>
    <t>AS201616</t>
  </si>
  <si>
    <t>AS201617</t>
  </si>
  <si>
    <t>AS201618</t>
  </si>
  <si>
    <t>AS201619</t>
  </si>
  <si>
    <t>AS201620</t>
  </si>
  <si>
    <t>AS201621</t>
  </si>
  <si>
    <t>AS201622</t>
  </si>
  <si>
    <t>AS201623</t>
  </si>
  <si>
    <t>AS201624</t>
  </si>
  <si>
    <t>AS201625</t>
  </si>
  <si>
    <t>AS201626</t>
  </si>
  <si>
    <t>AS201627</t>
  </si>
  <si>
    <t>AS201628</t>
  </si>
  <si>
    <t>AS201629</t>
  </si>
  <si>
    <t>AS201630</t>
  </si>
  <si>
    <t>AS201631</t>
  </si>
  <si>
    <t>AS201632</t>
  </si>
  <si>
    <t>AS201633</t>
  </si>
  <si>
    <t>AS201634</t>
  </si>
  <si>
    <t>AS201635</t>
  </si>
  <si>
    <t>AS201636</t>
  </si>
  <si>
    <t>AS201637</t>
  </si>
  <si>
    <t>AS201638</t>
  </si>
  <si>
    <t>AS201639</t>
  </si>
  <si>
    <t>AS201640</t>
  </si>
  <si>
    <t>AS201641</t>
  </si>
  <si>
    <t>AS201642</t>
  </si>
  <si>
    <t>AS201643</t>
  </si>
  <si>
    <t>AS201644</t>
  </si>
  <si>
    <t>AS201645</t>
  </si>
  <si>
    <t>TOTAL</t>
  </si>
  <si>
    <t>EPARGNE</t>
  </si>
  <si>
    <t>FONDS DE ROULEMENT</t>
  </si>
  <si>
    <t>FRAIS EXCEPTIONNEL</t>
  </si>
  <si>
    <t>COLLATION</t>
  </si>
  <si>
    <t>MUTUELLE</t>
  </si>
  <si>
    <t>TONTINE</t>
  </si>
  <si>
    <t>EMPRUNT</t>
  </si>
  <si>
    <t>INTERET EMPRUNT</t>
  </si>
  <si>
    <t>MONTANT VERSE</t>
  </si>
  <si>
    <t>AS201646</t>
  </si>
  <si>
    <t>LOWE JEAN</t>
  </si>
  <si>
    <t>BAKOP ACHILLE</t>
  </si>
  <si>
    <t>BOUTCHOUANG WILLIAM</t>
  </si>
  <si>
    <t>CHINGUE FABRICE</t>
  </si>
  <si>
    <t xml:space="preserve">DJOMO JEAN PAUL </t>
  </si>
  <si>
    <t>DJOUKWE GUY</t>
  </si>
  <si>
    <t>DJOUNKEP SAMUEL</t>
  </si>
  <si>
    <t>DJUOMBESSY ANTOINE</t>
  </si>
  <si>
    <t>DONHOU DAVID</t>
  </si>
  <si>
    <t>FOTSO THOMAS</t>
  </si>
  <si>
    <t>HENGUE PAUL OMER</t>
  </si>
  <si>
    <t>HODIEP JULES</t>
  </si>
  <si>
    <t>HOTCHO BENJAMIN</t>
  </si>
  <si>
    <t>KEPHE DAVID</t>
  </si>
  <si>
    <t>KEPSEU FRANCIS</t>
  </si>
  <si>
    <t>KOUAMOU EMMANUEL</t>
  </si>
  <si>
    <t>KOUAMOU MOISE</t>
  </si>
  <si>
    <t>KOUAMOU VICTOR PEGUY</t>
  </si>
  <si>
    <t>NANKAM APPOLINAIRE</t>
  </si>
  <si>
    <t>NDJOMO ETIENNE</t>
  </si>
  <si>
    <t>NDOMBOU JEAN CLAUDE</t>
  </si>
  <si>
    <t>NGONDIEP CLAUDE</t>
  </si>
  <si>
    <t>NGONGANG JEAN THEODORE</t>
  </si>
  <si>
    <t>NGUIEMEGNI MATHIEU BLAISE</t>
  </si>
  <si>
    <t>NJEPDJIO MBOUKAM DELUXE</t>
  </si>
  <si>
    <t>NKAMGANG JUSTIN DEJOLIE</t>
  </si>
  <si>
    <t>NKEPSEU DIEUDONNE</t>
  </si>
  <si>
    <t>NTEPDIE TUEMAC MZ</t>
  </si>
  <si>
    <t>PATEGO NJOSSU GUSTAVE</t>
  </si>
  <si>
    <t>SEUNOU RICHELOT</t>
  </si>
  <si>
    <t>SIME ABEL</t>
  </si>
  <si>
    <t>SIME FONGANG ERIC</t>
  </si>
  <si>
    <t>SIME MATHIEU</t>
  </si>
  <si>
    <t>SIME PIERRE</t>
  </si>
  <si>
    <t>TCHOUANTE FRANCOIS</t>
  </si>
  <si>
    <t>TCHOUTOU NANA CLAUDE</t>
  </si>
  <si>
    <t>TIEYAM ERNEST</t>
  </si>
  <si>
    <t>TUGMA PIERRE LOTI</t>
  </si>
  <si>
    <t>YEPMOU JEAN JACQUES</t>
  </si>
  <si>
    <t>YOUMBI EMMANUEL</t>
  </si>
  <si>
    <t>NKEPSEU HENANG RENE</t>
  </si>
  <si>
    <t>LISTE DES ADHERENTS 19 JUN 2016</t>
  </si>
  <si>
    <t>MLE</t>
  </si>
  <si>
    <t>NOM ET  PRENOM</t>
  </si>
  <si>
    <t>FONCTION</t>
  </si>
  <si>
    <t>DATE ADHESION</t>
  </si>
  <si>
    <t>CONTACT</t>
  </si>
  <si>
    <t>CONTACT 2</t>
  </si>
  <si>
    <t>RESIDENCE</t>
  </si>
  <si>
    <t>DATE RECEPTION</t>
  </si>
  <si>
    <t>FONCTIONNAIRE DE POLICE</t>
  </si>
  <si>
    <t>NKOLBISSON</t>
  </si>
  <si>
    <t>OPERATEUR ECONOMIQUE</t>
  </si>
  <si>
    <t>EMANA</t>
  </si>
  <si>
    <t>SANTA BARBARA</t>
  </si>
  <si>
    <t>RETRAITE</t>
  </si>
  <si>
    <t>RUE MANGUIERS</t>
  </si>
  <si>
    <t>PROFESSEUR DES LYCEES TECHNIQUE</t>
  </si>
  <si>
    <t>COMPTABLE RETRAITE</t>
  </si>
  <si>
    <t>BIYEM ASSI LYCEE</t>
  </si>
  <si>
    <t>ANALYSTE CONCEPTEUR SI</t>
  </si>
  <si>
    <t>MESSASSI</t>
  </si>
  <si>
    <t>MAGISTRAT</t>
  </si>
  <si>
    <t>TONGOLO</t>
  </si>
  <si>
    <t>CADRE BANQUE</t>
  </si>
  <si>
    <t>OYOMABANG</t>
  </si>
  <si>
    <t>SOCIOLOGUE</t>
  </si>
  <si>
    <t>CADRE CNPS</t>
  </si>
  <si>
    <t>NYOM 2</t>
  </si>
  <si>
    <t>COMPTABLE</t>
  </si>
  <si>
    <t>DAMAS</t>
  </si>
  <si>
    <t>OFFICIER DE POLICE RETRAITE</t>
  </si>
  <si>
    <t>SIMBOCK</t>
  </si>
  <si>
    <t>CADRE SONEL RETRAITE</t>
  </si>
  <si>
    <t>MONTEE JOUVENCE</t>
  </si>
  <si>
    <t>INGENIEUR E-F</t>
  </si>
  <si>
    <t>S/OFFICIER SUPERIEUR</t>
  </si>
  <si>
    <t>KOUATCHO MESSACK</t>
  </si>
  <si>
    <t>INSPECTEUR DE TRAVAIL</t>
  </si>
  <si>
    <t>SECRETAIRE D'ADMINISTRATION</t>
  </si>
  <si>
    <t>ENSEIGNANT</t>
  </si>
  <si>
    <t>ING AGRONOME RETRAITE</t>
  </si>
  <si>
    <t>ETOUG EBE</t>
  </si>
  <si>
    <t>DAS(DIRECTEUR ADMINISTRATEUR SOCIETE)</t>
  </si>
  <si>
    <t>CITE VERTE</t>
  </si>
  <si>
    <t>CHEF ENTREPRISE</t>
  </si>
  <si>
    <t>CADRE CADASTRE</t>
  </si>
  <si>
    <t>MONATELE</t>
  </si>
  <si>
    <t>MENDONG</t>
  </si>
  <si>
    <t>DELEGUE COMMERCIAL</t>
  </si>
  <si>
    <t>ESSOS</t>
  </si>
  <si>
    <t>NTOMBOU ADOLPHE</t>
  </si>
  <si>
    <t xml:space="preserve">INGENIEUR </t>
  </si>
  <si>
    <t>INGENIEUR T-P</t>
  </si>
  <si>
    <t>EBOGO 1(SOA)</t>
  </si>
  <si>
    <t>ELEVEUR</t>
  </si>
  <si>
    <t>PARC NATIONAL</t>
  </si>
  <si>
    <t>TECHNICIEN DE SANTE RETRAITE</t>
  </si>
  <si>
    <t>TCHOUAMOU JEAN PAUL</t>
  </si>
  <si>
    <t>TCHOUAMOU MATHIEU</t>
  </si>
  <si>
    <t>OFFICIER SUPERIEUR</t>
  </si>
  <si>
    <t>NKOL FOULOU</t>
  </si>
  <si>
    <t>INGENIEUR ELECTRONICIEN</t>
  </si>
  <si>
    <t>BASTOS</t>
  </si>
  <si>
    <t>PROFESSEUR DES LYCEES RETRAITE</t>
  </si>
  <si>
    <t>ADMINISTRATEUR CIVIL</t>
  </si>
  <si>
    <t>MENDONG (NKOLZIE)</t>
  </si>
  <si>
    <t>PROFESSEUR DES UNIVERSITES</t>
  </si>
  <si>
    <t>MENDONG (GUINNESS)</t>
  </si>
  <si>
    <t>TAGNE NANGUEN MARTIN</t>
  </si>
  <si>
    <t>PROFESSEUR DE LYCEE</t>
  </si>
  <si>
    <t>AS201647</t>
  </si>
  <si>
    <t>DJOSSEU JOSUE</t>
  </si>
  <si>
    <t>REMBOURSEMENT INTERET</t>
  </si>
  <si>
    <t>PENALITE FONDS</t>
  </si>
  <si>
    <t>PENALITE EMPRUNT</t>
  </si>
  <si>
    <t>RELIQUAT 2015</t>
  </si>
  <si>
    <t>SANCTION</t>
  </si>
  <si>
    <t>AS201648</t>
  </si>
  <si>
    <t>REPARTITION INTERET</t>
  </si>
  <si>
    <t>CAPITAL COMPOSE</t>
  </si>
  <si>
    <t>FONDS DE CAISSE</t>
  </si>
  <si>
    <t>CAPITAL COMPOSE REPARTITION</t>
  </si>
  <si>
    <t>CAPITAL DEPART</t>
  </si>
  <si>
    <t>CAPITAL COMPOSE FIN</t>
  </si>
  <si>
    <t>FRAIS FIXE A PRELEVER</t>
  </si>
  <si>
    <t>CAPITAL A DISTRIBUER</t>
  </si>
  <si>
    <t>ASSOCIATION DES ELITES BANGOU DE YAOUNDE</t>
  </si>
  <si>
    <t>INTERET 2016</t>
  </si>
  <si>
    <t>FRAIS FIXE A COMPLETER</t>
  </si>
  <si>
    <t>DECEMBRE 2015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</si>
  <si>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</si>
  <si>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</si>
  <si>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</si>
  <si>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</si>
  <si>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</si>
  <si>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</si>
  <si>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</si>
  <si>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</si>
  <si>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</si>
  <si>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</si>
  <si>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</si>
  <si>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RETOUR EN CAISSE MUTUELLE</t>
  </si>
  <si>
    <t>RETOUR MUTUELLE</t>
  </si>
  <si>
    <t>DECEMBRE</t>
  </si>
  <si>
    <t>COMPLEMENT FONDS</t>
  </si>
  <si>
    <t>TOTAL A DISTRIBUER</t>
  </si>
  <si>
    <t>RELIQUAT</t>
  </si>
  <si>
    <t>CAPITAL TOTAL A PERCEVOIR</t>
  </si>
  <si>
    <t>RETENUE</t>
  </si>
  <si>
    <t>CAPITAL  A DISTRIBUER</t>
  </si>
  <si>
    <t>EPARGNE 2016</t>
  </si>
  <si>
    <t>MONTANT EFFECTIVEMENT VERSE</t>
  </si>
  <si>
    <t>CAPITAL EFFECTIVEMENT DISTRIBUE</t>
  </si>
  <si>
    <t>SORTIE</t>
  </si>
  <si>
    <t>FONDS DISTRIBUE</t>
  </si>
  <si>
    <t>RETOUR BANQUE</t>
  </si>
  <si>
    <t>FRAIS DE TAXI</t>
  </si>
  <si>
    <t>RELIQUAT 2016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</si>
</sst>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;[Red]#,##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Britannic Bold"/>
      <family val="2"/>
    </font>
    <font>
      <sz val="14"/>
      <color theme="1"/>
      <name val="Britannic Bold"/>
      <family val="2"/>
    </font>
    <font>
      <sz val="11"/>
      <color theme="1"/>
      <name val="Castellar"/>
      <family val="1"/>
    </font>
    <font>
      <sz val="11"/>
      <name val="Castellar"/>
      <family val="1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FF0000"/>
      <name val="Britannic Bold"/>
      <family val="2"/>
    </font>
    <font>
      <sz val="11"/>
      <color rgb="FFFF0000"/>
      <name val="Castellar"/>
      <family val="1"/>
    </font>
    <font>
      <sz val="12"/>
      <color theme="1"/>
      <name val="Britannic Bold"/>
      <family val="2"/>
    </font>
    <font>
      <sz val="10"/>
      <color theme="1"/>
      <name val="Britannic Bold"/>
      <family val="2"/>
    </font>
    <font>
      <sz val="11"/>
      <name val="Britannic Bold"/>
      <family val="2"/>
    </font>
    <font>
      <sz val="14"/>
      <color rgb="FF00B050"/>
      <name val="Britannic Bold"/>
      <family val="2"/>
    </font>
    <font>
      <sz val="11"/>
      <color rgb="FF00B050"/>
      <name val="Calibri"/>
      <family val="2"/>
      <scheme val="minor"/>
    </font>
    <font>
      <sz val="14"/>
      <color rgb="FFFF0000"/>
      <name val="Britannic Bold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double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double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double">
        <color auto="1"/>
      </top>
      <bottom style="hair">
        <color auto="1"/>
      </bottom>
      <diagonal/>
    </border>
    <border>
      <left style="double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  <border>
      <left style="hair">
        <color auto="1"/>
      </left>
      <right style="double">
        <color auto="1"/>
      </right>
      <top style="hair">
        <color auto="1"/>
      </top>
      <bottom style="double">
        <color auto="1"/>
      </bottom>
      <diagonal/>
    </border>
    <border>
      <left style="double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hair">
        <color auto="1"/>
      </right>
      <top style="double">
        <color auto="1"/>
      </top>
      <bottom/>
      <diagonal/>
    </border>
    <border>
      <left style="hair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hair">
        <color auto="1"/>
      </right>
      <top style="hair">
        <color auto="1"/>
      </top>
      <bottom style="double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3" fontId="1" fillId="0" borderId="0" xfId="0" applyNumberFormat="1" applyFont="1" applyAlignment="1">
      <alignment wrapText="1"/>
    </xf>
    <xf numFmtId="3" fontId="1" fillId="0" borderId="0" xfId="0" applyNumberFormat="1" applyFont="1"/>
    <xf numFmtId="3" fontId="3" fillId="0" borderId="0" xfId="0" applyNumberFormat="1" applyFont="1"/>
    <xf numFmtId="0" fontId="2" fillId="0" borderId="0" xfId="0" applyFont="1"/>
    <xf numFmtId="3" fontId="2" fillId="0" borderId="0" xfId="0" applyNumberFormat="1" applyFont="1"/>
    <xf numFmtId="3" fontId="4" fillId="0" borderId="0" xfId="0" applyNumberFormat="1" applyFont="1"/>
    <xf numFmtId="0" fontId="5" fillId="0" borderId="0" xfId="0" applyFont="1"/>
    <xf numFmtId="0" fontId="6" fillId="0" borderId="0" xfId="0" applyFont="1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17" fontId="0" fillId="0" borderId="6" xfId="0" applyNumberFormat="1" applyBorder="1"/>
    <xf numFmtId="0" fontId="0" fillId="0" borderId="7" xfId="0" applyBorder="1"/>
    <xf numFmtId="0" fontId="8" fillId="0" borderId="0" xfId="0" applyFont="1"/>
    <xf numFmtId="3" fontId="9" fillId="0" borderId="0" xfId="0" applyNumberFormat="1" applyFont="1"/>
    <xf numFmtId="0" fontId="7" fillId="0" borderId="0" xfId="0" applyFont="1"/>
    <xf numFmtId="0" fontId="0" fillId="0" borderId="9" xfId="0" applyBorder="1"/>
    <xf numFmtId="0" fontId="0" fillId="0" borderId="10" xfId="0" applyBorder="1"/>
    <xf numFmtId="0" fontId="0" fillId="0" borderId="11" xfId="0" applyBorder="1"/>
    <xf numFmtId="17" fontId="0" fillId="0" borderId="3" xfId="0" applyNumberFormat="1" applyBorder="1"/>
    <xf numFmtId="0" fontId="0" fillId="0" borderId="12" xfId="0" applyBorder="1"/>
    <xf numFmtId="0" fontId="0" fillId="0" borderId="7" xfId="0" applyFill="1" applyBorder="1"/>
    <xf numFmtId="0" fontId="0" fillId="0" borderId="8" xfId="0" applyBorder="1"/>
    <xf numFmtId="3" fontId="5" fillId="0" borderId="0" xfId="0" applyNumberFormat="1" applyFont="1"/>
    <xf numFmtId="3" fontId="0" fillId="0" borderId="0" xfId="0" applyNumberFormat="1" applyAlignment="1">
      <alignment horizontal="center"/>
    </xf>
    <xf numFmtId="3" fontId="10" fillId="0" borderId="0" xfId="0" applyNumberFormat="1" applyFont="1"/>
    <xf numFmtId="3" fontId="11" fillId="0" borderId="0" xfId="0" applyNumberFormat="1" applyFont="1"/>
    <xf numFmtId="3" fontId="8" fillId="0" borderId="0" xfId="0" applyNumberFormat="1" applyFont="1"/>
    <xf numFmtId="0" fontId="12" fillId="0" borderId="0" xfId="0" applyFont="1"/>
    <xf numFmtId="3" fontId="12" fillId="0" borderId="0" xfId="0" applyNumberFormat="1" applyFont="1"/>
    <xf numFmtId="164" fontId="1" fillId="0" borderId="0" xfId="0" applyNumberFormat="1" applyFont="1"/>
    <xf numFmtId="0" fontId="13" fillId="0" borderId="0" xfId="0" applyFont="1"/>
    <xf numFmtId="0" fontId="14" fillId="0" borderId="0" xfId="0" applyFont="1"/>
    <xf numFmtId="3" fontId="14" fillId="0" borderId="0" xfId="0" applyNumberFormat="1" applyFont="1"/>
    <xf numFmtId="3" fontId="13" fillId="0" borderId="0" xfId="0" applyNumberFormat="1" applyFont="1"/>
    <xf numFmtId="0" fontId="14" fillId="0" borderId="0" xfId="0" applyFont="1" applyAlignment="1">
      <alignment horizontal="center"/>
    </xf>
    <xf numFmtId="3" fontId="15" fillId="0" borderId="0" xfId="0" applyNumberFormat="1" applyFont="1"/>
    <xf numFmtId="164" fontId="8" fillId="0" borderId="0" xfId="0" applyNumberFormat="1" applyFont="1"/>
    <xf numFmtId="3" fontId="7" fillId="0" borderId="0" xfId="0" applyNumberFormat="1" applyFont="1"/>
    <xf numFmtId="3" fontId="1" fillId="0" borderId="0" xfId="0" applyNumberFormat="1" applyFont="1" applyAlignment="1">
      <alignment horizontal="center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ONTASELB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ADHERENT"/>
      <sheetName val="TONT20000"/>
      <sheetName val="TONT60000"/>
      <sheetName val="TONT100000"/>
      <sheetName val="Feuil2"/>
      <sheetName val="BASE"/>
    </sheetNames>
    <sheetDataSet>
      <sheetData sheetId="0">
        <row r="5">
          <cell r="A5" t="str">
            <v>AS201601</v>
          </cell>
        </row>
      </sheetData>
      <sheetData sheetId="1"/>
      <sheetData sheetId="2"/>
      <sheetData sheetId="3"/>
      <sheetData sheetId="4">
        <row r="1">
          <cell r="A1" t="str">
            <v>BANQUE</v>
          </cell>
        </row>
        <row r="2">
          <cell r="A2" t="str">
            <v>ESPECE</v>
          </cell>
        </row>
        <row r="3">
          <cell r="A3" t="str">
            <v>ECHEC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8"/>
  <sheetViews>
    <sheetView workbookViewId="0">
      <pane xSplit="2" ySplit="4" topLeftCell="C8" activePane="bottomRight" state="frozen"/>
      <selection activeCell="B22" sqref="B22"/>
      <selection pane="topRight" activeCell="B22" sqref="B22"/>
      <selection pane="bottomLeft" activeCell="B22" sqref="B22"/>
      <selection pane="bottomRight" activeCell="A13" sqref="A13:XFD1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4.7109375" bestFit="1" customWidth="1"/>
    <col min="4" max="4" width="10.5703125" bestFit="1" customWidth="1"/>
    <col min="5" max="5" width="15" customWidth="1"/>
    <col min="6" max="6" width="14.7109375" bestFit="1" customWidth="1"/>
    <col min="7" max="7" width="12.28515625" bestFit="1" customWidth="1"/>
    <col min="8" max="8" width="10.5703125" bestFit="1" customWidth="1"/>
    <col min="9" max="9" width="12.28515625" bestFit="1" customWidth="1"/>
    <col min="10" max="11" width="10.5703125" bestFit="1" customWidth="1"/>
    <col min="12" max="12" width="14.7109375" bestFit="1" customWidth="1"/>
    <col min="13" max="13" width="10.5703125" bestFit="1" customWidth="1"/>
    <col min="14" max="14" width="12.28515625" bestFit="1" customWidth="1"/>
    <col min="15" max="15" width="14.7109375" bestFit="1" customWidth="1"/>
    <col min="16" max="18" width="12.28515625" bestFit="1" customWidth="1"/>
    <col min="19" max="20" width="10.5703125" bestFit="1" customWidth="1"/>
    <col min="21" max="21" width="14.7109375" bestFit="1" customWidth="1"/>
    <col min="22" max="22" width="12.28515625" bestFit="1" customWidth="1"/>
    <col min="23" max="24" width="14.7109375" bestFit="1" customWidth="1"/>
    <col min="25" max="26" width="12.28515625" bestFit="1" customWidth="1"/>
    <col min="27" max="27" width="14.7109375" bestFit="1" customWidth="1"/>
    <col min="28" max="28" width="12.28515625" bestFit="1" customWidth="1"/>
    <col min="29" max="29" width="10.5703125" bestFit="1" customWidth="1"/>
    <col min="30" max="30" width="14.7109375" bestFit="1" customWidth="1"/>
    <col min="31" max="32" width="12.28515625" bestFit="1" customWidth="1"/>
    <col min="33" max="33" width="14.7109375" bestFit="1" customWidth="1"/>
    <col min="34" max="34" width="12.28515625" bestFit="1" customWidth="1"/>
    <col min="35" max="35" width="10.5703125" bestFit="1" customWidth="1"/>
    <col min="36" max="36" width="14.7109375" bestFit="1" customWidth="1"/>
    <col min="37" max="37" width="12.28515625" bestFit="1" customWidth="1"/>
    <col min="38" max="38" width="14.7109375" bestFit="1" customWidth="1"/>
  </cols>
  <sheetData>
    <row r="1" spans="1:38" x14ac:dyDescent="0.25">
      <c r="A1" s="1" t="s">
        <v>0</v>
      </c>
      <c r="B1" s="1" t="s">
        <v>1</v>
      </c>
    </row>
    <row r="2" spans="1:38" x14ac:dyDescent="0.25">
      <c r="A2" s="1" t="s">
        <v>2</v>
      </c>
      <c r="B2" s="1" t="s">
        <v>3</v>
      </c>
    </row>
    <row r="3" spans="1:38" ht="15" customHeight="1" x14ac:dyDescent="0.25">
      <c r="A3" s="1" t="s">
        <v>4</v>
      </c>
      <c r="B3" s="1" t="s">
        <v>5</v>
      </c>
      <c r="C3" s="45" t="s">
        <v>197</v>
      </c>
      <c r="D3" s="46"/>
      <c r="E3" s="46"/>
      <c r="F3" s="45" t="s">
        <v>198</v>
      </c>
      <c r="G3" s="46"/>
      <c r="H3" s="46"/>
      <c r="I3" s="45" t="s">
        <v>199</v>
      </c>
      <c r="J3" s="46"/>
      <c r="K3" s="46"/>
      <c r="L3" s="45" t="s">
        <v>200</v>
      </c>
      <c r="M3" s="46"/>
      <c r="N3" s="46"/>
      <c r="O3" s="45" t="s">
        <v>201</v>
      </c>
      <c r="P3" s="46"/>
      <c r="Q3" s="46"/>
      <c r="R3" s="45" t="s">
        <v>202</v>
      </c>
      <c r="S3" s="46"/>
      <c r="T3" s="46"/>
      <c r="U3" s="45" t="s">
        <v>203</v>
      </c>
      <c r="V3" s="46"/>
      <c r="W3" s="46"/>
      <c r="X3" s="45" t="s">
        <v>204</v>
      </c>
      <c r="Y3" s="46"/>
      <c r="Z3" s="46"/>
      <c r="AA3" s="45" t="s">
        <v>205</v>
      </c>
      <c r="AB3" s="46"/>
      <c r="AC3" s="46"/>
      <c r="AD3" s="45" t="s">
        <v>206</v>
      </c>
      <c r="AE3" s="46"/>
      <c r="AF3" s="46"/>
      <c r="AG3" s="45" t="s">
        <v>207</v>
      </c>
      <c r="AH3" s="46"/>
      <c r="AI3" s="46"/>
      <c r="AJ3" s="45" t="s">
        <v>208</v>
      </c>
      <c r="AK3" s="46"/>
      <c r="AL3" s="46"/>
    </row>
    <row r="4" spans="1:38" ht="29.25" x14ac:dyDescent="0.25">
      <c r="A4" s="1" t="s">
        <v>6</v>
      </c>
      <c r="B4" s="1" t="s">
        <v>7</v>
      </c>
      <c r="C4" s="5" t="s">
        <v>63</v>
      </c>
      <c r="D4" s="5" t="s">
        <v>64</v>
      </c>
      <c r="E4" s="5" t="s">
        <v>8</v>
      </c>
      <c r="F4" s="5" t="s">
        <v>63</v>
      </c>
      <c r="G4" s="5" t="s">
        <v>64</v>
      </c>
      <c r="H4" s="5" t="s">
        <v>8</v>
      </c>
      <c r="I4" s="5" t="s">
        <v>63</v>
      </c>
      <c r="J4" s="5" t="s">
        <v>64</v>
      </c>
      <c r="K4" s="5" t="s">
        <v>8</v>
      </c>
      <c r="L4" s="5" t="s">
        <v>63</v>
      </c>
      <c r="M4" s="5" t="s">
        <v>64</v>
      </c>
      <c r="N4" s="5" t="s">
        <v>8</v>
      </c>
      <c r="O4" s="5" t="s">
        <v>63</v>
      </c>
      <c r="P4" s="5" t="s">
        <v>64</v>
      </c>
      <c r="Q4" s="5" t="s">
        <v>8</v>
      </c>
      <c r="R4" s="5" t="s">
        <v>63</v>
      </c>
      <c r="S4" s="5" t="s">
        <v>64</v>
      </c>
      <c r="T4" s="5" t="s">
        <v>8</v>
      </c>
      <c r="U4" s="5" t="s">
        <v>63</v>
      </c>
      <c r="V4" s="5" t="s">
        <v>64</v>
      </c>
      <c r="W4" s="5" t="s">
        <v>8</v>
      </c>
      <c r="X4" s="5" t="s">
        <v>63</v>
      </c>
      <c r="Y4" s="5" t="s">
        <v>64</v>
      </c>
      <c r="Z4" s="5" t="s">
        <v>8</v>
      </c>
      <c r="AA4" s="5" t="s">
        <v>63</v>
      </c>
      <c r="AB4" s="5" t="s">
        <v>64</v>
      </c>
      <c r="AC4" s="5" t="s">
        <v>8</v>
      </c>
      <c r="AD4" s="5" t="s">
        <v>63</v>
      </c>
      <c r="AE4" s="5" t="s">
        <v>64</v>
      </c>
      <c r="AF4" s="5" t="s">
        <v>8</v>
      </c>
      <c r="AG4" s="5" t="s">
        <v>63</v>
      </c>
      <c r="AH4" s="5" t="s">
        <v>64</v>
      </c>
      <c r="AI4" s="5" t="s">
        <v>8</v>
      </c>
      <c r="AJ4" s="5" t="s">
        <v>63</v>
      </c>
      <c r="AK4" s="5" t="s">
        <v>64</v>
      </c>
      <c r="AL4" s="5" t="s">
        <v>8</v>
      </c>
    </row>
    <row r="5" spans="1:38" x14ac:dyDescent="0.25">
      <c r="A5" s="1" t="s">
        <v>185</v>
      </c>
      <c r="B5" s="1" t="str">
        <f>VLOOKUP(A5,LISTADHERENT!A$5:H$52,2,0)</f>
        <v>ASELBY</v>
      </c>
      <c r="C5" s="7">
        <f>TONT20000DEC2015!$O5</f>
        <v>0</v>
      </c>
      <c r="D5" s="7">
        <f>TONT20000DEC2015!$P5</f>
        <v>0</v>
      </c>
      <c r="E5" s="7">
        <f>TONT20000DEC2015!$Q5</f>
        <v>0</v>
      </c>
      <c r="F5" s="7">
        <f>TONT20000JANV!$M5</f>
        <v>0</v>
      </c>
      <c r="G5" s="7">
        <f>TONT20000JANV!$N5</f>
        <v>0</v>
      </c>
      <c r="H5" s="7">
        <f>TONT20000JANV!$O5</f>
        <v>0</v>
      </c>
      <c r="I5" s="7">
        <f>TONT20000FEV!$M5</f>
        <v>0</v>
      </c>
      <c r="J5" s="7">
        <f>TONT20000FEV!$N5</f>
        <v>0</v>
      </c>
      <c r="K5" s="7">
        <f>TONT20000FEV!$O5</f>
        <v>0</v>
      </c>
      <c r="L5" s="7">
        <f>TONT20000MARS!$M5</f>
        <v>0</v>
      </c>
      <c r="M5" s="7">
        <f>TONT20000MARS!$N5</f>
        <v>0</v>
      </c>
      <c r="N5" s="7">
        <f>TONT20000MARS!$O5</f>
        <v>0</v>
      </c>
      <c r="O5" s="7">
        <f>TONT20000AVRIL!$M5</f>
        <v>0</v>
      </c>
      <c r="P5" s="7">
        <f>TONT20000AVRIL!$N5</f>
        <v>0</v>
      </c>
      <c r="Q5" s="7">
        <f>TONT20000AVRIL!$O5</f>
        <v>0</v>
      </c>
      <c r="R5" s="7">
        <f>TONT20000MAI!$M5</f>
        <v>0</v>
      </c>
      <c r="S5" s="7">
        <f>TONT20000MAI!$N5</f>
        <v>0</v>
      </c>
      <c r="T5" s="7">
        <f>TONT20000MAI!$O5</f>
        <v>0</v>
      </c>
      <c r="U5" s="7">
        <f>TONT20000JUIN!$M5</f>
        <v>0</v>
      </c>
      <c r="V5" s="7">
        <f>TONT20000JUIN!$N5</f>
        <v>0</v>
      </c>
      <c r="W5" s="7">
        <f>TONT20000JUIN!$O5</f>
        <v>0</v>
      </c>
      <c r="X5" s="7">
        <f>TONT20000JUIL!$M5</f>
        <v>0</v>
      </c>
      <c r="Y5" s="7">
        <f>TONT20000JUIL!$N5</f>
        <v>0</v>
      </c>
      <c r="Z5" s="7">
        <f>TONT20000JUIL!$O5</f>
        <v>0</v>
      </c>
      <c r="AA5" s="7">
        <f>TONT20000AOUT!$M5</f>
        <v>0</v>
      </c>
      <c r="AB5" s="7">
        <f>TONT20000AOUT!$N5</f>
        <v>0</v>
      </c>
      <c r="AC5" s="7">
        <f>TONT20000AOUT!$O5</f>
        <v>0</v>
      </c>
      <c r="AD5" s="7">
        <f>TONT20000SEPT!$M5</f>
        <v>0</v>
      </c>
      <c r="AE5" s="7">
        <f>TONT20000SEPT!$N5</f>
        <v>0</v>
      </c>
      <c r="AF5" s="7">
        <f>TONT20000SEPT!$O5</f>
        <v>0</v>
      </c>
      <c r="AG5" s="7">
        <f>TONT20000OCT!$M5</f>
        <v>0</v>
      </c>
      <c r="AH5" s="7">
        <f>TONT20000OCT!$N5</f>
        <v>0</v>
      </c>
      <c r="AI5" s="7">
        <f>TONT20000OCT!$O5</f>
        <v>0</v>
      </c>
      <c r="AJ5" s="7">
        <f>TONT20000NOV!$N5</f>
        <v>0</v>
      </c>
      <c r="AK5" s="7">
        <f>TONT20000NOV!$O5</f>
        <v>0</v>
      </c>
      <c r="AL5" s="7">
        <f>TONT20000NOV!$P5</f>
        <v>0</v>
      </c>
    </row>
    <row r="6" spans="1:38" x14ac:dyDescent="0.25">
      <c r="A6" s="1" t="s">
        <v>11</v>
      </c>
      <c r="B6" s="1" t="str">
        <f>VLOOKUP(A6,LISTADHERENT!A$5:H$52,2,0)</f>
        <v>BAKOP ACHILLE</v>
      </c>
      <c r="C6" s="7">
        <f>TONT20000DEC2015!$O6</f>
        <v>0</v>
      </c>
      <c r="D6" s="7">
        <f>TONT20000DEC2015!$P6</f>
        <v>0</v>
      </c>
      <c r="E6" s="7">
        <f>TONT20000DEC2015!$Q6</f>
        <v>0</v>
      </c>
      <c r="F6" s="7">
        <f>TONT20000JANV!$M6</f>
        <v>0</v>
      </c>
      <c r="G6" s="7">
        <f>TONT20000JANV!$N6</f>
        <v>0</v>
      </c>
      <c r="H6" s="7">
        <f>TONT20000JANV!$O6</f>
        <v>0</v>
      </c>
      <c r="I6" s="7">
        <f>TONT20000FEV!$M6</f>
        <v>0</v>
      </c>
      <c r="J6" s="7">
        <f>TONT20000FEV!$N6</f>
        <v>0</v>
      </c>
      <c r="K6" s="7">
        <f>TONT20000FEV!$O6</f>
        <v>0</v>
      </c>
      <c r="L6" s="7">
        <f>TONT20000MARS!$M6</f>
        <v>0</v>
      </c>
      <c r="M6" s="7">
        <f>TONT20000MARS!$N6</f>
        <v>0</v>
      </c>
      <c r="N6" s="7">
        <f>TONT20000MARS!$O6</f>
        <v>0</v>
      </c>
      <c r="O6" s="7">
        <f>TONT20000AVRIL!$M6</f>
        <v>0</v>
      </c>
      <c r="P6" s="7">
        <f>TONT20000AVRIL!$N6</f>
        <v>0</v>
      </c>
      <c r="Q6" s="7">
        <f>TONT20000AVRIL!$O6</f>
        <v>0</v>
      </c>
      <c r="R6" s="7">
        <f>TONT20000MAI!$M6</f>
        <v>0</v>
      </c>
      <c r="S6" s="7">
        <f>TONT20000MAI!$N6</f>
        <v>0</v>
      </c>
      <c r="T6" s="7">
        <f>TONT20000MAI!$O6</f>
        <v>0</v>
      </c>
      <c r="U6" s="7">
        <f>TONT20000JUIN!$M6</f>
        <v>0</v>
      </c>
      <c r="V6" s="7">
        <f>TONT20000JUIN!$N6</f>
        <v>0</v>
      </c>
      <c r="W6" s="7">
        <f>TONT20000JUIN!$O6</f>
        <v>0</v>
      </c>
      <c r="X6" s="7">
        <f>TONT20000JUIL!$M6</f>
        <v>0</v>
      </c>
      <c r="Y6" s="7">
        <f>TONT20000JUIL!$N6</f>
        <v>0</v>
      </c>
      <c r="Z6" s="7">
        <f>TONT20000JUIL!$O6</f>
        <v>0</v>
      </c>
      <c r="AA6" s="7">
        <f>TONT20000AOUT!$M6</f>
        <v>500000</v>
      </c>
      <c r="AB6" s="7">
        <f>TONT20000AOUT!$N6</f>
        <v>15000</v>
      </c>
      <c r="AC6" s="7">
        <f>TONT20000AOUT!$O6</f>
        <v>0</v>
      </c>
      <c r="AD6" s="7">
        <f>TONT20000SEPT!$M6</f>
        <v>0</v>
      </c>
      <c r="AE6" s="7">
        <f>TONT20000SEPT!$N6</f>
        <v>0</v>
      </c>
      <c r="AF6" s="7">
        <f>TONT20000SEPT!$O6</f>
        <v>0</v>
      </c>
      <c r="AG6" s="7">
        <f>TONT20000OCT!$M6</f>
        <v>0</v>
      </c>
      <c r="AH6" s="7">
        <f>TONT20000OCT!$N6</f>
        <v>0</v>
      </c>
      <c r="AI6" s="7">
        <f>TONT20000OCT!$O6</f>
        <v>0</v>
      </c>
      <c r="AJ6" s="7">
        <f>TONT20000NOV!$N6</f>
        <v>0</v>
      </c>
      <c r="AK6" s="7">
        <f>TONT20000NOV!$O6</f>
        <v>0</v>
      </c>
      <c r="AL6" s="7">
        <f>TONT20000NOV!$P6</f>
        <v>0</v>
      </c>
    </row>
    <row r="7" spans="1:38" x14ac:dyDescent="0.25">
      <c r="A7" s="1" t="s">
        <v>12</v>
      </c>
      <c r="B7" s="1" t="str">
        <f>VLOOKUP(A7,LISTADHERENT!A$5:H$51,2)</f>
        <v>BOUTCHOUANG WILLIAM</v>
      </c>
      <c r="C7" s="7">
        <f>TONT20000DEC2015!$O7</f>
        <v>0</v>
      </c>
      <c r="D7" s="7">
        <f>TONT20000DEC2015!$P7</f>
        <v>0</v>
      </c>
      <c r="E7" s="7">
        <f>TONT20000DEC2015!$Q7</f>
        <v>0</v>
      </c>
      <c r="F7" s="7">
        <f>TONT20000JANV!$M7</f>
        <v>0</v>
      </c>
      <c r="G7" s="7">
        <f>TONT20000JANV!$N7</f>
        <v>0</v>
      </c>
      <c r="H7" s="7">
        <f>TONT20000JANV!$O7</f>
        <v>0</v>
      </c>
      <c r="I7" s="7">
        <f>TONT20000FEV!$M7</f>
        <v>0</v>
      </c>
      <c r="J7" s="7">
        <f>TONT20000FEV!$N7</f>
        <v>0</v>
      </c>
      <c r="K7" s="7">
        <f>TONT20000FEV!$O7</f>
        <v>0</v>
      </c>
      <c r="L7" s="7">
        <f>TONT20000MARS!$M7</f>
        <v>0</v>
      </c>
      <c r="M7" s="7">
        <f>TONT20000MARS!$N7</f>
        <v>0</v>
      </c>
      <c r="N7" s="7">
        <f>TONT20000MARS!$O7</f>
        <v>0</v>
      </c>
      <c r="O7" s="7">
        <f>TONT20000AVRIL!$M7</f>
        <v>0</v>
      </c>
      <c r="P7" s="7">
        <f>TONT20000AVRIL!$N7</f>
        <v>0</v>
      </c>
      <c r="Q7" s="7">
        <f>TONT20000AVRIL!$O7</f>
        <v>0</v>
      </c>
      <c r="R7" s="7">
        <f>TONT20000MAI!$M7</f>
        <v>0</v>
      </c>
      <c r="S7" s="7">
        <f>TONT20000MAI!$N7</f>
        <v>0</v>
      </c>
      <c r="T7" s="7">
        <f>TONT20000MAI!$O7</f>
        <v>0</v>
      </c>
      <c r="U7" s="7">
        <f>TONT20000JUIN!$M7</f>
        <v>0</v>
      </c>
      <c r="V7" s="7">
        <f>TONT20000JUIN!$N7</f>
        <v>0</v>
      </c>
      <c r="W7" s="7">
        <f>TONT20000JUIN!$O7</f>
        <v>0</v>
      </c>
      <c r="X7" s="7">
        <f>TONT20000JUIL!$M7</f>
        <v>1000000</v>
      </c>
      <c r="Y7" s="7">
        <f>TONT20000JUIL!$N7</f>
        <v>40000</v>
      </c>
      <c r="Z7" s="7">
        <f>TONT20000JUIL!$O7</f>
        <v>0</v>
      </c>
      <c r="AA7" s="7">
        <f>TONT20000AOUT!$M7</f>
        <v>0</v>
      </c>
      <c r="AB7" s="7">
        <f>TONT20000AOUT!$N7</f>
        <v>0</v>
      </c>
      <c r="AC7" s="7">
        <f>TONT20000AOUT!$O7</f>
        <v>0</v>
      </c>
      <c r="AD7" s="7">
        <f>TONT20000SEPT!$M7</f>
        <v>0</v>
      </c>
      <c r="AE7" s="7">
        <f>TONT20000SEPT!$N7</f>
        <v>0</v>
      </c>
      <c r="AF7" s="7">
        <f>TONT20000SEPT!$O7</f>
        <v>0</v>
      </c>
      <c r="AG7" s="7">
        <f>TONT20000OCT!$M7</f>
        <v>0</v>
      </c>
      <c r="AH7" s="7">
        <f>TONT20000OCT!$N7</f>
        <v>0</v>
      </c>
      <c r="AI7" s="7">
        <f>TONT20000OCT!$O7</f>
        <v>0</v>
      </c>
      <c r="AJ7" s="7">
        <f>TONT20000NOV!$N7</f>
        <v>700000</v>
      </c>
      <c r="AK7" s="7">
        <f>TONT20000NOV!$O7</f>
        <v>84000</v>
      </c>
      <c r="AL7" s="7">
        <f>TONT20000NOV!$P7</f>
        <v>1000000</v>
      </c>
    </row>
    <row r="8" spans="1:38" x14ac:dyDescent="0.25">
      <c r="A8" s="1" t="s">
        <v>13</v>
      </c>
      <c r="B8" s="1" t="str">
        <f>VLOOKUP(A8,LISTADHERENT!A$5:H$51,2)</f>
        <v>CHINGUE FABRICE</v>
      </c>
      <c r="C8" s="7">
        <f>TONT20000DEC2015!$O8</f>
        <v>0</v>
      </c>
      <c r="D8" s="7">
        <f>TONT20000DEC2015!$P8</f>
        <v>0</v>
      </c>
      <c r="E8" s="7">
        <f>TONT20000DEC2015!$Q8</f>
        <v>0</v>
      </c>
      <c r="F8" s="7">
        <f>TONT20000JANV!$M8</f>
        <v>1000000</v>
      </c>
      <c r="G8" s="7">
        <f>TONT20000JANV!$N8</f>
        <v>60000</v>
      </c>
      <c r="H8" s="7">
        <f>TONT20000JANV!$O8</f>
        <v>0</v>
      </c>
      <c r="I8" s="7">
        <f>TONT20000FEV!$M8</f>
        <v>0</v>
      </c>
      <c r="J8" s="7">
        <f>TONT20000FEV!$N8</f>
        <v>0</v>
      </c>
      <c r="K8" s="7">
        <f>TONT20000FEV!$O8</f>
        <v>0</v>
      </c>
      <c r="L8" s="7">
        <f>TONT20000MARS!$M8</f>
        <v>0</v>
      </c>
      <c r="M8" s="7">
        <f>TONT20000MARS!$N8</f>
        <v>0</v>
      </c>
      <c r="N8" s="7">
        <f>TONT20000MARS!$O8</f>
        <v>0</v>
      </c>
      <c r="O8" s="7">
        <f>TONT20000AVRIL!$M8</f>
        <v>0</v>
      </c>
      <c r="P8" s="7">
        <f>TONT20000AVRIL!$N8</f>
        <v>0</v>
      </c>
      <c r="Q8" s="7">
        <f>TONT20000AVRIL!$O8</f>
        <v>0</v>
      </c>
      <c r="R8" s="7">
        <f>TONT20000MAI!$M8</f>
        <v>0</v>
      </c>
      <c r="S8" s="7">
        <f>TONT20000MAI!$N8</f>
        <v>0</v>
      </c>
      <c r="T8" s="7">
        <f>TONT20000MAI!$O8</f>
        <v>0</v>
      </c>
      <c r="U8" s="7">
        <f>TONT20000JUIN!$M8</f>
        <v>1000000</v>
      </c>
      <c r="V8" s="7">
        <f>TONT20000JUIN!$N8</f>
        <v>120000</v>
      </c>
      <c r="W8" s="7">
        <f>TONT20000JUIN!$O8</f>
        <v>1000000</v>
      </c>
      <c r="X8" s="7">
        <f>TONT20000JUIL!$M8</f>
        <v>0</v>
      </c>
      <c r="Y8" s="7">
        <f>TONT20000JUIL!$N8</f>
        <v>0</v>
      </c>
      <c r="Z8" s="7">
        <f>TONT20000JUIL!$O8</f>
        <v>0</v>
      </c>
      <c r="AA8" s="7">
        <f>TONT20000AOUT!$M8</f>
        <v>0</v>
      </c>
      <c r="AB8" s="7">
        <f>TONT20000AOUT!$N8</f>
        <v>0</v>
      </c>
      <c r="AC8" s="7">
        <f>TONT20000AOUT!$O8</f>
        <v>0</v>
      </c>
      <c r="AD8" s="7">
        <f>TONT20000SEPT!$M8</f>
        <v>0</v>
      </c>
      <c r="AE8" s="7">
        <f>TONT20000SEPT!$N8</f>
        <v>0</v>
      </c>
      <c r="AF8" s="7">
        <f>TONT20000SEPT!$O8</f>
        <v>0</v>
      </c>
      <c r="AG8" s="7">
        <f>TONT20000OCT!$M8</f>
        <v>0</v>
      </c>
      <c r="AH8" s="7">
        <f>TONT20000OCT!$N8</f>
        <v>0</v>
      </c>
      <c r="AI8" s="7">
        <f>TONT20000OCT!$O8</f>
        <v>0</v>
      </c>
      <c r="AJ8" s="7">
        <f>TONT20000NOV!$N8</f>
        <v>0</v>
      </c>
      <c r="AK8" s="7">
        <f>TONT20000NOV!$O8</f>
        <v>0</v>
      </c>
      <c r="AL8" s="7">
        <f>TONT20000NOV!$P8</f>
        <v>0</v>
      </c>
    </row>
    <row r="9" spans="1:38" x14ac:dyDescent="0.25">
      <c r="A9" s="1" t="s">
        <v>14</v>
      </c>
      <c r="B9" s="1" t="str">
        <f>VLOOKUP(A9,LISTADHERENT!A$5:H$51,2)</f>
        <v xml:space="preserve">DJOMO JEAN PAUL </v>
      </c>
      <c r="C9" s="7">
        <f>TONT20000DEC2015!$O9</f>
        <v>0</v>
      </c>
      <c r="D9" s="7">
        <f>TONT20000DEC2015!$P9</f>
        <v>0</v>
      </c>
      <c r="E9" s="7">
        <f>TONT20000DEC2015!$Q9</f>
        <v>0</v>
      </c>
      <c r="F9" s="7">
        <f>TONT20000JANV!$M9</f>
        <v>0</v>
      </c>
      <c r="G9" s="7">
        <f>TONT20000JANV!$N9</f>
        <v>0</v>
      </c>
      <c r="H9" s="7">
        <f>TONT20000JANV!$O9</f>
        <v>0</v>
      </c>
      <c r="I9" s="7">
        <f>TONT20000FEV!$M9</f>
        <v>0</v>
      </c>
      <c r="J9" s="7">
        <f>TONT20000FEV!$N9</f>
        <v>0</v>
      </c>
      <c r="K9" s="7">
        <f>TONT20000FEV!$O9</f>
        <v>0</v>
      </c>
      <c r="L9" s="7">
        <f>TONT20000MARS!$M9</f>
        <v>0</v>
      </c>
      <c r="M9" s="7">
        <f>TONT20000MARS!$N9</f>
        <v>0</v>
      </c>
      <c r="N9" s="7">
        <f>TONT20000MARS!$O9</f>
        <v>0</v>
      </c>
      <c r="O9" s="7">
        <f>TONT20000AVRIL!$M9</f>
        <v>0</v>
      </c>
      <c r="P9" s="7">
        <f>TONT20000AVRIL!$N9</f>
        <v>0</v>
      </c>
      <c r="Q9" s="7">
        <f>TONT20000AVRIL!$O9</f>
        <v>0</v>
      </c>
      <c r="R9" s="7">
        <f>TONT20000MAI!$M9</f>
        <v>0</v>
      </c>
      <c r="S9" s="7">
        <f>TONT20000MAI!$N9</f>
        <v>0</v>
      </c>
      <c r="T9" s="7">
        <f>TONT20000MAI!$O9</f>
        <v>0</v>
      </c>
      <c r="U9" s="7">
        <f>TONT20000JUIN!$M9</f>
        <v>0</v>
      </c>
      <c r="V9" s="7">
        <f>TONT20000JUIN!$N9</f>
        <v>0</v>
      </c>
      <c r="W9" s="7">
        <f>TONT20000JUIN!$O9</f>
        <v>0</v>
      </c>
      <c r="X9" s="7">
        <f>TONT20000JUIL!$M9</f>
        <v>0</v>
      </c>
      <c r="Y9" s="7">
        <f>TONT20000JUIL!$N9</f>
        <v>0</v>
      </c>
      <c r="Z9" s="7">
        <f>TONT20000JUIL!$O9</f>
        <v>0</v>
      </c>
      <c r="AA9" s="7">
        <f>TONT20000AOUT!$M9</f>
        <v>100000</v>
      </c>
      <c r="AB9" s="7">
        <f>TONT20000AOUT!$N9</f>
        <v>3000</v>
      </c>
      <c r="AC9" s="7">
        <f>TONT20000AOUT!$O9</f>
        <v>0</v>
      </c>
      <c r="AD9" s="7">
        <f>TONT20000SEPT!$M9</f>
        <v>0</v>
      </c>
      <c r="AE9" s="7">
        <f>TONT20000SEPT!$N9</f>
        <v>0</v>
      </c>
      <c r="AF9" s="7">
        <f>TONT20000SEPT!$O9</f>
        <v>0</v>
      </c>
      <c r="AG9" s="7">
        <f>TONT20000OCT!$M9</f>
        <v>0</v>
      </c>
      <c r="AH9" s="7">
        <f>TONT20000OCT!$N9</f>
        <v>0</v>
      </c>
      <c r="AI9" s="7">
        <f>TONT20000OCT!$O9</f>
        <v>0</v>
      </c>
      <c r="AJ9" s="7">
        <f>TONT20000NOV!$N9</f>
        <v>100000</v>
      </c>
      <c r="AK9" s="7">
        <f>TONT20000NOV!$O9</f>
        <v>3000</v>
      </c>
      <c r="AL9" s="7">
        <f>TONT20000NOV!$P9</f>
        <v>0</v>
      </c>
    </row>
    <row r="10" spans="1:38" x14ac:dyDescent="0.25">
      <c r="A10" s="1" t="s">
        <v>15</v>
      </c>
      <c r="B10" s="1" t="str">
        <f>VLOOKUP(A10,LISTADHERENT!A$5:H$51,2)</f>
        <v>DJOUKWE GUY</v>
      </c>
      <c r="C10" s="7">
        <f>TONT20000DEC2015!$O10</f>
        <v>0</v>
      </c>
      <c r="D10" s="7">
        <f>TONT20000DEC2015!$P10</f>
        <v>0</v>
      </c>
      <c r="E10" s="7">
        <f>TONT20000DEC2015!$Q10</f>
        <v>0</v>
      </c>
      <c r="F10" s="7">
        <f>TONT20000JANV!$M10</f>
        <v>0</v>
      </c>
      <c r="G10" s="7">
        <f>TONT20000JANV!$N10</f>
        <v>0</v>
      </c>
      <c r="H10" s="7">
        <f>TONT20000JANV!$O10</f>
        <v>0</v>
      </c>
      <c r="I10" s="7">
        <f>TONT20000FEV!$M10</f>
        <v>250000</v>
      </c>
      <c r="J10" s="7">
        <f>TONT20000FEV!$N10</f>
        <v>7500</v>
      </c>
      <c r="K10" s="7">
        <f>TONT20000FEV!$O10</f>
        <v>0</v>
      </c>
      <c r="L10" s="7">
        <f>TONT20000MARS!$M10</f>
        <v>0</v>
      </c>
      <c r="M10" s="7">
        <f>TONT20000MARS!$N10</f>
        <v>0</v>
      </c>
      <c r="N10" s="7">
        <f>TONT20000MARS!$O10</f>
        <v>0</v>
      </c>
      <c r="O10" s="7">
        <f>TONT20000AVRIL!$M10</f>
        <v>0</v>
      </c>
      <c r="P10" s="7">
        <f>TONT20000AVRIL!$N10</f>
        <v>0</v>
      </c>
      <c r="Q10" s="7">
        <f>TONT20000AVRIL!$O10</f>
        <v>0</v>
      </c>
      <c r="R10" s="7">
        <f>TONT20000MAI!$M10</f>
        <v>0</v>
      </c>
      <c r="S10" s="7">
        <f>TONT20000MAI!$N10</f>
        <v>0</v>
      </c>
      <c r="T10" s="7">
        <f>TONT20000MAI!$O10</f>
        <v>0</v>
      </c>
      <c r="U10" s="7">
        <f>TONT20000JUIN!$M10</f>
        <v>0</v>
      </c>
      <c r="V10" s="7">
        <f>TONT20000JUIN!$N10</f>
        <v>0</v>
      </c>
      <c r="W10" s="7">
        <f>TONT20000JUIN!$O10</f>
        <v>0</v>
      </c>
      <c r="X10" s="7">
        <f>TONT20000JUIL!$M10</f>
        <v>0</v>
      </c>
      <c r="Y10" s="7">
        <f>TONT20000JUIL!$N10</f>
        <v>0</v>
      </c>
      <c r="Z10" s="7">
        <f>TONT20000JUIL!$O10</f>
        <v>0</v>
      </c>
      <c r="AA10" s="7">
        <f>TONT20000AOUT!$M10</f>
        <v>0</v>
      </c>
      <c r="AB10" s="7">
        <f>TONT20000AOUT!$N10</f>
        <v>0</v>
      </c>
      <c r="AC10" s="7">
        <f>TONT20000AOUT!$O10</f>
        <v>0</v>
      </c>
      <c r="AD10" s="7">
        <f>TONT20000SEPT!$M10</f>
        <v>0</v>
      </c>
      <c r="AE10" s="7">
        <f>TONT20000SEPT!$N10</f>
        <v>0</v>
      </c>
      <c r="AF10" s="7">
        <f>TONT20000SEPT!$O10</f>
        <v>0</v>
      </c>
      <c r="AG10" s="7">
        <f>TONT20000OCT!$M10</f>
        <v>0</v>
      </c>
      <c r="AH10" s="7">
        <f>TONT20000OCT!$N10</f>
        <v>0</v>
      </c>
      <c r="AI10" s="7">
        <f>TONT20000OCT!$O10</f>
        <v>0</v>
      </c>
      <c r="AJ10" s="7">
        <f>TONT20000NOV!$N10</f>
        <v>0</v>
      </c>
      <c r="AK10" s="7">
        <f>TONT20000NOV!$O10</f>
        <v>0</v>
      </c>
      <c r="AL10" s="7">
        <f>TONT20000NOV!$P10</f>
        <v>0</v>
      </c>
    </row>
    <row r="11" spans="1:38" x14ac:dyDescent="0.25">
      <c r="A11" s="1" t="s">
        <v>16</v>
      </c>
      <c r="B11" s="1" t="str">
        <f>VLOOKUP(A11,LISTADHERENT!A$5:H$51,2)</f>
        <v>DJOSSEU JOSUE</v>
      </c>
      <c r="C11" s="7">
        <f>TONT20000DEC2015!$O11</f>
        <v>0</v>
      </c>
      <c r="D11" s="7">
        <f>TONT20000DEC2015!$P11</f>
        <v>0</v>
      </c>
      <c r="E11" s="7">
        <f>TONT20000DEC2015!$Q11</f>
        <v>0</v>
      </c>
      <c r="F11" s="7">
        <f>TONT20000JANV!$M11</f>
        <v>0</v>
      </c>
      <c r="G11" s="7">
        <f>TONT20000JANV!$N11</f>
        <v>0</v>
      </c>
      <c r="H11" s="7">
        <f>TONT20000JANV!$O11</f>
        <v>0</v>
      </c>
      <c r="I11" s="7">
        <f>TONT20000FEV!$M11</f>
        <v>0</v>
      </c>
      <c r="J11" s="7">
        <f>TONT20000FEV!$N11</f>
        <v>0</v>
      </c>
      <c r="K11" s="7">
        <f>TONT20000FEV!$O11</f>
        <v>0</v>
      </c>
      <c r="L11" s="7">
        <f>TONT20000MARS!$M11</f>
        <v>0</v>
      </c>
      <c r="M11" s="7">
        <f>TONT20000MARS!$N11</f>
        <v>0</v>
      </c>
      <c r="N11" s="7">
        <f>TONT20000MARS!$O11</f>
        <v>0</v>
      </c>
      <c r="O11" s="7">
        <f>TONT20000AVRIL!$M11</f>
        <v>0</v>
      </c>
      <c r="P11" s="7">
        <f>TONT20000AVRIL!$N11</f>
        <v>0</v>
      </c>
      <c r="Q11" s="7">
        <f>TONT20000AVRIL!$O11</f>
        <v>0</v>
      </c>
      <c r="R11" s="7">
        <f>TONT20000MAI!$M11</f>
        <v>0</v>
      </c>
      <c r="S11" s="7">
        <f>TONT20000MAI!$N11</f>
        <v>0</v>
      </c>
      <c r="T11" s="7">
        <f>TONT20000MAI!$O11</f>
        <v>0</v>
      </c>
      <c r="U11" s="7">
        <f>TONT20000JUIN!$M11</f>
        <v>0</v>
      </c>
      <c r="V11" s="7">
        <f>TONT20000JUIN!$N11</f>
        <v>0</v>
      </c>
      <c r="W11" s="7">
        <f>TONT20000JUIN!$O11</f>
        <v>0</v>
      </c>
      <c r="X11" s="7">
        <f>TONT20000JUIL!$M11</f>
        <v>0</v>
      </c>
      <c r="Y11" s="7">
        <f>TONT20000JUIL!$N11</f>
        <v>0</v>
      </c>
      <c r="Z11" s="7">
        <f>TONT20000JUIL!$O11</f>
        <v>0</v>
      </c>
      <c r="AA11" s="7">
        <f>TONT20000AOUT!$M11</f>
        <v>0</v>
      </c>
      <c r="AB11" s="7">
        <f>TONT20000AOUT!$N11</f>
        <v>0</v>
      </c>
      <c r="AC11" s="7">
        <f>TONT20000AOUT!$O11</f>
        <v>0</v>
      </c>
      <c r="AD11" s="7">
        <f>TONT20000SEPT!$M11</f>
        <v>0</v>
      </c>
      <c r="AE11" s="7">
        <f>TONT20000SEPT!$N11</f>
        <v>0</v>
      </c>
      <c r="AF11" s="7">
        <f>TONT20000SEPT!$O11</f>
        <v>0</v>
      </c>
      <c r="AG11" s="7">
        <f>TONT20000OCT!$M11</f>
        <v>0</v>
      </c>
      <c r="AH11" s="7">
        <f>TONT20000OCT!$N11</f>
        <v>0</v>
      </c>
      <c r="AI11" s="7">
        <f>TONT20000OCT!$O11</f>
        <v>0</v>
      </c>
      <c r="AJ11" s="7">
        <f>TONT20000NOV!$N11</f>
        <v>0</v>
      </c>
      <c r="AK11" s="7">
        <f>TONT20000NOV!$O11</f>
        <v>0</v>
      </c>
      <c r="AL11" s="7">
        <f>TONT20000NOV!$P11</f>
        <v>0</v>
      </c>
    </row>
    <row r="12" spans="1:38" x14ac:dyDescent="0.25">
      <c r="A12" s="1" t="s">
        <v>17</v>
      </c>
      <c r="B12" s="1" t="str">
        <f>VLOOKUP(A12,LISTADHERENT!A$5:H$51,2)</f>
        <v>DJOUNKEP SAMUEL</v>
      </c>
      <c r="C12" s="7">
        <f>TONT20000DEC2015!$O12</f>
        <v>0</v>
      </c>
      <c r="D12" s="7">
        <f>TONT20000DEC2015!$P12</f>
        <v>0</v>
      </c>
      <c r="E12" s="7">
        <f>TONT20000DEC2015!$Q12</f>
        <v>0</v>
      </c>
      <c r="F12" s="7">
        <f>TONT20000JANV!$M12</f>
        <v>0</v>
      </c>
      <c r="G12" s="7">
        <f>TONT20000JANV!$N12</f>
        <v>0</v>
      </c>
      <c r="H12" s="7">
        <f>TONT20000JANV!$O12</f>
        <v>0</v>
      </c>
      <c r="I12" s="7">
        <f>TONT20000FEV!$M12</f>
        <v>0</v>
      </c>
      <c r="J12" s="7">
        <f>TONT20000FEV!$N12</f>
        <v>0</v>
      </c>
      <c r="K12" s="7">
        <f>TONT20000FEV!$O12</f>
        <v>0</v>
      </c>
      <c r="L12" s="7">
        <f>TONT20000MARS!$M12</f>
        <v>0</v>
      </c>
      <c r="M12" s="7">
        <f>TONT20000MARS!$N12</f>
        <v>0</v>
      </c>
      <c r="N12" s="7">
        <f>TONT20000MARS!$O12</f>
        <v>0</v>
      </c>
      <c r="O12" s="7">
        <f>TONT20000AVRIL!$M12</f>
        <v>0</v>
      </c>
      <c r="P12" s="7">
        <f>TONT20000AVRIL!$N12</f>
        <v>0</v>
      </c>
      <c r="Q12" s="7">
        <f>TONT20000AVRIL!$O12</f>
        <v>0</v>
      </c>
      <c r="R12" s="7">
        <f>TONT20000MAI!$M12</f>
        <v>0</v>
      </c>
      <c r="S12" s="7">
        <f>TONT20000MAI!$N12</f>
        <v>0</v>
      </c>
      <c r="T12" s="7">
        <f>TONT20000MAI!$O12</f>
        <v>0</v>
      </c>
      <c r="U12" s="7">
        <f>TONT20000JUIN!$M12</f>
        <v>0</v>
      </c>
      <c r="V12" s="7">
        <f>TONT20000JUIN!$N12</f>
        <v>0</v>
      </c>
      <c r="W12" s="7">
        <f>TONT20000JUIN!$O12</f>
        <v>0</v>
      </c>
      <c r="X12" s="7">
        <f>TONT20000JUIL!$M12</f>
        <v>0</v>
      </c>
      <c r="Y12" s="7">
        <f>TONT20000JUIL!$N12</f>
        <v>0</v>
      </c>
      <c r="Z12" s="7">
        <f>TONT20000JUIL!$O12</f>
        <v>0</v>
      </c>
      <c r="AA12" s="7">
        <f>TONT20000AOUT!$M12</f>
        <v>0</v>
      </c>
      <c r="AB12" s="7">
        <f>TONT20000AOUT!$N12</f>
        <v>0</v>
      </c>
      <c r="AC12" s="7">
        <f>TONT20000AOUT!$O12</f>
        <v>0</v>
      </c>
      <c r="AD12" s="7">
        <f>TONT20000SEPT!$M12</f>
        <v>0</v>
      </c>
      <c r="AE12" s="7">
        <f>TONT20000SEPT!$N12</f>
        <v>0</v>
      </c>
      <c r="AF12" s="7">
        <f>TONT20000SEPT!$O12</f>
        <v>0</v>
      </c>
      <c r="AG12" s="7">
        <f>TONT20000OCT!$M12</f>
        <v>0</v>
      </c>
      <c r="AH12" s="7">
        <f>TONT20000OCT!$N12</f>
        <v>0</v>
      </c>
      <c r="AI12" s="7">
        <f>TONT20000OCT!$O12</f>
        <v>0</v>
      </c>
      <c r="AJ12" s="7">
        <f>TONT20000NOV!$N12</f>
        <v>0</v>
      </c>
      <c r="AK12" s="7">
        <f>TONT20000NOV!$O12</f>
        <v>0</v>
      </c>
      <c r="AL12" s="7">
        <f>TONT20000NOV!$P12</f>
        <v>0</v>
      </c>
    </row>
    <row r="13" spans="1:38" x14ac:dyDescent="0.25">
      <c r="A13" s="1" t="s">
        <v>18</v>
      </c>
      <c r="B13" s="1" t="str">
        <f>VLOOKUP(A13,LISTADHERENT!A$5:H$51,2)</f>
        <v>DJUOMBESSY ANTOINE</v>
      </c>
      <c r="C13" s="7">
        <f>TONT20000DEC2015!$O13</f>
        <v>0</v>
      </c>
      <c r="D13" s="7">
        <f>TONT20000DEC2015!$P13</f>
        <v>0</v>
      </c>
      <c r="E13" s="7">
        <f>TONT20000DEC2015!$Q13</f>
        <v>0</v>
      </c>
      <c r="F13" s="7">
        <f>TONT20000JANV!$M13</f>
        <v>0</v>
      </c>
      <c r="G13" s="7">
        <f>TONT20000JANV!$N13</f>
        <v>0</v>
      </c>
      <c r="H13" s="7">
        <f>TONT20000JANV!$O13</f>
        <v>0</v>
      </c>
      <c r="I13" s="7">
        <f>TONT20000FEV!$M13</f>
        <v>0</v>
      </c>
      <c r="J13" s="7">
        <f>TONT20000FEV!$N13</f>
        <v>0</v>
      </c>
      <c r="K13" s="7">
        <f>TONT20000FEV!$O13</f>
        <v>0</v>
      </c>
      <c r="L13" s="7">
        <f>TONT20000MARS!$M13</f>
        <v>0</v>
      </c>
      <c r="M13" s="7">
        <f>TONT20000MARS!$N13</f>
        <v>0</v>
      </c>
      <c r="N13" s="7">
        <f>TONT20000MARS!$O13</f>
        <v>0</v>
      </c>
      <c r="O13" s="7">
        <f>TONT20000AVRIL!$M13</f>
        <v>0</v>
      </c>
      <c r="P13" s="7">
        <f>TONT20000AVRIL!$N13</f>
        <v>0</v>
      </c>
      <c r="Q13" s="7">
        <f>TONT20000AVRIL!$O13</f>
        <v>0</v>
      </c>
      <c r="R13" s="7">
        <f>TONT20000MAI!$M13</f>
        <v>0</v>
      </c>
      <c r="S13" s="7">
        <f>TONT20000MAI!$N13</f>
        <v>0</v>
      </c>
      <c r="T13" s="7">
        <f>TONT20000MAI!$O13</f>
        <v>0</v>
      </c>
      <c r="U13" s="7">
        <f>TONT20000JUIN!$M13</f>
        <v>0</v>
      </c>
      <c r="V13" s="7">
        <f>TONT20000JUIN!$N13</f>
        <v>0</v>
      </c>
      <c r="W13" s="7">
        <f>TONT20000JUIN!$O13</f>
        <v>0</v>
      </c>
      <c r="X13" s="7">
        <f>TONT20000JUIL!$M13</f>
        <v>0</v>
      </c>
      <c r="Y13" s="7">
        <f>TONT20000JUIL!$N13</f>
        <v>0</v>
      </c>
      <c r="Z13" s="7">
        <f>TONT20000JUIL!$O13</f>
        <v>0</v>
      </c>
      <c r="AA13" s="7">
        <f>TONT20000AOUT!$M13</f>
        <v>700000</v>
      </c>
      <c r="AB13" s="7">
        <f>TONT20000AOUT!$N13</f>
        <v>84000</v>
      </c>
      <c r="AC13" s="7">
        <f>TONT20000AOUT!$O13</f>
        <v>0</v>
      </c>
      <c r="AD13" s="7">
        <f>TONT20000SEPT!$M13</f>
        <v>0</v>
      </c>
      <c r="AE13" s="7">
        <f>TONT20000SEPT!$N13</f>
        <v>0</v>
      </c>
      <c r="AF13" s="7">
        <f>TONT20000SEPT!$O13</f>
        <v>0</v>
      </c>
      <c r="AG13" s="7">
        <f>TONT20000OCT!$M13</f>
        <v>0</v>
      </c>
      <c r="AH13" s="7">
        <f>TONT20000OCT!$N13</f>
        <v>0</v>
      </c>
      <c r="AI13" s="7">
        <f>TONT20000OCT!$O13</f>
        <v>0</v>
      </c>
      <c r="AJ13" s="7">
        <f>TONT20000NOV!$N13</f>
        <v>0</v>
      </c>
      <c r="AK13" s="7">
        <f>TONT20000NOV!$O13</f>
        <v>0</v>
      </c>
      <c r="AL13" s="7">
        <f>TONT20000NOV!$P13</f>
        <v>0</v>
      </c>
    </row>
    <row r="14" spans="1:38" x14ac:dyDescent="0.25">
      <c r="A14" s="1" t="s">
        <v>19</v>
      </c>
      <c r="B14" s="1" t="str">
        <f>VLOOKUP(A14,LISTADHERENT!A$5:H$51,2)</f>
        <v>DONHOU DAVID</v>
      </c>
      <c r="C14" s="7">
        <f>TONT20000DEC2015!$O14</f>
        <v>0</v>
      </c>
      <c r="D14" s="7">
        <f>TONT20000DEC2015!$P14</f>
        <v>0</v>
      </c>
      <c r="E14" s="7">
        <f>TONT20000DEC2015!$Q14</f>
        <v>0</v>
      </c>
      <c r="F14" s="7">
        <f>TONT20000JANV!$M14</f>
        <v>0</v>
      </c>
      <c r="G14" s="7">
        <f>TONT20000JANV!$N14</f>
        <v>0</v>
      </c>
      <c r="H14" s="7">
        <f>TONT20000JANV!$O14</f>
        <v>0</v>
      </c>
      <c r="I14" s="7">
        <f>TONT20000FEV!$M14</f>
        <v>0</v>
      </c>
      <c r="J14" s="7">
        <f>TONT20000FEV!$N14</f>
        <v>0</v>
      </c>
      <c r="K14" s="7">
        <f>TONT20000FEV!$O14</f>
        <v>0</v>
      </c>
      <c r="L14" s="7">
        <f>TONT20000MARS!$M14</f>
        <v>0</v>
      </c>
      <c r="M14" s="7">
        <f>TONT20000MARS!$N14</f>
        <v>0</v>
      </c>
      <c r="N14" s="7">
        <f>TONT20000MARS!$O14</f>
        <v>0</v>
      </c>
      <c r="O14" s="7">
        <f>TONT20000AVRIL!$M14</f>
        <v>0</v>
      </c>
      <c r="P14" s="7">
        <f>TONT20000AVRIL!$N14</f>
        <v>0</v>
      </c>
      <c r="Q14" s="7">
        <f>TONT20000AVRIL!$O14</f>
        <v>0</v>
      </c>
      <c r="R14" s="7">
        <f>TONT20000MAI!$M14</f>
        <v>0</v>
      </c>
      <c r="S14" s="7">
        <f>TONT20000MAI!$N14</f>
        <v>0</v>
      </c>
      <c r="T14" s="7">
        <f>TONT20000MAI!$O14</f>
        <v>0</v>
      </c>
      <c r="U14" s="7">
        <f>TONT20000JUIN!$M14</f>
        <v>0</v>
      </c>
      <c r="V14" s="7">
        <f>TONT20000JUIN!$N14</f>
        <v>0</v>
      </c>
      <c r="W14" s="7">
        <f>TONT20000JUIN!$O14</f>
        <v>0</v>
      </c>
      <c r="X14" s="7">
        <f>TONT20000JUIL!$M14</f>
        <v>0</v>
      </c>
      <c r="Y14" s="7">
        <f>TONT20000JUIL!$N14</f>
        <v>0</v>
      </c>
      <c r="Z14" s="7">
        <f>TONT20000JUIL!$O14</f>
        <v>0</v>
      </c>
      <c r="AA14" s="7">
        <f>TONT20000AOUT!$M14</f>
        <v>0</v>
      </c>
      <c r="AB14" s="7">
        <f>TONT20000AOUT!$N14</f>
        <v>0</v>
      </c>
      <c r="AC14" s="7">
        <f>TONT20000AOUT!$O14</f>
        <v>0</v>
      </c>
      <c r="AD14" s="7">
        <f>TONT20000SEPT!$M14</f>
        <v>0</v>
      </c>
      <c r="AE14" s="7">
        <f>TONT20000SEPT!$N14</f>
        <v>0</v>
      </c>
      <c r="AF14" s="7">
        <f>TONT20000SEPT!$O14</f>
        <v>0</v>
      </c>
      <c r="AG14" s="7">
        <f>TONT20000OCT!$M14</f>
        <v>0</v>
      </c>
      <c r="AH14" s="7">
        <f>TONT20000OCT!$N14</f>
        <v>0</v>
      </c>
      <c r="AI14" s="7">
        <f>TONT20000OCT!$O14</f>
        <v>0</v>
      </c>
      <c r="AJ14" s="7">
        <f>TONT20000NOV!$N14</f>
        <v>0</v>
      </c>
      <c r="AK14" s="7">
        <f>TONT20000NOV!$O14</f>
        <v>0</v>
      </c>
      <c r="AL14" s="7">
        <f>TONT20000NOV!$P14</f>
        <v>0</v>
      </c>
    </row>
    <row r="15" spans="1:38" x14ac:dyDescent="0.25">
      <c r="A15" s="1" t="s">
        <v>20</v>
      </c>
      <c r="B15" s="1" t="str">
        <f>VLOOKUP(A15,LISTADHERENT!A$5:H$51,2)</f>
        <v>FOTSO THOMAS</v>
      </c>
      <c r="C15" s="7">
        <f>TONT20000DEC2015!$O15</f>
        <v>0</v>
      </c>
      <c r="D15" s="7">
        <f>TONT20000DEC2015!$P15</f>
        <v>0</v>
      </c>
      <c r="E15" s="7">
        <f>TONT20000DEC2015!$Q15</f>
        <v>0</v>
      </c>
      <c r="F15" s="7">
        <f>TONT20000JANV!$M15</f>
        <v>0</v>
      </c>
      <c r="G15" s="7">
        <f>TONT20000JANV!$N15</f>
        <v>0</v>
      </c>
      <c r="H15" s="7">
        <f>TONT20000JANV!$O15</f>
        <v>0</v>
      </c>
      <c r="I15" s="7">
        <f>TONT20000FEV!$M15</f>
        <v>0</v>
      </c>
      <c r="J15" s="7">
        <f>TONT20000FEV!$N15</f>
        <v>0</v>
      </c>
      <c r="K15" s="7">
        <f>TONT20000FEV!$O15</f>
        <v>0</v>
      </c>
      <c r="L15" s="7">
        <f>TONT20000MARS!$M15</f>
        <v>0</v>
      </c>
      <c r="M15" s="7">
        <f>TONT20000MARS!$N15</f>
        <v>0</v>
      </c>
      <c r="N15" s="7">
        <f>TONT20000MARS!$O15</f>
        <v>0</v>
      </c>
      <c r="O15" s="7">
        <f>TONT20000AVRIL!$M15</f>
        <v>1000000</v>
      </c>
      <c r="P15" s="7">
        <f>TONT20000AVRIL!$N15</f>
        <v>120000</v>
      </c>
      <c r="Q15" s="7">
        <f>TONT20000AVRIL!$O15</f>
        <v>0</v>
      </c>
      <c r="R15" s="7">
        <f>TONT20000MAI!$M15</f>
        <v>0</v>
      </c>
      <c r="S15" s="7">
        <f>TONT20000MAI!$N15</f>
        <v>0</v>
      </c>
      <c r="T15" s="7">
        <f>TONT20000MAI!$O15</f>
        <v>0</v>
      </c>
      <c r="U15" s="7">
        <f>TONT20000JUIN!$M15</f>
        <v>0</v>
      </c>
      <c r="V15" s="7">
        <f>TONT20000JUIN!$N15</f>
        <v>0</v>
      </c>
      <c r="W15" s="7">
        <f>TONT20000JUIN!$O15</f>
        <v>0</v>
      </c>
      <c r="X15" s="7">
        <f>TONT20000JUIL!$M15</f>
        <v>0</v>
      </c>
      <c r="Y15" s="7">
        <f>TONT20000JUIL!$N15</f>
        <v>0</v>
      </c>
      <c r="Z15" s="7">
        <f>TONT20000JUIL!$O15</f>
        <v>0</v>
      </c>
      <c r="AA15" s="7">
        <f>TONT20000AOUT!$M15</f>
        <v>0</v>
      </c>
      <c r="AB15" s="7">
        <f>TONT20000AOUT!$N15</f>
        <v>0</v>
      </c>
      <c r="AC15" s="7">
        <f>TONT20000AOUT!$O15</f>
        <v>0</v>
      </c>
      <c r="AD15" s="7">
        <f>TONT20000SEPT!$M15</f>
        <v>0</v>
      </c>
      <c r="AE15" s="7">
        <f>TONT20000SEPT!$N15</f>
        <v>0</v>
      </c>
      <c r="AF15" s="7">
        <f>TONT20000SEPT!$O15</f>
        <v>0</v>
      </c>
      <c r="AG15" s="7">
        <f>TONT20000OCT!$M15</f>
        <v>0</v>
      </c>
      <c r="AH15" s="7">
        <f>TONT20000OCT!$N15</f>
        <v>0</v>
      </c>
      <c r="AI15" s="7">
        <f>TONT20000OCT!$O15</f>
        <v>0</v>
      </c>
      <c r="AJ15" s="7">
        <f>TONT20000NOV!$N15</f>
        <v>0</v>
      </c>
      <c r="AK15" s="7">
        <f>TONT20000NOV!$O15</f>
        <v>0</v>
      </c>
      <c r="AL15" s="7">
        <f>TONT20000NOV!$P15</f>
        <v>0</v>
      </c>
    </row>
    <row r="16" spans="1:38" x14ac:dyDescent="0.25">
      <c r="A16" s="1" t="s">
        <v>21</v>
      </c>
      <c r="B16" s="1" t="str">
        <f>VLOOKUP(A16,LISTADHERENT!A$5:H$51,2)</f>
        <v>HENGUE PAUL OMER</v>
      </c>
      <c r="C16" s="7">
        <f>TONT20000DEC2015!$O16</f>
        <v>0</v>
      </c>
      <c r="D16" s="7">
        <f>TONT20000DEC2015!$P16</f>
        <v>0</v>
      </c>
      <c r="E16" s="7">
        <f>TONT20000DEC2015!$Q16</f>
        <v>0</v>
      </c>
      <c r="F16" s="7">
        <f>TONT20000JANV!$M16</f>
        <v>0</v>
      </c>
      <c r="G16" s="7">
        <f>TONT20000JANV!$N16</f>
        <v>0</v>
      </c>
      <c r="H16" s="7">
        <f>TONT20000JANV!$O16</f>
        <v>0</v>
      </c>
      <c r="I16" s="7">
        <f>TONT20000FEV!$M16</f>
        <v>0</v>
      </c>
      <c r="J16" s="7">
        <f>TONT20000FEV!$N16</f>
        <v>0</v>
      </c>
      <c r="K16" s="7">
        <f>TONT20000FEV!$O16</f>
        <v>0</v>
      </c>
      <c r="L16" s="7">
        <f>TONT20000MARS!$M16</f>
        <v>0</v>
      </c>
      <c r="M16" s="7">
        <f>TONT20000MARS!$N16</f>
        <v>0</v>
      </c>
      <c r="N16" s="7">
        <f>TONT20000MARS!$O16</f>
        <v>0</v>
      </c>
      <c r="O16" s="7">
        <f>TONT20000AVRIL!$M16</f>
        <v>0</v>
      </c>
      <c r="P16" s="7">
        <f>TONT20000AVRIL!$N16</f>
        <v>0</v>
      </c>
      <c r="Q16" s="7">
        <f>TONT20000AVRIL!$O16</f>
        <v>0</v>
      </c>
      <c r="R16" s="7">
        <f>TONT20000MAI!$M16</f>
        <v>0</v>
      </c>
      <c r="S16" s="7">
        <f>TONT20000MAI!$N16</f>
        <v>0</v>
      </c>
      <c r="T16" s="7">
        <f>TONT20000MAI!$O16</f>
        <v>0</v>
      </c>
      <c r="U16" s="7">
        <f>TONT20000JUIN!$M16</f>
        <v>0</v>
      </c>
      <c r="V16" s="7">
        <f>TONT20000JUIN!$N16</f>
        <v>0</v>
      </c>
      <c r="W16" s="7">
        <f>TONT20000JUIN!$O16</f>
        <v>0</v>
      </c>
      <c r="X16" s="7">
        <f>TONT20000JUIL!$M16</f>
        <v>0</v>
      </c>
      <c r="Y16" s="7">
        <f>TONT20000JUIL!$N16</f>
        <v>0</v>
      </c>
      <c r="Z16" s="7">
        <f>TONT20000JUIL!$O16</f>
        <v>0</v>
      </c>
      <c r="AA16" s="7">
        <f>TONT20000AOUT!$M16</f>
        <v>0</v>
      </c>
      <c r="AB16" s="7">
        <f>TONT20000AOUT!$N16</f>
        <v>0</v>
      </c>
      <c r="AC16" s="7">
        <f>TONT20000AOUT!$O16</f>
        <v>0</v>
      </c>
      <c r="AD16" s="7">
        <f>TONT20000SEPT!$M16</f>
        <v>0</v>
      </c>
      <c r="AE16" s="7">
        <f>TONT20000SEPT!$N16</f>
        <v>0</v>
      </c>
      <c r="AF16" s="7">
        <f>TONT20000SEPT!$O16</f>
        <v>0</v>
      </c>
      <c r="AG16" s="7">
        <f>TONT20000OCT!$M16</f>
        <v>0</v>
      </c>
      <c r="AH16" s="7">
        <f>TONT20000OCT!$N16</f>
        <v>0</v>
      </c>
      <c r="AI16" s="7">
        <f>TONT20000OCT!$O16</f>
        <v>0</v>
      </c>
      <c r="AJ16" s="7">
        <f>TONT20000NOV!$N16</f>
        <v>0</v>
      </c>
      <c r="AK16" s="7">
        <f>TONT20000NOV!$O16</f>
        <v>0</v>
      </c>
      <c r="AL16" s="7">
        <f>TONT20000NOV!$P16</f>
        <v>0</v>
      </c>
    </row>
    <row r="17" spans="1:38" x14ac:dyDescent="0.25">
      <c r="A17" s="1" t="s">
        <v>22</v>
      </c>
      <c r="B17" s="1" t="str">
        <f>VLOOKUP(A17,LISTADHERENT!A$5:H$51,2)</f>
        <v>HODIEP JULES</v>
      </c>
      <c r="C17" s="7">
        <f>TONT20000DEC2015!$O17</f>
        <v>0</v>
      </c>
      <c r="D17" s="7">
        <f>TONT20000DEC2015!$P17</f>
        <v>0</v>
      </c>
      <c r="E17" s="7">
        <f>TONT20000DEC2015!$Q17</f>
        <v>0</v>
      </c>
      <c r="F17" s="7">
        <f>TONT20000JANV!$M17</f>
        <v>0</v>
      </c>
      <c r="G17" s="7">
        <f>TONT20000JANV!$N17</f>
        <v>0</v>
      </c>
      <c r="H17" s="7">
        <f>TONT20000JANV!$O17</f>
        <v>0</v>
      </c>
      <c r="I17" s="7">
        <f>TONT20000FEV!$M17</f>
        <v>0</v>
      </c>
      <c r="J17" s="7">
        <f>TONT20000FEV!$N17</f>
        <v>0</v>
      </c>
      <c r="K17" s="7">
        <f>TONT20000FEV!$O17</f>
        <v>0</v>
      </c>
      <c r="L17" s="7">
        <f>TONT20000MARS!$M17</f>
        <v>0</v>
      </c>
      <c r="M17" s="7">
        <f>TONT20000MARS!$N17</f>
        <v>0</v>
      </c>
      <c r="N17" s="7">
        <f>TONT20000MARS!$O17</f>
        <v>0</v>
      </c>
      <c r="O17" s="7">
        <f>TONT20000AVRIL!$M17</f>
        <v>0</v>
      </c>
      <c r="P17" s="7">
        <f>TONT20000AVRIL!$N17</f>
        <v>0</v>
      </c>
      <c r="Q17" s="7">
        <f>TONT20000AVRIL!$O17</f>
        <v>0</v>
      </c>
      <c r="R17" s="7">
        <f>TONT20000MAI!$M17</f>
        <v>0</v>
      </c>
      <c r="S17" s="7">
        <f>TONT20000MAI!$N17</f>
        <v>0</v>
      </c>
      <c r="T17" s="7">
        <f>TONT20000MAI!$O17</f>
        <v>0</v>
      </c>
      <c r="U17" s="7">
        <f>TONT20000JUIN!$M17</f>
        <v>0</v>
      </c>
      <c r="V17" s="7">
        <f>TONT20000JUIN!$N17</f>
        <v>0</v>
      </c>
      <c r="W17" s="7">
        <f>TONT20000JUIN!$O17</f>
        <v>0</v>
      </c>
      <c r="X17" s="7">
        <f>TONT20000JUIL!$M17</f>
        <v>0</v>
      </c>
      <c r="Y17" s="7">
        <f>TONT20000JUIL!$N17</f>
        <v>0</v>
      </c>
      <c r="Z17" s="7">
        <f>TONT20000JUIL!$O17</f>
        <v>0</v>
      </c>
      <c r="AA17" s="7">
        <f>TONT20000AOUT!$M17</f>
        <v>0</v>
      </c>
      <c r="AB17" s="7">
        <f>TONT20000AOUT!$N17</f>
        <v>0</v>
      </c>
      <c r="AC17" s="7">
        <f>TONT20000AOUT!$O17</f>
        <v>0</v>
      </c>
      <c r="AD17" s="7">
        <f>TONT20000SEPT!$M17</f>
        <v>0</v>
      </c>
      <c r="AE17" s="7">
        <f>TONT20000SEPT!$N17</f>
        <v>0</v>
      </c>
      <c r="AF17" s="7">
        <f>TONT20000SEPT!$O17</f>
        <v>0</v>
      </c>
      <c r="AG17" s="7">
        <f>TONT20000OCT!$M17</f>
        <v>0</v>
      </c>
      <c r="AH17" s="7">
        <f>TONT20000OCT!$N17</f>
        <v>0</v>
      </c>
      <c r="AI17" s="7">
        <f>TONT20000OCT!$O17</f>
        <v>0</v>
      </c>
      <c r="AJ17" s="7">
        <f>TONT20000NOV!$N17</f>
        <v>0</v>
      </c>
      <c r="AK17" s="7">
        <f>TONT20000NOV!$O17</f>
        <v>0</v>
      </c>
      <c r="AL17" s="7">
        <f>TONT20000NOV!$P17</f>
        <v>0</v>
      </c>
    </row>
    <row r="18" spans="1:38" x14ac:dyDescent="0.25">
      <c r="A18" s="1" t="s">
        <v>23</v>
      </c>
      <c r="B18" s="1" t="str">
        <f>VLOOKUP(A18,LISTADHERENT!A$5:H$51,2)</f>
        <v>HOTCHO BENJAMIN</v>
      </c>
      <c r="C18" s="7">
        <f>TONT20000DEC2015!$O18</f>
        <v>0</v>
      </c>
      <c r="D18" s="7">
        <f>TONT20000DEC2015!$P18</f>
        <v>0</v>
      </c>
      <c r="E18" s="7">
        <f>TONT20000DEC2015!$Q18</f>
        <v>0</v>
      </c>
      <c r="F18" s="7">
        <f>TONT20000JANV!$M18</f>
        <v>0</v>
      </c>
      <c r="G18" s="7">
        <f>TONT20000JANV!$N18</f>
        <v>0</v>
      </c>
      <c r="H18" s="7">
        <f>TONT20000JANV!$O18</f>
        <v>0</v>
      </c>
      <c r="I18" s="7">
        <f>TONT20000FEV!$M18</f>
        <v>0</v>
      </c>
      <c r="J18" s="7">
        <f>TONT20000FEV!$N18</f>
        <v>0</v>
      </c>
      <c r="K18" s="7">
        <f>TONT20000FEV!$O18</f>
        <v>0</v>
      </c>
      <c r="L18" s="7">
        <f>TONT20000MARS!$M18</f>
        <v>0</v>
      </c>
      <c r="M18" s="7">
        <f>TONT20000MARS!$N18</f>
        <v>0</v>
      </c>
      <c r="N18" s="7">
        <f>TONT20000MARS!$O18</f>
        <v>0</v>
      </c>
      <c r="O18" s="7">
        <f>TONT20000AVRIL!$M18</f>
        <v>0</v>
      </c>
      <c r="P18" s="7">
        <f>TONT20000AVRIL!$N18</f>
        <v>0</v>
      </c>
      <c r="Q18" s="7">
        <f>TONT20000AVRIL!$O18</f>
        <v>0</v>
      </c>
      <c r="R18" s="7">
        <f>TONT20000MAI!$M18</f>
        <v>0</v>
      </c>
      <c r="S18" s="7">
        <f>TONT20000MAI!$N18</f>
        <v>0</v>
      </c>
      <c r="T18" s="7">
        <f>TONT20000MAI!$O18</f>
        <v>0</v>
      </c>
      <c r="U18" s="7">
        <f>TONT20000JUIN!$M18</f>
        <v>0</v>
      </c>
      <c r="V18" s="7">
        <f>TONT20000JUIN!$N18</f>
        <v>0</v>
      </c>
      <c r="W18" s="7">
        <f>TONT20000JUIN!$O18</f>
        <v>0</v>
      </c>
      <c r="X18" s="7">
        <f>TONT20000JUIL!$M18</f>
        <v>0</v>
      </c>
      <c r="Y18" s="7">
        <f>TONT20000JUIL!$N18</f>
        <v>0</v>
      </c>
      <c r="Z18" s="7">
        <f>TONT20000JUIL!$O18</f>
        <v>0</v>
      </c>
      <c r="AA18" s="7">
        <f>TONT20000AOUT!$M18</f>
        <v>0</v>
      </c>
      <c r="AB18" s="7">
        <f>TONT20000AOUT!$N18</f>
        <v>0</v>
      </c>
      <c r="AC18" s="7">
        <f>TONT20000AOUT!$O18</f>
        <v>0</v>
      </c>
      <c r="AD18" s="7">
        <f>TONT20000SEPT!$M18</f>
        <v>0</v>
      </c>
      <c r="AE18" s="7">
        <f>TONT20000SEPT!$N18</f>
        <v>0</v>
      </c>
      <c r="AF18" s="7">
        <f>TONT20000SEPT!$O18</f>
        <v>0</v>
      </c>
      <c r="AG18" s="7">
        <f>TONT20000OCT!$M18</f>
        <v>0</v>
      </c>
      <c r="AH18" s="7">
        <f>TONT20000OCT!$N18</f>
        <v>0</v>
      </c>
      <c r="AI18" s="7">
        <f>TONT20000OCT!$O18</f>
        <v>0</v>
      </c>
      <c r="AJ18" s="7">
        <f>TONT20000NOV!$N18</f>
        <v>0</v>
      </c>
      <c r="AK18" s="7">
        <f>TONT20000NOV!$O18</f>
        <v>0</v>
      </c>
      <c r="AL18" s="7">
        <f>TONT20000NOV!$P18</f>
        <v>0</v>
      </c>
    </row>
    <row r="19" spans="1:38" x14ac:dyDescent="0.25">
      <c r="A19" s="1" t="s">
        <v>24</v>
      </c>
      <c r="B19" s="1" t="str">
        <f>VLOOKUP(A19,LISTADHERENT!A$5:H$51,2)</f>
        <v>KEPHE DAVID</v>
      </c>
      <c r="C19" s="7">
        <f>TONT20000DEC2015!$O19</f>
        <v>0</v>
      </c>
      <c r="D19" s="7">
        <f>TONT20000DEC2015!$P19</f>
        <v>0</v>
      </c>
      <c r="E19" s="7">
        <f>TONT20000DEC2015!$Q19</f>
        <v>0</v>
      </c>
      <c r="F19" s="7">
        <f>TONT20000JANV!$M19</f>
        <v>0</v>
      </c>
      <c r="G19" s="7">
        <f>TONT20000JANV!$N19</f>
        <v>0</v>
      </c>
      <c r="H19" s="7">
        <f>TONT20000JANV!$O19</f>
        <v>0</v>
      </c>
      <c r="I19" s="7">
        <f>TONT20000FEV!$M19</f>
        <v>0</v>
      </c>
      <c r="J19" s="7">
        <f>TONT20000FEV!$N19</f>
        <v>0</v>
      </c>
      <c r="K19" s="7">
        <f>TONT20000FEV!$O19</f>
        <v>0</v>
      </c>
      <c r="L19" s="7">
        <f>TONT20000MARS!$M19</f>
        <v>0</v>
      </c>
      <c r="M19" s="7">
        <f>TONT20000MARS!$N19</f>
        <v>0</v>
      </c>
      <c r="N19" s="7">
        <f>TONT20000MARS!$O19</f>
        <v>0</v>
      </c>
      <c r="O19" s="7">
        <f>TONT20000AVRIL!$M19</f>
        <v>0</v>
      </c>
      <c r="P19" s="7">
        <f>TONT20000AVRIL!$N19</f>
        <v>0</v>
      </c>
      <c r="Q19" s="7">
        <f>TONT20000AVRIL!$O19</f>
        <v>0</v>
      </c>
      <c r="R19" s="7">
        <f>TONT20000MAI!$M19</f>
        <v>0</v>
      </c>
      <c r="S19" s="7">
        <f>TONT20000MAI!$N19</f>
        <v>0</v>
      </c>
      <c r="T19" s="7">
        <f>TONT20000MAI!$O19</f>
        <v>0</v>
      </c>
      <c r="U19" s="7">
        <f>TONT20000JUIN!$M19</f>
        <v>0</v>
      </c>
      <c r="V19" s="7">
        <f>TONT20000JUIN!$N19</f>
        <v>0</v>
      </c>
      <c r="W19" s="7">
        <f>TONT20000JUIN!$O19</f>
        <v>0</v>
      </c>
      <c r="X19" s="7">
        <f>TONT20000JUIL!$M19</f>
        <v>0</v>
      </c>
      <c r="Y19" s="7">
        <f>TONT20000JUIL!$N19</f>
        <v>0</v>
      </c>
      <c r="Z19" s="7">
        <f>TONT20000JUIL!$O19</f>
        <v>0</v>
      </c>
      <c r="AA19" s="7">
        <f>TONT20000AOUT!$M19</f>
        <v>0</v>
      </c>
      <c r="AB19" s="7">
        <f>TONT20000AOUT!$N19</f>
        <v>0</v>
      </c>
      <c r="AC19" s="7">
        <f>TONT20000AOUT!$O19</f>
        <v>0</v>
      </c>
      <c r="AD19" s="7">
        <f>TONT20000SEPT!$M19</f>
        <v>0</v>
      </c>
      <c r="AE19" s="7">
        <f>TONT20000SEPT!$N19</f>
        <v>0</v>
      </c>
      <c r="AF19" s="7">
        <f>TONT20000SEPT!$O19</f>
        <v>0</v>
      </c>
      <c r="AG19" s="7">
        <f>TONT20000OCT!$M19</f>
        <v>0</v>
      </c>
      <c r="AH19" s="7">
        <f>TONT20000OCT!$N19</f>
        <v>0</v>
      </c>
      <c r="AI19" s="7">
        <f>TONT20000OCT!$O19</f>
        <v>0</v>
      </c>
      <c r="AJ19" s="7">
        <f>TONT20000NOV!$N19</f>
        <v>0</v>
      </c>
      <c r="AK19" s="7">
        <f>TONT20000NOV!$O19</f>
        <v>0</v>
      </c>
      <c r="AL19" s="7">
        <f>TONT20000NOV!$P19</f>
        <v>0</v>
      </c>
    </row>
    <row r="20" spans="1:38" x14ac:dyDescent="0.25">
      <c r="A20" s="1" t="s">
        <v>25</v>
      </c>
      <c r="B20" s="1" t="str">
        <f>VLOOKUP(A20,LISTADHERENT!A$5:H$51,2)</f>
        <v>KEPSEU FRANCIS</v>
      </c>
      <c r="C20" s="7">
        <f>TONT20000DEC2015!$O20</f>
        <v>0</v>
      </c>
      <c r="D20" s="7">
        <f>TONT20000DEC2015!$P20</f>
        <v>0</v>
      </c>
      <c r="E20" s="7">
        <f>TONT20000DEC2015!$Q20</f>
        <v>0</v>
      </c>
      <c r="F20" s="7">
        <f>TONT20000JANV!$M20</f>
        <v>0</v>
      </c>
      <c r="G20" s="7">
        <f>TONT20000JANV!$N20</f>
        <v>0</v>
      </c>
      <c r="H20" s="7">
        <f>TONT20000JANV!$O20</f>
        <v>0</v>
      </c>
      <c r="I20" s="7">
        <f>TONT20000FEV!$M20</f>
        <v>0</v>
      </c>
      <c r="J20" s="7">
        <f>TONT20000FEV!$N20</f>
        <v>0</v>
      </c>
      <c r="K20" s="7">
        <f>TONT20000FEV!$O20</f>
        <v>0</v>
      </c>
      <c r="L20" s="7">
        <f>TONT20000MARS!$M20</f>
        <v>0</v>
      </c>
      <c r="M20" s="7">
        <f>TONT20000MARS!$N20</f>
        <v>0</v>
      </c>
      <c r="N20" s="7">
        <f>TONT20000MARS!$O20</f>
        <v>0</v>
      </c>
      <c r="O20" s="7">
        <f>TONT20000AVRIL!$M20</f>
        <v>0</v>
      </c>
      <c r="P20" s="7">
        <f>TONT20000AVRIL!$N20</f>
        <v>0</v>
      </c>
      <c r="Q20" s="7">
        <f>TONT20000AVRIL!$O20</f>
        <v>0</v>
      </c>
      <c r="R20" s="7">
        <f>TONT20000MAI!$M20</f>
        <v>0</v>
      </c>
      <c r="S20" s="7">
        <f>TONT20000MAI!$N20</f>
        <v>0</v>
      </c>
      <c r="T20" s="7">
        <f>TONT20000MAI!$O20</f>
        <v>0</v>
      </c>
      <c r="U20" s="7">
        <f>TONT20000JUIN!$M20</f>
        <v>0</v>
      </c>
      <c r="V20" s="7">
        <f>TONT20000JUIN!$N20</f>
        <v>0</v>
      </c>
      <c r="W20" s="7">
        <f>TONT20000JUIN!$O20</f>
        <v>0</v>
      </c>
      <c r="X20" s="7">
        <f>TONT20000JUIL!$M20</f>
        <v>0</v>
      </c>
      <c r="Y20" s="7">
        <f>TONT20000JUIL!$N20</f>
        <v>0</v>
      </c>
      <c r="Z20" s="7">
        <f>TONT20000JUIL!$O20</f>
        <v>0</v>
      </c>
      <c r="AA20" s="7">
        <f>TONT20000AOUT!$M20</f>
        <v>0</v>
      </c>
      <c r="AB20" s="7">
        <f>TONT20000AOUT!$N20</f>
        <v>0</v>
      </c>
      <c r="AC20" s="7">
        <f>TONT20000AOUT!$O20</f>
        <v>0</v>
      </c>
      <c r="AD20" s="7">
        <f>TONT20000SEPT!$M20</f>
        <v>0</v>
      </c>
      <c r="AE20" s="7">
        <f>TONT20000SEPT!$N20</f>
        <v>0</v>
      </c>
      <c r="AF20" s="7">
        <f>TONT20000SEPT!$O20</f>
        <v>0</v>
      </c>
      <c r="AG20" s="7">
        <f>TONT20000OCT!$M20</f>
        <v>0</v>
      </c>
      <c r="AH20" s="7">
        <f>TONT20000OCT!$N20</f>
        <v>0</v>
      </c>
      <c r="AI20" s="7">
        <f>TONT20000OCT!$O20</f>
        <v>0</v>
      </c>
      <c r="AJ20" s="7">
        <f>TONT20000NOV!$N20</f>
        <v>0</v>
      </c>
      <c r="AK20" s="7">
        <f>TONT20000NOV!$O20</f>
        <v>0</v>
      </c>
      <c r="AL20" s="7">
        <f>TONT20000NOV!$P20</f>
        <v>0</v>
      </c>
    </row>
    <row r="21" spans="1:38" x14ac:dyDescent="0.25">
      <c r="A21" s="1" t="s">
        <v>26</v>
      </c>
      <c r="B21" s="1" t="str">
        <f>VLOOKUP(A21,LISTADHERENT!A$5:H$51,2)</f>
        <v>KOUAMOU EMMANUEL</v>
      </c>
      <c r="C21" s="7">
        <f>TONT20000DEC2015!$O21</f>
        <v>0</v>
      </c>
      <c r="D21" s="7">
        <f>TONT20000DEC2015!$P21</f>
        <v>0</v>
      </c>
      <c r="E21" s="7">
        <f>TONT20000DEC2015!$Q21</f>
        <v>0</v>
      </c>
      <c r="F21" s="7">
        <f>TONT20000JANV!$M21</f>
        <v>0</v>
      </c>
      <c r="G21" s="7">
        <f>TONT20000JANV!$N21</f>
        <v>0</v>
      </c>
      <c r="H21" s="7">
        <f>TONT20000JANV!$O21</f>
        <v>0</v>
      </c>
      <c r="I21" s="7">
        <f>TONT20000FEV!$M21</f>
        <v>0</v>
      </c>
      <c r="J21" s="7">
        <f>TONT20000FEV!$N21</f>
        <v>0</v>
      </c>
      <c r="K21" s="7">
        <f>TONT20000FEV!$O21</f>
        <v>0</v>
      </c>
      <c r="L21" s="7">
        <f>TONT20000MARS!$M21</f>
        <v>0</v>
      </c>
      <c r="M21" s="7">
        <f>TONT20000MARS!$N21</f>
        <v>0</v>
      </c>
      <c r="N21" s="7">
        <f>TONT20000MARS!$O21</f>
        <v>0</v>
      </c>
      <c r="O21" s="7">
        <f>TONT20000AVRIL!$M21</f>
        <v>0</v>
      </c>
      <c r="P21" s="7">
        <f>TONT20000AVRIL!$N21</f>
        <v>0</v>
      </c>
      <c r="Q21" s="7">
        <f>TONT20000AVRIL!$O21</f>
        <v>0</v>
      </c>
      <c r="R21" s="7">
        <f>TONT20000MAI!$M21</f>
        <v>0</v>
      </c>
      <c r="S21" s="7">
        <f>TONT20000MAI!$N21</f>
        <v>0</v>
      </c>
      <c r="T21" s="7">
        <f>TONT20000MAI!$O21</f>
        <v>0</v>
      </c>
      <c r="U21" s="7">
        <f>TONT20000JUIN!$M21</f>
        <v>0</v>
      </c>
      <c r="V21" s="7">
        <f>TONT20000JUIN!$N21</f>
        <v>0</v>
      </c>
      <c r="W21" s="7">
        <f>TONT20000JUIN!$O21</f>
        <v>0</v>
      </c>
      <c r="X21" s="7">
        <f>TONT20000JUIL!$M21</f>
        <v>1000000</v>
      </c>
      <c r="Y21" s="7">
        <f>TONT20000JUIL!$N21</f>
        <v>120000</v>
      </c>
      <c r="Z21" s="7">
        <f>TONT20000JUIL!$O21</f>
        <v>0</v>
      </c>
      <c r="AA21" s="7">
        <f>TONT20000AOUT!$M21</f>
        <v>0</v>
      </c>
      <c r="AB21" s="7">
        <f>TONT20000AOUT!$N21</f>
        <v>0</v>
      </c>
      <c r="AC21" s="7">
        <f>TONT20000AOUT!$O21</f>
        <v>0</v>
      </c>
      <c r="AD21" s="7">
        <f>TONT20000SEPT!$M21</f>
        <v>0</v>
      </c>
      <c r="AE21" s="7">
        <f>TONT20000SEPT!$N21</f>
        <v>0</v>
      </c>
      <c r="AF21" s="7">
        <f>TONT20000SEPT!$O21</f>
        <v>0</v>
      </c>
      <c r="AG21" s="7">
        <f>TONT20000OCT!$M21</f>
        <v>0</v>
      </c>
      <c r="AH21" s="7">
        <f>TONT20000OCT!$N21</f>
        <v>0</v>
      </c>
      <c r="AI21" s="7">
        <f>TONT20000OCT!$O21</f>
        <v>0</v>
      </c>
      <c r="AJ21" s="7">
        <f>TONT20000NOV!$N21</f>
        <v>0</v>
      </c>
      <c r="AK21" s="7">
        <f>TONT20000NOV!$O21</f>
        <v>0</v>
      </c>
      <c r="AL21" s="7">
        <f>TONT20000NOV!$P21</f>
        <v>0</v>
      </c>
    </row>
    <row r="22" spans="1:38" x14ac:dyDescent="0.25">
      <c r="A22" s="1" t="s">
        <v>27</v>
      </c>
      <c r="B22" s="1" t="str">
        <f>VLOOKUP(A22,LISTADHERENT!A$5:H$51,2)</f>
        <v>KOUAMOU MOISE</v>
      </c>
      <c r="C22" s="7">
        <f>TONT20000DEC2015!$O22</f>
        <v>0</v>
      </c>
      <c r="D22" s="7">
        <f>TONT20000DEC2015!$P22</f>
        <v>0</v>
      </c>
      <c r="E22" s="7">
        <f>TONT20000DEC2015!$Q22</f>
        <v>0</v>
      </c>
      <c r="F22" s="7">
        <f>TONT20000JANV!$M22</f>
        <v>0</v>
      </c>
      <c r="G22" s="7">
        <f>TONT20000JANV!$N22</f>
        <v>0</v>
      </c>
      <c r="H22" s="7">
        <f>TONT20000JANV!$O22</f>
        <v>0</v>
      </c>
      <c r="I22" s="7">
        <f>TONT20000FEV!$M22</f>
        <v>0</v>
      </c>
      <c r="J22" s="7">
        <f>TONT20000FEV!$N22</f>
        <v>0</v>
      </c>
      <c r="K22" s="7">
        <f>TONT20000FEV!$O22</f>
        <v>0</v>
      </c>
      <c r="L22" s="7">
        <f>TONT20000MARS!$M22</f>
        <v>0</v>
      </c>
      <c r="M22" s="7">
        <f>TONT20000MARS!$N22</f>
        <v>0</v>
      </c>
      <c r="N22" s="7">
        <f>TONT20000MARS!$O22</f>
        <v>0</v>
      </c>
      <c r="O22" s="7">
        <f>TONT20000AVRIL!$M22</f>
        <v>0</v>
      </c>
      <c r="P22" s="7">
        <f>TONT20000AVRIL!$N22</f>
        <v>0</v>
      </c>
      <c r="Q22" s="7">
        <f>TONT20000AVRIL!$O22</f>
        <v>0</v>
      </c>
      <c r="R22" s="7">
        <f>TONT20000MAI!$M22</f>
        <v>0</v>
      </c>
      <c r="S22" s="7">
        <f>TONT20000MAI!$N22</f>
        <v>0</v>
      </c>
      <c r="T22" s="7">
        <f>TONT20000MAI!$O22</f>
        <v>0</v>
      </c>
      <c r="U22" s="7">
        <f>TONT20000JUIN!$M22</f>
        <v>60000</v>
      </c>
      <c r="V22" s="7">
        <f>TONT20000JUIN!$N22</f>
        <v>1800</v>
      </c>
      <c r="W22" s="7">
        <f>TONT20000JUIN!$O22</f>
        <v>0</v>
      </c>
      <c r="X22" s="7">
        <f>TONT20000JUIL!$M22</f>
        <v>800000</v>
      </c>
      <c r="Y22" s="7">
        <f>TONT20000JUIL!$N22</f>
        <v>96000</v>
      </c>
      <c r="Z22" s="7">
        <f>TONT20000JUIL!$O22</f>
        <v>0</v>
      </c>
      <c r="AA22" s="7">
        <f>TONT20000AOUT!$M22</f>
        <v>0</v>
      </c>
      <c r="AB22" s="7">
        <f>TONT20000AOUT!$N22</f>
        <v>0</v>
      </c>
      <c r="AC22" s="7">
        <f>TONT20000AOUT!$O22</f>
        <v>0</v>
      </c>
      <c r="AD22" s="7">
        <f>TONT20000SEPT!$M22</f>
        <v>0</v>
      </c>
      <c r="AE22" s="7">
        <f>TONT20000SEPT!$N22</f>
        <v>0</v>
      </c>
      <c r="AF22" s="7">
        <f>TONT20000SEPT!$O22</f>
        <v>0</v>
      </c>
      <c r="AG22" s="7">
        <f>TONT20000OCT!$M22</f>
        <v>0</v>
      </c>
      <c r="AH22" s="7">
        <f>TONT20000OCT!$N22</f>
        <v>0</v>
      </c>
      <c r="AI22" s="7">
        <f>TONT20000OCT!$O22</f>
        <v>0</v>
      </c>
      <c r="AJ22" s="7">
        <f>TONT20000NOV!$N22</f>
        <v>0</v>
      </c>
      <c r="AK22" s="7">
        <f>TONT20000NOV!$O22</f>
        <v>0</v>
      </c>
      <c r="AL22" s="7">
        <f>TONT20000NOV!$P22</f>
        <v>0</v>
      </c>
    </row>
    <row r="23" spans="1:38" x14ac:dyDescent="0.25">
      <c r="A23" s="1" t="s">
        <v>28</v>
      </c>
      <c r="B23" s="1" t="str">
        <f>VLOOKUP(A23,LISTADHERENT!A$5:H$51,2)</f>
        <v>KOUAMOU VICTOR PEGUY</v>
      </c>
      <c r="C23" s="7">
        <f>TONT20000DEC2015!$O23</f>
        <v>0</v>
      </c>
      <c r="D23" s="7">
        <f>TONT20000DEC2015!$P23</f>
        <v>0</v>
      </c>
      <c r="E23" s="7">
        <f>TONT20000DEC2015!$Q23</f>
        <v>0</v>
      </c>
      <c r="F23" s="7">
        <f>TONT20000JANV!$M23</f>
        <v>0</v>
      </c>
      <c r="G23" s="7">
        <f>TONT20000JANV!$N23</f>
        <v>0</v>
      </c>
      <c r="H23" s="7">
        <f>TONT20000JANV!$O23</f>
        <v>0</v>
      </c>
      <c r="I23" s="7">
        <f>TONT20000FEV!$M23</f>
        <v>0</v>
      </c>
      <c r="J23" s="7">
        <f>TONT20000FEV!$N23</f>
        <v>0</v>
      </c>
      <c r="K23" s="7">
        <f>TONT20000FEV!$O23</f>
        <v>0</v>
      </c>
      <c r="L23" s="7">
        <f>TONT20000MARS!$M23</f>
        <v>0</v>
      </c>
      <c r="M23" s="7">
        <f>TONT20000MARS!$N23</f>
        <v>0</v>
      </c>
      <c r="N23" s="7">
        <f>TONT20000MARS!$O23</f>
        <v>0</v>
      </c>
      <c r="O23" s="7">
        <f>TONT20000AVRIL!$M23</f>
        <v>0</v>
      </c>
      <c r="P23" s="7">
        <f>TONT20000AVRIL!$N23</f>
        <v>0</v>
      </c>
      <c r="Q23" s="7">
        <f>TONT20000AVRIL!$O23</f>
        <v>0</v>
      </c>
      <c r="R23" s="7">
        <f>TONT20000MAI!$M23</f>
        <v>0</v>
      </c>
      <c r="S23" s="7">
        <f>TONT20000MAI!$N23</f>
        <v>0</v>
      </c>
      <c r="T23" s="7">
        <f>TONT20000MAI!$O23</f>
        <v>0</v>
      </c>
      <c r="U23" s="7">
        <f>TONT20000JUIN!$M23</f>
        <v>0</v>
      </c>
      <c r="V23" s="7">
        <f>TONT20000JUIN!$N23</f>
        <v>0</v>
      </c>
      <c r="W23" s="7">
        <f>TONT20000JUIN!$O23</f>
        <v>0</v>
      </c>
      <c r="X23" s="7">
        <f>TONT20000JUIL!$M23</f>
        <v>1000000</v>
      </c>
      <c r="Y23" s="7">
        <f>TONT20000JUIL!$N23</f>
        <v>32000</v>
      </c>
      <c r="Z23" s="7">
        <f>TONT20000JUIL!$O23</f>
        <v>0</v>
      </c>
      <c r="AA23" s="7">
        <f>TONT20000AOUT!$M23</f>
        <v>0</v>
      </c>
      <c r="AB23" s="7">
        <f>TONT20000AOUT!$N23</f>
        <v>0</v>
      </c>
      <c r="AC23" s="7">
        <f>TONT20000AOUT!$O23</f>
        <v>0</v>
      </c>
      <c r="AD23" s="7">
        <f>TONT20000SEPT!$M23</f>
        <v>0</v>
      </c>
      <c r="AE23" s="7">
        <f>TONT20000SEPT!$N23</f>
        <v>0</v>
      </c>
      <c r="AF23" s="7">
        <f>TONT20000SEPT!$O23</f>
        <v>0</v>
      </c>
      <c r="AG23" s="7">
        <f>TONT20000OCT!$M23</f>
        <v>0</v>
      </c>
      <c r="AH23" s="7">
        <f>TONT20000OCT!$N23</f>
        <v>0</v>
      </c>
      <c r="AI23" s="7">
        <f>TONT20000OCT!$O23</f>
        <v>0</v>
      </c>
      <c r="AJ23" s="7">
        <f>TONT20000NOV!$N23</f>
        <v>800000</v>
      </c>
      <c r="AK23" s="7">
        <f>TONT20000NOV!$O23</f>
        <v>96000</v>
      </c>
      <c r="AL23" s="7">
        <f>TONT20000NOV!$P23</f>
        <v>1000000</v>
      </c>
    </row>
    <row r="24" spans="1:38" x14ac:dyDescent="0.25">
      <c r="A24" s="1" t="s">
        <v>29</v>
      </c>
      <c r="B24" s="1" t="str">
        <f>VLOOKUP(A24,LISTADHERENT!A$5:H$51,2)</f>
        <v>KOUATCHO MESSACK</v>
      </c>
      <c r="C24" s="7">
        <f>TONT20000DEC2015!$O24</f>
        <v>600000</v>
      </c>
      <c r="D24" s="7">
        <f>TONT20000DEC2015!$P24</f>
        <v>72000</v>
      </c>
      <c r="E24" s="7">
        <f>TONT20000DEC2015!$Q24</f>
        <v>0</v>
      </c>
      <c r="F24" s="7">
        <f>TONT20000JANV!$M24</f>
        <v>0</v>
      </c>
      <c r="G24" s="7">
        <f>TONT20000JANV!$N24</f>
        <v>0</v>
      </c>
      <c r="H24" s="7">
        <f>TONT20000JANV!$O24</f>
        <v>0</v>
      </c>
      <c r="I24" s="7">
        <f>TONT20000FEV!$M24</f>
        <v>0</v>
      </c>
      <c r="J24" s="7">
        <f>TONT20000FEV!$N24</f>
        <v>0</v>
      </c>
      <c r="K24" s="7">
        <f>TONT20000FEV!$O24</f>
        <v>0</v>
      </c>
      <c r="L24" s="7">
        <f>TONT20000MARS!$M24</f>
        <v>0</v>
      </c>
      <c r="M24" s="7">
        <f>TONT20000MARS!$N24</f>
        <v>0</v>
      </c>
      <c r="N24" s="7">
        <f>TONT20000MARS!$O24</f>
        <v>0</v>
      </c>
      <c r="O24" s="7">
        <f>TONT20000AVRIL!$M24</f>
        <v>1000000</v>
      </c>
      <c r="P24" s="7">
        <f>TONT20000AVRIL!$N24</f>
        <v>120000</v>
      </c>
      <c r="Q24" s="7">
        <f>TONT20000AVRIL!$O24</f>
        <v>0</v>
      </c>
      <c r="R24" s="7">
        <f>TONT20000MAI!$M24</f>
        <v>0</v>
      </c>
      <c r="S24" s="7">
        <f>TONT20000MAI!$N24</f>
        <v>0</v>
      </c>
      <c r="T24" s="7">
        <f>TONT20000MAI!$O24</f>
        <v>0</v>
      </c>
      <c r="U24" s="7">
        <f>TONT20000JUIN!$M24</f>
        <v>0</v>
      </c>
      <c r="V24" s="7">
        <f>TONT20000JUIN!$N24</f>
        <v>0</v>
      </c>
      <c r="W24" s="7">
        <f>TONT20000JUIN!$O24</f>
        <v>0</v>
      </c>
      <c r="X24" s="7">
        <f>TONT20000JUIL!$M24</f>
        <v>0</v>
      </c>
      <c r="Y24" s="7">
        <f>TONT20000JUIL!$N24</f>
        <v>0</v>
      </c>
      <c r="Z24" s="7">
        <f>TONT20000JUIL!$O24</f>
        <v>0</v>
      </c>
      <c r="AA24" s="7">
        <f>TONT20000AOUT!$M24</f>
        <v>0</v>
      </c>
      <c r="AB24" s="7">
        <f>TONT20000AOUT!$N24</f>
        <v>0</v>
      </c>
      <c r="AC24" s="7">
        <f>TONT20000AOUT!$O24</f>
        <v>0</v>
      </c>
      <c r="AD24" s="7">
        <f>TONT20000SEPT!$M24</f>
        <v>0</v>
      </c>
      <c r="AE24" s="7">
        <f>TONT20000SEPT!$N24</f>
        <v>0</v>
      </c>
      <c r="AF24" s="7">
        <f>TONT20000SEPT!$O24</f>
        <v>0</v>
      </c>
      <c r="AG24" s="7">
        <f>TONT20000OCT!$M24</f>
        <v>0</v>
      </c>
      <c r="AH24" s="7">
        <f>TONT20000OCT!$N24</f>
        <v>0</v>
      </c>
      <c r="AI24" s="7">
        <f>TONT20000OCT!$O24</f>
        <v>0</v>
      </c>
      <c r="AJ24" s="7">
        <f>TONT20000NOV!$N24</f>
        <v>0</v>
      </c>
      <c r="AK24" s="7">
        <f>TONT20000NOV!$O24</f>
        <v>0</v>
      </c>
      <c r="AL24" s="7">
        <f>TONT20000NOV!$P24</f>
        <v>0</v>
      </c>
    </row>
    <row r="25" spans="1:38" x14ac:dyDescent="0.25">
      <c r="A25" s="1" t="s">
        <v>30</v>
      </c>
      <c r="B25" s="1" t="str">
        <f>VLOOKUP(A25,LISTADHERENT!A$5:H$51,2)</f>
        <v>LOWE JEAN</v>
      </c>
      <c r="C25" s="7">
        <f>TONT20000DEC2015!$O25</f>
        <v>0</v>
      </c>
      <c r="D25" s="7">
        <f>TONT20000DEC2015!$P25</f>
        <v>0</v>
      </c>
      <c r="E25" s="7">
        <f>TONT20000DEC2015!$Q25</f>
        <v>0</v>
      </c>
      <c r="F25" s="7">
        <f>TONT20000JANV!$M25</f>
        <v>0</v>
      </c>
      <c r="G25" s="7">
        <f>TONT20000JANV!$N25</f>
        <v>0</v>
      </c>
      <c r="H25" s="7">
        <f>TONT20000JANV!$O25</f>
        <v>0</v>
      </c>
      <c r="I25" s="7">
        <f>TONT20000FEV!$M25</f>
        <v>0</v>
      </c>
      <c r="J25" s="7">
        <f>TONT20000FEV!$N25</f>
        <v>0</v>
      </c>
      <c r="K25" s="7">
        <f>TONT20000FEV!$O25</f>
        <v>0</v>
      </c>
      <c r="L25" s="7">
        <f>TONT20000MARS!$M25</f>
        <v>80000</v>
      </c>
      <c r="M25" s="7">
        <f>TONT20000MARS!$N25</f>
        <v>2400</v>
      </c>
      <c r="N25" s="7">
        <f>TONT20000MARS!$O25</f>
        <v>0</v>
      </c>
      <c r="O25" s="7">
        <f>TONT20000AVRIL!$M25</f>
        <v>0</v>
      </c>
      <c r="P25" s="7">
        <f>TONT20000AVRIL!$N25</f>
        <v>0</v>
      </c>
      <c r="Q25" s="7">
        <f>TONT20000AVRIL!$O25</f>
        <v>0</v>
      </c>
      <c r="R25" s="7">
        <f>TONT20000MAI!$M25</f>
        <v>0</v>
      </c>
      <c r="S25" s="7">
        <f>TONT20000MAI!$N25</f>
        <v>0</v>
      </c>
      <c r="T25" s="7">
        <f>TONT20000MAI!$O25</f>
        <v>0</v>
      </c>
      <c r="U25" s="7">
        <f>TONT20000JUIN!$M25</f>
        <v>80000</v>
      </c>
      <c r="V25" s="7">
        <f>TONT20000JUIN!$N25</f>
        <v>2400</v>
      </c>
      <c r="W25" s="7">
        <f>TONT20000JUIN!$O25</f>
        <v>80000</v>
      </c>
      <c r="X25" s="7">
        <f>TONT20000JUIL!$M25</f>
        <v>0</v>
      </c>
      <c r="Y25" s="7">
        <f>TONT20000JUIL!$N25</f>
        <v>0</v>
      </c>
      <c r="Z25" s="7">
        <f>TONT20000JUIL!$O25</f>
        <v>0</v>
      </c>
      <c r="AA25" s="7">
        <f>TONT20000AOUT!$M25</f>
        <v>0</v>
      </c>
      <c r="AB25" s="7">
        <f>TONT20000AOUT!$N25</f>
        <v>0</v>
      </c>
      <c r="AC25" s="7">
        <f>TONT20000AOUT!$O25</f>
        <v>0</v>
      </c>
      <c r="AD25" s="7">
        <f>TONT20000SEPT!$M25</f>
        <v>80000</v>
      </c>
      <c r="AE25" s="7">
        <f>TONT20000SEPT!$N25</f>
        <v>2400</v>
      </c>
      <c r="AF25" s="7">
        <f>TONT20000SEPT!$O25</f>
        <v>80000</v>
      </c>
      <c r="AG25" s="7">
        <f>TONT20000OCT!$M25</f>
        <v>0</v>
      </c>
      <c r="AH25" s="7">
        <f>TONT20000OCT!$N25</f>
        <v>0</v>
      </c>
      <c r="AI25" s="7">
        <f>TONT20000OCT!$O25</f>
        <v>0</v>
      </c>
      <c r="AJ25" s="7">
        <f>TONT20000NOV!$N25</f>
        <v>0</v>
      </c>
      <c r="AK25" s="7">
        <f>TONT20000NOV!$O25</f>
        <v>0</v>
      </c>
      <c r="AL25" s="7">
        <f>TONT20000NOV!$P25</f>
        <v>0</v>
      </c>
    </row>
    <row r="26" spans="1:38" x14ac:dyDescent="0.25">
      <c r="A26" s="1" t="s">
        <v>31</v>
      </c>
      <c r="B26" s="1" t="str">
        <f>VLOOKUP(A26,LISTADHERENT!A$5:H$51,2)</f>
        <v>NANKAM APPOLINAIRE</v>
      </c>
      <c r="C26" s="7">
        <f>TONT20000DEC2015!$O26</f>
        <v>0</v>
      </c>
      <c r="D26" s="7">
        <f>TONT20000DEC2015!$P26</f>
        <v>0</v>
      </c>
      <c r="E26" s="7">
        <f>TONT20000DEC2015!$Q26</f>
        <v>0</v>
      </c>
      <c r="F26" s="7">
        <f>TONT20000JANV!$M26</f>
        <v>0</v>
      </c>
      <c r="G26" s="7">
        <f>TONT20000JANV!$N26</f>
        <v>0</v>
      </c>
      <c r="H26" s="7">
        <f>TONT20000JANV!$O26</f>
        <v>0</v>
      </c>
      <c r="I26" s="7">
        <f>TONT20000FEV!$M26</f>
        <v>0</v>
      </c>
      <c r="J26" s="7">
        <f>TONT20000FEV!$N26</f>
        <v>0</v>
      </c>
      <c r="K26" s="7">
        <f>TONT20000FEV!$O26</f>
        <v>0</v>
      </c>
      <c r="L26" s="7">
        <f>TONT20000MARS!$M26</f>
        <v>0</v>
      </c>
      <c r="M26" s="7">
        <f>TONT20000MARS!$N26</f>
        <v>0</v>
      </c>
      <c r="N26" s="7">
        <f>TONT20000MARS!$O26</f>
        <v>0</v>
      </c>
      <c r="O26" s="7">
        <f>TONT20000AVRIL!$M26</f>
        <v>0</v>
      </c>
      <c r="P26" s="7">
        <f>TONT20000AVRIL!$N26</f>
        <v>0</v>
      </c>
      <c r="Q26" s="7">
        <f>TONT20000AVRIL!$O26</f>
        <v>0</v>
      </c>
      <c r="R26" s="7">
        <f>TONT20000MAI!$M26</f>
        <v>0</v>
      </c>
      <c r="S26" s="7">
        <f>TONT20000MAI!$N26</f>
        <v>0</v>
      </c>
      <c r="T26" s="7">
        <f>TONT20000MAI!$O26</f>
        <v>0</v>
      </c>
      <c r="U26" s="7">
        <f>TONT20000JUIN!$M26</f>
        <v>0</v>
      </c>
      <c r="V26" s="7">
        <f>TONT20000JUIN!$N26</f>
        <v>0</v>
      </c>
      <c r="W26" s="7">
        <f>TONT20000JUIN!$O26</f>
        <v>0</v>
      </c>
      <c r="X26" s="7">
        <f>TONT20000JUIL!$M26</f>
        <v>1000000</v>
      </c>
      <c r="Y26" s="7">
        <f>TONT20000JUIL!$N26</f>
        <v>120000</v>
      </c>
      <c r="Z26" s="7">
        <f>TONT20000JUIL!$O26</f>
        <v>0</v>
      </c>
      <c r="AA26" s="7">
        <f>TONT20000AOUT!$M26</f>
        <v>0</v>
      </c>
      <c r="AB26" s="7">
        <f>TONT20000AOUT!$N26</f>
        <v>0</v>
      </c>
      <c r="AC26" s="7">
        <f>TONT20000AOUT!$O26</f>
        <v>0</v>
      </c>
      <c r="AD26" s="7">
        <f>TONT20000SEPT!$M26</f>
        <v>0</v>
      </c>
      <c r="AE26" s="7">
        <f>TONT20000SEPT!$N26</f>
        <v>0</v>
      </c>
      <c r="AF26" s="7">
        <f>TONT20000SEPT!$O26</f>
        <v>0</v>
      </c>
      <c r="AG26" s="7">
        <f>TONT20000OCT!$M26</f>
        <v>0</v>
      </c>
      <c r="AH26" s="7">
        <f>TONT20000OCT!$N26</f>
        <v>0</v>
      </c>
      <c r="AI26" s="7">
        <f>TONT20000OCT!$O26</f>
        <v>0</v>
      </c>
      <c r="AJ26" s="7">
        <f>TONT20000NOV!$N26</f>
        <v>0</v>
      </c>
      <c r="AK26" s="7">
        <f>TONT20000NOV!$O26</f>
        <v>0</v>
      </c>
      <c r="AL26" s="7">
        <f>TONT20000NOV!$P26</f>
        <v>0</v>
      </c>
    </row>
    <row r="27" spans="1:38" x14ac:dyDescent="0.25">
      <c r="A27" s="1" t="s">
        <v>32</v>
      </c>
      <c r="B27" s="1" t="str">
        <f>VLOOKUP(A27,LISTADHERENT!A$5:H$51,2)</f>
        <v>NDJOMO ETIENNE</v>
      </c>
      <c r="C27" s="7">
        <f>TONT20000DEC2015!$O27</f>
        <v>400000</v>
      </c>
      <c r="D27" s="7">
        <f>TONT20000DEC2015!$P27</f>
        <v>12000</v>
      </c>
      <c r="E27" s="7">
        <f>TONT20000DEC2015!$Q27</f>
        <v>0</v>
      </c>
      <c r="F27" s="7">
        <f>TONT20000JANV!$M27</f>
        <v>0</v>
      </c>
      <c r="G27" s="7">
        <f>TONT20000JANV!$N27</f>
        <v>0</v>
      </c>
      <c r="H27" s="7">
        <f>TONT20000JANV!$O27</f>
        <v>0</v>
      </c>
      <c r="I27" s="7">
        <f>TONT20000FEV!$M27</f>
        <v>0</v>
      </c>
      <c r="J27" s="7">
        <f>TONT20000FEV!$N27</f>
        <v>0</v>
      </c>
      <c r="K27" s="7">
        <f>TONT20000FEV!$O27</f>
        <v>0</v>
      </c>
      <c r="L27" s="7">
        <f>TONT20000MARS!$M27</f>
        <v>400000</v>
      </c>
      <c r="M27" s="7">
        <f>TONT20000MARS!$N27</f>
        <v>12000</v>
      </c>
      <c r="N27" s="7">
        <f>TONT20000MARS!$O27</f>
        <v>400000</v>
      </c>
      <c r="O27" s="7">
        <f>TONT20000AVRIL!$M27</f>
        <v>0</v>
      </c>
      <c r="P27" s="7">
        <f>TONT20000AVRIL!$N27</f>
        <v>0</v>
      </c>
      <c r="Q27" s="7">
        <f>TONT20000AVRIL!$O27</f>
        <v>0</v>
      </c>
      <c r="R27" s="7">
        <f>TONT20000MAI!$M27</f>
        <v>0</v>
      </c>
      <c r="S27" s="7">
        <f>TONT20000MAI!$N27</f>
        <v>0</v>
      </c>
      <c r="T27" s="7">
        <f>TONT20000MAI!$O27</f>
        <v>0</v>
      </c>
      <c r="U27" s="7">
        <f>TONT20000JUIN!$M27</f>
        <v>400000</v>
      </c>
      <c r="V27" s="7">
        <f>TONT20000JUIN!$N27</f>
        <v>12000</v>
      </c>
      <c r="W27" s="7">
        <f>TONT20000JUIN!$O27</f>
        <v>400000</v>
      </c>
      <c r="X27" s="7">
        <f>TONT20000JUIL!$M27</f>
        <v>0</v>
      </c>
      <c r="Y27" s="7">
        <f>TONT20000JUIL!$N27</f>
        <v>0</v>
      </c>
      <c r="Z27" s="7">
        <f>TONT20000JUIL!$O27</f>
        <v>0</v>
      </c>
      <c r="AA27" s="7">
        <f>TONT20000AOUT!$M27</f>
        <v>0</v>
      </c>
      <c r="AB27" s="7">
        <f>TONT20000AOUT!$N27</f>
        <v>0</v>
      </c>
      <c r="AC27" s="7">
        <f>TONT20000AOUT!$O27</f>
        <v>0</v>
      </c>
      <c r="AD27" s="7">
        <f>TONT20000SEPT!$M27</f>
        <v>400000</v>
      </c>
      <c r="AE27" s="7">
        <f>TONT20000SEPT!$N27</f>
        <v>12000</v>
      </c>
      <c r="AF27" s="7">
        <f>TONT20000SEPT!$O27</f>
        <v>400000</v>
      </c>
      <c r="AG27" s="7">
        <f>TONT20000OCT!$M27</f>
        <v>0</v>
      </c>
      <c r="AH27" s="7">
        <f>TONT20000OCT!$N27</f>
        <v>0</v>
      </c>
      <c r="AI27" s="7">
        <f>TONT20000OCT!$O27</f>
        <v>0</v>
      </c>
      <c r="AJ27" s="7">
        <f>TONT20000NOV!$N27</f>
        <v>0</v>
      </c>
      <c r="AK27" s="7">
        <f>TONT20000NOV!$O27</f>
        <v>0</v>
      </c>
      <c r="AL27" s="7">
        <f>TONT20000NOV!$P27</f>
        <v>0</v>
      </c>
    </row>
    <row r="28" spans="1:38" x14ac:dyDescent="0.25">
      <c r="A28" s="1" t="s">
        <v>33</v>
      </c>
      <c r="B28" s="1" t="str">
        <f>VLOOKUP(A28,LISTADHERENT!A$5:H$51,2)</f>
        <v>NDOMBOU JEAN CLAUDE</v>
      </c>
      <c r="C28" s="7">
        <f>TONT20000DEC2015!$O28</f>
        <v>0</v>
      </c>
      <c r="D28" s="7">
        <f>TONT20000DEC2015!$P28</f>
        <v>0</v>
      </c>
      <c r="E28" s="7">
        <f>TONT20000DEC2015!$Q28</f>
        <v>0</v>
      </c>
      <c r="F28" s="7">
        <f>TONT20000JANV!$M28</f>
        <v>0</v>
      </c>
      <c r="G28" s="7">
        <f>TONT20000JANV!$N28</f>
        <v>0</v>
      </c>
      <c r="H28" s="7">
        <f>TONT20000JANV!$O28</f>
        <v>0</v>
      </c>
      <c r="I28" s="7">
        <f>TONT20000FEV!$M28</f>
        <v>0</v>
      </c>
      <c r="J28" s="7">
        <f>TONT20000FEV!$N28</f>
        <v>0</v>
      </c>
      <c r="K28" s="7">
        <f>TONT20000FEV!$O28</f>
        <v>0</v>
      </c>
      <c r="L28" s="7">
        <f>TONT20000MARS!$M28</f>
        <v>0</v>
      </c>
      <c r="M28" s="7">
        <f>TONT20000MARS!$N28</f>
        <v>0</v>
      </c>
      <c r="N28" s="7">
        <f>TONT20000MARS!$O28</f>
        <v>0</v>
      </c>
      <c r="O28" s="7">
        <f>TONT20000AVRIL!$M28</f>
        <v>0</v>
      </c>
      <c r="P28" s="7">
        <f>TONT20000AVRIL!$N28</f>
        <v>0</v>
      </c>
      <c r="Q28" s="7">
        <f>TONT20000AVRIL!$O28</f>
        <v>0</v>
      </c>
      <c r="R28" s="7">
        <f>TONT20000MAI!$M28</f>
        <v>0</v>
      </c>
      <c r="S28" s="7">
        <f>TONT20000MAI!$N28</f>
        <v>0</v>
      </c>
      <c r="T28" s="7">
        <f>TONT20000MAI!$O28</f>
        <v>0</v>
      </c>
      <c r="U28" s="7">
        <f>TONT20000JUIN!$M28</f>
        <v>0</v>
      </c>
      <c r="V28" s="7">
        <f>TONT20000JUIN!$N28</f>
        <v>0</v>
      </c>
      <c r="W28" s="7">
        <f>TONT20000JUIN!$O28</f>
        <v>0</v>
      </c>
      <c r="X28" s="7">
        <f>TONT20000JUIL!$M28</f>
        <v>0</v>
      </c>
      <c r="Y28" s="7">
        <f>TONT20000JUIL!$N28</f>
        <v>0</v>
      </c>
      <c r="Z28" s="7">
        <f>TONT20000JUIL!$O28</f>
        <v>0</v>
      </c>
      <c r="AA28" s="7">
        <f>TONT20000AOUT!$M28</f>
        <v>0</v>
      </c>
      <c r="AB28" s="7">
        <f>TONT20000AOUT!$N28</f>
        <v>0</v>
      </c>
      <c r="AC28" s="7">
        <f>TONT20000AOUT!$O28</f>
        <v>0</v>
      </c>
      <c r="AD28" s="7">
        <f>TONT20000SEPT!$M28</f>
        <v>0</v>
      </c>
      <c r="AE28" s="7">
        <f>TONT20000SEPT!$N28</f>
        <v>0</v>
      </c>
      <c r="AF28" s="7">
        <f>TONT20000SEPT!$O28</f>
        <v>0</v>
      </c>
      <c r="AG28" s="7">
        <f>TONT20000OCT!$M28</f>
        <v>0</v>
      </c>
      <c r="AH28" s="7">
        <f>TONT20000OCT!$N28</f>
        <v>0</v>
      </c>
      <c r="AI28" s="7">
        <f>TONT20000OCT!$O28</f>
        <v>0</v>
      </c>
      <c r="AJ28" s="7">
        <f>TONT20000NOV!$N28</f>
        <v>0</v>
      </c>
      <c r="AK28" s="7">
        <f>TONT20000NOV!$O28</f>
        <v>0</v>
      </c>
      <c r="AL28" s="7">
        <f>TONT20000NOV!$P28</f>
        <v>0</v>
      </c>
    </row>
    <row r="29" spans="1:38" x14ac:dyDescent="0.25">
      <c r="A29" s="1" t="s">
        <v>34</v>
      </c>
      <c r="B29" s="1" t="str">
        <f>VLOOKUP(A29,LISTADHERENT!A$5:H$51,2)</f>
        <v>NGONDIEP CLAUDE</v>
      </c>
      <c r="C29" s="7">
        <f>TONT20000DEC2015!$O29</f>
        <v>0</v>
      </c>
      <c r="D29" s="7">
        <f>TONT20000DEC2015!$P29</f>
        <v>0</v>
      </c>
      <c r="E29" s="7">
        <f>TONT20000DEC2015!$Q29</f>
        <v>0</v>
      </c>
      <c r="F29" s="7">
        <f>TONT20000JANV!$M29</f>
        <v>0</v>
      </c>
      <c r="G29" s="7">
        <f>TONT20000JANV!$N29</f>
        <v>0</v>
      </c>
      <c r="H29" s="7">
        <f>TONT20000JANV!$O29</f>
        <v>0</v>
      </c>
      <c r="I29" s="7">
        <f>TONT20000FEV!$M29</f>
        <v>0</v>
      </c>
      <c r="J29" s="7">
        <f>TONT20000FEV!$N29</f>
        <v>0</v>
      </c>
      <c r="K29" s="7">
        <f>TONT20000FEV!$O29</f>
        <v>0</v>
      </c>
      <c r="L29" s="7">
        <f>TONT20000MARS!$M29</f>
        <v>0</v>
      </c>
      <c r="M29" s="7">
        <f>TONT20000MARS!$N29</f>
        <v>0</v>
      </c>
      <c r="N29" s="7">
        <f>TONT20000MARS!$O29</f>
        <v>0</v>
      </c>
      <c r="O29" s="7">
        <f>TONT20000AVRIL!$M29</f>
        <v>0</v>
      </c>
      <c r="P29" s="7">
        <f>TONT20000AVRIL!$N29</f>
        <v>0</v>
      </c>
      <c r="Q29" s="7">
        <f>TONT20000AVRIL!$O29</f>
        <v>0</v>
      </c>
      <c r="R29" s="7">
        <f>TONT20000MAI!$M29</f>
        <v>0</v>
      </c>
      <c r="S29" s="7">
        <f>TONT20000MAI!$N29</f>
        <v>0</v>
      </c>
      <c r="T29" s="7">
        <f>TONT20000MAI!$O29</f>
        <v>0</v>
      </c>
      <c r="U29" s="7">
        <f>TONT20000JUIN!$M29</f>
        <v>0</v>
      </c>
      <c r="V29" s="7">
        <f>TONT20000JUIN!$N29</f>
        <v>0</v>
      </c>
      <c r="W29" s="7">
        <f>TONT20000JUIN!$O29</f>
        <v>0</v>
      </c>
      <c r="X29" s="7">
        <f>TONT20000JUIL!$M29</f>
        <v>0</v>
      </c>
      <c r="Y29" s="7">
        <f>TONT20000JUIL!$N29</f>
        <v>0</v>
      </c>
      <c r="Z29" s="7">
        <f>TONT20000JUIL!$O29</f>
        <v>0</v>
      </c>
      <c r="AA29" s="7">
        <f>TONT20000AOUT!$M29</f>
        <v>0</v>
      </c>
      <c r="AB29" s="7">
        <f>TONT20000AOUT!$N29</f>
        <v>0</v>
      </c>
      <c r="AC29" s="7">
        <f>TONT20000AOUT!$O29</f>
        <v>0</v>
      </c>
      <c r="AD29" s="7">
        <f>TONT20000SEPT!$M29</f>
        <v>0</v>
      </c>
      <c r="AE29" s="7">
        <f>TONT20000SEPT!$N29</f>
        <v>0</v>
      </c>
      <c r="AF29" s="7">
        <f>TONT20000SEPT!$O29</f>
        <v>0</v>
      </c>
      <c r="AG29" s="7">
        <f>TONT20000OCT!$M29</f>
        <v>0</v>
      </c>
      <c r="AH29" s="7">
        <f>TONT20000OCT!$N29</f>
        <v>0</v>
      </c>
      <c r="AI29" s="7">
        <f>TONT20000OCT!$O29</f>
        <v>0</v>
      </c>
      <c r="AJ29" s="7">
        <f>TONT20000NOV!$N29</f>
        <v>0</v>
      </c>
      <c r="AK29" s="7">
        <f>TONT20000NOV!$O29</f>
        <v>0</v>
      </c>
      <c r="AL29" s="7">
        <f>TONT20000NOV!$P29</f>
        <v>0</v>
      </c>
    </row>
    <row r="30" spans="1:38" x14ac:dyDescent="0.25">
      <c r="A30" s="1" t="s">
        <v>35</v>
      </c>
      <c r="B30" s="1" t="str">
        <f>VLOOKUP(A30,LISTADHERENT!A$5:H$51,2)</f>
        <v>NGONGANG JEAN THEODORE</v>
      </c>
      <c r="C30" s="7">
        <f>TONT20000DEC2015!$O30</f>
        <v>0</v>
      </c>
      <c r="D30" s="7">
        <f>TONT20000DEC2015!$P30</f>
        <v>0</v>
      </c>
      <c r="E30" s="7">
        <f>TONT20000DEC2015!$Q30</f>
        <v>0</v>
      </c>
      <c r="F30" s="7">
        <f>TONT20000JANV!$M30</f>
        <v>0</v>
      </c>
      <c r="G30" s="7">
        <f>TONT20000JANV!$N30</f>
        <v>0</v>
      </c>
      <c r="H30" s="7">
        <f>TONT20000JANV!$O30</f>
        <v>0</v>
      </c>
      <c r="I30" s="7">
        <f>TONT20000FEV!$M30</f>
        <v>0</v>
      </c>
      <c r="J30" s="7">
        <f>TONT20000FEV!$N30</f>
        <v>0</v>
      </c>
      <c r="K30" s="7">
        <f>TONT20000FEV!$O30</f>
        <v>0</v>
      </c>
      <c r="L30" s="7">
        <f>TONT20000MARS!$M30</f>
        <v>0</v>
      </c>
      <c r="M30" s="7">
        <f>TONT20000MARS!$N30</f>
        <v>0</v>
      </c>
      <c r="N30" s="7">
        <f>TONT20000MARS!$O30</f>
        <v>0</v>
      </c>
      <c r="O30" s="7">
        <f>TONT20000AVRIL!$M30</f>
        <v>0</v>
      </c>
      <c r="P30" s="7">
        <f>TONT20000AVRIL!$N30</f>
        <v>0</v>
      </c>
      <c r="Q30" s="7">
        <f>TONT20000AVRIL!$O30</f>
        <v>0</v>
      </c>
      <c r="R30" s="7">
        <f>TONT20000MAI!$M30</f>
        <v>0</v>
      </c>
      <c r="S30" s="7">
        <f>TONT20000MAI!$N30</f>
        <v>0</v>
      </c>
      <c r="T30" s="7">
        <f>TONT20000MAI!$O30</f>
        <v>0</v>
      </c>
      <c r="U30" s="7">
        <f>TONT20000JUIN!$M30</f>
        <v>0</v>
      </c>
      <c r="V30" s="7">
        <f>TONT20000JUIN!$N30</f>
        <v>0</v>
      </c>
      <c r="W30" s="7">
        <f>TONT20000JUIN!$O30</f>
        <v>0</v>
      </c>
      <c r="X30" s="7">
        <f>TONT20000JUIL!$M30</f>
        <v>0</v>
      </c>
      <c r="Y30" s="7">
        <f>TONT20000JUIL!$N30</f>
        <v>0</v>
      </c>
      <c r="Z30" s="7">
        <f>TONT20000JUIL!$O30</f>
        <v>0</v>
      </c>
      <c r="AA30" s="7">
        <f>TONT20000AOUT!$M30</f>
        <v>0</v>
      </c>
      <c r="AB30" s="7">
        <f>TONT20000AOUT!$N30</f>
        <v>0</v>
      </c>
      <c r="AC30" s="7">
        <f>TONT20000AOUT!$O30</f>
        <v>0</v>
      </c>
      <c r="AD30" s="7">
        <f>TONT20000SEPT!$M30</f>
        <v>0</v>
      </c>
      <c r="AE30" s="7">
        <f>TONT20000SEPT!$N30</f>
        <v>0</v>
      </c>
      <c r="AF30" s="7">
        <f>TONT20000SEPT!$O30</f>
        <v>0</v>
      </c>
      <c r="AG30" s="7">
        <f>TONT20000OCT!$M30</f>
        <v>0</v>
      </c>
      <c r="AH30" s="7">
        <f>TONT20000OCT!$N30</f>
        <v>0</v>
      </c>
      <c r="AI30" s="7">
        <f>TONT20000OCT!$O30</f>
        <v>0</v>
      </c>
      <c r="AJ30" s="7">
        <f>TONT20000NOV!$N30</f>
        <v>0</v>
      </c>
      <c r="AK30" s="7">
        <f>TONT20000NOV!$O30</f>
        <v>0</v>
      </c>
      <c r="AL30" s="7">
        <f>TONT20000NOV!$P30</f>
        <v>0</v>
      </c>
    </row>
    <row r="31" spans="1:38" x14ac:dyDescent="0.25">
      <c r="A31" s="1" t="s">
        <v>36</v>
      </c>
      <c r="B31" s="1" t="str">
        <f>VLOOKUP(A31,LISTADHERENT!A$5:H$51,2)</f>
        <v>NGUIEMEGNI MATHIEU BLAISE</v>
      </c>
      <c r="C31" s="7">
        <f>TONT20000DEC2015!$O31</f>
        <v>0</v>
      </c>
      <c r="D31" s="7">
        <f>TONT20000DEC2015!$P31</f>
        <v>0</v>
      </c>
      <c r="E31" s="7">
        <f>TONT20000DEC2015!$Q31</f>
        <v>0</v>
      </c>
      <c r="F31" s="7">
        <f>TONT20000JANV!$M31</f>
        <v>0</v>
      </c>
      <c r="G31" s="7">
        <f>TONT20000JANV!$N31</f>
        <v>0</v>
      </c>
      <c r="H31" s="7">
        <f>TONT20000JANV!$O31</f>
        <v>0</v>
      </c>
      <c r="I31" s="7">
        <f>TONT20000FEV!$M31</f>
        <v>0</v>
      </c>
      <c r="J31" s="7">
        <f>TONT20000FEV!$N31</f>
        <v>0</v>
      </c>
      <c r="K31" s="7">
        <f>TONT20000FEV!$O31</f>
        <v>0</v>
      </c>
      <c r="L31" s="7">
        <f>TONT20000MARS!$M31</f>
        <v>0</v>
      </c>
      <c r="M31" s="7">
        <f>TONT20000MARS!$N31</f>
        <v>0</v>
      </c>
      <c r="N31" s="7">
        <f>TONT20000MARS!$O31</f>
        <v>0</v>
      </c>
      <c r="O31" s="7">
        <f>TONT20000AVRIL!$M31</f>
        <v>0</v>
      </c>
      <c r="P31" s="7">
        <f>TONT20000AVRIL!$N31</f>
        <v>0</v>
      </c>
      <c r="Q31" s="7">
        <f>TONT20000AVRIL!$O31</f>
        <v>0</v>
      </c>
      <c r="R31" s="7">
        <f>TONT20000MAI!$M31</f>
        <v>0</v>
      </c>
      <c r="S31" s="7">
        <f>TONT20000MAI!$N31</f>
        <v>0</v>
      </c>
      <c r="T31" s="7">
        <f>TONT20000MAI!$O31</f>
        <v>0</v>
      </c>
      <c r="U31" s="7">
        <f>TONT20000JUIN!$M31</f>
        <v>0</v>
      </c>
      <c r="V31" s="7">
        <f>TONT20000JUIN!$N31</f>
        <v>0</v>
      </c>
      <c r="W31" s="7">
        <f>TONT20000JUIN!$O31</f>
        <v>0</v>
      </c>
      <c r="X31" s="7">
        <f>TONT20000JUIL!$M31</f>
        <v>0</v>
      </c>
      <c r="Y31" s="7">
        <f>TONT20000JUIL!$N31</f>
        <v>0</v>
      </c>
      <c r="Z31" s="7">
        <f>TONT20000JUIL!$O31</f>
        <v>0</v>
      </c>
      <c r="AA31" s="7">
        <f>TONT20000AOUT!$M31</f>
        <v>0</v>
      </c>
      <c r="AB31" s="7">
        <f>TONT20000AOUT!$N31</f>
        <v>0</v>
      </c>
      <c r="AC31" s="7">
        <f>TONT20000AOUT!$O31</f>
        <v>0</v>
      </c>
      <c r="AD31" s="7">
        <f>TONT20000SEPT!$M31</f>
        <v>0</v>
      </c>
      <c r="AE31" s="7">
        <f>TONT20000SEPT!$N31</f>
        <v>0</v>
      </c>
      <c r="AF31" s="7">
        <f>TONT20000SEPT!$O31</f>
        <v>0</v>
      </c>
      <c r="AG31" s="7">
        <f>TONT20000OCT!$M31</f>
        <v>0</v>
      </c>
      <c r="AH31" s="7">
        <f>TONT20000OCT!$N31</f>
        <v>0</v>
      </c>
      <c r="AI31" s="7">
        <f>TONT20000OCT!$O31</f>
        <v>0</v>
      </c>
      <c r="AJ31" s="7">
        <f>TONT20000NOV!$N31</f>
        <v>0</v>
      </c>
      <c r="AK31" s="7">
        <f>TONT20000NOV!$O31</f>
        <v>0</v>
      </c>
      <c r="AL31" s="7">
        <f>TONT20000NOV!$P31</f>
        <v>0</v>
      </c>
    </row>
    <row r="32" spans="1:38" x14ac:dyDescent="0.25">
      <c r="A32" s="1" t="s">
        <v>37</v>
      </c>
      <c r="B32" s="1" t="str">
        <f>VLOOKUP(A32,LISTADHERENT!A$5:H$51,2)</f>
        <v>NJEPDJIO MBOUKAM DELUXE</v>
      </c>
      <c r="C32" s="7">
        <f>TONT20000DEC2015!$O32</f>
        <v>0</v>
      </c>
      <c r="D32" s="7">
        <f>TONT20000DEC2015!$P32</f>
        <v>0</v>
      </c>
      <c r="E32" s="7">
        <f>TONT20000DEC2015!$Q32</f>
        <v>0</v>
      </c>
      <c r="F32" s="7">
        <f>TONT20000JANV!$M32</f>
        <v>0</v>
      </c>
      <c r="G32" s="7">
        <f>TONT20000JANV!$N32</f>
        <v>0</v>
      </c>
      <c r="H32" s="7">
        <f>TONT20000JANV!$O32</f>
        <v>0</v>
      </c>
      <c r="I32" s="7">
        <f>TONT20000FEV!$M32</f>
        <v>0</v>
      </c>
      <c r="J32" s="7">
        <f>TONT20000FEV!$N32</f>
        <v>0</v>
      </c>
      <c r="K32" s="7">
        <f>TONT20000FEV!$O32</f>
        <v>0</v>
      </c>
      <c r="L32" s="7">
        <f>TONT20000MARS!$M32</f>
        <v>1000000</v>
      </c>
      <c r="M32" s="7">
        <f>TONT20000MARS!$N32</f>
        <v>30000</v>
      </c>
      <c r="N32" s="7">
        <f>TONT20000MARS!$O32</f>
        <v>0</v>
      </c>
      <c r="O32" s="7">
        <f>TONT20000AVRIL!$M32</f>
        <v>0</v>
      </c>
      <c r="P32" s="7">
        <f>TONT20000AVRIL!$N32</f>
        <v>0</v>
      </c>
      <c r="Q32" s="7">
        <f>TONT20000AVRIL!$O32</f>
        <v>0</v>
      </c>
      <c r="R32" s="7">
        <f>TONT20000MAI!$M32</f>
        <v>0</v>
      </c>
      <c r="S32" s="7">
        <f>TONT20000MAI!$N32</f>
        <v>0</v>
      </c>
      <c r="T32" s="7">
        <f>TONT20000MAI!$O32</f>
        <v>0</v>
      </c>
      <c r="U32" s="7">
        <f>TONT20000JUIN!$M32</f>
        <v>1000000</v>
      </c>
      <c r="V32" s="7">
        <f>TONT20000JUIN!$N32</f>
        <v>120000</v>
      </c>
      <c r="W32" s="7">
        <f>TONT20000JUIN!$O32</f>
        <v>1000000</v>
      </c>
      <c r="X32" s="7">
        <f>TONT20000JUIL!$M32</f>
        <v>0</v>
      </c>
      <c r="Y32" s="7">
        <f>TONT20000JUIL!$N32</f>
        <v>0</v>
      </c>
      <c r="Z32" s="7">
        <f>TONT20000JUIL!$O32</f>
        <v>0</v>
      </c>
      <c r="AA32" s="7">
        <f>TONT20000AOUT!$M32</f>
        <v>0</v>
      </c>
      <c r="AB32" s="7">
        <f>TONT20000AOUT!$N32</f>
        <v>0</v>
      </c>
      <c r="AC32" s="7">
        <f>TONT20000AOUT!$O32</f>
        <v>0</v>
      </c>
      <c r="AD32" s="7">
        <f>TONT20000SEPT!$M32</f>
        <v>0</v>
      </c>
      <c r="AE32" s="7">
        <f>TONT20000SEPT!$N32</f>
        <v>0</v>
      </c>
      <c r="AF32" s="7">
        <f>TONT20000SEPT!$O32</f>
        <v>0</v>
      </c>
      <c r="AG32" s="7">
        <f>TONT20000OCT!$M32</f>
        <v>0</v>
      </c>
      <c r="AH32" s="7">
        <f>TONT20000OCT!$N32</f>
        <v>0</v>
      </c>
      <c r="AI32" s="7">
        <f>TONT20000OCT!$O32</f>
        <v>0</v>
      </c>
      <c r="AJ32" s="7">
        <f>TONT20000NOV!$N32</f>
        <v>0</v>
      </c>
      <c r="AK32" s="7">
        <f>TONT20000NOV!$O32</f>
        <v>0</v>
      </c>
      <c r="AL32" s="7">
        <f>TONT20000NOV!$P32</f>
        <v>0</v>
      </c>
    </row>
    <row r="33" spans="1:38" x14ac:dyDescent="0.25">
      <c r="A33" s="1" t="s">
        <v>38</v>
      </c>
      <c r="B33" s="1" t="str">
        <f>VLOOKUP(A33,LISTADHERENT!A$5:H$51,2)</f>
        <v>NKAMGANG JUSTIN DEJOLIE</v>
      </c>
      <c r="C33" s="7">
        <f>TONT20000DEC2015!$O33</f>
        <v>0</v>
      </c>
      <c r="D33" s="7">
        <f>TONT20000DEC2015!$P33</f>
        <v>0</v>
      </c>
      <c r="E33" s="7">
        <f>TONT20000DEC2015!$Q33</f>
        <v>0</v>
      </c>
      <c r="F33" s="7">
        <f>TONT20000JANV!$M33</f>
        <v>0</v>
      </c>
      <c r="G33" s="7">
        <f>TONT20000JANV!$N33</f>
        <v>0</v>
      </c>
      <c r="H33" s="7">
        <f>TONT20000JANV!$O33</f>
        <v>0</v>
      </c>
      <c r="I33" s="7">
        <f>TONT20000FEV!$M33</f>
        <v>0</v>
      </c>
      <c r="J33" s="7">
        <f>TONT20000FEV!$N33</f>
        <v>0</v>
      </c>
      <c r="K33" s="7">
        <f>TONT20000FEV!$O33</f>
        <v>0</v>
      </c>
      <c r="L33" s="7">
        <f>TONT20000MARS!$M33</f>
        <v>0</v>
      </c>
      <c r="M33" s="7">
        <f>TONT20000MARS!$N33</f>
        <v>0</v>
      </c>
      <c r="N33" s="7">
        <f>TONT20000MARS!$O33</f>
        <v>0</v>
      </c>
      <c r="O33" s="7">
        <f>TONT20000AVRIL!$M33</f>
        <v>0</v>
      </c>
      <c r="P33" s="7">
        <f>TONT20000AVRIL!$N33</f>
        <v>0</v>
      </c>
      <c r="Q33" s="7">
        <f>TONT20000AVRIL!$O33</f>
        <v>0</v>
      </c>
      <c r="R33" s="7">
        <f>TONT20000MAI!$M33</f>
        <v>0</v>
      </c>
      <c r="S33" s="7">
        <f>TONT20000MAI!$N33</f>
        <v>0</v>
      </c>
      <c r="T33" s="7">
        <f>TONT20000MAI!$O33</f>
        <v>0</v>
      </c>
      <c r="U33" s="7">
        <f>TONT20000JUIN!$M33</f>
        <v>0</v>
      </c>
      <c r="V33" s="7">
        <f>TONT20000JUIN!$N33</f>
        <v>0</v>
      </c>
      <c r="W33" s="7">
        <f>TONT20000JUIN!$O33</f>
        <v>0</v>
      </c>
      <c r="X33" s="7">
        <f>TONT20000JUIL!$M33</f>
        <v>0</v>
      </c>
      <c r="Y33" s="7">
        <f>TONT20000JUIL!$N33</f>
        <v>0</v>
      </c>
      <c r="Z33" s="7">
        <f>TONT20000JUIL!$O33</f>
        <v>0</v>
      </c>
      <c r="AA33" s="7">
        <f>TONT20000AOUT!$M33</f>
        <v>0</v>
      </c>
      <c r="AB33" s="7">
        <f>TONT20000AOUT!$N33</f>
        <v>0</v>
      </c>
      <c r="AC33" s="7">
        <f>TONT20000AOUT!$O33</f>
        <v>0</v>
      </c>
      <c r="AD33" s="7">
        <f>TONT20000SEPT!$M33</f>
        <v>0</v>
      </c>
      <c r="AE33" s="7">
        <f>TONT20000SEPT!$N33</f>
        <v>0</v>
      </c>
      <c r="AF33" s="7">
        <f>TONT20000SEPT!$O33</f>
        <v>0</v>
      </c>
      <c r="AG33" s="7">
        <f>TONT20000OCT!$M33</f>
        <v>0</v>
      </c>
      <c r="AH33" s="7">
        <f>TONT20000OCT!$N33</f>
        <v>0</v>
      </c>
      <c r="AI33" s="7">
        <f>TONT20000OCT!$O33</f>
        <v>0</v>
      </c>
      <c r="AJ33" s="7">
        <f>TONT20000NOV!$N33</f>
        <v>1000000</v>
      </c>
      <c r="AK33" s="7">
        <f>TONT20000NOV!$O33</f>
        <v>120000</v>
      </c>
      <c r="AL33" s="7">
        <f>TONT20000NOV!$P33</f>
        <v>0</v>
      </c>
    </row>
    <row r="34" spans="1:38" s="11" customFormat="1" x14ac:dyDescent="0.25">
      <c r="A34" s="1" t="s">
        <v>39</v>
      </c>
      <c r="B34" s="1" t="str">
        <f>VLOOKUP(A34,LISTADHERENT!A$5:H$51,2)</f>
        <v>NKEPSEU DIEUDONNE</v>
      </c>
      <c r="C34" s="7">
        <f>TONT20000DEC2015!$O34</f>
        <v>0</v>
      </c>
      <c r="D34" s="7">
        <f>TONT20000DEC2015!$P34</f>
        <v>0</v>
      </c>
      <c r="E34" s="7">
        <f>TONT20000DEC2015!$Q34</f>
        <v>0</v>
      </c>
      <c r="F34" s="7">
        <f>TONT20000JANV!$M34</f>
        <v>0</v>
      </c>
      <c r="G34" s="7">
        <f>TONT20000JANV!$N34</f>
        <v>0</v>
      </c>
      <c r="H34" s="7">
        <f>TONT20000JANV!$O34</f>
        <v>0</v>
      </c>
      <c r="I34" s="7">
        <f>TONT20000FEV!$M34</f>
        <v>0</v>
      </c>
      <c r="J34" s="7">
        <f>TONT20000FEV!$N34</f>
        <v>0</v>
      </c>
      <c r="K34" s="7">
        <f>TONT20000FEV!$O34</f>
        <v>0</v>
      </c>
      <c r="L34" s="7">
        <f>TONT20000MARS!$M34</f>
        <v>0</v>
      </c>
      <c r="M34" s="7">
        <f>TONT20000MARS!$N34</f>
        <v>0</v>
      </c>
      <c r="N34" s="7">
        <f>TONT20000MARS!$O34</f>
        <v>0</v>
      </c>
      <c r="O34" s="7">
        <f>TONT20000AVRIL!$M34</f>
        <v>0</v>
      </c>
      <c r="P34" s="7">
        <f>TONT20000AVRIL!$N34</f>
        <v>0</v>
      </c>
      <c r="Q34" s="7">
        <f>TONT20000AVRIL!$O34</f>
        <v>0</v>
      </c>
      <c r="R34" s="7">
        <f>TONT20000MAI!$M34</f>
        <v>0</v>
      </c>
      <c r="S34" s="7">
        <f>TONT20000MAI!$N34</f>
        <v>0</v>
      </c>
      <c r="T34" s="7">
        <f>TONT20000MAI!$O34</f>
        <v>0</v>
      </c>
      <c r="U34" s="7">
        <f>TONT20000JUIN!$M34</f>
        <v>0</v>
      </c>
      <c r="V34" s="7">
        <f>TONT20000JUIN!$N34</f>
        <v>0</v>
      </c>
      <c r="W34" s="7">
        <f>TONT20000JUIN!$O34</f>
        <v>0</v>
      </c>
      <c r="X34" s="7">
        <f>TONT20000JUIL!$M34</f>
        <v>0</v>
      </c>
      <c r="Y34" s="7">
        <f>TONT20000JUIL!$N34</f>
        <v>0</v>
      </c>
      <c r="Z34" s="7">
        <f>TONT20000JUIL!$O34</f>
        <v>0</v>
      </c>
      <c r="AA34" s="7">
        <f>TONT20000AOUT!$M34</f>
        <v>0</v>
      </c>
      <c r="AB34" s="7">
        <f>TONT20000AOUT!$N34</f>
        <v>0</v>
      </c>
      <c r="AC34" s="7">
        <f>TONT20000AOUT!$O34</f>
        <v>0</v>
      </c>
      <c r="AD34" s="7">
        <f>TONT20000SEPT!$M34</f>
        <v>0</v>
      </c>
      <c r="AE34" s="7">
        <f>TONT20000SEPT!$N34</f>
        <v>0</v>
      </c>
      <c r="AF34" s="7">
        <f>TONT20000SEPT!$O34</f>
        <v>0</v>
      </c>
      <c r="AG34" s="7">
        <f>TONT20000OCT!$M34</f>
        <v>600000</v>
      </c>
      <c r="AH34" s="7">
        <f>TONT20000OCT!$N34</f>
        <v>72000</v>
      </c>
      <c r="AI34" s="7">
        <f>TONT20000OCT!$O34</f>
        <v>0</v>
      </c>
      <c r="AJ34" s="7">
        <f>TONT20000NOV!$N34</f>
        <v>0</v>
      </c>
      <c r="AK34" s="7">
        <f>TONT20000NOV!$O34</f>
        <v>0</v>
      </c>
      <c r="AL34" s="7">
        <f>TONT20000NOV!$P34</f>
        <v>0</v>
      </c>
    </row>
    <row r="35" spans="1:38" x14ac:dyDescent="0.25">
      <c r="A35" s="1" t="s">
        <v>40</v>
      </c>
      <c r="B35" s="1" t="str">
        <f>VLOOKUP(A35,LISTADHERENT!A$5:H$51,2)</f>
        <v>NKEPSEU HENANG RENE</v>
      </c>
      <c r="C35" s="7">
        <f>TONT20000DEC2015!$O35</f>
        <v>0</v>
      </c>
      <c r="D35" s="7">
        <f>TONT20000DEC2015!$P35</f>
        <v>0</v>
      </c>
      <c r="E35" s="7">
        <f>TONT20000DEC2015!$Q35</f>
        <v>0</v>
      </c>
      <c r="F35" s="7">
        <f>TONT20000JANV!$M35</f>
        <v>0</v>
      </c>
      <c r="G35" s="7">
        <f>TONT20000JANV!$N35</f>
        <v>0</v>
      </c>
      <c r="H35" s="7">
        <f>TONT20000JANV!$O35</f>
        <v>0</v>
      </c>
      <c r="I35" s="7">
        <f>TONT20000FEV!$M35</f>
        <v>0</v>
      </c>
      <c r="J35" s="7">
        <f>TONT20000FEV!$N35</f>
        <v>0</v>
      </c>
      <c r="K35" s="7">
        <f>TONT20000FEV!$O35</f>
        <v>0</v>
      </c>
      <c r="L35" s="7">
        <f>TONT20000MARS!$M35</f>
        <v>0</v>
      </c>
      <c r="M35" s="7">
        <f>TONT20000MARS!$N35</f>
        <v>0</v>
      </c>
      <c r="N35" s="7">
        <f>TONT20000MARS!$O35</f>
        <v>0</v>
      </c>
      <c r="O35" s="7">
        <f>TONT20000AVRIL!$M35</f>
        <v>0</v>
      </c>
      <c r="P35" s="7">
        <f>TONT20000AVRIL!$N35</f>
        <v>0</v>
      </c>
      <c r="Q35" s="7">
        <f>TONT20000AVRIL!$O35</f>
        <v>0</v>
      </c>
      <c r="R35" s="7">
        <f>TONT20000MAI!$M35</f>
        <v>0</v>
      </c>
      <c r="S35" s="7">
        <f>TONT20000MAI!$N35</f>
        <v>0</v>
      </c>
      <c r="T35" s="7">
        <f>TONT20000MAI!$O35</f>
        <v>0</v>
      </c>
      <c r="U35" s="7">
        <f>TONT20000JUIN!$M35</f>
        <v>0</v>
      </c>
      <c r="V35" s="7">
        <f>TONT20000JUIN!$N35</f>
        <v>0</v>
      </c>
      <c r="W35" s="7">
        <f>TONT20000JUIN!$O35</f>
        <v>0</v>
      </c>
      <c r="X35" s="7">
        <f>TONT20000JUIL!$M35</f>
        <v>0</v>
      </c>
      <c r="Y35" s="7">
        <f>TONT20000JUIL!$N35</f>
        <v>0</v>
      </c>
      <c r="Z35" s="7">
        <f>TONT20000JUIL!$O35</f>
        <v>0</v>
      </c>
      <c r="AA35" s="7">
        <f>TONT20000AOUT!$M35</f>
        <v>0</v>
      </c>
      <c r="AB35" s="7">
        <f>TONT20000AOUT!$N35</f>
        <v>0</v>
      </c>
      <c r="AC35" s="7">
        <f>TONT20000AOUT!$O35</f>
        <v>0</v>
      </c>
      <c r="AD35" s="7">
        <f>TONT20000SEPT!$M35</f>
        <v>0</v>
      </c>
      <c r="AE35" s="7">
        <f>TONT20000SEPT!$N35</f>
        <v>0</v>
      </c>
      <c r="AF35" s="7">
        <f>TONT20000SEPT!$O35</f>
        <v>0</v>
      </c>
      <c r="AG35" s="7">
        <f>TONT20000OCT!$M35</f>
        <v>0</v>
      </c>
      <c r="AH35" s="7">
        <f>TONT20000OCT!$N35</f>
        <v>0</v>
      </c>
      <c r="AI35" s="7">
        <f>TONT20000OCT!$O35</f>
        <v>0</v>
      </c>
      <c r="AJ35" s="7">
        <f>TONT20000NOV!$N35</f>
        <v>0</v>
      </c>
      <c r="AK35" s="7">
        <f>TONT20000NOV!$O35</f>
        <v>0</v>
      </c>
      <c r="AL35" s="7">
        <f>TONT20000NOV!$P35</f>
        <v>0</v>
      </c>
    </row>
    <row r="36" spans="1:38" x14ac:dyDescent="0.25">
      <c r="A36" s="1" t="s">
        <v>41</v>
      </c>
      <c r="B36" s="1" t="str">
        <f>VLOOKUP(A36,LISTADHERENT!A$5:H$51,2)</f>
        <v>NTEPDIE TUEMAC MZ</v>
      </c>
      <c r="C36" s="7">
        <f>TONT20000DEC2015!$O36</f>
        <v>0</v>
      </c>
      <c r="D36" s="7">
        <f>TONT20000DEC2015!$P36</f>
        <v>0</v>
      </c>
      <c r="E36" s="7">
        <f>TONT20000DEC2015!$Q36</f>
        <v>0</v>
      </c>
      <c r="F36" s="7">
        <f>TONT20000JANV!$M36</f>
        <v>0</v>
      </c>
      <c r="G36" s="7">
        <f>TONT20000JANV!$N36</f>
        <v>0</v>
      </c>
      <c r="H36" s="7">
        <f>TONT20000JANV!$O36</f>
        <v>0</v>
      </c>
      <c r="I36" s="7">
        <f>TONT20000FEV!$M36</f>
        <v>0</v>
      </c>
      <c r="J36" s="7">
        <f>TONT20000FEV!$N36</f>
        <v>0</v>
      </c>
      <c r="K36" s="7">
        <f>TONT20000FEV!$O36</f>
        <v>0</v>
      </c>
      <c r="L36" s="7">
        <f>TONT20000MARS!$M36</f>
        <v>0</v>
      </c>
      <c r="M36" s="7">
        <f>TONT20000MARS!$N36</f>
        <v>0</v>
      </c>
      <c r="N36" s="7">
        <f>TONT20000MARS!$O36</f>
        <v>0</v>
      </c>
      <c r="O36" s="7">
        <f>TONT20000AVRIL!$M36</f>
        <v>0</v>
      </c>
      <c r="P36" s="7">
        <f>TONT20000AVRIL!$N36</f>
        <v>0</v>
      </c>
      <c r="Q36" s="7">
        <f>TONT20000AVRIL!$O36</f>
        <v>0</v>
      </c>
      <c r="R36" s="7">
        <f>TONT20000MAI!$M36</f>
        <v>0</v>
      </c>
      <c r="S36" s="7">
        <f>TONT20000MAI!$N36</f>
        <v>0</v>
      </c>
      <c r="T36" s="7">
        <f>TONT20000MAI!$O36</f>
        <v>0</v>
      </c>
      <c r="U36" s="7">
        <f>TONT20000JUIN!$M36</f>
        <v>0</v>
      </c>
      <c r="V36" s="7">
        <f>TONT20000JUIN!$N36</f>
        <v>0</v>
      </c>
      <c r="W36" s="7">
        <f>TONT20000JUIN!$O36</f>
        <v>0</v>
      </c>
      <c r="X36" s="7">
        <f>TONT20000JUIL!$M36</f>
        <v>0</v>
      </c>
      <c r="Y36" s="7">
        <f>TONT20000JUIL!$N36</f>
        <v>0</v>
      </c>
      <c r="Z36" s="7">
        <f>TONT20000JUIL!$O36</f>
        <v>0</v>
      </c>
      <c r="AA36" s="7">
        <f>TONT20000AOUT!$M36</f>
        <v>0</v>
      </c>
      <c r="AB36" s="7">
        <f>TONT20000AOUT!$N36</f>
        <v>0</v>
      </c>
      <c r="AC36" s="7">
        <f>TONT20000AOUT!$O36</f>
        <v>0</v>
      </c>
      <c r="AD36" s="7">
        <f>TONT20000SEPT!$M36</f>
        <v>0</v>
      </c>
      <c r="AE36" s="7">
        <f>TONT20000SEPT!$N36</f>
        <v>0</v>
      </c>
      <c r="AF36" s="7">
        <f>TONT20000SEPT!$O36</f>
        <v>0</v>
      </c>
      <c r="AG36" s="7">
        <f>TONT20000OCT!$M36</f>
        <v>0</v>
      </c>
      <c r="AH36" s="7">
        <f>TONT20000OCT!$N36</f>
        <v>0</v>
      </c>
      <c r="AI36" s="7">
        <f>TONT20000OCT!$O36</f>
        <v>0</v>
      </c>
      <c r="AJ36" s="7">
        <f>TONT20000NOV!$N36</f>
        <v>0</v>
      </c>
      <c r="AK36" s="7">
        <f>TONT20000NOV!$O36</f>
        <v>0</v>
      </c>
      <c r="AL36" s="7">
        <f>TONT20000NOV!$P36</f>
        <v>0</v>
      </c>
    </row>
    <row r="37" spans="1:38" x14ac:dyDescent="0.25">
      <c r="A37" s="1" t="s">
        <v>42</v>
      </c>
      <c r="B37" s="1" t="str">
        <f>VLOOKUP(A37,LISTADHERENT!A$5:H$51,2)</f>
        <v>NTOMBOU ADOLPHE</v>
      </c>
      <c r="C37" s="7">
        <f>TONT20000DEC2015!$O37</f>
        <v>0</v>
      </c>
      <c r="D37" s="7">
        <f>TONT20000DEC2015!$P37</f>
        <v>0</v>
      </c>
      <c r="E37" s="7">
        <f>TONT20000DEC2015!$Q37</f>
        <v>0</v>
      </c>
      <c r="F37" s="7">
        <f>TONT20000JANV!$M37</f>
        <v>0</v>
      </c>
      <c r="G37" s="7">
        <f>TONT20000JANV!$N37</f>
        <v>0</v>
      </c>
      <c r="H37" s="7">
        <f>TONT20000JANV!$O37</f>
        <v>0</v>
      </c>
      <c r="I37" s="7">
        <f>TONT20000FEV!$M37</f>
        <v>0</v>
      </c>
      <c r="J37" s="7">
        <f>TONT20000FEV!$N37</f>
        <v>0</v>
      </c>
      <c r="K37" s="7">
        <f>TONT20000FEV!$O37</f>
        <v>0</v>
      </c>
      <c r="L37" s="7">
        <f>TONT20000MARS!$M37</f>
        <v>0</v>
      </c>
      <c r="M37" s="7">
        <f>TONT20000MARS!$N37</f>
        <v>0</v>
      </c>
      <c r="N37" s="7">
        <f>TONT20000MARS!$O37</f>
        <v>0</v>
      </c>
      <c r="O37" s="7">
        <f>TONT20000AVRIL!$M37</f>
        <v>0</v>
      </c>
      <c r="P37" s="7">
        <f>TONT20000AVRIL!$N37</f>
        <v>0</v>
      </c>
      <c r="Q37" s="7">
        <f>TONT20000AVRIL!$O37</f>
        <v>0</v>
      </c>
      <c r="R37" s="7">
        <f>TONT20000MAI!$M37</f>
        <v>0</v>
      </c>
      <c r="S37" s="7">
        <f>TONT20000MAI!$N37</f>
        <v>0</v>
      </c>
      <c r="T37" s="7">
        <f>TONT20000MAI!$O37</f>
        <v>0</v>
      </c>
      <c r="U37" s="7">
        <f>TONT20000JUIN!$M37</f>
        <v>0</v>
      </c>
      <c r="V37" s="7">
        <f>TONT20000JUIN!$N37</f>
        <v>0</v>
      </c>
      <c r="W37" s="7">
        <f>TONT20000JUIN!$O37</f>
        <v>0</v>
      </c>
      <c r="X37" s="7">
        <f>TONT20000JUIL!$M37</f>
        <v>0</v>
      </c>
      <c r="Y37" s="7">
        <f>TONT20000JUIL!$N37</f>
        <v>0</v>
      </c>
      <c r="Z37" s="7">
        <f>TONT20000JUIL!$O37</f>
        <v>0</v>
      </c>
      <c r="AA37" s="7">
        <f>TONT20000AOUT!$M37</f>
        <v>0</v>
      </c>
      <c r="AB37" s="7">
        <f>TONT20000AOUT!$N37</f>
        <v>0</v>
      </c>
      <c r="AC37" s="7">
        <f>TONT20000AOUT!$O37</f>
        <v>0</v>
      </c>
      <c r="AD37" s="7">
        <f>TONT20000SEPT!$M37</f>
        <v>0</v>
      </c>
      <c r="AE37" s="7">
        <f>TONT20000SEPT!$N37</f>
        <v>0</v>
      </c>
      <c r="AF37" s="7">
        <f>TONT20000SEPT!$O37</f>
        <v>0</v>
      </c>
      <c r="AG37" s="7">
        <f>TONT20000OCT!$M37</f>
        <v>0</v>
      </c>
      <c r="AH37" s="7">
        <f>TONT20000OCT!$N37</f>
        <v>0</v>
      </c>
      <c r="AI37" s="7">
        <f>TONT20000OCT!$O37</f>
        <v>0</v>
      </c>
      <c r="AJ37" s="7">
        <f>TONT20000NOV!$N37</f>
        <v>0</v>
      </c>
      <c r="AK37" s="7">
        <f>TONT20000NOV!$O37</f>
        <v>0</v>
      </c>
      <c r="AL37" s="7">
        <f>TONT20000NOV!$P37</f>
        <v>0</v>
      </c>
    </row>
    <row r="38" spans="1:38" x14ac:dyDescent="0.25">
      <c r="A38" s="1" t="s">
        <v>43</v>
      </c>
      <c r="B38" s="1" t="str">
        <f>VLOOKUP(A38,LISTADHERENT!A$5:H$51,2)</f>
        <v>PATEGO NJOSSU GUSTAVE</v>
      </c>
      <c r="C38" s="7">
        <f>TONT20000DEC2015!$O38</f>
        <v>0</v>
      </c>
      <c r="D38" s="7">
        <f>TONT20000DEC2015!$P38</f>
        <v>0</v>
      </c>
      <c r="E38" s="7">
        <f>TONT20000DEC2015!$Q38</f>
        <v>0</v>
      </c>
      <c r="F38" s="7">
        <f>TONT20000JANV!$M38</f>
        <v>0</v>
      </c>
      <c r="G38" s="7">
        <f>TONT20000JANV!$N38</f>
        <v>0</v>
      </c>
      <c r="H38" s="7">
        <f>TONT20000JANV!$O38</f>
        <v>0</v>
      </c>
      <c r="I38" s="7">
        <f>TONT20000FEV!$M38</f>
        <v>0</v>
      </c>
      <c r="J38" s="7">
        <f>TONT20000FEV!$N38</f>
        <v>0</v>
      </c>
      <c r="K38" s="7">
        <f>TONT20000FEV!$O38</f>
        <v>0</v>
      </c>
      <c r="L38" s="7">
        <f>TONT20000MARS!$M38</f>
        <v>0</v>
      </c>
      <c r="M38" s="7">
        <f>TONT20000MARS!$N38</f>
        <v>0</v>
      </c>
      <c r="N38" s="7">
        <f>TONT20000MARS!$O38</f>
        <v>0</v>
      </c>
      <c r="O38" s="7">
        <f>TONT20000AVRIL!$M38</f>
        <v>0</v>
      </c>
      <c r="P38" s="7">
        <f>TONT20000AVRIL!$N38</f>
        <v>0</v>
      </c>
      <c r="Q38" s="7">
        <f>TONT20000AVRIL!$O38</f>
        <v>0</v>
      </c>
      <c r="R38" s="7">
        <f>TONT20000MAI!$M38</f>
        <v>0</v>
      </c>
      <c r="S38" s="7">
        <f>TONT20000MAI!$N38</f>
        <v>0</v>
      </c>
      <c r="T38" s="7">
        <f>TONT20000MAI!$O38</f>
        <v>0</v>
      </c>
      <c r="U38" s="7">
        <f>TONT20000JUIN!$M38</f>
        <v>0</v>
      </c>
      <c r="V38" s="7">
        <f>TONT20000JUIN!$N38</f>
        <v>0</v>
      </c>
      <c r="W38" s="7">
        <f>TONT20000JUIN!$O38</f>
        <v>0</v>
      </c>
      <c r="X38" s="7">
        <f>TONT20000JUIL!$M38</f>
        <v>0</v>
      </c>
      <c r="Y38" s="7">
        <f>TONT20000JUIL!$N38</f>
        <v>0</v>
      </c>
      <c r="Z38" s="7">
        <f>TONT20000JUIL!$O38</f>
        <v>0</v>
      </c>
      <c r="AA38" s="7">
        <f>TONT20000AOUT!$M38</f>
        <v>0</v>
      </c>
      <c r="AB38" s="7">
        <f>TONT20000AOUT!$N38</f>
        <v>0</v>
      </c>
      <c r="AC38" s="7">
        <f>TONT20000AOUT!$O38</f>
        <v>0</v>
      </c>
      <c r="AD38" s="7">
        <f>TONT20000SEPT!$M38</f>
        <v>0</v>
      </c>
      <c r="AE38" s="7">
        <f>TONT20000SEPT!$N38</f>
        <v>0</v>
      </c>
      <c r="AF38" s="7">
        <f>TONT20000SEPT!$O38</f>
        <v>0</v>
      </c>
      <c r="AG38" s="7">
        <f>TONT20000OCT!$M38</f>
        <v>0</v>
      </c>
      <c r="AH38" s="7">
        <f>TONT20000OCT!$N38</f>
        <v>0</v>
      </c>
      <c r="AI38" s="7">
        <f>TONT20000OCT!$O38</f>
        <v>0</v>
      </c>
      <c r="AJ38" s="7">
        <f>TONT20000NOV!$N38</f>
        <v>0</v>
      </c>
      <c r="AK38" s="7">
        <f>TONT20000NOV!$O38</f>
        <v>0</v>
      </c>
      <c r="AL38" s="7">
        <f>TONT20000NOV!$P38</f>
        <v>0</v>
      </c>
    </row>
    <row r="39" spans="1:38" x14ac:dyDescent="0.25">
      <c r="A39" s="1" t="s">
        <v>44</v>
      </c>
      <c r="B39" s="1" t="str">
        <f>VLOOKUP(A39,LISTADHERENT!A$5:H$51,2)</f>
        <v>SEUNOU RICHELOT</v>
      </c>
      <c r="C39" s="7">
        <f>TONT20000DEC2015!$O39</f>
        <v>0</v>
      </c>
      <c r="D39" s="7">
        <f>TONT20000DEC2015!$P39</f>
        <v>0</v>
      </c>
      <c r="E39" s="7">
        <f>TONT20000DEC2015!$Q39</f>
        <v>0</v>
      </c>
      <c r="F39" s="7">
        <f>TONT20000JANV!$M39</f>
        <v>0</v>
      </c>
      <c r="G39" s="7">
        <f>TONT20000JANV!$N39</f>
        <v>0</v>
      </c>
      <c r="H39" s="7">
        <f>TONT20000JANV!$O39</f>
        <v>0</v>
      </c>
      <c r="I39" s="7">
        <f>TONT20000FEV!$M39</f>
        <v>0</v>
      </c>
      <c r="J39" s="7">
        <f>TONT20000FEV!$N39</f>
        <v>0</v>
      </c>
      <c r="K39" s="7">
        <f>TONT20000FEV!$O39</f>
        <v>0</v>
      </c>
      <c r="L39" s="7">
        <f>TONT20000MARS!$M39</f>
        <v>0</v>
      </c>
      <c r="M39" s="7">
        <f>TONT20000MARS!$N39</f>
        <v>0</v>
      </c>
      <c r="N39" s="7">
        <f>TONT20000MARS!$O39</f>
        <v>0</v>
      </c>
      <c r="O39" s="7">
        <f>TONT20000AVRIL!$M39</f>
        <v>0</v>
      </c>
      <c r="P39" s="7">
        <f>TONT20000AVRIL!$N39</f>
        <v>0</v>
      </c>
      <c r="Q39" s="7">
        <f>TONT20000AVRIL!$O39</f>
        <v>0</v>
      </c>
      <c r="R39" s="7">
        <f>TONT20000MAI!$M39</f>
        <v>0</v>
      </c>
      <c r="S39" s="7">
        <f>TONT20000MAI!$N39</f>
        <v>0</v>
      </c>
      <c r="T39" s="7">
        <f>TONT20000MAI!$O39</f>
        <v>0</v>
      </c>
      <c r="U39" s="7">
        <f>TONT20000JUIN!$M39</f>
        <v>0</v>
      </c>
      <c r="V39" s="7">
        <f>TONT20000JUIN!$N39</f>
        <v>0</v>
      </c>
      <c r="W39" s="7">
        <f>TONT20000JUIN!$O39</f>
        <v>0</v>
      </c>
      <c r="X39" s="7">
        <f>TONT20000JUIL!$M39</f>
        <v>0</v>
      </c>
      <c r="Y39" s="7">
        <f>TONT20000JUIL!$N39</f>
        <v>0</v>
      </c>
      <c r="Z39" s="7">
        <f>TONT20000JUIL!$O39</f>
        <v>0</v>
      </c>
      <c r="AA39" s="7">
        <f>TONT20000AOUT!$M39</f>
        <v>0</v>
      </c>
      <c r="AB39" s="7">
        <f>TONT20000AOUT!$N39</f>
        <v>0</v>
      </c>
      <c r="AC39" s="7">
        <f>TONT20000AOUT!$O39</f>
        <v>0</v>
      </c>
      <c r="AD39" s="7">
        <f>TONT20000SEPT!$M39</f>
        <v>0</v>
      </c>
      <c r="AE39" s="7">
        <f>TONT20000SEPT!$N39</f>
        <v>0</v>
      </c>
      <c r="AF39" s="7">
        <f>TONT20000SEPT!$O39</f>
        <v>0</v>
      </c>
      <c r="AG39" s="7">
        <f>TONT20000OCT!$M39</f>
        <v>1000000</v>
      </c>
      <c r="AH39" s="7">
        <f>TONT20000OCT!$N39</f>
        <v>120000</v>
      </c>
      <c r="AI39" s="7">
        <f>TONT20000OCT!$O39</f>
        <v>0</v>
      </c>
      <c r="AJ39" s="7">
        <f>TONT20000NOV!$N39</f>
        <v>0</v>
      </c>
      <c r="AK39" s="7">
        <f>TONT20000NOV!$O39</f>
        <v>0</v>
      </c>
      <c r="AL39" s="7">
        <f>TONT20000NOV!$P39</f>
        <v>0</v>
      </c>
    </row>
    <row r="40" spans="1:38" x14ac:dyDescent="0.25">
      <c r="A40" s="1" t="s">
        <v>45</v>
      </c>
      <c r="B40" s="1" t="str">
        <f>VLOOKUP(A40,LISTADHERENT!A$5:H$51,2)</f>
        <v>SIME ABEL</v>
      </c>
      <c r="C40" s="7">
        <f>TONT20000DEC2015!$O40</f>
        <v>0</v>
      </c>
      <c r="D40" s="7">
        <f>TONT20000DEC2015!$P40</f>
        <v>0</v>
      </c>
      <c r="E40" s="7">
        <f>TONT20000DEC2015!$Q40</f>
        <v>0</v>
      </c>
      <c r="F40" s="7">
        <f>TONT20000JANV!$M40</f>
        <v>0</v>
      </c>
      <c r="G40" s="7">
        <f>TONT20000JANV!$N40</f>
        <v>0</v>
      </c>
      <c r="H40" s="7">
        <f>TONT20000JANV!$O40</f>
        <v>0</v>
      </c>
      <c r="I40" s="7">
        <f>TONT20000FEV!$M40</f>
        <v>0</v>
      </c>
      <c r="J40" s="7">
        <f>TONT20000FEV!$N40</f>
        <v>0</v>
      </c>
      <c r="K40" s="7">
        <f>TONT20000FEV!$O40</f>
        <v>0</v>
      </c>
      <c r="L40" s="7">
        <f>TONT20000MARS!$M40</f>
        <v>0</v>
      </c>
      <c r="M40" s="7">
        <f>TONT20000MARS!$N40</f>
        <v>0</v>
      </c>
      <c r="N40" s="7">
        <f>TONT20000MARS!$O40</f>
        <v>0</v>
      </c>
      <c r="O40" s="7">
        <f>TONT20000AVRIL!$M40</f>
        <v>0</v>
      </c>
      <c r="P40" s="7">
        <f>TONT20000AVRIL!$N40</f>
        <v>0</v>
      </c>
      <c r="Q40" s="7">
        <f>TONT20000AVRIL!$O40</f>
        <v>0</v>
      </c>
      <c r="R40" s="7">
        <f>TONT20000MAI!$M40</f>
        <v>0</v>
      </c>
      <c r="S40" s="7">
        <f>TONT20000MAI!$N40</f>
        <v>0</v>
      </c>
      <c r="T40" s="7">
        <f>TONT20000MAI!$O40</f>
        <v>0</v>
      </c>
      <c r="U40" s="7">
        <f>TONT20000JUIN!$M40</f>
        <v>0</v>
      </c>
      <c r="V40" s="7">
        <f>TONT20000JUIN!$N40</f>
        <v>0</v>
      </c>
      <c r="W40" s="7">
        <f>TONT20000JUIN!$O40</f>
        <v>0</v>
      </c>
      <c r="X40" s="7">
        <f>TONT20000JUIL!$M40</f>
        <v>0</v>
      </c>
      <c r="Y40" s="7">
        <f>TONT20000JUIL!$N40</f>
        <v>0</v>
      </c>
      <c r="Z40" s="7">
        <f>TONT20000JUIL!$O40</f>
        <v>0</v>
      </c>
      <c r="AA40" s="7">
        <f>TONT20000AOUT!$M40</f>
        <v>0</v>
      </c>
      <c r="AB40" s="7">
        <f>TONT20000AOUT!$N40</f>
        <v>0</v>
      </c>
      <c r="AC40" s="7">
        <f>TONT20000AOUT!$O40</f>
        <v>0</v>
      </c>
      <c r="AD40" s="7">
        <f>TONT20000SEPT!$M40</f>
        <v>0</v>
      </c>
      <c r="AE40" s="7">
        <f>TONT20000SEPT!$N40</f>
        <v>0</v>
      </c>
      <c r="AF40" s="7">
        <f>TONT20000SEPT!$O40</f>
        <v>0</v>
      </c>
      <c r="AG40" s="7">
        <f>TONT20000OCT!$M40</f>
        <v>0</v>
      </c>
      <c r="AH40" s="7">
        <f>TONT20000OCT!$N40</f>
        <v>0</v>
      </c>
      <c r="AI40" s="7">
        <f>TONT20000OCT!$O40</f>
        <v>0</v>
      </c>
      <c r="AJ40" s="7">
        <f>TONT20000NOV!$N40</f>
        <v>0</v>
      </c>
      <c r="AK40" s="7">
        <f>TONT20000NOV!$O40</f>
        <v>0</v>
      </c>
      <c r="AL40" s="7">
        <f>TONT20000NOV!$P40</f>
        <v>0</v>
      </c>
    </row>
    <row r="41" spans="1:38" x14ac:dyDescent="0.25">
      <c r="A41" s="1" t="s">
        <v>46</v>
      </c>
      <c r="B41" s="1" t="str">
        <f>VLOOKUP(A41,LISTADHERENT!A$5:H$51,2)</f>
        <v>SIME FONGANG ERIC</v>
      </c>
      <c r="C41" s="7">
        <f>TONT20000DEC2015!$O41</f>
        <v>0</v>
      </c>
      <c r="D41" s="7">
        <f>TONT20000DEC2015!$P41</f>
        <v>0</v>
      </c>
      <c r="E41" s="7">
        <f>TONT20000DEC2015!$Q41</f>
        <v>0</v>
      </c>
      <c r="F41" s="7">
        <f>TONT20000JANV!$M41</f>
        <v>0</v>
      </c>
      <c r="G41" s="7">
        <f>TONT20000JANV!$N41</f>
        <v>0</v>
      </c>
      <c r="H41" s="7">
        <f>TONT20000JANV!$O41</f>
        <v>0</v>
      </c>
      <c r="I41" s="7">
        <f>TONT20000FEV!$M41</f>
        <v>0</v>
      </c>
      <c r="J41" s="7">
        <f>TONT20000FEV!$N41</f>
        <v>0</v>
      </c>
      <c r="K41" s="7">
        <f>TONT20000FEV!$O41</f>
        <v>0</v>
      </c>
      <c r="L41" s="7">
        <f>TONT20000MARS!$M41</f>
        <v>0</v>
      </c>
      <c r="M41" s="7">
        <f>TONT20000MARS!$N41</f>
        <v>0</v>
      </c>
      <c r="N41" s="7">
        <f>TONT20000MARS!$O41</f>
        <v>0</v>
      </c>
      <c r="O41" s="7">
        <f>TONT20000AVRIL!$M41</f>
        <v>0</v>
      </c>
      <c r="P41" s="7">
        <f>TONT20000AVRIL!$N41</f>
        <v>0</v>
      </c>
      <c r="Q41" s="7">
        <f>TONT20000AVRIL!$O41</f>
        <v>0</v>
      </c>
      <c r="R41" s="7">
        <f>TONT20000MAI!$M41</f>
        <v>0</v>
      </c>
      <c r="S41" s="7">
        <f>TONT20000MAI!$N41</f>
        <v>0</v>
      </c>
      <c r="T41" s="7">
        <f>TONT20000MAI!$O41</f>
        <v>0</v>
      </c>
      <c r="U41" s="7">
        <f>TONT20000JUIN!$M41</f>
        <v>0</v>
      </c>
      <c r="V41" s="7">
        <f>TONT20000JUIN!$N41</f>
        <v>0</v>
      </c>
      <c r="W41" s="7">
        <f>TONT20000JUIN!$O41</f>
        <v>0</v>
      </c>
      <c r="X41" s="7">
        <f>TONT20000JUIL!$M41</f>
        <v>0</v>
      </c>
      <c r="Y41" s="7">
        <f>TONT20000JUIL!$N41</f>
        <v>0</v>
      </c>
      <c r="Z41" s="7">
        <f>TONT20000JUIL!$O41</f>
        <v>0</v>
      </c>
      <c r="AA41" s="7">
        <f>TONT20000AOUT!$M41</f>
        <v>0</v>
      </c>
      <c r="AB41" s="7">
        <f>TONT20000AOUT!$N41</f>
        <v>0</v>
      </c>
      <c r="AC41" s="7">
        <f>TONT20000AOUT!$O41</f>
        <v>0</v>
      </c>
      <c r="AD41" s="7">
        <f>TONT20000SEPT!$M41</f>
        <v>1000000</v>
      </c>
      <c r="AE41" s="7">
        <f>TONT20000SEPT!$N41</f>
        <v>120000</v>
      </c>
      <c r="AF41" s="7">
        <f>TONT20000SEPT!$O41</f>
        <v>0</v>
      </c>
      <c r="AG41" s="7">
        <f>TONT20000OCT!$M41</f>
        <v>0</v>
      </c>
      <c r="AH41" s="7">
        <f>TONT20000OCT!$N41</f>
        <v>0</v>
      </c>
      <c r="AI41" s="7">
        <f>TONT20000OCT!$O41</f>
        <v>0</v>
      </c>
      <c r="AJ41" s="7">
        <f>TONT20000NOV!$N41</f>
        <v>0</v>
      </c>
      <c r="AK41" s="7">
        <f>TONT20000NOV!$O41</f>
        <v>0</v>
      </c>
      <c r="AL41" s="7">
        <f>TONT20000NOV!$P41</f>
        <v>0</v>
      </c>
    </row>
    <row r="42" spans="1:38" x14ac:dyDescent="0.25">
      <c r="A42" s="1" t="s">
        <v>47</v>
      </c>
      <c r="B42" s="1" t="str">
        <f>VLOOKUP(A42,LISTADHERENT!A$5:H$51,2)</f>
        <v>SIME MATHIEU</v>
      </c>
      <c r="C42" s="7">
        <f>TONT20000DEC2015!$O42</f>
        <v>0</v>
      </c>
      <c r="D42" s="7">
        <f>TONT20000DEC2015!$P42</f>
        <v>0</v>
      </c>
      <c r="E42" s="7">
        <f>TONT20000DEC2015!$Q42</f>
        <v>0</v>
      </c>
      <c r="F42" s="7">
        <f>TONT20000JANV!$M42</f>
        <v>0</v>
      </c>
      <c r="G42" s="7">
        <f>TONT20000JANV!$N42</f>
        <v>0</v>
      </c>
      <c r="H42" s="7">
        <f>TONT20000JANV!$O42</f>
        <v>0</v>
      </c>
      <c r="I42" s="7">
        <f>TONT20000FEV!$M42</f>
        <v>0</v>
      </c>
      <c r="J42" s="7">
        <f>TONT20000FEV!$N42</f>
        <v>0</v>
      </c>
      <c r="K42" s="7">
        <f>TONT20000FEV!$O42</f>
        <v>0</v>
      </c>
      <c r="L42" s="7">
        <f>TONT20000MARS!$M42</f>
        <v>0</v>
      </c>
      <c r="M42" s="7">
        <f>TONT20000MARS!$N42</f>
        <v>0</v>
      </c>
      <c r="N42" s="7">
        <f>TONT20000MARS!$O42</f>
        <v>0</v>
      </c>
      <c r="O42" s="7">
        <f>TONT20000AVRIL!$M42</f>
        <v>0</v>
      </c>
      <c r="P42" s="7">
        <f>TONT20000AVRIL!$N42</f>
        <v>0</v>
      </c>
      <c r="Q42" s="7">
        <f>TONT20000AVRIL!$O42</f>
        <v>0</v>
      </c>
      <c r="R42" s="7">
        <f>TONT20000MAI!$M42</f>
        <v>0</v>
      </c>
      <c r="S42" s="7">
        <f>TONT20000MAI!$N42</f>
        <v>0</v>
      </c>
      <c r="T42" s="7">
        <f>TONT20000MAI!$O42</f>
        <v>0</v>
      </c>
      <c r="U42" s="7">
        <f>TONT20000JUIN!$M42</f>
        <v>0</v>
      </c>
      <c r="V42" s="7">
        <f>TONT20000JUIN!$N42</f>
        <v>0</v>
      </c>
      <c r="W42" s="7">
        <f>TONT20000JUIN!$O42</f>
        <v>0</v>
      </c>
      <c r="X42" s="7">
        <f>TONT20000JUIL!$M42</f>
        <v>0</v>
      </c>
      <c r="Y42" s="7">
        <f>TONT20000JUIL!$N42</f>
        <v>0</v>
      </c>
      <c r="Z42" s="7">
        <f>TONT20000JUIL!$O42</f>
        <v>0</v>
      </c>
      <c r="AA42" s="7">
        <f>TONT20000AOUT!$M42</f>
        <v>0</v>
      </c>
      <c r="AB42" s="7">
        <f>TONT20000AOUT!$N42</f>
        <v>0</v>
      </c>
      <c r="AC42" s="7">
        <f>TONT20000AOUT!$O42</f>
        <v>0</v>
      </c>
      <c r="AD42" s="7">
        <f>TONT20000SEPT!$M42</f>
        <v>800000</v>
      </c>
      <c r="AE42" s="7">
        <f>TONT20000SEPT!$N42</f>
        <v>96000</v>
      </c>
      <c r="AF42" s="7">
        <f>TONT20000SEPT!$O42</f>
        <v>0</v>
      </c>
      <c r="AG42" s="7">
        <f>TONT20000OCT!$M42</f>
        <v>0</v>
      </c>
      <c r="AH42" s="7">
        <f>TONT20000OCT!$N42</f>
        <v>0</v>
      </c>
      <c r="AI42" s="7">
        <f>TONT20000OCT!$O42</f>
        <v>0</v>
      </c>
      <c r="AJ42" s="7">
        <f>TONT20000NOV!$N42</f>
        <v>0</v>
      </c>
      <c r="AK42" s="7">
        <f>TONT20000NOV!$O42</f>
        <v>0</v>
      </c>
      <c r="AL42" s="7">
        <f>TONT20000NOV!$P42</f>
        <v>0</v>
      </c>
    </row>
    <row r="43" spans="1:38" x14ac:dyDescent="0.25">
      <c r="A43" s="1" t="s">
        <v>48</v>
      </c>
      <c r="B43" s="1" t="str">
        <f>VLOOKUP(A43,LISTADHERENT!A$5:H$51,2)</f>
        <v>SIME PIERRE</v>
      </c>
      <c r="C43" s="7">
        <f>TONT20000DEC2015!$O43</f>
        <v>0</v>
      </c>
      <c r="D43" s="7">
        <f>TONT20000DEC2015!$P43</f>
        <v>0</v>
      </c>
      <c r="E43" s="7">
        <f>TONT20000DEC2015!$Q43</f>
        <v>0</v>
      </c>
      <c r="F43" s="7">
        <f>TONT20000JANV!$M43</f>
        <v>200000</v>
      </c>
      <c r="G43" s="7">
        <f>TONT20000JANV!$N43</f>
        <v>6000</v>
      </c>
      <c r="H43" s="7">
        <f>TONT20000JANV!$O43</f>
        <v>0</v>
      </c>
      <c r="I43" s="7">
        <f>TONT20000FEV!$M43</f>
        <v>0</v>
      </c>
      <c r="J43" s="7">
        <f>TONT20000FEV!$N43</f>
        <v>0</v>
      </c>
      <c r="K43" s="7">
        <f>TONT20000FEV!$O43</f>
        <v>0</v>
      </c>
      <c r="L43" s="7">
        <f>TONT20000MARS!$M43</f>
        <v>0</v>
      </c>
      <c r="M43" s="7">
        <f>TONT20000MARS!$N43</f>
        <v>0</v>
      </c>
      <c r="N43" s="7">
        <f>TONT20000MARS!$O43</f>
        <v>0</v>
      </c>
      <c r="O43" s="7">
        <f>TONT20000AVRIL!$M43</f>
        <v>200000</v>
      </c>
      <c r="P43" s="7">
        <f>TONT20000AVRIL!$N43</f>
        <v>6000</v>
      </c>
      <c r="Q43" s="7">
        <f>TONT20000AVRIL!$O43</f>
        <v>200000</v>
      </c>
      <c r="R43" s="7">
        <f>TONT20000MAI!$M43</f>
        <v>0</v>
      </c>
      <c r="S43" s="7">
        <f>TONT20000MAI!$N43</f>
        <v>0</v>
      </c>
      <c r="T43" s="7">
        <f>TONT20000MAI!$O43</f>
        <v>0</v>
      </c>
      <c r="U43" s="7">
        <f>TONT20000JUIN!$M43</f>
        <v>0</v>
      </c>
      <c r="V43" s="7">
        <f>TONT20000JUIN!$N43</f>
        <v>0</v>
      </c>
      <c r="W43" s="7">
        <f>TONT20000JUIN!$O43</f>
        <v>0</v>
      </c>
      <c r="X43" s="7">
        <f>TONT20000JUIL!$M43</f>
        <v>70000</v>
      </c>
      <c r="Y43" s="7">
        <f>TONT20000JUIL!$N43</f>
        <v>2100</v>
      </c>
      <c r="Z43" s="7">
        <f>TONT20000JUIL!$O43</f>
        <v>200000</v>
      </c>
      <c r="AA43" s="7">
        <f>TONT20000AOUT!$M43</f>
        <v>0</v>
      </c>
      <c r="AB43" s="7">
        <f>TONT20000AOUT!$N43</f>
        <v>0</v>
      </c>
      <c r="AC43" s="7">
        <f>TONT20000AOUT!$O43</f>
        <v>0</v>
      </c>
      <c r="AD43" s="7">
        <f>TONT20000SEPT!$M43</f>
        <v>0</v>
      </c>
      <c r="AE43" s="7">
        <f>TONT20000SEPT!$N43</f>
        <v>0</v>
      </c>
      <c r="AF43" s="7">
        <f>TONT20000SEPT!$O43</f>
        <v>0</v>
      </c>
      <c r="AG43" s="7">
        <f>TONT20000OCT!$M43</f>
        <v>70000</v>
      </c>
      <c r="AH43" s="7">
        <f>TONT20000OCT!$N43</f>
        <v>2100</v>
      </c>
      <c r="AI43" s="7">
        <f>TONT20000OCT!$O43</f>
        <v>70000</v>
      </c>
      <c r="AJ43" s="7">
        <f>TONT20000NOV!$N43</f>
        <v>570000</v>
      </c>
      <c r="AK43" s="7">
        <f>TONT20000NOV!$O43</f>
        <v>68400</v>
      </c>
      <c r="AL43" s="7">
        <f>TONT20000NOV!$P43</f>
        <v>70000</v>
      </c>
    </row>
    <row r="44" spans="1:38" x14ac:dyDescent="0.25">
      <c r="A44" s="1" t="s">
        <v>49</v>
      </c>
      <c r="B44" s="1" t="str">
        <f>VLOOKUP(A44,LISTADHERENT!A$5:H$51,2)</f>
        <v>TAGNE NANGUEN MARTIN</v>
      </c>
      <c r="C44" s="7">
        <f>TONT20000DEC2015!$O44</f>
        <v>0</v>
      </c>
      <c r="D44" s="7">
        <f>TONT20000DEC2015!$P44</f>
        <v>0</v>
      </c>
      <c r="E44" s="7">
        <f>TONT20000DEC2015!$Q44</f>
        <v>0</v>
      </c>
      <c r="F44" s="7">
        <f>TONT20000JANV!$M44</f>
        <v>0</v>
      </c>
      <c r="G44" s="7">
        <f>TONT20000JANV!$N44</f>
        <v>0</v>
      </c>
      <c r="H44" s="7">
        <f>TONT20000JANV!$O44</f>
        <v>0</v>
      </c>
      <c r="I44" s="7">
        <f>TONT20000FEV!$M44</f>
        <v>0</v>
      </c>
      <c r="J44" s="7">
        <f>TONT20000FEV!$N44</f>
        <v>0</v>
      </c>
      <c r="K44" s="7">
        <f>TONT20000FEV!$O44</f>
        <v>0</v>
      </c>
      <c r="L44" s="7">
        <f>TONT20000MARS!$M44</f>
        <v>0</v>
      </c>
      <c r="M44" s="7">
        <f>TONT20000MARS!$N44</f>
        <v>0</v>
      </c>
      <c r="N44" s="7">
        <f>TONT20000MARS!$O44</f>
        <v>0</v>
      </c>
      <c r="O44" s="7">
        <f>TONT20000AVRIL!$M44</f>
        <v>0</v>
      </c>
      <c r="P44" s="7">
        <f>TONT20000AVRIL!$N44</f>
        <v>0</v>
      </c>
      <c r="Q44" s="7">
        <f>TONT20000AVRIL!$O44</f>
        <v>0</v>
      </c>
      <c r="R44" s="7">
        <f>TONT20000MAI!$M44</f>
        <v>0</v>
      </c>
      <c r="S44" s="7">
        <f>TONT20000MAI!$N44</f>
        <v>0</v>
      </c>
      <c r="T44" s="7">
        <f>TONT20000MAI!$O44</f>
        <v>0</v>
      </c>
      <c r="U44" s="7">
        <f>TONT20000JUIN!$M44</f>
        <v>0</v>
      </c>
      <c r="V44" s="7">
        <f>TONT20000JUIN!$N44</f>
        <v>0</v>
      </c>
      <c r="W44" s="7">
        <f>TONT20000JUIN!$O44</f>
        <v>0</v>
      </c>
      <c r="X44" s="7">
        <f>TONT20000JUIL!$M44</f>
        <v>0</v>
      </c>
      <c r="Y44" s="7">
        <f>TONT20000JUIL!$N44</f>
        <v>0</v>
      </c>
      <c r="Z44" s="7">
        <f>TONT20000JUIL!$O44</f>
        <v>0</v>
      </c>
      <c r="AA44" s="7">
        <f>TONT20000AOUT!$M44</f>
        <v>0</v>
      </c>
      <c r="AB44" s="7">
        <f>TONT20000AOUT!$N44</f>
        <v>0</v>
      </c>
      <c r="AC44" s="7">
        <f>TONT20000AOUT!$O44</f>
        <v>0</v>
      </c>
      <c r="AD44" s="7">
        <f>TONT20000SEPT!$M44</f>
        <v>0</v>
      </c>
      <c r="AE44" s="7">
        <f>TONT20000SEPT!$N44</f>
        <v>0</v>
      </c>
      <c r="AF44" s="7">
        <f>TONT20000SEPT!$O44</f>
        <v>0</v>
      </c>
      <c r="AG44" s="7">
        <f>TONT20000OCT!$M44</f>
        <v>0</v>
      </c>
      <c r="AH44" s="7">
        <f>TONT20000OCT!$N44</f>
        <v>0</v>
      </c>
      <c r="AI44" s="7">
        <f>TONT20000OCT!$O44</f>
        <v>0</v>
      </c>
      <c r="AJ44" s="7">
        <f>TONT20000NOV!$N44</f>
        <v>0</v>
      </c>
      <c r="AK44" s="7">
        <f>TONT20000NOV!$O44</f>
        <v>0</v>
      </c>
      <c r="AL44" s="7">
        <f>TONT20000NOV!$P44</f>
        <v>0</v>
      </c>
    </row>
    <row r="45" spans="1:38" x14ac:dyDescent="0.25">
      <c r="A45" s="1" t="s">
        <v>50</v>
      </c>
      <c r="B45" s="1" t="str">
        <f>VLOOKUP(A45,LISTADHERENT!A$5:H$51,2)</f>
        <v>TCHOUAMOU JEAN PAUL</v>
      </c>
      <c r="C45" s="7">
        <f>TONT20000DEC2015!$O45</f>
        <v>0</v>
      </c>
      <c r="D45" s="7">
        <f>TONT20000DEC2015!$P45</f>
        <v>0</v>
      </c>
      <c r="E45" s="7">
        <f>TONT20000DEC2015!$Q45</f>
        <v>0</v>
      </c>
      <c r="F45" s="7">
        <f>TONT20000JANV!$M45</f>
        <v>0</v>
      </c>
      <c r="G45" s="7">
        <f>TONT20000JANV!$N45</f>
        <v>0</v>
      </c>
      <c r="H45" s="7">
        <f>TONT20000JANV!$O45</f>
        <v>0</v>
      </c>
      <c r="I45" s="7">
        <f>TONT20000FEV!$M45</f>
        <v>0</v>
      </c>
      <c r="J45" s="7">
        <f>TONT20000FEV!$N45</f>
        <v>0</v>
      </c>
      <c r="K45" s="7">
        <f>TONT20000FEV!$O45</f>
        <v>0</v>
      </c>
      <c r="L45" s="7">
        <f>TONT20000MARS!$M45</f>
        <v>0</v>
      </c>
      <c r="M45" s="7">
        <f>TONT20000MARS!$N45</f>
        <v>0</v>
      </c>
      <c r="N45" s="7">
        <f>TONT20000MARS!$O45</f>
        <v>0</v>
      </c>
      <c r="O45" s="7">
        <f>TONT20000AVRIL!$M45</f>
        <v>0</v>
      </c>
      <c r="P45" s="7">
        <f>TONT20000AVRIL!$N45</f>
        <v>0</v>
      </c>
      <c r="Q45" s="7">
        <f>TONT20000AVRIL!$O45</f>
        <v>0</v>
      </c>
      <c r="R45" s="7">
        <f>TONT20000MAI!$M45</f>
        <v>0</v>
      </c>
      <c r="S45" s="7">
        <f>TONT20000MAI!$N45</f>
        <v>0</v>
      </c>
      <c r="T45" s="7">
        <f>TONT20000MAI!$O45</f>
        <v>0</v>
      </c>
      <c r="U45" s="7">
        <f>TONT20000JUIN!$M45</f>
        <v>0</v>
      </c>
      <c r="V45" s="7">
        <f>TONT20000JUIN!$N45</f>
        <v>0</v>
      </c>
      <c r="W45" s="7">
        <f>TONT20000JUIN!$O45</f>
        <v>0</v>
      </c>
      <c r="X45" s="7">
        <f>TONT20000JUIL!$M45</f>
        <v>0</v>
      </c>
      <c r="Y45" s="7">
        <f>TONT20000JUIL!$N45</f>
        <v>0</v>
      </c>
      <c r="Z45" s="7">
        <f>TONT20000JUIL!$O45</f>
        <v>0</v>
      </c>
      <c r="AA45" s="7">
        <f>TONT20000AOUT!$M45</f>
        <v>0</v>
      </c>
      <c r="AB45" s="7">
        <f>TONT20000AOUT!$N45</f>
        <v>0</v>
      </c>
      <c r="AC45" s="7">
        <f>TONT20000AOUT!$O45</f>
        <v>0</v>
      </c>
      <c r="AD45" s="7">
        <f>TONT20000SEPT!$M45</f>
        <v>0</v>
      </c>
      <c r="AE45" s="7">
        <f>TONT20000SEPT!$N45</f>
        <v>0</v>
      </c>
      <c r="AF45" s="7">
        <f>TONT20000SEPT!$O45</f>
        <v>0</v>
      </c>
      <c r="AG45" s="7">
        <f>TONT20000OCT!$M45</f>
        <v>0</v>
      </c>
      <c r="AH45" s="7">
        <f>TONT20000OCT!$N45</f>
        <v>0</v>
      </c>
      <c r="AI45" s="7">
        <f>TONT20000OCT!$O45</f>
        <v>0</v>
      </c>
      <c r="AJ45" s="7">
        <f>TONT20000NOV!$N45</f>
        <v>0</v>
      </c>
      <c r="AK45" s="7">
        <f>TONT20000NOV!$O45</f>
        <v>0</v>
      </c>
      <c r="AL45" s="7">
        <f>TONT20000NOV!$P45</f>
        <v>0</v>
      </c>
    </row>
    <row r="46" spans="1:38" x14ac:dyDescent="0.25">
      <c r="A46" s="1" t="s">
        <v>51</v>
      </c>
      <c r="B46" s="1" t="str">
        <f>VLOOKUP(A46,LISTADHERENT!A$5:H$51,2)</f>
        <v>TCHOUAMOU MATHIEU</v>
      </c>
      <c r="C46" s="7">
        <f>TONT20000DEC2015!$O46</f>
        <v>500000</v>
      </c>
      <c r="D46" s="7">
        <f>TONT20000DEC2015!$P46</f>
        <v>15000</v>
      </c>
      <c r="E46" s="7">
        <f>TONT20000DEC2015!$Q46</f>
        <v>0</v>
      </c>
      <c r="F46" s="7">
        <f>TONT20000JANV!$M46</f>
        <v>0</v>
      </c>
      <c r="G46" s="7">
        <f>TONT20000JANV!$N46</f>
        <v>0</v>
      </c>
      <c r="H46" s="7">
        <f>TONT20000JANV!$O46</f>
        <v>0</v>
      </c>
      <c r="I46" s="7">
        <f>TONT20000FEV!$M46</f>
        <v>0</v>
      </c>
      <c r="J46" s="7">
        <f>TONT20000FEV!$N46</f>
        <v>0</v>
      </c>
      <c r="K46" s="7">
        <f>TONT20000FEV!$O46</f>
        <v>0</v>
      </c>
      <c r="L46" s="7">
        <f>TONT20000MARS!$M46</f>
        <v>500000</v>
      </c>
      <c r="M46" s="7">
        <f>TONT20000MARS!$N46</f>
        <v>15000</v>
      </c>
      <c r="N46" s="7">
        <f>TONT20000MARS!$O46</f>
        <v>500000</v>
      </c>
      <c r="O46" s="7">
        <f>TONT20000AVRIL!$M46</f>
        <v>0</v>
      </c>
      <c r="P46" s="7">
        <f>TONT20000AVRIL!$N46</f>
        <v>0</v>
      </c>
      <c r="Q46" s="7">
        <f>TONT20000AVRIL!$O46</f>
        <v>0</v>
      </c>
      <c r="R46" s="7">
        <f>TONT20000MAI!$M46</f>
        <v>0</v>
      </c>
      <c r="S46" s="7">
        <f>TONT20000MAI!$N46</f>
        <v>0</v>
      </c>
      <c r="T46" s="7">
        <f>TONT20000MAI!$O46</f>
        <v>0</v>
      </c>
      <c r="U46" s="7">
        <f>TONT20000JUIN!$M46</f>
        <v>500000</v>
      </c>
      <c r="V46" s="7">
        <f>TONT20000JUIN!$N46</f>
        <v>15000</v>
      </c>
      <c r="W46" s="7">
        <f>TONT20000JUIN!$O46</f>
        <v>500000</v>
      </c>
      <c r="X46" s="7">
        <f>TONT20000JUIL!$M46</f>
        <v>0</v>
      </c>
      <c r="Y46" s="7">
        <f>TONT20000JUIL!$N46</f>
        <v>0</v>
      </c>
      <c r="Z46" s="7">
        <f>TONT20000JUIL!$O46</f>
        <v>0</v>
      </c>
      <c r="AA46" s="7">
        <f>TONT20000AOUT!$M46</f>
        <v>0</v>
      </c>
      <c r="AB46" s="7">
        <f>TONT20000AOUT!$N46</f>
        <v>0</v>
      </c>
      <c r="AC46" s="7">
        <f>TONT20000AOUT!$O46</f>
        <v>0</v>
      </c>
      <c r="AD46" s="7">
        <f>TONT20000SEPT!$M46</f>
        <v>0</v>
      </c>
      <c r="AE46" s="7">
        <f>TONT20000SEPT!$N46</f>
        <v>0</v>
      </c>
      <c r="AF46" s="7">
        <f>TONT20000SEPT!$O46</f>
        <v>0</v>
      </c>
      <c r="AG46" s="7">
        <f>TONT20000OCT!$M46</f>
        <v>0</v>
      </c>
      <c r="AH46" s="7">
        <f>TONT20000OCT!$N46</f>
        <v>0</v>
      </c>
      <c r="AI46" s="7">
        <f>TONT20000OCT!$O46</f>
        <v>0</v>
      </c>
      <c r="AJ46" s="7">
        <f>TONT20000NOV!$N46</f>
        <v>0</v>
      </c>
      <c r="AK46" s="7">
        <f>TONT20000NOV!$O46</f>
        <v>0</v>
      </c>
      <c r="AL46" s="7">
        <f>TONT20000NOV!$P46</f>
        <v>0</v>
      </c>
    </row>
    <row r="47" spans="1:38" x14ac:dyDescent="0.25">
      <c r="A47" s="1" t="s">
        <v>52</v>
      </c>
      <c r="B47" s="1" t="str">
        <f>VLOOKUP(A47,LISTADHERENT!A$5:H$51,2)</f>
        <v>TCHOUANTE FRANCOIS</v>
      </c>
      <c r="C47" s="7">
        <f>TONT20000DEC2015!$O47</f>
        <v>0</v>
      </c>
      <c r="D47" s="7">
        <f>TONT20000DEC2015!$P47</f>
        <v>0</v>
      </c>
      <c r="E47" s="7">
        <f>TONT20000DEC2015!$Q47</f>
        <v>0</v>
      </c>
      <c r="F47" s="7">
        <f>TONT20000JANV!$M47</f>
        <v>0</v>
      </c>
      <c r="G47" s="7">
        <f>TONT20000JANV!$N47</f>
        <v>0</v>
      </c>
      <c r="H47" s="7">
        <f>TONT20000JANV!$O47</f>
        <v>0</v>
      </c>
      <c r="I47" s="7">
        <f>TONT20000FEV!$M47</f>
        <v>500000</v>
      </c>
      <c r="J47" s="7">
        <f>TONT20000FEV!$N47</f>
        <v>15000</v>
      </c>
      <c r="K47" s="7">
        <f>TONT20000FEV!$O47</f>
        <v>0</v>
      </c>
      <c r="L47" s="7">
        <f>TONT20000MARS!$M47</f>
        <v>0</v>
      </c>
      <c r="M47" s="7">
        <f>TONT20000MARS!$N47</f>
        <v>0</v>
      </c>
      <c r="N47" s="7">
        <f>TONT20000MARS!$O47</f>
        <v>0</v>
      </c>
      <c r="O47" s="7">
        <f>TONT20000AVRIL!$M47</f>
        <v>0</v>
      </c>
      <c r="P47" s="7">
        <f>TONT20000AVRIL!$N47</f>
        <v>0</v>
      </c>
      <c r="Q47" s="7">
        <f>TONT20000AVRIL!$O47</f>
        <v>0</v>
      </c>
      <c r="R47" s="7">
        <f>TONT20000MAI!$M47</f>
        <v>750000</v>
      </c>
      <c r="S47" s="7">
        <f>TONT20000MAI!$N47</f>
        <v>90000</v>
      </c>
      <c r="T47" s="7">
        <f>TONT20000MAI!$O47</f>
        <v>0</v>
      </c>
      <c r="U47" s="7">
        <f>TONT20000JUIN!$M47</f>
        <v>0</v>
      </c>
      <c r="V47" s="7">
        <f>TONT20000JUIN!$N47</f>
        <v>0</v>
      </c>
      <c r="W47" s="7">
        <f>TONT20000JUIN!$O47</f>
        <v>0</v>
      </c>
      <c r="X47" s="7">
        <f>TONT20000JUIL!$M47</f>
        <v>0</v>
      </c>
      <c r="Y47" s="7">
        <f>TONT20000JUIL!$N47</f>
        <v>0</v>
      </c>
      <c r="Z47" s="7">
        <f>TONT20000JUIL!$O47</f>
        <v>0</v>
      </c>
      <c r="AA47" s="7">
        <f>TONT20000AOUT!$M47</f>
        <v>0</v>
      </c>
      <c r="AB47" s="7">
        <f>TONT20000AOUT!$N47</f>
        <v>0</v>
      </c>
      <c r="AC47" s="7">
        <f>TONT20000AOUT!$O47</f>
        <v>0</v>
      </c>
      <c r="AD47" s="7">
        <f>TONT20000SEPT!$M47</f>
        <v>0</v>
      </c>
      <c r="AE47" s="7">
        <f>TONT20000SEPT!$N47</f>
        <v>0</v>
      </c>
      <c r="AF47" s="7">
        <f>TONT20000SEPT!$O47</f>
        <v>0</v>
      </c>
      <c r="AG47" s="7">
        <f>TONT20000OCT!$M47</f>
        <v>0</v>
      </c>
      <c r="AH47" s="7">
        <f>TONT20000OCT!$N47</f>
        <v>0</v>
      </c>
      <c r="AI47" s="7">
        <f>TONT20000OCT!$O47</f>
        <v>0</v>
      </c>
      <c r="AJ47" s="7">
        <f>TONT20000NOV!$N47</f>
        <v>0</v>
      </c>
      <c r="AK47" s="7">
        <f>TONT20000NOV!$O47</f>
        <v>0</v>
      </c>
      <c r="AL47" s="7">
        <f>TONT20000NOV!$P47</f>
        <v>0</v>
      </c>
    </row>
    <row r="48" spans="1:38" x14ac:dyDescent="0.25">
      <c r="A48" s="1" t="s">
        <v>53</v>
      </c>
      <c r="B48" s="1" t="str">
        <f>VLOOKUP(A48,LISTADHERENT!A$5:H$51,2)</f>
        <v>TCHOUTOU NANA CLAUDE</v>
      </c>
      <c r="C48" s="7">
        <f>TONT20000DEC2015!$O48</f>
        <v>0</v>
      </c>
      <c r="D48" s="7">
        <f>TONT20000DEC2015!$P48</f>
        <v>0</v>
      </c>
      <c r="E48" s="7">
        <f>TONT20000DEC2015!$Q48</f>
        <v>0</v>
      </c>
      <c r="F48" s="7">
        <f>TONT20000JANV!$M48</f>
        <v>0</v>
      </c>
      <c r="G48" s="7">
        <f>TONT20000JANV!$N48</f>
        <v>0</v>
      </c>
      <c r="H48" s="7">
        <f>TONT20000JANV!$O48</f>
        <v>0</v>
      </c>
      <c r="I48" s="7">
        <f>TONT20000FEV!$M48</f>
        <v>0</v>
      </c>
      <c r="J48" s="7">
        <f>TONT20000FEV!$N48</f>
        <v>0</v>
      </c>
      <c r="K48" s="7">
        <f>TONT20000FEV!$O48</f>
        <v>0</v>
      </c>
      <c r="L48" s="7">
        <f>TONT20000MARS!$M48</f>
        <v>0</v>
      </c>
      <c r="M48" s="7">
        <f>TONT20000MARS!$N48</f>
        <v>0</v>
      </c>
      <c r="N48" s="7">
        <f>TONT20000MARS!$O48</f>
        <v>0</v>
      </c>
      <c r="O48" s="7">
        <f>TONT20000AVRIL!$M48</f>
        <v>0</v>
      </c>
      <c r="P48" s="7">
        <f>TONT20000AVRIL!$N48</f>
        <v>0</v>
      </c>
      <c r="Q48" s="7">
        <f>TONT20000AVRIL!$O48</f>
        <v>0</v>
      </c>
      <c r="R48" s="7">
        <f>TONT20000MAI!$M48</f>
        <v>0</v>
      </c>
      <c r="S48" s="7">
        <f>TONT20000MAI!$N48</f>
        <v>0</v>
      </c>
      <c r="T48" s="7">
        <f>TONT20000MAI!$O48</f>
        <v>0</v>
      </c>
      <c r="U48" s="7">
        <f>TONT20000JUIN!$M48</f>
        <v>0</v>
      </c>
      <c r="V48" s="7">
        <f>TONT20000JUIN!$N48</f>
        <v>0</v>
      </c>
      <c r="W48" s="7">
        <f>TONT20000JUIN!$O48</f>
        <v>0</v>
      </c>
      <c r="X48" s="7">
        <f>TONT20000JUIL!$M48</f>
        <v>0</v>
      </c>
      <c r="Y48" s="7">
        <f>TONT20000JUIL!$N48</f>
        <v>0</v>
      </c>
      <c r="Z48" s="7">
        <f>TONT20000JUIL!$O48</f>
        <v>0</v>
      </c>
      <c r="AA48" s="7">
        <f>TONT20000AOUT!$M48</f>
        <v>0</v>
      </c>
      <c r="AB48" s="7">
        <f>TONT20000AOUT!$N48</f>
        <v>0</v>
      </c>
      <c r="AC48" s="7">
        <f>TONT20000AOUT!$O48</f>
        <v>0</v>
      </c>
      <c r="AD48" s="7">
        <f>TONT20000SEPT!$M48</f>
        <v>0</v>
      </c>
      <c r="AE48" s="7">
        <f>TONT20000SEPT!$N48</f>
        <v>0</v>
      </c>
      <c r="AF48" s="7">
        <f>TONT20000SEPT!$O48</f>
        <v>0</v>
      </c>
      <c r="AG48" s="7">
        <f>TONT20000OCT!$M48</f>
        <v>0</v>
      </c>
      <c r="AH48" s="7">
        <f>TONT20000OCT!$N48</f>
        <v>0</v>
      </c>
      <c r="AI48" s="7">
        <f>TONT20000OCT!$O48</f>
        <v>0</v>
      </c>
      <c r="AJ48" s="7">
        <f>TONT20000NOV!$N48</f>
        <v>0</v>
      </c>
      <c r="AK48" s="7">
        <f>TONT20000NOV!$O48</f>
        <v>0</v>
      </c>
      <c r="AL48" s="7">
        <f>TONT20000NOV!$P48</f>
        <v>0</v>
      </c>
    </row>
    <row r="49" spans="1:38" x14ac:dyDescent="0.25">
      <c r="A49" s="1" t="s">
        <v>54</v>
      </c>
      <c r="B49" s="1" t="str">
        <f>VLOOKUP(A49,LISTADHERENT!A$5:H$51,2)</f>
        <v>TIEYAM ERNEST</v>
      </c>
      <c r="C49" s="7">
        <f>TONT20000DEC2015!$O49</f>
        <v>0</v>
      </c>
      <c r="D49" s="7">
        <f>TONT20000DEC2015!$P49</f>
        <v>0</v>
      </c>
      <c r="E49" s="7">
        <f>TONT20000DEC2015!$Q49</f>
        <v>0</v>
      </c>
      <c r="F49" s="7">
        <f>TONT20000JANV!$M49</f>
        <v>1000000</v>
      </c>
      <c r="G49" s="7">
        <f>TONT20000JANV!$N49</f>
        <v>120000</v>
      </c>
      <c r="H49" s="7">
        <f>TONT20000JANV!$O49</f>
        <v>0</v>
      </c>
      <c r="I49" s="7">
        <f>TONT20000FEV!$M49</f>
        <v>0</v>
      </c>
      <c r="J49" s="7">
        <f>TONT20000FEV!$N49</f>
        <v>0</v>
      </c>
      <c r="K49" s="7">
        <f>TONT20000FEV!$O49</f>
        <v>0</v>
      </c>
      <c r="L49" s="7">
        <f>TONT20000MARS!$M49</f>
        <v>0</v>
      </c>
      <c r="M49" s="7">
        <f>TONT20000MARS!$N49</f>
        <v>0</v>
      </c>
      <c r="N49" s="7">
        <f>TONT20000MARS!$O49</f>
        <v>0</v>
      </c>
      <c r="O49" s="7">
        <f>TONT20000AVRIL!$M49</f>
        <v>0</v>
      </c>
      <c r="P49" s="7">
        <f>TONT20000AVRIL!$N49</f>
        <v>0</v>
      </c>
      <c r="Q49" s="7">
        <f>TONT20000AVRIL!$O49</f>
        <v>0</v>
      </c>
      <c r="R49" s="7">
        <f>TONT20000MAI!$M49</f>
        <v>0</v>
      </c>
      <c r="S49" s="7">
        <f>TONT20000MAI!$N49</f>
        <v>0</v>
      </c>
      <c r="T49" s="7">
        <f>TONT20000MAI!$O49</f>
        <v>0</v>
      </c>
      <c r="U49" s="7">
        <f>TONT20000JUIN!$M49</f>
        <v>0</v>
      </c>
      <c r="V49" s="7">
        <f>TONT20000JUIN!$N49</f>
        <v>0</v>
      </c>
      <c r="W49" s="7">
        <f>TONT20000JUIN!$O49</f>
        <v>0</v>
      </c>
      <c r="X49" s="7">
        <f>TONT20000JUIL!$M49</f>
        <v>0</v>
      </c>
      <c r="Y49" s="7">
        <f>TONT20000JUIL!$N49</f>
        <v>0</v>
      </c>
      <c r="Z49" s="7">
        <f>TONT20000JUIL!$O49</f>
        <v>0</v>
      </c>
      <c r="AA49" s="7">
        <f>TONT20000AOUT!$M49</f>
        <v>0</v>
      </c>
      <c r="AB49" s="7">
        <f>TONT20000AOUT!$N49</f>
        <v>0</v>
      </c>
      <c r="AC49" s="7">
        <f>TONT20000AOUT!$O49</f>
        <v>0</v>
      </c>
      <c r="AD49" s="7">
        <f>TONT20000SEPT!$M49</f>
        <v>0</v>
      </c>
      <c r="AE49" s="7">
        <f>TONT20000SEPT!$N49</f>
        <v>0</v>
      </c>
      <c r="AF49" s="7">
        <f>TONT20000SEPT!$O49</f>
        <v>0</v>
      </c>
      <c r="AG49" s="7">
        <f>TONT20000OCT!$M49</f>
        <v>0</v>
      </c>
      <c r="AH49" s="7">
        <f>TONT20000OCT!$N49</f>
        <v>0</v>
      </c>
      <c r="AI49" s="7">
        <f>TONT20000OCT!$O49</f>
        <v>0</v>
      </c>
      <c r="AJ49" s="7">
        <f>TONT20000NOV!$N49</f>
        <v>0</v>
      </c>
      <c r="AK49" s="7">
        <f>TONT20000NOV!$O49</f>
        <v>0</v>
      </c>
      <c r="AL49" s="7">
        <f>TONT20000NOV!$P49</f>
        <v>0</v>
      </c>
    </row>
    <row r="50" spans="1:38" x14ac:dyDescent="0.25">
      <c r="A50" s="1" t="s">
        <v>55</v>
      </c>
      <c r="B50" s="1" t="str">
        <f>VLOOKUP(A50,LISTADHERENT!A$5:H$51,2)</f>
        <v>TUGMA PIERRE LOTI</v>
      </c>
      <c r="C50" s="7">
        <f>TONT20000DEC2015!$O50</f>
        <v>0</v>
      </c>
      <c r="D50" s="7">
        <f>TONT20000DEC2015!$P50</f>
        <v>0</v>
      </c>
      <c r="E50" s="7">
        <f>TONT20000DEC2015!$Q50</f>
        <v>0</v>
      </c>
      <c r="F50" s="7">
        <f>TONT20000JANV!$M50</f>
        <v>0</v>
      </c>
      <c r="G50" s="7">
        <f>TONT20000JANV!$N50</f>
        <v>0</v>
      </c>
      <c r="H50" s="7">
        <f>TONT20000JANV!$O50</f>
        <v>0</v>
      </c>
      <c r="I50" s="7">
        <f>TONT20000FEV!$M50</f>
        <v>0</v>
      </c>
      <c r="J50" s="7">
        <f>TONT20000FEV!$N50</f>
        <v>0</v>
      </c>
      <c r="K50" s="7">
        <f>TONT20000FEV!$O50</f>
        <v>0</v>
      </c>
      <c r="L50" s="7">
        <f>TONT20000MARS!$M50</f>
        <v>0</v>
      </c>
      <c r="M50" s="7">
        <f>TONT20000MARS!$N50</f>
        <v>0</v>
      </c>
      <c r="N50" s="7">
        <f>TONT20000MARS!$O50</f>
        <v>0</v>
      </c>
      <c r="O50" s="7">
        <f>TONT20000AVRIL!$M50</f>
        <v>0</v>
      </c>
      <c r="P50" s="7">
        <f>TONT20000AVRIL!$N50</f>
        <v>0</v>
      </c>
      <c r="Q50" s="7">
        <f>TONT20000AVRIL!$O50</f>
        <v>0</v>
      </c>
      <c r="R50" s="7">
        <f>TONT20000MAI!$M50</f>
        <v>0</v>
      </c>
      <c r="S50" s="7">
        <f>TONT20000MAI!$N50</f>
        <v>0</v>
      </c>
      <c r="T50" s="7">
        <f>TONT20000MAI!$O50</f>
        <v>0</v>
      </c>
      <c r="U50" s="7">
        <f>TONT20000JUIN!$M50</f>
        <v>0</v>
      </c>
      <c r="V50" s="7">
        <f>TONT20000JUIN!$N50</f>
        <v>0</v>
      </c>
      <c r="W50" s="7">
        <f>TONT20000JUIN!$O50</f>
        <v>0</v>
      </c>
      <c r="X50" s="7">
        <f>TONT20000JUIL!$M50</f>
        <v>0</v>
      </c>
      <c r="Y50" s="7">
        <f>TONT20000JUIL!$N50</f>
        <v>0</v>
      </c>
      <c r="Z50" s="7">
        <f>TONT20000JUIL!$O50</f>
        <v>0</v>
      </c>
      <c r="AA50" s="7">
        <f>TONT20000AOUT!$M50</f>
        <v>0</v>
      </c>
      <c r="AB50" s="7">
        <f>TONT20000AOUT!$N50</f>
        <v>0</v>
      </c>
      <c r="AC50" s="7">
        <f>TONT20000AOUT!$O50</f>
        <v>0</v>
      </c>
      <c r="AD50" s="7">
        <f>TONT20000SEPT!$M50</f>
        <v>0</v>
      </c>
      <c r="AE50" s="7">
        <f>TONT20000SEPT!$N50</f>
        <v>0</v>
      </c>
      <c r="AF50" s="7">
        <f>TONT20000SEPT!$O50</f>
        <v>0</v>
      </c>
      <c r="AG50" s="7">
        <f>TONT20000OCT!$M50</f>
        <v>0</v>
      </c>
      <c r="AH50" s="7">
        <f>TONT20000OCT!$N50</f>
        <v>0</v>
      </c>
      <c r="AI50" s="7">
        <f>TONT20000OCT!$O50</f>
        <v>0</v>
      </c>
      <c r="AJ50" s="7">
        <f>TONT20000NOV!$N50</f>
        <v>0</v>
      </c>
      <c r="AK50" s="7">
        <f>TONT20000NOV!$O50</f>
        <v>0</v>
      </c>
      <c r="AL50" s="7">
        <f>TONT20000NOV!$P50</f>
        <v>0</v>
      </c>
    </row>
    <row r="51" spans="1:38" x14ac:dyDescent="0.25">
      <c r="A51" s="1" t="s">
        <v>66</v>
      </c>
      <c r="B51" s="1" t="str">
        <f>VLOOKUP(A51,LISTADHERENT!A$5:H$51,2)</f>
        <v>YEPMOU JEAN JACQUES</v>
      </c>
      <c r="C51" s="7">
        <f>TONT20000DEC2015!$O51</f>
        <v>0</v>
      </c>
      <c r="D51" s="7">
        <f>TONT20000DEC2015!$P51</f>
        <v>0</v>
      </c>
      <c r="E51" s="7">
        <f>TONT20000DEC2015!$Q51</f>
        <v>0</v>
      </c>
      <c r="F51" s="7">
        <f>TONT20000JANV!$M51</f>
        <v>0</v>
      </c>
      <c r="G51" s="7">
        <f>TONT20000JANV!$N51</f>
        <v>0</v>
      </c>
      <c r="H51" s="7">
        <f>TONT20000JANV!$O51</f>
        <v>0</v>
      </c>
      <c r="I51" s="7">
        <f>TONT20000FEV!$M51</f>
        <v>0</v>
      </c>
      <c r="J51" s="7">
        <f>TONT20000FEV!$N51</f>
        <v>0</v>
      </c>
      <c r="K51" s="7">
        <f>TONT20000FEV!$O51</f>
        <v>0</v>
      </c>
      <c r="L51" s="7">
        <f>TONT20000MARS!$M51</f>
        <v>0</v>
      </c>
      <c r="M51" s="7">
        <f>TONT20000MARS!$N51</f>
        <v>0</v>
      </c>
      <c r="N51" s="7">
        <f>TONT20000MARS!$O51</f>
        <v>0</v>
      </c>
      <c r="O51" s="7">
        <f>TONT20000AVRIL!$M51</f>
        <v>0</v>
      </c>
      <c r="P51" s="7">
        <f>TONT20000AVRIL!$N51</f>
        <v>0</v>
      </c>
      <c r="Q51" s="7">
        <f>TONT20000AVRIL!$O51</f>
        <v>0</v>
      </c>
      <c r="R51" s="7">
        <f>TONT20000MAI!$M51</f>
        <v>0</v>
      </c>
      <c r="S51" s="7">
        <f>TONT20000MAI!$N51</f>
        <v>0</v>
      </c>
      <c r="T51" s="7">
        <f>TONT20000MAI!$O51</f>
        <v>0</v>
      </c>
      <c r="U51" s="7">
        <f>TONT20000JUIN!$M51</f>
        <v>0</v>
      </c>
      <c r="V51" s="7">
        <f>TONT20000JUIN!$N51</f>
        <v>0</v>
      </c>
      <c r="W51" s="7">
        <f>TONT20000JUIN!$O51</f>
        <v>0</v>
      </c>
      <c r="X51" s="7">
        <f>TONT20000JUIL!$M51</f>
        <v>0</v>
      </c>
      <c r="Y51" s="7">
        <f>TONT20000JUIL!$N51</f>
        <v>0</v>
      </c>
      <c r="Z51" s="7">
        <f>TONT20000JUIL!$O51</f>
        <v>0</v>
      </c>
      <c r="AA51" s="7">
        <f>TONT20000AOUT!$M51</f>
        <v>0</v>
      </c>
      <c r="AB51" s="7">
        <f>TONT20000AOUT!$N51</f>
        <v>0</v>
      </c>
      <c r="AC51" s="7">
        <f>TONT20000AOUT!$O51</f>
        <v>0</v>
      </c>
      <c r="AD51" s="7">
        <f>TONT20000SEPT!$M51</f>
        <v>0</v>
      </c>
      <c r="AE51" s="7">
        <f>TONT20000SEPT!$N51</f>
        <v>0</v>
      </c>
      <c r="AF51" s="7">
        <f>TONT20000SEPT!$O51</f>
        <v>0</v>
      </c>
      <c r="AG51" s="7">
        <f>TONT20000OCT!$M51</f>
        <v>0</v>
      </c>
      <c r="AH51" s="7">
        <f>TONT20000OCT!$N51</f>
        <v>0</v>
      </c>
      <c r="AI51" s="7">
        <f>TONT20000OCT!$O51</f>
        <v>0</v>
      </c>
      <c r="AJ51" s="7">
        <f>TONT20000NOV!$N51</f>
        <v>0</v>
      </c>
      <c r="AK51" s="7">
        <f>TONT20000NOV!$O51</f>
        <v>0</v>
      </c>
      <c r="AL51" s="7">
        <f>TONT20000NOV!$P51</f>
        <v>0</v>
      </c>
    </row>
    <row r="52" spans="1:38" x14ac:dyDescent="0.25">
      <c r="A52" s="1" t="s">
        <v>178</v>
      </c>
      <c r="B52" s="1" t="str">
        <f>VLOOKUP(A52,LISTADHERENT!A$5:H$51,2)</f>
        <v>YOUMBI EMMANUEL</v>
      </c>
      <c r="C52" s="7">
        <f>TONT20000DEC2015!$O52</f>
        <v>0</v>
      </c>
      <c r="D52" s="7">
        <f>TONT20000DEC2015!$P52</f>
        <v>0</v>
      </c>
      <c r="E52" s="7">
        <f>TONT20000DEC2015!$Q52</f>
        <v>0</v>
      </c>
      <c r="F52" s="7">
        <f>TONT20000JANV!$M52</f>
        <v>0</v>
      </c>
      <c r="G52" s="7">
        <f>TONT20000JANV!$N52</f>
        <v>0</v>
      </c>
      <c r="H52" s="7">
        <f>TONT20000JANV!$O52</f>
        <v>0</v>
      </c>
      <c r="I52" s="7">
        <f>TONT20000FEV!$M52</f>
        <v>0</v>
      </c>
      <c r="J52" s="7">
        <f>TONT20000FEV!$N52</f>
        <v>0</v>
      </c>
      <c r="K52" s="7">
        <f>TONT20000FEV!$O52</f>
        <v>0</v>
      </c>
      <c r="L52" s="7">
        <f>TONT20000MARS!$M52</f>
        <v>0</v>
      </c>
      <c r="M52" s="7">
        <f>TONT20000MARS!$N52</f>
        <v>0</v>
      </c>
      <c r="N52" s="7">
        <f>TONT20000MARS!$O52</f>
        <v>0</v>
      </c>
      <c r="O52" s="7">
        <f>TONT20000AVRIL!$M52</f>
        <v>0</v>
      </c>
      <c r="P52" s="7">
        <f>TONT20000AVRIL!$N52</f>
        <v>0</v>
      </c>
      <c r="Q52" s="7">
        <f>TONT20000AVRIL!$O52</f>
        <v>0</v>
      </c>
      <c r="R52" s="7">
        <f>TONT20000MAI!$M52</f>
        <v>0</v>
      </c>
      <c r="S52" s="7">
        <f>TONT20000MAI!$N52</f>
        <v>0</v>
      </c>
      <c r="T52" s="7">
        <f>TONT20000MAI!$O52</f>
        <v>0</v>
      </c>
      <c r="U52" s="7">
        <f>TONT20000JUIN!$M52</f>
        <v>0</v>
      </c>
      <c r="V52" s="7">
        <f>TONT20000JUIN!$N52</f>
        <v>0</v>
      </c>
      <c r="W52" s="7">
        <f>TONT20000JUIN!$O52</f>
        <v>0</v>
      </c>
      <c r="X52" s="7">
        <f>TONT20000JUIL!$M52</f>
        <v>0</v>
      </c>
      <c r="Y52" s="7">
        <f>TONT20000JUIL!$N52</f>
        <v>0</v>
      </c>
      <c r="Z52" s="7">
        <f>TONT20000JUIL!$O52</f>
        <v>0</v>
      </c>
      <c r="AA52" s="7">
        <f>TONT20000AOUT!$M52</f>
        <v>0</v>
      </c>
      <c r="AB52" s="7">
        <f>TONT20000AOUT!$N52</f>
        <v>0</v>
      </c>
      <c r="AC52" s="7">
        <f>TONT20000AOUT!$O52</f>
        <v>0</v>
      </c>
      <c r="AD52" s="7">
        <f>TONT20000SEPT!$M52</f>
        <v>0</v>
      </c>
      <c r="AE52" s="7">
        <f>TONT20000SEPT!$N52</f>
        <v>0</v>
      </c>
      <c r="AF52" s="7">
        <f>TONT20000SEPT!$O52</f>
        <v>0</v>
      </c>
      <c r="AG52" s="7">
        <f>TONT20000OCT!$M52</f>
        <v>0</v>
      </c>
      <c r="AH52" s="7">
        <f>TONT20000OCT!$N52</f>
        <v>0</v>
      </c>
      <c r="AI52" s="7">
        <f>TONT20000OCT!$O52</f>
        <v>0</v>
      </c>
      <c r="AJ52" s="7">
        <f>TONT20000NOV!$N52</f>
        <v>0</v>
      </c>
      <c r="AK52" s="7">
        <f>TONT20000NOV!$O52</f>
        <v>0</v>
      </c>
      <c r="AL52" s="7">
        <f>TONT20000NOV!$P52</f>
        <v>0</v>
      </c>
    </row>
    <row r="53" spans="1:38" x14ac:dyDescent="0.25">
      <c r="A53" s="1"/>
      <c r="B53" s="1"/>
      <c r="C53" s="2"/>
      <c r="D53" s="7"/>
      <c r="E53" s="2"/>
    </row>
    <row r="54" spans="1:38" x14ac:dyDescent="0.25">
      <c r="A54" s="1"/>
      <c r="B54" s="1" t="s">
        <v>180</v>
      </c>
      <c r="C54" s="2"/>
      <c r="D54" s="7"/>
      <c r="E54" s="2"/>
    </row>
    <row r="55" spans="1:38" x14ac:dyDescent="0.25">
      <c r="A55" s="1"/>
      <c r="B55" s="1"/>
    </row>
    <row r="56" spans="1:38" ht="18" x14ac:dyDescent="0.25">
      <c r="A56" s="1" t="s">
        <v>56</v>
      </c>
      <c r="B56" s="1"/>
      <c r="C56" s="9">
        <f t="shared" ref="C56:AL56" si="0">SUM(C5:C52)</f>
        <v>1500000</v>
      </c>
      <c r="D56" s="9">
        <f t="shared" si="0"/>
        <v>99000</v>
      </c>
      <c r="E56" s="9">
        <f t="shared" si="0"/>
        <v>0</v>
      </c>
      <c r="F56" s="9">
        <f t="shared" si="0"/>
        <v>2200000</v>
      </c>
      <c r="G56" s="9">
        <f t="shared" si="0"/>
        <v>186000</v>
      </c>
      <c r="H56" s="9">
        <f t="shared" si="0"/>
        <v>0</v>
      </c>
      <c r="I56" s="9">
        <f t="shared" si="0"/>
        <v>750000</v>
      </c>
      <c r="J56" s="9">
        <f t="shared" si="0"/>
        <v>22500</v>
      </c>
      <c r="K56" s="9">
        <f t="shared" si="0"/>
        <v>0</v>
      </c>
      <c r="L56" s="9">
        <f t="shared" si="0"/>
        <v>1980000</v>
      </c>
      <c r="M56" s="9">
        <f t="shared" si="0"/>
        <v>59400</v>
      </c>
      <c r="N56" s="9">
        <f t="shared" si="0"/>
        <v>900000</v>
      </c>
      <c r="O56" s="9">
        <f t="shared" si="0"/>
        <v>2200000</v>
      </c>
      <c r="P56" s="9">
        <f t="shared" si="0"/>
        <v>246000</v>
      </c>
      <c r="Q56" s="9">
        <f t="shared" si="0"/>
        <v>200000</v>
      </c>
      <c r="R56" s="9">
        <f t="shared" si="0"/>
        <v>750000</v>
      </c>
      <c r="S56" s="9">
        <f t="shared" si="0"/>
        <v>90000</v>
      </c>
      <c r="T56" s="9">
        <f t="shared" si="0"/>
        <v>0</v>
      </c>
      <c r="U56" s="9">
        <f t="shared" si="0"/>
        <v>3040000</v>
      </c>
      <c r="V56" s="9">
        <f t="shared" si="0"/>
        <v>271200</v>
      </c>
      <c r="W56" s="9">
        <f t="shared" si="0"/>
        <v>2980000</v>
      </c>
      <c r="X56" s="9">
        <f t="shared" si="0"/>
        <v>4870000</v>
      </c>
      <c r="Y56" s="9">
        <f t="shared" si="0"/>
        <v>410100</v>
      </c>
      <c r="Z56" s="9">
        <f t="shared" si="0"/>
        <v>200000</v>
      </c>
      <c r="AA56" s="9">
        <f t="shared" si="0"/>
        <v>1300000</v>
      </c>
      <c r="AB56" s="9">
        <f t="shared" si="0"/>
        <v>102000</v>
      </c>
      <c r="AC56" s="9">
        <f t="shared" si="0"/>
        <v>0</v>
      </c>
      <c r="AD56" s="9">
        <f t="shared" si="0"/>
        <v>2280000</v>
      </c>
      <c r="AE56" s="9">
        <f t="shared" si="0"/>
        <v>230400</v>
      </c>
      <c r="AF56" s="9">
        <f t="shared" si="0"/>
        <v>480000</v>
      </c>
      <c r="AG56" s="9">
        <f t="shared" si="0"/>
        <v>1670000</v>
      </c>
      <c r="AH56" s="9">
        <f t="shared" si="0"/>
        <v>194100</v>
      </c>
      <c r="AI56" s="9">
        <f t="shared" si="0"/>
        <v>70000</v>
      </c>
      <c r="AJ56" s="9">
        <f t="shared" si="0"/>
        <v>3170000</v>
      </c>
      <c r="AK56" s="9">
        <f t="shared" si="0"/>
        <v>371400</v>
      </c>
      <c r="AL56" s="9">
        <f t="shared" si="0"/>
        <v>2070000</v>
      </c>
    </row>
    <row r="58" spans="1:38" ht="18" x14ac:dyDescent="0.25">
      <c r="C58" s="9">
        <f>G56+D56+J56+M56+P56+S56+V56+Y56+AB56+AE56+AH56+AK56</f>
        <v>2282100</v>
      </c>
    </row>
  </sheetData>
  <mergeCells count="12">
    <mergeCell ref="AJ3:AL3"/>
    <mergeCell ref="C3:E3"/>
    <mergeCell ref="F3:H3"/>
    <mergeCell ref="I3:K3"/>
    <mergeCell ref="L3:N3"/>
    <mergeCell ref="O3:Q3"/>
    <mergeCell ref="R3:T3"/>
    <mergeCell ref="U3:W3"/>
    <mergeCell ref="X3:Z3"/>
    <mergeCell ref="AA3:AC3"/>
    <mergeCell ref="AD3:AF3"/>
    <mergeCell ref="AG3:AI3"/>
  </mergeCell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opLeftCell="A43" workbookViewId="0">
      <selection activeCell="B52" sqref="B52"/>
    </sheetView>
  </sheetViews>
  <sheetFormatPr baseColWidth="10" defaultRowHeight="15" x14ac:dyDescent="0.25"/>
  <cols>
    <col min="2" max="2" width="27.140625" bestFit="1" customWidth="1"/>
    <col min="3" max="3" width="29.5703125" bestFit="1" customWidth="1"/>
    <col min="4" max="4" width="15.28515625" bestFit="1" customWidth="1"/>
    <col min="5" max="5" width="14.140625" customWidth="1"/>
    <col min="6" max="6" width="10.85546875" bestFit="1" customWidth="1"/>
    <col min="7" max="7" width="21.7109375" bestFit="1" customWidth="1"/>
    <col min="8" max="8" width="15.85546875" bestFit="1" customWidth="1"/>
  </cols>
  <sheetData>
    <row r="1" spans="1:8" ht="18.75" x14ac:dyDescent="0.3">
      <c r="A1" s="12" t="s">
        <v>1</v>
      </c>
    </row>
    <row r="2" spans="1:8" ht="18.75" x14ac:dyDescent="0.3">
      <c r="A2" s="12" t="s">
        <v>108</v>
      </c>
    </row>
    <row r="3" spans="1:8" ht="19.5" thickBot="1" x14ac:dyDescent="0.35">
      <c r="A3" s="12"/>
    </row>
    <row r="4" spans="1:8" ht="16.5" thickTop="1" thickBot="1" x14ac:dyDescent="0.3">
      <c r="A4" s="22" t="s">
        <v>109</v>
      </c>
      <c r="B4" s="23" t="s">
        <v>110</v>
      </c>
      <c r="C4" s="23" t="s">
        <v>111</v>
      </c>
      <c r="D4" s="23" t="s">
        <v>112</v>
      </c>
      <c r="E4" s="23" t="s">
        <v>113</v>
      </c>
      <c r="F4" s="23" t="s">
        <v>114</v>
      </c>
      <c r="G4" s="23" t="s">
        <v>115</v>
      </c>
      <c r="H4" s="24" t="s">
        <v>116</v>
      </c>
    </row>
    <row r="5" spans="1:8" ht="15.75" thickTop="1" x14ac:dyDescent="0.25">
      <c r="A5" s="13" t="s">
        <v>11</v>
      </c>
      <c r="B5" s="14" t="s">
        <v>68</v>
      </c>
      <c r="C5" s="14" t="s">
        <v>117</v>
      </c>
      <c r="D5" s="14"/>
      <c r="E5" s="14">
        <v>677841881</v>
      </c>
      <c r="F5" s="14"/>
      <c r="G5" s="14" t="s">
        <v>118</v>
      </c>
      <c r="H5" s="25">
        <v>42887</v>
      </c>
    </row>
    <row r="6" spans="1:8" x14ac:dyDescent="0.25">
      <c r="A6" s="15" t="s">
        <v>12</v>
      </c>
      <c r="B6" s="16" t="s">
        <v>69</v>
      </c>
      <c r="C6" s="16" t="s">
        <v>119</v>
      </c>
      <c r="D6" s="16"/>
      <c r="E6" s="16">
        <v>677704694</v>
      </c>
      <c r="F6" s="16"/>
      <c r="G6" s="16" t="s">
        <v>120</v>
      </c>
      <c r="H6" s="17">
        <v>43191</v>
      </c>
    </row>
    <row r="7" spans="1:8" x14ac:dyDescent="0.25">
      <c r="A7" s="15" t="s">
        <v>13</v>
      </c>
      <c r="B7" s="16" t="s">
        <v>70</v>
      </c>
      <c r="C7" s="16" t="s">
        <v>119</v>
      </c>
      <c r="D7" s="16"/>
      <c r="E7" s="16">
        <v>677881912</v>
      </c>
      <c r="F7" s="16"/>
      <c r="G7" s="16" t="s">
        <v>121</v>
      </c>
      <c r="H7" s="17">
        <v>43466</v>
      </c>
    </row>
    <row r="8" spans="1:8" x14ac:dyDescent="0.25">
      <c r="A8" s="15" t="s">
        <v>14</v>
      </c>
      <c r="B8" s="16" t="s">
        <v>71</v>
      </c>
      <c r="C8" s="16" t="s">
        <v>122</v>
      </c>
      <c r="D8" s="16"/>
      <c r="E8" s="16">
        <v>677986676</v>
      </c>
      <c r="F8" s="16"/>
      <c r="G8" s="16" t="s">
        <v>123</v>
      </c>
      <c r="H8" s="17">
        <v>43132</v>
      </c>
    </row>
    <row r="9" spans="1:8" x14ac:dyDescent="0.25">
      <c r="A9" s="15" t="s">
        <v>15</v>
      </c>
      <c r="B9" s="16" t="s">
        <v>72</v>
      </c>
      <c r="C9" s="16" t="s">
        <v>124</v>
      </c>
      <c r="D9" s="16"/>
      <c r="E9" s="16">
        <v>675250451</v>
      </c>
      <c r="F9" s="16"/>
      <c r="G9" s="16" t="s">
        <v>123</v>
      </c>
      <c r="H9" s="17">
        <v>43313</v>
      </c>
    </row>
    <row r="10" spans="1:8" x14ac:dyDescent="0.25">
      <c r="A10" s="15" t="s">
        <v>16</v>
      </c>
      <c r="B10" s="16" t="s">
        <v>179</v>
      </c>
      <c r="C10" s="16" t="s">
        <v>124</v>
      </c>
      <c r="D10" s="16"/>
      <c r="E10" s="16">
        <v>675250451</v>
      </c>
      <c r="F10" s="16"/>
      <c r="G10" s="16" t="s">
        <v>123</v>
      </c>
      <c r="H10" s="17">
        <v>43313</v>
      </c>
    </row>
    <row r="11" spans="1:8" x14ac:dyDescent="0.25">
      <c r="A11" s="15" t="s">
        <v>17</v>
      </c>
      <c r="B11" s="16" t="s">
        <v>73</v>
      </c>
      <c r="C11" s="16" t="s">
        <v>125</v>
      </c>
      <c r="D11" s="16"/>
      <c r="E11" s="16">
        <v>697103557</v>
      </c>
      <c r="F11" s="16"/>
      <c r="G11" s="16" t="s">
        <v>126</v>
      </c>
      <c r="H11" s="17">
        <v>42401</v>
      </c>
    </row>
    <row r="12" spans="1:8" x14ac:dyDescent="0.25">
      <c r="A12" s="15" t="s">
        <v>18</v>
      </c>
      <c r="B12" s="16" t="s">
        <v>74</v>
      </c>
      <c r="C12" s="16" t="s">
        <v>127</v>
      </c>
      <c r="D12" s="16"/>
      <c r="E12" s="16">
        <v>677501239</v>
      </c>
      <c r="F12" s="16">
        <v>699324095</v>
      </c>
      <c r="G12" s="16" t="s">
        <v>128</v>
      </c>
      <c r="H12" s="17">
        <v>43647</v>
      </c>
    </row>
    <row r="13" spans="1:8" x14ac:dyDescent="0.25">
      <c r="A13" s="15" t="s">
        <v>19</v>
      </c>
      <c r="B13" s="16" t="s">
        <v>75</v>
      </c>
      <c r="C13" s="16" t="s">
        <v>129</v>
      </c>
      <c r="D13" s="16"/>
      <c r="E13" s="16">
        <v>699908065</v>
      </c>
      <c r="F13" s="16"/>
      <c r="G13" s="16" t="s">
        <v>130</v>
      </c>
      <c r="H13" s="17">
        <v>42979</v>
      </c>
    </row>
    <row r="14" spans="1:8" x14ac:dyDescent="0.25">
      <c r="A14" s="15" t="s">
        <v>20</v>
      </c>
      <c r="B14" s="16" t="s">
        <v>76</v>
      </c>
      <c r="C14" s="16" t="s">
        <v>131</v>
      </c>
      <c r="D14" s="16"/>
      <c r="E14" s="16">
        <v>677910278</v>
      </c>
      <c r="F14" s="16"/>
      <c r="G14" s="16" t="s">
        <v>132</v>
      </c>
      <c r="H14" s="17">
        <v>43344</v>
      </c>
    </row>
    <row r="15" spans="1:8" x14ac:dyDescent="0.25">
      <c r="A15" s="15" t="s">
        <v>21</v>
      </c>
      <c r="B15" s="16" t="s">
        <v>77</v>
      </c>
      <c r="C15" s="16" t="s">
        <v>133</v>
      </c>
      <c r="D15" s="16"/>
      <c r="E15" s="16">
        <v>694468080</v>
      </c>
      <c r="F15" s="16"/>
      <c r="G15" s="16" t="s">
        <v>128</v>
      </c>
      <c r="H15" s="17">
        <v>42583</v>
      </c>
    </row>
    <row r="16" spans="1:8" x14ac:dyDescent="0.25">
      <c r="A16" s="15" t="s">
        <v>22</v>
      </c>
      <c r="B16" s="16" t="s">
        <v>78</v>
      </c>
      <c r="C16" s="16" t="s">
        <v>134</v>
      </c>
      <c r="D16" s="16"/>
      <c r="E16" s="16">
        <v>675291170</v>
      </c>
      <c r="F16" s="16"/>
      <c r="G16" s="16" t="s">
        <v>135</v>
      </c>
      <c r="H16" s="17">
        <v>43009</v>
      </c>
    </row>
    <row r="17" spans="1:8" x14ac:dyDescent="0.25">
      <c r="A17" s="15" t="s">
        <v>23</v>
      </c>
      <c r="B17" s="16" t="s">
        <v>79</v>
      </c>
      <c r="C17" s="16" t="s">
        <v>136</v>
      </c>
      <c r="D17" s="16"/>
      <c r="E17" s="16">
        <v>699956355</v>
      </c>
      <c r="F17" s="16"/>
      <c r="G17" s="16" t="s">
        <v>137</v>
      </c>
      <c r="H17" s="17">
        <v>42614</v>
      </c>
    </row>
    <row r="18" spans="1:8" x14ac:dyDescent="0.25">
      <c r="A18" s="15" t="s">
        <v>24</v>
      </c>
      <c r="B18" s="16" t="s">
        <v>80</v>
      </c>
      <c r="C18" s="16" t="s">
        <v>119</v>
      </c>
      <c r="D18" s="16"/>
      <c r="E18" s="16">
        <v>677053815</v>
      </c>
      <c r="F18" s="16"/>
      <c r="G18" s="16" t="s">
        <v>128</v>
      </c>
      <c r="H18" s="17">
        <v>43374</v>
      </c>
    </row>
    <row r="19" spans="1:8" x14ac:dyDescent="0.25">
      <c r="A19" s="15" t="s">
        <v>25</v>
      </c>
      <c r="B19" s="16" t="s">
        <v>81</v>
      </c>
      <c r="C19" s="16" t="s">
        <v>138</v>
      </c>
      <c r="D19" s="16"/>
      <c r="E19" s="16">
        <v>699528700</v>
      </c>
      <c r="F19" s="16"/>
      <c r="G19" s="16" t="s">
        <v>139</v>
      </c>
      <c r="H19" s="17">
        <v>43405</v>
      </c>
    </row>
    <row r="20" spans="1:8" x14ac:dyDescent="0.25">
      <c r="A20" s="15" t="s">
        <v>26</v>
      </c>
      <c r="B20" s="16" t="s">
        <v>82</v>
      </c>
      <c r="C20" s="16" t="s">
        <v>119</v>
      </c>
      <c r="D20" s="16"/>
      <c r="E20" s="16">
        <v>699335584</v>
      </c>
      <c r="F20" s="16"/>
      <c r="G20" s="16" t="s">
        <v>141</v>
      </c>
      <c r="H20" s="17">
        <v>42795</v>
      </c>
    </row>
    <row r="21" spans="1:8" x14ac:dyDescent="0.25">
      <c r="A21" s="15" t="s">
        <v>27</v>
      </c>
      <c r="B21" s="16" t="s">
        <v>83</v>
      </c>
      <c r="C21" s="16" t="s">
        <v>142</v>
      </c>
      <c r="D21" s="16"/>
      <c r="E21" s="16">
        <v>675836725</v>
      </c>
      <c r="F21" s="16"/>
      <c r="G21" s="16" t="s">
        <v>137</v>
      </c>
      <c r="H21" s="17">
        <v>42370</v>
      </c>
    </row>
    <row r="22" spans="1:8" x14ac:dyDescent="0.25">
      <c r="A22" s="15" t="s">
        <v>28</v>
      </c>
      <c r="B22" s="16" t="s">
        <v>84</v>
      </c>
      <c r="C22" s="16" t="s">
        <v>143</v>
      </c>
      <c r="D22" s="16"/>
      <c r="E22" s="16">
        <v>696564847</v>
      </c>
      <c r="F22" s="16"/>
      <c r="G22" s="16" t="s">
        <v>128</v>
      </c>
      <c r="H22" s="17">
        <v>43617</v>
      </c>
    </row>
    <row r="23" spans="1:8" x14ac:dyDescent="0.25">
      <c r="A23" s="15" t="s">
        <v>29</v>
      </c>
      <c r="B23" s="16" t="s">
        <v>144</v>
      </c>
      <c r="C23" s="16" t="s">
        <v>145</v>
      </c>
      <c r="D23" s="16"/>
      <c r="E23" s="16">
        <v>677735778</v>
      </c>
      <c r="F23" s="16"/>
      <c r="G23" s="16" t="s">
        <v>121</v>
      </c>
      <c r="H23" s="17">
        <v>42644</v>
      </c>
    </row>
    <row r="24" spans="1:8" x14ac:dyDescent="0.25">
      <c r="A24" s="15" t="s">
        <v>30</v>
      </c>
      <c r="B24" s="16" t="s">
        <v>67</v>
      </c>
      <c r="C24" s="16" t="s">
        <v>177</v>
      </c>
      <c r="D24" s="16"/>
      <c r="E24" s="16"/>
      <c r="F24" s="16"/>
      <c r="G24" s="16"/>
      <c r="H24" s="17"/>
    </row>
    <row r="25" spans="1:8" x14ac:dyDescent="0.25">
      <c r="A25" s="15" t="s">
        <v>31</v>
      </c>
      <c r="B25" s="16" t="s">
        <v>85</v>
      </c>
      <c r="C25" s="16" t="s">
        <v>147</v>
      </c>
      <c r="D25" s="16"/>
      <c r="E25" s="16">
        <v>693055118</v>
      </c>
      <c r="F25" s="16"/>
      <c r="G25" s="16" t="s">
        <v>137</v>
      </c>
      <c r="H25" s="17">
        <v>43678</v>
      </c>
    </row>
    <row r="26" spans="1:8" x14ac:dyDescent="0.25">
      <c r="A26" s="15" t="s">
        <v>32</v>
      </c>
      <c r="B26" s="16" t="s">
        <v>86</v>
      </c>
      <c r="C26" s="16" t="s">
        <v>136</v>
      </c>
      <c r="D26" s="16"/>
      <c r="E26" s="16">
        <v>677553702</v>
      </c>
      <c r="F26" s="16"/>
      <c r="G26" s="16" t="s">
        <v>141</v>
      </c>
      <c r="H26" s="17">
        <v>42705</v>
      </c>
    </row>
    <row r="27" spans="1:8" x14ac:dyDescent="0.25">
      <c r="A27" s="15" t="s">
        <v>33</v>
      </c>
      <c r="B27" s="16" t="s">
        <v>87</v>
      </c>
      <c r="C27" s="16" t="s">
        <v>148</v>
      </c>
      <c r="D27" s="16"/>
      <c r="E27" s="16">
        <v>699358350</v>
      </c>
      <c r="F27" s="16"/>
      <c r="G27" s="16" t="s">
        <v>149</v>
      </c>
      <c r="H27" s="17">
        <v>42767</v>
      </c>
    </row>
    <row r="28" spans="1:8" x14ac:dyDescent="0.25">
      <c r="A28" s="15" t="s">
        <v>34</v>
      </c>
      <c r="B28" s="16" t="s">
        <v>88</v>
      </c>
      <c r="C28" s="16" t="s">
        <v>150</v>
      </c>
      <c r="D28" s="16"/>
      <c r="E28" s="16">
        <v>675249207</v>
      </c>
      <c r="F28" s="16"/>
      <c r="G28" s="16" t="s">
        <v>151</v>
      </c>
      <c r="H28" s="17">
        <v>43070</v>
      </c>
    </row>
    <row r="29" spans="1:8" x14ac:dyDescent="0.25">
      <c r="A29" s="15" t="s">
        <v>35</v>
      </c>
      <c r="B29" s="16" t="s">
        <v>89</v>
      </c>
      <c r="C29" s="16" t="s">
        <v>152</v>
      </c>
      <c r="D29" s="16"/>
      <c r="E29" s="16">
        <v>677766503</v>
      </c>
      <c r="F29" s="16"/>
      <c r="G29" s="16" t="s">
        <v>123</v>
      </c>
      <c r="H29" s="17">
        <v>42491</v>
      </c>
    </row>
    <row r="30" spans="1:8" x14ac:dyDescent="0.25">
      <c r="A30" s="15" t="s">
        <v>36</v>
      </c>
      <c r="B30" s="16" t="s">
        <v>90</v>
      </c>
      <c r="C30" s="16" t="s">
        <v>153</v>
      </c>
      <c r="D30" s="16"/>
      <c r="E30" s="16">
        <v>677068360</v>
      </c>
      <c r="F30" s="16"/>
      <c r="G30" s="16" t="s">
        <v>154</v>
      </c>
      <c r="H30" s="17">
        <v>43101</v>
      </c>
    </row>
    <row r="31" spans="1:8" x14ac:dyDescent="0.25">
      <c r="A31" s="15" t="s">
        <v>37</v>
      </c>
      <c r="B31" s="16" t="s">
        <v>91</v>
      </c>
      <c r="C31" s="16" t="s">
        <v>119</v>
      </c>
      <c r="D31" s="16"/>
      <c r="E31" s="16">
        <v>670909070</v>
      </c>
      <c r="F31" s="16"/>
      <c r="G31" s="16" t="s">
        <v>155</v>
      </c>
      <c r="H31" s="17">
        <v>43586</v>
      </c>
    </row>
    <row r="32" spans="1:8" x14ac:dyDescent="0.25">
      <c r="A32" s="15" t="s">
        <v>38</v>
      </c>
      <c r="B32" s="16" t="s">
        <v>92</v>
      </c>
      <c r="C32" s="16" t="s">
        <v>156</v>
      </c>
      <c r="D32" s="16"/>
      <c r="E32" s="16">
        <v>676659191</v>
      </c>
      <c r="F32" s="16"/>
      <c r="G32" s="16" t="s">
        <v>155</v>
      </c>
      <c r="H32" s="17">
        <v>43497</v>
      </c>
    </row>
    <row r="33" spans="1:8" x14ac:dyDescent="0.25">
      <c r="A33" s="15" t="s">
        <v>39</v>
      </c>
      <c r="B33" s="16" t="s">
        <v>93</v>
      </c>
      <c r="C33" s="16" t="s">
        <v>119</v>
      </c>
      <c r="D33" s="16"/>
      <c r="E33" s="16">
        <v>677575366</v>
      </c>
      <c r="F33" s="16"/>
      <c r="G33" s="16" t="s">
        <v>157</v>
      </c>
      <c r="H33" s="17">
        <v>42917</v>
      </c>
    </row>
    <row r="34" spans="1:8" x14ac:dyDescent="0.25">
      <c r="A34" s="15" t="s">
        <v>40</v>
      </c>
      <c r="B34" s="16" t="s">
        <v>107</v>
      </c>
      <c r="C34" s="16" t="s">
        <v>140</v>
      </c>
      <c r="D34" s="16"/>
      <c r="E34" s="16">
        <v>699843118</v>
      </c>
      <c r="F34" s="16"/>
      <c r="G34" s="16" t="s">
        <v>126</v>
      </c>
      <c r="H34" s="17">
        <v>42522</v>
      </c>
    </row>
    <row r="35" spans="1:8" x14ac:dyDescent="0.25">
      <c r="A35" s="15" t="s">
        <v>41</v>
      </c>
      <c r="B35" s="16" t="s">
        <v>94</v>
      </c>
      <c r="C35" s="16" t="s">
        <v>119</v>
      </c>
      <c r="D35" s="16"/>
      <c r="E35" s="16">
        <v>677377251</v>
      </c>
      <c r="F35" s="16"/>
      <c r="G35" s="16" t="s">
        <v>141</v>
      </c>
      <c r="H35" s="17">
        <v>43282</v>
      </c>
    </row>
    <row r="36" spans="1:8" x14ac:dyDescent="0.25">
      <c r="A36" s="15" t="s">
        <v>42</v>
      </c>
      <c r="B36" s="16" t="s">
        <v>158</v>
      </c>
      <c r="C36" s="16" t="s">
        <v>159</v>
      </c>
      <c r="D36" s="16"/>
      <c r="E36" s="16">
        <v>677867173</v>
      </c>
      <c r="F36" s="16"/>
      <c r="G36" s="16" t="s">
        <v>126</v>
      </c>
      <c r="H36" s="17">
        <v>42461</v>
      </c>
    </row>
    <row r="37" spans="1:8" x14ac:dyDescent="0.25">
      <c r="A37" s="15" t="s">
        <v>43</v>
      </c>
      <c r="B37" s="16" t="s">
        <v>95</v>
      </c>
      <c r="C37" s="16" t="s">
        <v>160</v>
      </c>
      <c r="D37" s="16"/>
      <c r="E37" s="16">
        <v>699995086</v>
      </c>
      <c r="F37" s="16"/>
      <c r="G37" s="16" t="s">
        <v>161</v>
      </c>
      <c r="H37" s="17">
        <v>43525</v>
      </c>
    </row>
    <row r="38" spans="1:8" x14ac:dyDescent="0.25">
      <c r="A38" s="15" t="s">
        <v>44</v>
      </c>
      <c r="B38" s="16" t="s">
        <v>96</v>
      </c>
      <c r="C38" s="16" t="s">
        <v>119</v>
      </c>
      <c r="D38" s="16"/>
      <c r="E38" s="16">
        <v>677054646</v>
      </c>
      <c r="F38" s="16"/>
      <c r="G38" s="16" t="s">
        <v>120</v>
      </c>
      <c r="H38" s="17">
        <v>43160</v>
      </c>
    </row>
    <row r="39" spans="1:8" x14ac:dyDescent="0.25">
      <c r="A39" s="15" t="s">
        <v>45</v>
      </c>
      <c r="B39" s="16" t="s">
        <v>97</v>
      </c>
      <c r="C39" s="16" t="s">
        <v>119</v>
      </c>
      <c r="D39" s="16"/>
      <c r="E39" s="16">
        <v>699549665</v>
      </c>
      <c r="F39" s="16"/>
      <c r="G39" s="16" t="s">
        <v>162</v>
      </c>
      <c r="H39" s="17">
        <v>43556</v>
      </c>
    </row>
    <row r="40" spans="1:8" x14ac:dyDescent="0.25">
      <c r="A40" s="15" t="s">
        <v>46</v>
      </c>
      <c r="B40" s="16" t="s">
        <v>98</v>
      </c>
      <c r="C40" s="16" t="s">
        <v>131</v>
      </c>
      <c r="D40" s="16"/>
      <c r="E40" s="16">
        <v>699350133</v>
      </c>
      <c r="F40" s="16"/>
      <c r="G40" s="16" t="s">
        <v>137</v>
      </c>
      <c r="H40" s="17">
        <v>43435</v>
      </c>
    </row>
    <row r="41" spans="1:8" x14ac:dyDescent="0.25">
      <c r="A41" s="15" t="s">
        <v>47</v>
      </c>
      <c r="B41" s="16" t="s">
        <v>99</v>
      </c>
      <c r="C41" s="16" t="s">
        <v>152</v>
      </c>
      <c r="D41" s="16"/>
      <c r="E41" s="16">
        <v>677477649</v>
      </c>
      <c r="F41" s="16"/>
      <c r="G41" s="16" t="s">
        <v>163</v>
      </c>
      <c r="H41" s="17">
        <v>42948</v>
      </c>
    </row>
    <row r="42" spans="1:8" x14ac:dyDescent="0.25">
      <c r="A42" s="15" t="s">
        <v>48</v>
      </c>
      <c r="B42" s="16" t="s">
        <v>100</v>
      </c>
      <c r="C42" s="16" t="s">
        <v>164</v>
      </c>
      <c r="D42" s="16"/>
      <c r="E42" s="16">
        <v>677546060</v>
      </c>
      <c r="F42" s="16"/>
      <c r="G42" s="16" t="s">
        <v>132</v>
      </c>
      <c r="H42" s="17">
        <v>42736</v>
      </c>
    </row>
    <row r="43" spans="1:8" x14ac:dyDescent="0.25">
      <c r="A43" s="15" t="s">
        <v>49</v>
      </c>
      <c r="B43" s="16" t="s">
        <v>176</v>
      </c>
      <c r="C43" s="16" t="s">
        <v>146</v>
      </c>
      <c r="D43" s="16"/>
      <c r="E43" s="16">
        <v>677648306</v>
      </c>
      <c r="F43" s="16"/>
      <c r="G43" s="16" t="s">
        <v>123</v>
      </c>
      <c r="H43" s="17">
        <v>43040</v>
      </c>
    </row>
    <row r="44" spans="1:8" x14ac:dyDescent="0.25">
      <c r="A44" s="15" t="s">
        <v>50</v>
      </c>
      <c r="B44" s="16" t="s">
        <v>165</v>
      </c>
      <c r="C44" s="16" t="s">
        <v>134</v>
      </c>
      <c r="D44" s="16"/>
      <c r="E44" s="16">
        <v>677780149</v>
      </c>
      <c r="F44" s="16"/>
      <c r="G44" s="16" t="s">
        <v>128</v>
      </c>
      <c r="H44" s="17">
        <v>42552</v>
      </c>
    </row>
    <row r="45" spans="1:8" x14ac:dyDescent="0.25">
      <c r="A45" s="15" t="s">
        <v>51</v>
      </c>
      <c r="B45" s="16" t="s">
        <v>166</v>
      </c>
      <c r="C45" s="16" t="s">
        <v>167</v>
      </c>
      <c r="D45" s="16"/>
      <c r="E45" s="16">
        <v>699778906</v>
      </c>
      <c r="F45" s="16"/>
      <c r="G45" s="16" t="s">
        <v>155</v>
      </c>
      <c r="H45" s="17">
        <v>43709</v>
      </c>
    </row>
    <row r="46" spans="1:8" x14ac:dyDescent="0.25">
      <c r="A46" s="15" t="s">
        <v>52</v>
      </c>
      <c r="B46" s="16" t="s">
        <v>101</v>
      </c>
      <c r="C46" s="16" t="s">
        <v>147</v>
      </c>
      <c r="D46" s="16"/>
      <c r="E46" s="16">
        <v>678639806</v>
      </c>
      <c r="F46" s="16"/>
      <c r="G46" s="16" t="s">
        <v>155</v>
      </c>
      <c r="H46" s="17">
        <v>43252</v>
      </c>
    </row>
    <row r="47" spans="1:8" x14ac:dyDescent="0.25">
      <c r="A47" s="15" t="s">
        <v>53</v>
      </c>
      <c r="B47" s="16" t="s">
        <v>102</v>
      </c>
      <c r="C47" s="16" t="s">
        <v>119</v>
      </c>
      <c r="D47" s="16"/>
      <c r="E47" s="16">
        <v>677775940</v>
      </c>
      <c r="F47" s="16"/>
      <c r="G47" s="16" t="s">
        <v>168</v>
      </c>
      <c r="H47" s="17">
        <v>43221</v>
      </c>
    </row>
    <row r="48" spans="1:8" x14ac:dyDescent="0.25">
      <c r="A48" s="15" t="s">
        <v>54</v>
      </c>
      <c r="B48" s="16" t="s">
        <v>103</v>
      </c>
      <c r="C48" s="16" t="s">
        <v>169</v>
      </c>
      <c r="D48" s="16"/>
      <c r="E48" s="16">
        <v>677508603</v>
      </c>
      <c r="F48" s="16"/>
      <c r="G48" s="16" t="s">
        <v>170</v>
      </c>
      <c r="H48" s="17">
        <v>42856</v>
      </c>
    </row>
    <row r="49" spans="1:8" x14ac:dyDescent="0.25">
      <c r="A49" s="15" t="s">
        <v>55</v>
      </c>
      <c r="B49" s="16" t="s">
        <v>104</v>
      </c>
      <c r="C49" s="16" t="s">
        <v>171</v>
      </c>
      <c r="D49" s="16"/>
      <c r="E49" s="16">
        <v>677726329</v>
      </c>
      <c r="F49" s="16"/>
      <c r="G49" s="16" t="s">
        <v>126</v>
      </c>
      <c r="H49" s="17">
        <v>42430</v>
      </c>
    </row>
    <row r="50" spans="1:8" x14ac:dyDescent="0.25">
      <c r="A50" s="15" t="s">
        <v>66</v>
      </c>
      <c r="B50" s="16" t="s">
        <v>105</v>
      </c>
      <c r="C50" s="16" t="s">
        <v>172</v>
      </c>
      <c r="D50" s="16"/>
      <c r="E50" s="16">
        <v>699663416</v>
      </c>
      <c r="F50" s="16"/>
      <c r="G50" s="16" t="s">
        <v>173</v>
      </c>
      <c r="H50" s="17">
        <v>42826</v>
      </c>
    </row>
    <row r="51" spans="1:8" x14ac:dyDescent="0.25">
      <c r="A51" s="15" t="s">
        <v>178</v>
      </c>
      <c r="B51" s="16" t="s">
        <v>106</v>
      </c>
      <c r="C51" s="16" t="s">
        <v>174</v>
      </c>
      <c r="D51" s="16"/>
      <c r="E51" s="16">
        <v>677547311</v>
      </c>
      <c r="F51" s="16"/>
      <c r="G51" s="16" t="s">
        <v>175</v>
      </c>
      <c r="H51" s="17">
        <v>42675</v>
      </c>
    </row>
    <row r="52" spans="1:8" ht="15.75" thickBot="1" x14ac:dyDescent="0.3">
      <c r="A52" s="26" t="s">
        <v>185</v>
      </c>
      <c r="B52" s="27" t="s">
        <v>1</v>
      </c>
      <c r="C52" s="27" t="s">
        <v>194</v>
      </c>
      <c r="D52" s="18"/>
      <c r="E52" s="18"/>
      <c r="F52" s="18"/>
      <c r="G52" s="18"/>
      <c r="H52" s="28"/>
    </row>
    <row r="53" spans="1:8" ht="15.75" thickTop="1" x14ac:dyDescent="0.25"/>
  </sheetData>
  <autoFilter ref="A4:H51">
    <sortState ref="A5:H50">
      <sortCondition ref="B4:B50"/>
    </sortState>
  </autoFilter>
  <pageMargins left="0.31496062992125984" right="0.31496062992125984" top="0.35433070866141736" bottom="0.35433070866141736" header="0.31496062992125984" footer="0.31496062992125984"/>
  <pageSetup paperSize="9" scale="9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0"/>
  <sheetViews>
    <sheetView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A5" sqref="A5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6.85546875" style="2" bestFit="1" customWidth="1"/>
    <col min="4" max="4" width="15.28515625" customWidth="1"/>
    <col min="5" max="5" width="16.5703125" bestFit="1" customWidth="1"/>
    <col min="6" max="6" width="16.85546875" bestFit="1" customWidth="1"/>
    <col min="7" max="9" width="17.140625" customWidth="1"/>
    <col min="10" max="11" width="17.28515625" customWidth="1"/>
    <col min="12" max="12" width="13.140625" customWidth="1"/>
    <col min="13" max="13" width="16.28515625" customWidth="1"/>
    <col min="14" max="14" width="13.140625" customWidth="1"/>
    <col min="15" max="15" width="16.85546875" style="2" bestFit="1" customWidth="1"/>
    <col min="16" max="16" width="15" bestFit="1" customWidth="1"/>
    <col min="17" max="17" width="17.5703125" style="4" bestFit="1" customWidth="1"/>
    <col min="18" max="18" width="15.7109375" style="2" customWidth="1"/>
    <col min="19" max="19" width="15" style="2" bestFit="1" customWidth="1"/>
    <col min="20" max="20" width="18.140625" style="2" bestFit="1" customWidth="1"/>
    <col min="21" max="26" width="18.140625" customWidth="1"/>
    <col min="27" max="27" width="21.28515625" style="2" bestFit="1" customWidth="1"/>
    <col min="28" max="28" width="19" bestFit="1" customWidth="1"/>
  </cols>
  <sheetData>
    <row r="1" spans="1:28" x14ac:dyDescent="0.25">
      <c r="A1" s="1" t="s">
        <v>0</v>
      </c>
      <c r="B1" s="1" t="s">
        <v>1</v>
      </c>
      <c r="C1" s="6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28" x14ac:dyDescent="0.25">
      <c r="A2" s="1" t="s">
        <v>2</v>
      </c>
      <c r="B2" s="1" t="s">
        <v>3</v>
      </c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28" x14ac:dyDescent="0.25">
      <c r="A3" s="1" t="s">
        <v>4</v>
      </c>
      <c r="B3" s="1" t="s">
        <v>5</v>
      </c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28" ht="60" customHeight="1" x14ac:dyDescent="0.25">
      <c r="A4" s="1" t="s">
        <v>6</v>
      </c>
      <c r="B4" s="1" t="s">
        <v>7</v>
      </c>
      <c r="C4" s="5" t="s">
        <v>188</v>
      </c>
      <c r="D4" s="5" t="s">
        <v>183</v>
      </c>
      <c r="E4" s="5" t="s">
        <v>190</v>
      </c>
      <c r="F4" s="5" t="s">
        <v>186</v>
      </c>
      <c r="G4" s="5" t="s">
        <v>191</v>
      </c>
      <c r="H4" s="5" t="s">
        <v>215</v>
      </c>
      <c r="I4" s="5" t="s">
        <v>216</v>
      </c>
      <c r="J4" s="5" t="s">
        <v>217</v>
      </c>
      <c r="K4" s="5" t="s">
        <v>212</v>
      </c>
      <c r="L4" s="5" t="s">
        <v>184</v>
      </c>
      <c r="M4" s="5" t="s">
        <v>209</v>
      </c>
      <c r="N4" s="5" t="s">
        <v>192</v>
      </c>
      <c r="O4" s="5" t="s">
        <v>65</v>
      </c>
      <c r="P4" s="5" t="s">
        <v>57</v>
      </c>
      <c r="Q4" s="5" t="s">
        <v>58</v>
      </c>
      <c r="R4" s="5" t="s">
        <v>59</v>
      </c>
      <c r="S4" s="5" t="s">
        <v>60</v>
      </c>
      <c r="T4" s="5" t="s">
        <v>61</v>
      </c>
      <c r="U4" s="5" t="s">
        <v>62</v>
      </c>
      <c r="V4" s="5" t="s">
        <v>63</v>
      </c>
      <c r="W4" s="5" t="s">
        <v>64</v>
      </c>
      <c r="X4" s="5" t="s">
        <v>8</v>
      </c>
      <c r="Y4" s="5" t="s">
        <v>182</v>
      </c>
      <c r="Z4" s="5" t="s">
        <v>181</v>
      </c>
      <c r="AA4" s="6" t="s">
        <v>9</v>
      </c>
      <c r="AB4" s="1" t="s">
        <v>10</v>
      </c>
    </row>
    <row r="5" spans="1:28" x14ac:dyDescent="0.25">
      <c r="A5" s="1" t="s">
        <v>185</v>
      </c>
      <c r="B5" s="1" t="str">
        <f>VLOOKUP(A5,LISTADHERENT!A$5:H$52,2,0)</f>
        <v>ASELBY</v>
      </c>
      <c r="C5" s="6">
        <f>VLOOKUP(A5,FONDSDECAISSE!A$5:C$52,3,0)</f>
        <v>0</v>
      </c>
      <c r="D5" s="1">
        <v>318145</v>
      </c>
      <c r="E5" s="6">
        <f t="shared" ref="E5:E52" si="0">C5+D5+P5</f>
        <v>318145</v>
      </c>
      <c r="F5" s="6">
        <f>TONT20000DEC2015!E5+TONT20000JANV!C5+TONT20000FEV!C5+TONT20000MARS!C5+TONT20000AVRIL!C5+TONT20000MAI!C5+TONT20000JUIN!C5+TONT20000JUIL!C5+TONT20000AOUT!C5+TONT20000SEPT!C5+TONT20000OCT!C5+TONT20000NOV!C5</f>
        <v>36952.515319669808</v>
      </c>
      <c r="G5" s="6">
        <f>TONT20000NOV!E5</f>
        <v>355097.51531966974</v>
      </c>
      <c r="H5" s="6">
        <f t="shared" ref="H5:H52" si="1">D5+F5+P5</f>
        <v>355097.51531966979</v>
      </c>
      <c r="I5" s="6">
        <f>K5+L5+M5+N5</f>
        <v>0</v>
      </c>
      <c r="J5" s="36">
        <f>H5-I5</f>
        <v>355097.51531966979</v>
      </c>
      <c r="K5" s="6"/>
      <c r="L5" s="1"/>
      <c r="M5" s="1"/>
      <c r="N5" s="1"/>
      <c r="O5" s="7">
        <f>TONT20000DEC2015!H5+TONT20000JANV!F5+TONT20000FEV!F5+TONT20000MARS!F5+TONT20000AVRIL!F5+TONT20000MAI!F5+TONT20000JUIN!F5+TONT20000JUIL!F5+TONT20000AOUT!F5+TONT20000SEPT!F5+TONT20000OCT!F5+TONT20000NOV!G5</f>
        <v>0</v>
      </c>
      <c r="P5" s="7">
        <f>TONT20000DEC2015!I5+TONT20000JANV!G5+TONT20000FEV!G5+TONT20000MARS!G5+TONT20000AVRIL!G5+TONT20000MAI!G5+TONT20000JUIN!G5+TONT20000JUIL!G5+TONT20000AOUT!G5+TONT20000SEPT!G5+TONT20000OCT!G5+TONT20000NOV!H5</f>
        <v>0</v>
      </c>
      <c r="Q5" s="7">
        <f>TONT20000DEC2015!J5+TONT20000JANV!H5+TONT20000FEV!H5+TONT20000MARS!H5+TONT20000AVRIL!H5+TONT20000MAI!H5+TONT20000JUIN!H5+TONT20000JUIL!H5+TONT20000AOUT!H5+TONT20000SEPT!H5+TONT20000OCT!H5+TONT20000NOV!I5</f>
        <v>0</v>
      </c>
      <c r="R5" s="7">
        <f>TONT20000DEC2015!K5+TONT20000JANV!I5+TONT20000FEV!I5+TONT20000MARS!I5+TONT20000AVRIL!I5+TONT20000MAI!I5+TONT20000JUIN!I5+TONT20000JUIL!I5+TONT20000AOUT!I5+TONT20000SEPT!I5+TONT20000OCT!I5+TONT20000NOV!J5</f>
        <v>0</v>
      </c>
      <c r="S5" s="7">
        <f>TONT20000DEC2015!L5+TONT20000JANV!J5+TONT20000FEV!J5+TONT20000MARS!J5+TONT20000AVRIL!J5+TONT20000MAI!J5+TONT20000JUIN!J5+TONT20000JUIL!J5+TONT20000AOUT!J5+TONT20000SEPT!J5+TONT20000OCT!J5+TONT20000NOV!K5</f>
        <v>0</v>
      </c>
      <c r="T5" s="7">
        <f>TONT20000DEC2015!M5+TONT20000JANV!K5+TONT20000FEV!K5+TONT20000MARS!K5+TONT20000AVRIL!K5+TONT20000MAI!K5+TONT20000JUIN!K5+TONT20000JUIL!K5+TONT20000AOUT!K5+TONT20000SEPT!K5+TONT20000OCT!K5+TONT20000NOV!L5</f>
        <v>0</v>
      </c>
      <c r="U5" s="7">
        <f>TONT20000DEC2015!N5+TONT20000JANV!L5+TONT20000FEV!L5+TONT20000MARS!L5+TONT20000AVRIL!L5+TONT20000MAI!L5+TONT20000JUIN!L5+TONT20000JUIL!L5+TONT20000AOUT!L5+TONT20000SEPT!L5+TONT20000OCT!L5+TONT20000NOV!M5</f>
        <v>0</v>
      </c>
      <c r="V5" s="7">
        <f>TONT20000DEC2015!O5+TONT20000JANV!M5+TONT20000FEV!M5+TONT20000MARS!M5+TONT20000AVRIL!M5+TONT20000MAI!M5+TONT20000JUIN!M5+TONT20000JUIL!M5+TONT20000AOUT!M5+TONT20000SEPT!M5+TONT20000OCT!M5+TONT20000NOV!N5</f>
        <v>0</v>
      </c>
      <c r="W5" s="7">
        <f>TONT20000DEC2015!P5+TONT20000JANV!N5+TONT20000FEV!N5+TONT20000MARS!N5+TONT20000AVRIL!N5+TONT20000MAI!N5+TONT20000JUIN!N5+TONT20000JUIL!N5+TONT20000AOUT!N5+TONT20000SEPT!N5+TONT20000OCT!N5+TONT20000NOV!O5</f>
        <v>0</v>
      </c>
      <c r="X5" s="7">
        <f>TONT20000DEC2015!Q5+TONT20000JANV!O5+TONT20000FEV!O5+TONT20000MARS!O5+TONT20000AVRIL!O5+TONT20000MAI!O5+TONT20000JUIN!O5+TONT20000JUIL!O5+TONT20000AOUT!O5+TONT20000SEPT!O5+TONT20000OCT!O5+TONT20000NOV!P5</f>
        <v>0</v>
      </c>
      <c r="Y5" s="7">
        <f>TONT20000DEC2015!R5+TONT20000JANV!P5+TONT20000FEV!P5+TONT20000MARS!P5+TONT20000AVRIL!P5+TONT20000MAI!P5+TONT20000JUIN!P5+TONT20000JUIL!P5+TONT20000AOUT!P5+TONT20000SEPT!P5+TONT20000OCT!P5+TONT20000NOV!Q5</f>
        <v>0</v>
      </c>
      <c r="Z5" s="7">
        <f>TONT20000DEC2015!S5+TONT20000JANV!Q5+TONT20000FEV!Q5+TONT20000MARS!Q5+TONT20000AVRIL!Q5+TONT20000MAI!Q5+TONT20000JUIN!Q5+TONT20000JUIL!Q5+TONT20000AOUT!Q5+TONT20000SEPT!Q5+TONT20000OCT!Q5+TONT20000NOV!R5</f>
        <v>0</v>
      </c>
      <c r="AA5" s="7">
        <f>TONT20000DEC2015!T5+TONT20000JANV!R5+TONT20000FEV!R5+TONT20000MARS!R5+TONT20000AVRIL!R5+TONT20000MAI!R5+TONT20000JUIN!R5+TONT20000JUIL!R5+TONT20000AOUT!R5+TONT20000SEPT!R5+TONT20000OCT!R5+TONT20000NOV!S5</f>
        <v>0</v>
      </c>
    </row>
    <row r="6" spans="1:28" x14ac:dyDescent="0.25">
      <c r="A6" s="1" t="s">
        <v>11</v>
      </c>
      <c r="B6" s="1" t="str">
        <f>VLOOKUP(A6,LISTADHERENT!A$5:H$52,2,0)</f>
        <v>BAKOP ACHILLE</v>
      </c>
      <c r="C6" s="6">
        <f>VLOOKUP(A6,FONDSDECAISSE!A$5:C$52,3,0)</f>
        <v>390000</v>
      </c>
      <c r="D6" s="6">
        <v>33536</v>
      </c>
      <c r="E6" s="6">
        <f t="shared" si="0"/>
        <v>453536</v>
      </c>
      <c r="F6" s="6">
        <f>TONT20000DEC2015!E6+TONT20000JANV!C6+TONT20000FEV!C6+TONT20000MARS!C6+TONT20000AVRIL!C6+TONT20000MAI!C6+TONT20000JUIN!C6+TONT20000JUIL!C6+TONT20000AOUT!C6+TONT20000SEPT!C6+TONT20000OCT!C6+TONT20000NOV!C6</f>
        <v>51457.983156818824</v>
      </c>
      <c r="G6" s="6">
        <f>TONT20000NOV!E6</f>
        <v>504993.98315681884</v>
      </c>
      <c r="H6" s="6">
        <f t="shared" si="1"/>
        <v>114993.98315681882</v>
      </c>
      <c r="I6" s="6">
        <f t="shared" ref="I6:I52" si="2">K6+L6+M6+N6</f>
        <v>63000</v>
      </c>
      <c r="J6" s="36">
        <f t="shared" ref="J6:J52" si="3">H6-I6</f>
        <v>51993.983156818824</v>
      </c>
      <c r="K6" s="6">
        <v>30000</v>
      </c>
      <c r="L6" s="6"/>
      <c r="M6" s="6">
        <v>25000</v>
      </c>
      <c r="N6" s="6">
        <f>48000-(Q6+R6+S6)</f>
        <v>8000</v>
      </c>
      <c r="O6" s="7">
        <f>TONT20000DEC2015!H6+TONT20000JANV!F6+TONT20000FEV!F6+TONT20000MARS!F6+TONT20000AVRIL!F6+TONT20000MAI!F6+TONT20000JUIN!F6+TONT20000JUIL!F6+TONT20000AOUT!F6+TONT20000SEPT!F6+TONT20000OCT!F6+TONT20000NOV!G6</f>
        <v>225000</v>
      </c>
      <c r="P6" s="7">
        <f>TONT20000DEC2015!I6+TONT20000JANV!G6+TONT20000FEV!G6+TONT20000MARS!G6+TONT20000AVRIL!G6+TONT20000MAI!G6+TONT20000JUIN!G6+TONT20000JUIL!G6+TONT20000AOUT!G6+TONT20000SEPT!G6+TONT20000OCT!G6+TONT20000NOV!H6</f>
        <v>30000</v>
      </c>
      <c r="Q6" s="7">
        <f>TONT20000DEC2015!J6+TONT20000JANV!H6+TONT20000FEV!H6+TONT20000MARS!H6+TONT20000AVRIL!H6+TONT20000MAI!H6+TONT20000JUIN!H6+TONT20000JUIL!H6+TONT20000AOUT!H6+TONT20000SEPT!H6+TONT20000OCT!H6+TONT20000NOV!I6</f>
        <v>5000</v>
      </c>
      <c r="R6" s="7">
        <f>TONT20000DEC2015!K6+TONT20000JANV!I6+TONT20000FEV!I6+TONT20000MARS!I6+TONT20000AVRIL!I6+TONT20000MAI!I6+TONT20000JUIN!I6+TONT20000JUIL!I6+TONT20000AOUT!I6+TONT20000SEPT!I6+TONT20000OCT!I6+TONT20000NOV!J6</f>
        <v>10000</v>
      </c>
      <c r="S6" s="7">
        <f>TONT20000DEC2015!L6+TONT20000JANV!J6+TONT20000FEV!J6+TONT20000MARS!J6+TONT20000AVRIL!J6+TONT20000MAI!J6+TONT20000JUIN!J6+TONT20000JUIL!J6+TONT20000AOUT!J6+TONT20000SEPT!J6+TONT20000OCT!J6+TONT20000NOV!K6</f>
        <v>25000</v>
      </c>
      <c r="T6" s="7">
        <f>TONT20000DEC2015!M6+TONT20000JANV!K6+TONT20000FEV!K6+TONT20000MARS!K6+TONT20000AVRIL!K6+TONT20000MAI!K6+TONT20000JUIN!K6+TONT20000JUIL!K6+TONT20000AOUT!K6+TONT20000SEPT!K6+TONT20000OCT!K6+TONT20000NOV!L6</f>
        <v>25000</v>
      </c>
      <c r="U6" s="7">
        <f>TONT20000DEC2015!N6+TONT20000JANV!L6+TONT20000FEV!L6+TONT20000MARS!L6+TONT20000AVRIL!L6+TONT20000MAI!L6+TONT20000JUIN!L6+TONT20000JUIL!L6+TONT20000AOUT!L6+TONT20000SEPT!L6+TONT20000OCT!L6+TONT20000NOV!M6</f>
        <v>130000</v>
      </c>
      <c r="V6" s="7">
        <f>TONT20000DEC2015!O6+TONT20000JANV!M6+TONT20000FEV!M6+TONT20000MARS!M6+TONT20000AVRIL!M6+TONT20000MAI!M6+TONT20000JUIN!M6+TONT20000JUIL!M6+TONT20000AOUT!M6+TONT20000SEPT!M6+TONT20000OCT!M6+TONT20000NOV!N6</f>
        <v>500000</v>
      </c>
      <c r="W6" s="7">
        <f>TONT20000DEC2015!P6+TONT20000JANV!N6+TONT20000FEV!N6+TONT20000MARS!N6+TONT20000AVRIL!N6+TONT20000MAI!N6+TONT20000JUIN!N6+TONT20000JUIL!N6+TONT20000AOUT!N6+TONT20000SEPT!N6+TONT20000OCT!N6+TONT20000NOV!O6</f>
        <v>15000</v>
      </c>
      <c r="X6" s="7">
        <f>TONT20000DEC2015!Q6+TONT20000JANV!O6+TONT20000FEV!O6+TONT20000MARS!O6+TONT20000AVRIL!O6+TONT20000MAI!O6+TONT20000JUIN!O6+TONT20000JUIL!O6+TONT20000AOUT!O6+TONT20000SEPT!O6+TONT20000OCT!O6+TONT20000NOV!P6</f>
        <v>0</v>
      </c>
      <c r="Y6" s="7">
        <f>TONT20000DEC2015!R6+TONT20000JANV!P6+TONT20000FEV!P6+TONT20000MARS!P6+TONT20000AVRIL!P6+TONT20000MAI!P6+TONT20000JUIN!P6+TONT20000JUIL!P6+TONT20000AOUT!P6+TONT20000SEPT!P6+TONT20000OCT!P6+TONT20000NOV!Q6</f>
        <v>0</v>
      </c>
      <c r="Z6" s="7">
        <f>TONT20000DEC2015!S6+TONT20000JANV!Q6+TONT20000FEV!Q6+TONT20000MARS!Q6+TONT20000AVRIL!Q6+TONT20000MAI!Q6+TONT20000JUIN!Q6+TONT20000JUIL!Q6+TONT20000AOUT!Q6+TONT20000SEPT!Q6+TONT20000OCT!Q6+TONT20000NOV!R6</f>
        <v>0</v>
      </c>
      <c r="AA6" s="7">
        <f>TONT20000DEC2015!T6+TONT20000JANV!R6+TONT20000FEV!R6+TONT20000MARS!R6+TONT20000AVRIL!R6+TONT20000MAI!R6+TONT20000JUIN!R6+TONT20000JUIL!R6+TONT20000AOUT!R6+TONT20000SEPT!R6+TONT20000OCT!R6+TONT20000NOV!S6</f>
        <v>0</v>
      </c>
    </row>
    <row r="7" spans="1:28" x14ac:dyDescent="0.25">
      <c r="A7" s="1" t="s">
        <v>12</v>
      </c>
      <c r="B7" s="1" t="str">
        <f>VLOOKUP(A7,LISTADHERENT!A$5:H$52,2,0)</f>
        <v>BOUTCHOUANG WILLIAM</v>
      </c>
      <c r="C7" s="6">
        <f>VLOOKUP(A7,FONDSDECAISSE!A$5:C$52,3,0)</f>
        <v>390000</v>
      </c>
      <c r="D7" s="6">
        <v>1704</v>
      </c>
      <c r="E7" s="6">
        <f t="shared" si="0"/>
        <v>427704</v>
      </c>
      <c r="F7" s="6">
        <f>TONT20000DEC2015!E7+TONT20000JANV!C7+TONT20000FEV!C7+TONT20000MARS!C7+TONT20000AVRIL!C7+TONT20000MAI!C7+TONT20000JUIN!C7+TONT20000JUIL!C7+TONT20000AOUT!C7+TONT20000SEPT!C7+TONT20000OCT!C7+TONT20000NOV!C7</f>
        <v>48016.562358605275</v>
      </c>
      <c r="G7" s="6">
        <f>TONT20000NOV!E7</f>
        <v>475720.56235860521</v>
      </c>
      <c r="H7" s="6">
        <f t="shared" si="1"/>
        <v>85720.562358605268</v>
      </c>
      <c r="I7" s="6">
        <f t="shared" si="2"/>
        <v>80000</v>
      </c>
      <c r="J7" s="36">
        <f t="shared" si="3"/>
        <v>5720.5623586052679</v>
      </c>
      <c r="K7" s="6">
        <v>30000</v>
      </c>
      <c r="L7" s="6"/>
      <c r="M7" s="6">
        <v>50000</v>
      </c>
      <c r="N7" s="6">
        <f t="shared" ref="N7:N52" si="4">48000-(Q7+R7+S7)</f>
        <v>0</v>
      </c>
      <c r="O7" s="7">
        <f>TONT20000DEC2015!H7+TONT20000JANV!F7+TONT20000FEV!F7+TONT20000MARS!F7+TONT20000AVRIL!F7+TONT20000MAI!F7+TONT20000JUIN!F7+TONT20000JUIL!F7+TONT20000AOUT!F7+TONT20000SEPT!F7+TONT20000OCT!F7+TONT20000NOV!G7</f>
        <v>240000</v>
      </c>
      <c r="P7" s="7">
        <f>TONT20000DEC2015!I7+TONT20000JANV!G7+TONT20000FEV!G7+TONT20000MARS!G7+TONT20000AVRIL!G7+TONT20000MAI!G7+TONT20000JUIN!G7+TONT20000JUIL!G7+TONT20000AOUT!G7+TONT20000SEPT!G7+TONT20000OCT!G7+TONT20000NOV!H7</f>
        <v>36000</v>
      </c>
      <c r="Q7" s="7">
        <f>TONT20000DEC2015!J7+TONT20000JANV!H7+TONT20000FEV!H7+TONT20000MARS!H7+TONT20000AVRIL!H7+TONT20000MAI!H7+TONT20000JUIN!H7+TONT20000JUIL!H7+TONT20000AOUT!H7+TONT20000SEPT!H7+TONT20000OCT!H7+TONT20000NOV!I7</f>
        <v>6000</v>
      </c>
      <c r="R7" s="7">
        <f>TONT20000DEC2015!K7+TONT20000JANV!I7+TONT20000FEV!I7+TONT20000MARS!I7+TONT20000AVRIL!I7+TONT20000MAI!I7+TONT20000JUIN!I7+TONT20000JUIL!I7+TONT20000AOUT!I7+TONT20000SEPT!I7+TONT20000OCT!I7+TONT20000NOV!J7</f>
        <v>12000</v>
      </c>
      <c r="S7" s="7">
        <f>TONT20000DEC2015!L7+TONT20000JANV!J7+TONT20000FEV!J7+TONT20000MARS!J7+TONT20000AVRIL!J7+TONT20000MAI!J7+TONT20000JUIN!J7+TONT20000JUIL!J7+TONT20000AOUT!J7+TONT20000SEPT!J7+TONT20000OCT!J7+TONT20000NOV!K7</f>
        <v>30000</v>
      </c>
      <c r="T7" s="7">
        <f>TONT20000DEC2015!M7+TONT20000JANV!K7+TONT20000FEV!K7+TONT20000MARS!K7+TONT20000AVRIL!K7+TONT20000MAI!K7+TONT20000JUIN!K7+TONT20000JUIL!K7+TONT20000AOUT!K7+TONT20000SEPT!K7+TONT20000OCT!K7+TONT20000NOV!L7</f>
        <v>0</v>
      </c>
      <c r="U7" s="7">
        <f>TONT20000DEC2015!N7+TONT20000JANV!L7+TONT20000FEV!L7+TONT20000MARS!L7+TONT20000AVRIL!L7+TONT20000MAI!L7+TONT20000JUIN!L7+TONT20000JUIL!L7+TONT20000AOUT!L7+TONT20000SEPT!L7+TONT20000OCT!L7+TONT20000NOV!M7</f>
        <v>156000</v>
      </c>
      <c r="V7" s="7">
        <f>TONT20000DEC2015!O7+TONT20000JANV!M7+TONT20000FEV!M7+TONT20000MARS!M7+TONT20000AVRIL!M7+TONT20000MAI!M7+TONT20000JUIN!M7+TONT20000JUIL!M7+TONT20000AOUT!M7+TONT20000SEPT!M7+TONT20000OCT!M7+TONT20000NOV!N7</f>
        <v>1700000</v>
      </c>
      <c r="W7" s="7">
        <f>TONT20000DEC2015!P7+TONT20000JANV!N7+TONT20000FEV!N7+TONT20000MARS!N7+TONT20000AVRIL!N7+TONT20000MAI!N7+TONT20000JUIN!N7+TONT20000JUIL!N7+TONT20000AOUT!N7+TONT20000SEPT!N7+TONT20000OCT!N7+TONT20000NOV!O7</f>
        <v>124000</v>
      </c>
      <c r="X7" s="7">
        <f>TONT20000DEC2015!Q7+TONT20000JANV!O7+TONT20000FEV!O7+TONT20000MARS!O7+TONT20000AVRIL!O7+TONT20000MAI!O7+TONT20000JUIN!O7+TONT20000JUIL!O7+TONT20000AOUT!O7+TONT20000SEPT!O7+TONT20000OCT!O7+TONT20000NOV!P7</f>
        <v>1000000</v>
      </c>
      <c r="Y7" s="7">
        <f>TONT20000DEC2015!R7+TONT20000JANV!P7+TONT20000FEV!P7+TONT20000MARS!P7+TONT20000AVRIL!P7+TONT20000MAI!P7+TONT20000JUIN!P7+TONT20000JUIL!P7+TONT20000AOUT!P7+TONT20000SEPT!P7+TONT20000OCT!P7+TONT20000NOV!Q7</f>
        <v>0</v>
      </c>
      <c r="Z7" s="7">
        <f>TONT20000DEC2015!S7+TONT20000JANV!Q7+TONT20000FEV!Q7+TONT20000MARS!Q7+TONT20000AVRIL!Q7+TONT20000MAI!Q7+TONT20000JUIN!Q7+TONT20000JUIL!Q7+TONT20000AOUT!Q7+TONT20000SEPT!Q7+TONT20000OCT!Q7+TONT20000NOV!R7</f>
        <v>0</v>
      </c>
      <c r="AA7" s="7">
        <f>TONT20000DEC2015!T7+TONT20000JANV!R7+TONT20000FEV!R7+TONT20000MARS!R7+TONT20000AVRIL!R7+TONT20000MAI!R7+TONT20000JUIN!R7+TONT20000JUIL!R7+TONT20000AOUT!R7+TONT20000SEPT!R7+TONT20000OCT!R7+TONT20000NOV!S7</f>
        <v>0</v>
      </c>
    </row>
    <row r="8" spans="1:28" x14ac:dyDescent="0.25">
      <c r="A8" s="1" t="s">
        <v>13</v>
      </c>
      <c r="B8" s="1" t="str">
        <f>VLOOKUP(A8,LISTADHERENT!A$5:H$52,2,0)</f>
        <v>CHINGUE FABRICE</v>
      </c>
      <c r="C8" s="6">
        <f>VLOOKUP(A8,FONDSDECAISSE!A$5:C$52,3,0)</f>
        <v>390000</v>
      </c>
      <c r="D8" s="6">
        <v>1842</v>
      </c>
      <c r="E8" s="6">
        <f t="shared" si="0"/>
        <v>427842</v>
      </c>
      <c r="F8" s="6">
        <f>TONT20000DEC2015!E8+TONT20000JANV!C8+TONT20000FEV!C8+TONT20000MARS!C8+TONT20000AVRIL!C8+TONT20000MAI!C8+TONT20000JUIN!C8+TONT20000JUIL!C8+TONT20000AOUT!C8+TONT20000SEPT!C8+TONT20000OCT!C8+TONT20000NOV!C8</f>
        <v>48032.591047140741</v>
      </c>
      <c r="G8" s="6">
        <f>TONT20000NOV!E8</f>
        <v>475874.59104714065</v>
      </c>
      <c r="H8" s="6">
        <f t="shared" si="1"/>
        <v>85874.591047140741</v>
      </c>
      <c r="I8" s="6">
        <f t="shared" si="2"/>
        <v>80000</v>
      </c>
      <c r="J8" s="36">
        <f t="shared" si="3"/>
        <v>5874.5910471407406</v>
      </c>
      <c r="K8" s="6">
        <v>30000</v>
      </c>
      <c r="L8" s="6"/>
      <c r="M8" s="6">
        <v>50000</v>
      </c>
      <c r="N8" s="6">
        <f t="shared" si="4"/>
        <v>0</v>
      </c>
      <c r="O8" s="7">
        <f>TONT20000DEC2015!H8+TONT20000JANV!F8+TONT20000FEV!F8+TONT20000MARS!F8+TONT20000AVRIL!F8+TONT20000MAI!F8+TONT20000JUIN!F8+TONT20000JUIL!F8+TONT20000AOUT!F8+TONT20000SEPT!F8+TONT20000OCT!F8+TONT20000NOV!G8</f>
        <v>240000</v>
      </c>
      <c r="P8" s="7">
        <f>TONT20000DEC2015!I8+TONT20000JANV!G8+TONT20000FEV!G8+TONT20000MARS!G8+TONT20000AVRIL!G8+TONT20000MAI!G8+TONT20000JUIN!G8+TONT20000JUIL!G8+TONT20000AOUT!G8+TONT20000SEPT!G8+TONT20000OCT!G8+TONT20000NOV!H8</f>
        <v>36000</v>
      </c>
      <c r="Q8" s="7">
        <f>TONT20000DEC2015!J8+TONT20000JANV!H8+TONT20000FEV!H8+TONT20000MARS!H8+TONT20000AVRIL!H8+TONT20000MAI!H8+TONT20000JUIN!H8+TONT20000JUIL!H8+TONT20000AOUT!H8+TONT20000SEPT!H8+TONT20000OCT!H8+TONT20000NOV!I8</f>
        <v>6000</v>
      </c>
      <c r="R8" s="7">
        <f>TONT20000DEC2015!K8+TONT20000JANV!I8+TONT20000FEV!I8+TONT20000MARS!I8+TONT20000AVRIL!I8+TONT20000MAI!I8+TONT20000JUIN!I8+TONT20000JUIL!I8+TONT20000AOUT!I8+TONT20000SEPT!I8+TONT20000OCT!I8+TONT20000NOV!J8</f>
        <v>12000</v>
      </c>
      <c r="S8" s="7">
        <f>TONT20000DEC2015!L8+TONT20000JANV!J8+TONT20000FEV!J8+TONT20000MARS!J8+TONT20000AVRIL!J8+TONT20000MAI!J8+TONT20000JUIN!J8+TONT20000JUIL!J8+TONT20000AOUT!J8+TONT20000SEPT!J8+TONT20000OCT!J8+TONT20000NOV!K8</f>
        <v>30000</v>
      </c>
      <c r="T8" s="7">
        <f>TONT20000DEC2015!M8+TONT20000JANV!K8+TONT20000FEV!K8+TONT20000MARS!K8+TONT20000AVRIL!K8+TONT20000MAI!K8+TONT20000JUIN!K8+TONT20000JUIL!K8+TONT20000AOUT!K8+TONT20000SEPT!K8+TONT20000OCT!K8+TONT20000NOV!L8</f>
        <v>0</v>
      </c>
      <c r="U8" s="7">
        <f>TONT20000DEC2015!N8+TONT20000JANV!L8+TONT20000FEV!L8+TONT20000MARS!L8+TONT20000AVRIL!L8+TONT20000MAI!L8+TONT20000JUIN!L8+TONT20000JUIL!L8+TONT20000AOUT!L8+TONT20000SEPT!L8+TONT20000OCT!L8+TONT20000NOV!M8</f>
        <v>156000</v>
      </c>
      <c r="V8" s="7">
        <f>TONT20000DEC2015!O8+TONT20000JANV!M8+TONT20000FEV!M8+TONT20000MARS!M8+TONT20000AVRIL!M8+TONT20000MAI!M8+TONT20000JUIN!M8+TONT20000JUIL!M8+TONT20000AOUT!M8+TONT20000SEPT!M8+TONT20000OCT!M8+TONT20000NOV!N8</f>
        <v>2000000</v>
      </c>
      <c r="W8" s="7">
        <f>TONT20000DEC2015!P8+TONT20000JANV!N8+TONT20000FEV!N8+TONT20000MARS!N8+TONT20000AVRIL!N8+TONT20000MAI!N8+TONT20000JUIN!N8+TONT20000JUIL!N8+TONT20000AOUT!N8+TONT20000SEPT!N8+TONT20000OCT!N8+TONT20000NOV!O8</f>
        <v>180000</v>
      </c>
      <c r="X8" s="7">
        <f>TONT20000DEC2015!Q8+TONT20000JANV!O8+TONT20000FEV!O8+TONT20000MARS!O8+TONT20000AVRIL!O8+TONT20000MAI!O8+TONT20000JUIN!O8+TONT20000JUIL!O8+TONT20000AOUT!O8+TONT20000SEPT!O8+TONT20000OCT!O8+TONT20000NOV!P8</f>
        <v>1000000</v>
      </c>
      <c r="Y8" s="7">
        <f>TONT20000DEC2015!R8+TONT20000JANV!P8+TONT20000FEV!P8+TONT20000MARS!P8+TONT20000AVRIL!P8+TONT20000MAI!P8+TONT20000JUIN!P8+TONT20000JUIL!P8+TONT20000AOUT!P8+TONT20000SEPT!P8+TONT20000OCT!P8+TONT20000NOV!Q8</f>
        <v>0</v>
      </c>
      <c r="Z8" s="7">
        <f>TONT20000DEC2015!S8+TONT20000JANV!Q8+TONT20000FEV!Q8+TONT20000MARS!Q8+TONT20000AVRIL!Q8+TONT20000MAI!Q8+TONT20000JUIN!Q8+TONT20000JUIL!Q8+TONT20000AOUT!Q8+TONT20000SEPT!Q8+TONT20000OCT!Q8+TONT20000NOV!R8</f>
        <v>0</v>
      </c>
      <c r="AA8" s="7">
        <f>TONT20000DEC2015!T8+TONT20000JANV!R8+TONT20000FEV!R8+TONT20000MARS!R8+TONT20000AVRIL!R8+TONT20000MAI!R8+TONT20000JUIN!R8+TONT20000JUIL!R8+TONT20000AOUT!R8+TONT20000SEPT!R8+TONT20000OCT!R8+TONT20000NOV!S8</f>
        <v>0</v>
      </c>
    </row>
    <row r="9" spans="1:28" x14ac:dyDescent="0.25">
      <c r="A9" s="1" t="s">
        <v>14</v>
      </c>
      <c r="B9" s="1" t="str">
        <f>VLOOKUP(A9,LISTADHERENT!A$5:H$52,2,0)</f>
        <v xml:space="preserve">DJOMO JEAN PAUL </v>
      </c>
      <c r="C9" s="6">
        <f>VLOOKUP(A9,FONDSDECAISSE!A$5:C$52,3,0)</f>
        <v>390000</v>
      </c>
      <c r="D9" s="6">
        <v>8156</v>
      </c>
      <c r="E9" s="6">
        <f t="shared" si="0"/>
        <v>441156</v>
      </c>
      <c r="F9" s="6">
        <f>TONT20000DEC2015!E9+TONT20000JANV!C9+TONT20000FEV!C9+TONT20000MARS!C9+TONT20000AVRIL!C9+TONT20000MAI!C9+TONT20000JUIN!C9+TONT20000JUIL!C9+TONT20000AOUT!C9+TONT20000SEPT!C9+TONT20000OCT!C9+TONT20000NOV!C9</f>
        <v>48914.355859078787</v>
      </c>
      <c r="G9" s="6">
        <f>TONT20000NOV!E9</f>
        <v>490070.35585907887</v>
      </c>
      <c r="H9" s="6">
        <f t="shared" si="1"/>
        <v>100070.35585907879</v>
      </c>
      <c r="I9" s="6">
        <f t="shared" si="2"/>
        <v>80000</v>
      </c>
      <c r="J9" s="36">
        <f t="shared" si="3"/>
        <v>20070.355859078787</v>
      </c>
      <c r="K9" s="6">
        <v>30000</v>
      </c>
      <c r="L9" s="6"/>
      <c r="M9" s="6">
        <v>50000</v>
      </c>
      <c r="N9" s="6">
        <f t="shared" si="4"/>
        <v>0</v>
      </c>
      <c r="O9" s="7">
        <f>TONT20000DEC2015!H9+TONT20000JANV!F9+TONT20000FEV!F9+TONT20000MARS!F9+TONT20000AVRIL!F9+TONT20000MAI!F9+TONT20000JUIN!F9+TONT20000JUIL!F9+TONT20000AOUT!F9+TONT20000SEPT!F9+TONT20000OCT!F9+TONT20000NOV!G9</f>
        <v>247000</v>
      </c>
      <c r="P9" s="7">
        <f>TONT20000DEC2015!I9+TONT20000JANV!G9+TONT20000FEV!G9+TONT20000MARS!G9+TONT20000AVRIL!G9+TONT20000MAI!G9+TONT20000JUIN!G9+TONT20000JUIL!G9+TONT20000AOUT!G9+TONT20000SEPT!G9+TONT20000OCT!G9+TONT20000NOV!H9</f>
        <v>43000</v>
      </c>
      <c r="Q9" s="7">
        <f>TONT20000DEC2015!J9+TONT20000JANV!H9+TONT20000FEV!H9+TONT20000MARS!H9+TONT20000AVRIL!H9+TONT20000MAI!H9+TONT20000JUIN!H9+TONT20000JUIL!H9+TONT20000AOUT!H9+TONT20000SEPT!H9+TONT20000OCT!H9+TONT20000NOV!I9</f>
        <v>6000</v>
      </c>
      <c r="R9" s="7">
        <f>TONT20000DEC2015!K9+TONT20000JANV!I9+TONT20000FEV!I9+TONT20000MARS!I9+TONT20000AVRIL!I9+TONT20000MAI!I9+TONT20000JUIN!I9+TONT20000JUIL!I9+TONT20000AOUT!I9+TONT20000SEPT!I9+TONT20000OCT!I9+TONT20000NOV!J9</f>
        <v>12000</v>
      </c>
      <c r="S9" s="7">
        <f>TONT20000DEC2015!L9+TONT20000JANV!J9+TONT20000FEV!J9+TONT20000MARS!J9+TONT20000AVRIL!J9+TONT20000MAI!J9+TONT20000JUIN!J9+TONT20000JUIL!J9+TONT20000AOUT!J9+TONT20000SEPT!J9+TONT20000OCT!J9+TONT20000NOV!K9</f>
        <v>30000</v>
      </c>
      <c r="T9" s="7">
        <f>TONT20000DEC2015!M9+TONT20000JANV!K9+TONT20000FEV!K9+TONT20000MARS!K9+TONT20000AVRIL!K9+TONT20000MAI!K9+TONT20000JUIN!K9+TONT20000JUIL!K9+TONT20000AOUT!K9+TONT20000SEPT!K9+TONT20000OCT!K9+TONT20000NOV!L9</f>
        <v>0</v>
      </c>
      <c r="U9" s="7">
        <f>TONT20000DEC2015!N9+TONT20000JANV!L9+TONT20000FEV!L9+TONT20000MARS!L9+TONT20000AVRIL!L9+TONT20000MAI!L9+TONT20000JUIN!L9+TONT20000JUIL!L9+TONT20000AOUT!L9+TONT20000SEPT!L9+TONT20000OCT!L9+TONT20000NOV!M9</f>
        <v>156000</v>
      </c>
      <c r="V9" s="7">
        <f>TONT20000DEC2015!O9+TONT20000JANV!M9+TONT20000FEV!M9+TONT20000MARS!M9+TONT20000AVRIL!M9+TONT20000MAI!M9+TONT20000JUIN!M9+TONT20000JUIL!M9+TONT20000AOUT!M9+TONT20000SEPT!M9+TONT20000OCT!M9+TONT20000NOV!N9</f>
        <v>200000</v>
      </c>
      <c r="W9" s="7">
        <f>TONT20000DEC2015!P9+TONT20000JANV!N9+TONT20000FEV!N9+TONT20000MARS!N9+TONT20000AVRIL!N9+TONT20000MAI!N9+TONT20000JUIN!N9+TONT20000JUIL!N9+TONT20000AOUT!N9+TONT20000SEPT!N9+TONT20000OCT!N9+TONT20000NOV!O9</f>
        <v>6000</v>
      </c>
      <c r="X9" s="7">
        <f>TONT20000DEC2015!Q9+TONT20000JANV!O9+TONT20000FEV!O9+TONT20000MARS!O9+TONT20000AVRIL!O9+TONT20000MAI!O9+TONT20000JUIN!O9+TONT20000JUIL!O9+TONT20000AOUT!O9+TONT20000SEPT!O9+TONT20000OCT!O9+TONT20000NOV!P9</f>
        <v>0</v>
      </c>
      <c r="Y9" s="7">
        <f>TONT20000DEC2015!R9+TONT20000JANV!P9+TONT20000FEV!P9+TONT20000MARS!P9+TONT20000AVRIL!P9+TONT20000MAI!P9+TONT20000JUIN!P9+TONT20000JUIL!P9+TONT20000AOUT!P9+TONT20000SEPT!P9+TONT20000OCT!P9+TONT20000NOV!Q9</f>
        <v>0</v>
      </c>
      <c r="Z9" s="7">
        <f>TONT20000DEC2015!S9+TONT20000JANV!Q9+TONT20000FEV!Q9+TONT20000MARS!Q9+TONT20000AVRIL!Q9+TONT20000MAI!Q9+TONT20000JUIN!Q9+TONT20000JUIL!Q9+TONT20000AOUT!Q9+TONT20000SEPT!Q9+TONT20000OCT!Q9+TONT20000NOV!R9</f>
        <v>0</v>
      </c>
      <c r="AA9" s="7">
        <f>TONT20000DEC2015!T9+TONT20000JANV!R9+TONT20000FEV!R9+TONT20000MARS!R9+TONT20000AVRIL!R9+TONT20000MAI!R9+TONT20000JUIN!R9+TONT20000JUIL!R9+TONT20000AOUT!R9+TONT20000SEPT!R9+TONT20000OCT!R9+TONT20000NOV!S9</f>
        <v>0</v>
      </c>
    </row>
    <row r="10" spans="1:28" x14ac:dyDescent="0.25">
      <c r="A10" s="1" t="s">
        <v>15</v>
      </c>
      <c r="B10" s="1" t="str">
        <f>VLOOKUP(A10,LISTADHERENT!A$5:H$52,2,0)</f>
        <v>DJOUKWE GUY</v>
      </c>
      <c r="C10" s="6">
        <f>VLOOKUP(A10,FONDSDECAISSE!A$5:C$52,3,0)</f>
        <v>390000</v>
      </c>
      <c r="D10" s="6">
        <v>5905</v>
      </c>
      <c r="E10" s="6">
        <f t="shared" si="0"/>
        <v>471905</v>
      </c>
      <c r="F10" s="6">
        <f>TONT20000DEC2015!E10+TONT20000JANV!C10+TONT20000FEV!C10+TONT20000MARS!C10+TONT20000AVRIL!C10+TONT20000MAI!C10+TONT20000JUIN!C10+TONT20000JUIL!C10+TONT20000AOUT!C10+TONT20000SEPT!C10+TONT20000OCT!C10+TONT20000NOV!C10</f>
        <v>51792.049735643668</v>
      </c>
      <c r="G10" s="6">
        <f>TONT20000NOV!E10</f>
        <v>523697.04973564367</v>
      </c>
      <c r="H10" s="6">
        <f t="shared" si="1"/>
        <v>133697.04973564367</v>
      </c>
      <c r="I10" s="6">
        <f t="shared" si="2"/>
        <v>80000</v>
      </c>
      <c r="J10" s="36">
        <f t="shared" si="3"/>
        <v>53697.049735643668</v>
      </c>
      <c r="K10" s="6">
        <v>30000</v>
      </c>
      <c r="L10" s="6"/>
      <c r="M10" s="6">
        <v>50000</v>
      </c>
      <c r="N10" s="6">
        <f t="shared" si="4"/>
        <v>0</v>
      </c>
      <c r="O10" s="7">
        <f>TONT20000DEC2015!H10+TONT20000JANV!F10+TONT20000FEV!F10+TONT20000MARS!F10+TONT20000AVRIL!F10+TONT20000MAI!F10+TONT20000JUIN!F10+TONT20000JUIL!F10+TONT20000AOUT!F10+TONT20000SEPT!F10+TONT20000OCT!F10+TONT20000NOV!G10</f>
        <v>280000</v>
      </c>
      <c r="P10" s="7">
        <f>TONT20000DEC2015!I10+TONT20000JANV!G10+TONT20000FEV!G10+TONT20000MARS!G10+TONT20000AVRIL!G10+TONT20000MAI!G10+TONT20000JUIN!G10+TONT20000JUIL!G10+TONT20000AOUT!G10+TONT20000SEPT!G10+TONT20000OCT!G10+TONT20000NOV!H10</f>
        <v>76000</v>
      </c>
      <c r="Q10" s="7">
        <f>TONT20000DEC2015!J10+TONT20000JANV!H10+TONT20000FEV!H10+TONT20000MARS!H10+TONT20000AVRIL!H10+TONT20000MAI!H10+TONT20000JUIN!H10+TONT20000JUIL!H10+TONT20000AOUT!H10+TONT20000SEPT!H10+TONT20000OCT!H10+TONT20000NOV!I10</f>
        <v>6000</v>
      </c>
      <c r="R10" s="7">
        <f>TONT20000DEC2015!K10+TONT20000JANV!I10+TONT20000FEV!I10+TONT20000MARS!I10+TONT20000AVRIL!I10+TONT20000MAI!I10+TONT20000JUIN!I10+TONT20000JUIL!I10+TONT20000AOUT!I10+TONT20000SEPT!I10+TONT20000OCT!I10+TONT20000NOV!J10</f>
        <v>12000</v>
      </c>
      <c r="S10" s="7">
        <f>TONT20000DEC2015!L10+TONT20000JANV!J10+TONT20000FEV!J10+TONT20000MARS!J10+TONT20000AVRIL!J10+TONT20000MAI!J10+TONT20000JUIN!J10+TONT20000JUIL!J10+TONT20000AOUT!J10+TONT20000SEPT!J10+TONT20000OCT!J10+TONT20000NOV!K10</f>
        <v>30000</v>
      </c>
      <c r="T10" s="7">
        <f>TONT20000DEC2015!M10+TONT20000JANV!K10+TONT20000FEV!K10+TONT20000MARS!K10+TONT20000AVRIL!K10+TONT20000MAI!K10+TONT20000JUIN!K10+TONT20000JUIL!K10+TONT20000AOUT!K10+TONT20000SEPT!K10+TONT20000OCT!K10+TONT20000NOV!L10</f>
        <v>0</v>
      </c>
      <c r="U10" s="7">
        <f>TONT20000DEC2015!N10+TONT20000JANV!L10+TONT20000FEV!L10+TONT20000MARS!L10+TONT20000AVRIL!L10+TONT20000MAI!L10+TONT20000JUIN!L10+TONT20000JUIL!L10+TONT20000AOUT!L10+TONT20000SEPT!L10+TONT20000OCT!L10+TONT20000NOV!M10</f>
        <v>156000</v>
      </c>
      <c r="V10" s="7">
        <f>TONT20000DEC2015!O10+TONT20000JANV!M10+TONT20000FEV!M10+TONT20000MARS!M10+TONT20000AVRIL!M10+TONT20000MAI!M10+TONT20000JUIN!M10+TONT20000JUIL!M10+TONT20000AOUT!M10+TONT20000SEPT!M10+TONT20000OCT!M10+TONT20000NOV!N10</f>
        <v>250000</v>
      </c>
      <c r="W10" s="7">
        <f>TONT20000DEC2015!P10+TONT20000JANV!N10+TONT20000FEV!N10+TONT20000MARS!N10+TONT20000AVRIL!N10+TONT20000MAI!N10+TONT20000JUIN!N10+TONT20000JUIL!N10+TONT20000AOUT!N10+TONT20000SEPT!N10+TONT20000OCT!N10+TONT20000NOV!O10</f>
        <v>7500</v>
      </c>
      <c r="X10" s="7">
        <f>TONT20000DEC2015!Q10+TONT20000JANV!O10+TONT20000FEV!O10+TONT20000MARS!O10+TONT20000AVRIL!O10+TONT20000MAI!O10+TONT20000JUIN!O10+TONT20000JUIL!O10+TONT20000AOUT!O10+TONT20000SEPT!O10+TONT20000OCT!O10+TONT20000NOV!P10</f>
        <v>0</v>
      </c>
      <c r="Y10" s="7">
        <f>TONT20000DEC2015!R10+TONT20000JANV!P10+TONT20000FEV!P10+TONT20000MARS!P10+TONT20000AVRIL!P10+TONT20000MAI!P10+TONT20000JUIN!P10+TONT20000JUIL!P10+TONT20000AOUT!P10+TONT20000SEPT!P10+TONT20000OCT!P10+TONT20000NOV!Q10</f>
        <v>0</v>
      </c>
      <c r="Z10" s="7">
        <f>TONT20000DEC2015!S10+TONT20000JANV!Q10+TONT20000FEV!Q10+TONT20000MARS!Q10+TONT20000AVRIL!Q10+TONT20000MAI!Q10+TONT20000JUIN!Q10+TONT20000JUIL!Q10+TONT20000AOUT!Q10+TONT20000SEPT!Q10+TONT20000OCT!Q10+TONT20000NOV!R10</f>
        <v>0</v>
      </c>
      <c r="AA10" s="7">
        <f>TONT20000DEC2015!T10+TONT20000JANV!R10+TONT20000FEV!R10+TONT20000MARS!R10+TONT20000AVRIL!R10+TONT20000MAI!R10+TONT20000JUIN!R10+TONT20000JUIL!R10+TONT20000AOUT!R10+TONT20000SEPT!R10+TONT20000OCT!R10+TONT20000NOV!S10</f>
        <v>0</v>
      </c>
    </row>
    <row r="11" spans="1:28" s="21" customFormat="1" x14ac:dyDescent="0.25">
      <c r="A11" s="19" t="s">
        <v>16</v>
      </c>
      <c r="B11" s="19" t="str">
        <f>VLOOKUP(A11,LISTADHERENT!A$5:H$52,2,0)</f>
        <v>DJOSSEU JOSUE</v>
      </c>
      <c r="C11" s="33">
        <f>VLOOKUP(A11,FONDSDECAISSE!A$5:C$52,3,0)</f>
        <v>0</v>
      </c>
      <c r="D11" s="33">
        <v>0</v>
      </c>
      <c r="E11" s="33">
        <f t="shared" si="0"/>
        <v>5000</v>
      </c>
      <c r="F11" s="33">
        <f>TONT20000DEC2015!E11+TONT20000JANV!C11+TONT20000FEV!C11+TONT20000MARS!C11+TONT20000AVRIL!C11+TONT20000MAI!C11+TONT20000JUIN!C11+TONT20000JUIL!C11+TONT20000AOUT!C11+TONT20000SEPT!C11+TONT20000OCT!C11+TONT20000NOV!C11</f>
        <v>580.74958461817425</v>
      </c>
      <c r="G11" s="33">
        <f>TONT20000NOV!E11</f>
        <v>5580.7495846181746</v>
      </c>
      <c r="H11" s="33">
        <f t="shared" si="1"/>
        <v>5580.7495846181746</v>
      </c>
      <c r="I11" s="33">
        <f t="shared" si="2"/>
        <v>0</v>
      </c>
      <c r="J11" s="43">
        <f t="shared" si="3"/>
        <v>5580.7495846181746</v>
      </c>
      <c r="K11" s="33"/>
      <c r="L11" s="33"/>
      <c r="M11" s="33"/>
      <c r="N11" s="33"/>
      <c r="O11" s="20">
        <f>TONT20000DEC2015!H11+TONT20000JANV!F11+TONT20000FEV!F11+TONT20000MARS!F11+TONT20000AVRIL!F11+TONT20000MAI!F11+TONT20000JUIN!F11+TONT20000JUIL!F11+TONT20000AOUT!F11+TONT20000SEPT!F11+TONT20000OCT!F11+TONT20000NOV!G11</f>
        <v>22000</v>
      </c>
      <c r="P11" s="20">
        <f>TONT20000DEC2015!I11+TONT20000JANV!G11+TONT20000FEV!G11+TONT20000MARS!G11+TONT20000AVRIL!G11+TONT20000MAI!G11+TONT20000JUIN!G11+TONT20000JUIL!G11+TONT20000AOUT!G11+TONT20000SEPT!G11+TONT20000OCT!G11+TONT20000NOV!H11</f>
        <v>5000</v>
      </c>
      <c r="Q11" s="20">
        <f>TONT20000DEC2015!J11+TONT20000JANV!H11+TONT20000FEV!H11+TONT20000MARS!H11+TONT20000AVRIL!H11+TONT20000MAI!H11+TONT20000JUIN!H11+TONT20000JUIL!H11+TONT20000AOUT!H11+TONT20000SEPT!H11+TONT20000OCT!H11+TONT20000NOV!I11</f>
        <v>500</v>
      </c>
      <c r="R11" s="20">
        <f>TONT20000DEC2015!K11+TONT20000JANV!I11+TONT20000FEV!I11+TONT20000MARS!I11+TONT20000AVRIL!I11+TONT20000MAI!I11+TONT20000JUIN!I11+TONT20000JUIL!I11+TONT20000AOUT!I11+TONT20000SEPT!I11+TONT20000OCT!I11+TONT20000NOV!J11</f>
        <v>1000</v>
      </c>
      <c r="S11" s="20">
        <f>TONT20000DEC2015!L11+TONT20000JANV!J11+TONT20000FEV!J11+TONT20000MARS!J11+TONT20000AVRIL!J11+TONT20000MAI!J11+TONT20000JUIN!J11+TONT20000JUIL!J11+TONT20000AOUT!J11+TONT20000SEPT!J11+TONT20000OCT!J11+TONT20000NOV!K11</f>
        <v>2500</v>
      </c>
      <c r="T11" s="20">
        <f>TONT20000DEC2015!M11+TONT20000JANV!K11+TONT20000FEV!K11+TONT20000MARS!K11+TONT20000AVRIL!K11+TONT20000MAI!K11+TONT20000JUIN!K11+TONT20000JUIL!K11+TONT20000AOUT!K11+TONT20000SEPT!K11+TONT20000OCT!K11+TONT20000NOV!L11</f>
        <v>0</v>
      </c>
      <c r="U11" s="20">
        <f>TONT20000DEC2015!N11+TONT20000JANV!L11+TONT20000FEV!L11+TONT20000MARS!L11+TONT20000AVRIL!L11+TONT20000MAI!L11+TONT20000JUIN!L11+TONT20000JUIL!L11+TONT20000AOUT!L11+TONT20000SEPT!L11+TONT20000OCT!L11+TONT20000NOV!M11</f>
        <v>13000</v>
      </c>
      <c r="V11" s="20">
        <f>TONT20000DEC2015!O11+TONT20000JANV!M11+TONT20000FEV!M11+TONT20000MARS!M11+TONT20000AVRIL!M11+TONT20000MAI!M11+TONT20000JUIN!M11+TONT20000JUIL!M11+TONT20000AOUT!M11+TONT20000SEPT!M11+TONT20000OCT!M11+TONT20000NOV!N11</f>
        <v>0</v>
      </c>
      <c r="W11" s="20">
        <f>TONT20000DEC2015!P11+TONT20000JANV!N11+TONT20000FEV!N11+TONT20000MARS!N11+TONT20000AVRIL!N11+TONT20000MAI!N11+TONT20000JUIN!N11+TONT20000JUIL!N11+TONT20000AOUT!N11+TONT20000SEPT!N11+TONT20000OCT!N11+TONT20000NOV!O11</f>
        <v>0</v>
      </c>
      <c r="X11" s="20">
        <f>TONT20000DEC2015!Q11+TONT20000JANV!O11+TONT20000FEV!O11+TONT20000MARS!O11+TONT20000AVRIL!O11+TONT20000MAI!O11+TONT20000JUIN!O11+TONT20000JUIL!O11+TONT20000AOUT!O11+TONT20000SEPT!O11+TONT20000OCT!O11+TONT20000NOV!P11</f>
        <v>0</v>
      </c>
      <c r="Y11" s="20">
        <f>TONT20000DEC2015!R11+TONT20000JANV!P11+TONT20000FEV!P11+TONT20000MARS!P11+TONT20000AVRIL!P11+TONT20000MAI!P11+TONT20000JUIN!P11+TONT20000JUIL!P11+TONT20000AOUT!P11+TONT20000SEPT!P11+TONT20000OCT!P11+TONT20000NOV!Q11</f>
        <v>0</v>
      </c>
      <c r="Z11" s="20">
        <f>TONT20000DEC2015!S11+TONT20000JANV!Q11+TONT20000FEV!Q11+TONT20000MARS!Q11+TONT20000AVRIL!Q11+TONT20000MAI!Q11+TONT20000JUIN!Q11+TONT20000JUIL!Q11+TONT20000AOUT!Q11+TONT20000SEPT!Q11+TONT20000OCT!Q11+TONT20000NOV!R11</f>
        <v>0</v>
      </c>
      <c r="AA11" s="20">
        <f>TONT20000DEC2015!T11+TONT20000JANV!R11+TONT20000FEV!R11+TONT20000MARS!R11+TONT20000AVRIL!R11+TONT20000MAI!R11+TONT20000JUIN!R11+TONT20000JUIL!R11+TONT20000AOUT!R11+TONT20000SEPT!R11+TONT20000OCT!R11+TONT20000NOV!S11</f>
        <v>0</v>
      </c>
    </row>
    <row r="12" spans="1:28" x14ac:dyDescent="0.25">
      <c r="A12" s="1" t="s">
        <v>17</v>
      </c>
      <c r="B12" s="1" t="str">
        <f>VLOOKUP(A12,LISTADHERENT!A$5:H$52,2,0)</f>
        <v>DJOUNKEP SAMUEL</v>
      </c>
      <c r="C12" s="6">
        <f>VLOOKUP(A12,FONDSDECAISSE!A$5:C$52,3,0)</f>
        <v>390000</v>
      </c>
      <c r="D12" s="6">
        <v>1055294</v>
      </c>
      <c r="E12" s="6">
        <f t="shared" si="0"/>
        <v>2001294</v>
      </c>
      <c r="F12" s="6">
        <f>TONT20000DEC2015!E12+TONT20000JANV!C12+TONT20000FEV!C12+TONT20000MARS!C12+TONT20000AVRIL!C12+TONT20000MAI!C12+TONT20000JUIN!C12+TONT20000JUIL!C12+TONT20000AOUT!C12+TONT20000SEPT!C12+TONT20000OCT!C12+TONT20000NOV!C12</f>
        <v>204246.73290028158</v>
      </c>
      <c r="G12" s="6">
        <f>TONT20000NOV!E12</f>
        <v>2135835.732900281</v>
      </c>
      <c r="H12" s="6">
        <f t="shared" si="1"/>
        <v>1815540.7329002817</v>
      </c>
      <c r="I12" s="6">
        <f t="shared" si="2"/>
        <v>80000</v>
      </c>
      <c r="J12" s="36">
        <f t="shared" si="3"/>
        <v>1735540.7329002817</v>
      </c>
      <c r="K12" s="6">
        <v>30000</v>
      </c>
      <c r="L12" s="6"/>
      <c r="M12" s="6">
        <v>50000</v>
      </c>
      <c r="N12" s="6">
        <f t="shared" si="4"/>
        <v>0</v>
      </c>
      <c r="O12" s="7">
        <f>TONT20000DEC2015!H12+TONT20000JANV!F12+TONT20000FEV!F12+TONT20000MARS!F12+TONT20000AVRIL!F12+TONT20000MAI!F12+TONT20000JUIN!F12+TONT20000JUIL!F12+TONT20000AOUT!F12+TONT20000SEPT!F12+TONT20000OCT!F12+TONT20000NOV!G12</f>
        <v>760000</v>
      </c>
      <c r="P12" s="7">
        <f>TONT20000DEC2015!I12+TONT20000JANV!G12+TONT20000FEV!G12+TONT20000MARS!G12+TONT20000AVRIL!G12+TONT20000MAI!G12+TONT20000JUIN!G12+TONT20000JUIL!G12+TONT20000AOUT!G12+TONT20000SEPT!G12+TONT20000OCT!G12+TONT20000NOV!H12</f>
        <v>556000</v>
      </c>
      <c r="Q12" s="7">
        <f>TONT20000DEC2015!J12+TONT20000JANV!H12+TONT20000FEV!H12+TONT20000MARS!H12+TONT20000AVRIL!H12+TONT20000MAI!H12+TONT20000JUIN!H12+TONT20000JUIL!H12+TONT20000AOUT!H12+TONT20000SEPT!H12+TONT20000OCT!H12+TONT20000NOV!I12</f>
        <v>6000</v>
      </c>
      <c r="R12" s="7">
        <f>TONT20000DEC2015!K12+TONT20000JANV!I12+TONT20000FEV!I12+TONT20000MARS!I12+TONT20000AVRIL!I12+TONT20000MAI!I12+TONT20000JUIN!I12+TONT20000JUIL!I12+TONT20000AOUT!I12+TONT20000SEPT!I12+TONT20000OCT!I12+TONT20000NOV!J12</f>
        <v>12000</v>
      </c>
      <c r="S12" s="7">
        <f>TONT20000DEC2015!L12+TONT20000JANV!J12+TONT20000FEV!J12+TONT20000MARS!J12+TONT20000AVRIL!J12+TONT20000MAI!J12+TONT20000JUIN!J12+TONT20000JUIL!J12+TONT20000AOUT!J12+TONT20000SEPT!J12+TONT20000OCT!J12+TONT20000NOV!K12</f>
        <v>30000</v>
      </c>
      <c r="T12" s="7">
        <f>TONT20000DEC2015!M12+TONT20000JANV!K12+TONT20000FEV!K12+TONT20000MARS!K12+TONT20000AVRIL!K12+TONT20000MAI!K12+TONT20000JUIN!K12+TONT20000JUIL!K12+TONT20000AOUT!K12+TONT20000SEPT!K12+TONT20000OCT!K12+TONT20000NOV!L12</f>
        <v>0</v>
      </c>
      <c r="U12" s="7">
        <f>TONT20000DEC2015!N12+TONT20000JANV!L12+TONT20000FEV!L12+TONT20000MARS!L12+TONT20000AVRIL!L12+TONT20000MAI!L12+TONT20000JUIN!L12+TONT20000JUIL!L12+TONT20000AOUT!L12+TONT20000SEPT!L12+TONT20000OCT!L12+TONT20000NOV!M12</f>
        <v>156000</v>
      </c>
      <c r="V12" s="7">
        <f>TONT20000DEC2015!O12+TONT20000JANV!M12+TONT20000FEV!M12+TONT20000MARS!M12+TONT20000AVRIL!M12+TONT20000MAI!M12+TONT20000JUIN!M12+TONT20000JUIL!M12+TONT20000AOUT!M12+TONT20000SEPT!M12+TONT20000OCT!M12+TONT20000NOV!N12</f>
        <v>0</v>
      </c>
      <c r="W12" s="7">
        <f>TONT20000DEC2015!P12+TONT20000JANV!N12+TONT20000FEV!N12+TONT20000MARS!N12+TONT20000AVRIL!N12+TONT20000MAI!N12+TONT20000JUIN!N12+TONT20000JUIL!N12+TONT20000AOUT!N12+TONT20000SEPT!N12+TONT20000OCT!N12+TONT20000NOV!O12</f>
        <v>0</v>
      </c>
      <c r="X12" s="7">
        <f>TONT20000DEC2015!Q12+TONT20000JANV!O12+TONT20000FEV!O12+TONT20000MARS!O12+TONT20000AVRIL!O12+TONT20000MAI!O12+TONT20000JUIN!O12+TONT20000JUIL!O12+TONT20000AOUT!O12+TONT20000SEPT!O12+TONT20000OCT!O12+TONT20000NOV!P12</f>
        <v>0</v>
      </c>
      <c r="Y12" s="7">
        <f>TONT20000DEC2015!R12+TONT20000JANV!P12+TONT20000FEV!P12+TONT20000MARS!P12+TONT20000AVRIL!P12+TONT20000MAI!P12+TONT20000JUIN!P12+TONT20000JUIL!P12+TONT20000AOUT!P12+TONT20000SEPT!P12+TONT20000OCT!P12+TONT20000NOV!Q12</f>
        <v>0</v>
      </c>
      <c r="Z12" s="7">
        <f>TONT20000DEC2015!S12+TONT20000JANV!Q12+TONT20000FEV!Q12+TONT20000MARS!Q12+TONT20000AVRIL!Q12+TONT20000MAI!Q12+TONT20000JUIN!Q12+TONT20000JUIL!Q12+TONT20000AOUT!Q12+TONT20000SEPT!Q12+TONT20000OCT!Q12+TONT20000NOV!R12</f>
        <v>0</v>
      </c>
      <c r="AA12" s="7">
        <f>TONT20000DEC2015!T12+TONT20000JANV!R12+TONT20000FEV!R12+TONT20000MARS!R12+TONT20000AVRIL!R12+TONT20000MAI!R12+TONT20000JUIN!R12+TONT20000JUIL!R12+TONT20000AOUT!R12+TONT20000SEPT!R12+TONT20000OCT!R12+TONT20000NOV!S12</f>
        <v>0</v>
      </c>
    </row>
    <row r="13" spans="1:28" x14ac:dyDescent="0.25">
      <c r="A13" s="1" t="s">
        <v>18</v>
      </c>
      <c r="B13" s="1" t="str">
        <f>VLOOKUP(A13,LISTADHERENT!A$5:H$52,2,0)</f>
        <v>DJUOMBESSY ANTOINE</v>
      </c>
      <c r="C13" s="6">
        <v>390000</v>
      </c>
      <c r="D13" s="6">
        <v>0</v>
      </c>
      <c r="E13" s="6">
        <f t="shared" si="0"/>
        <v>457560</v>
      </c>
      <c r="F13" s="6">
        <f>TONT20000DEC2015!E13+TONT20000JANV!C13+TONT20000FEV!C13+TONT20000MARS!C13+TONT20000AVRIL!C13+TONT20000MAI!C13+TONT20000JUIN!C13+TONT20000JUIL!C13+TONT20000AOUT!C13+TONT20000SEPT!C13+TONT20000OCT!C13+TONT20000NOV!C13</f>
        <v>43186.248020811654</v>
      </c>
      <c r="G13" s="6">
        <f>TONT20000NOV!E13</f>
        <v>500746.2480208117</v>
      </c>
      <c r="H13" s="6">
        <f t="shared" si="1"/>
        <v>110746.24802081165</v>
      </c>
      <c r="I13" s="6">
        <f t="shared" si="2"/>
        <v>80000</v>
      </c>
      <c r="J13" s="36">
        <f t="shared" si="3"/>
        <v>30746.248020811647</v>
      </c>
      <c r="K13" s="6">
        <v>30000</v>
      </c>
      <c r="L13" s="6"/>
      <c r="M13" s="6">
        <v>50000</v>
      </c>
      <c r="N13" s="6">
        <f t="shared" si="4"/>
        <v>0</v>
      </c>
      <c r="O13" s="7">
        <f>TONT20000DEC2015!H13+TONT20000JANV!F13+TONT20000FEV!F13+TONT20000MARS!F13+TONT20000AVRIL!F13+TONT20000MAI!F13+TONT20000JUIN!F13+TONT20000JUIL!F13+TONT20000AOUT!F13+TONT20000SEPT!F13+TONT20000OCT!F13+TONT20000NOV!G13</f>
        <v>271560</v>
      </c>
      <c r="P13" s="7">
        <f>TONT20000DEC2015!I13+TONT20000JANV!G13+TONT20000FEV!G13+TONT20000MARS!G13+TONT20000AVRIL!G13+TONT20000MAI!G13+TONT20000JUIN!G13+TONT20000JUIL!G13+TONT20000AOUT!G13+TONT20000SEPT!G13+TONT20000OCT!G13+TONT20000NOV!H13</f>
        <v>67560</v>
      </c>
      <c r="Q13" s="7">
        <f>TONT20000DEC2015!J13+TONT20000JANV!H13+TONT20000FEV!H13+TONT20000MARS!H13+TONT20000AVRIL!H13+TONT20000MAI!H13+TONT20000JUIN!H13+TONT20000JUIL!H13+TONT20000AOUT!H13+TONT20000SEPT!H13+TONT20000OCT!H13+TONT20000NOV!I13</f>
        <v>6000</v>
      </c>
      <c r="R13" s="7">
        <f>TONT20000DEC2015!K13+TONT20000JANV!I13+TONT20000FEV!I13+TONT20000MARS!I13+TONT20000AVRIL!I13+TONT20000MAI!I13+TONT20000JUIN!I13+TONT20000JUIL!I13+TONT20000AOUT!I13+TONT20000SEPT!I13+TONT20000OCT!I13+TONT20000NOV!J13</f>
        <v>12000</v>
      </c>
      <c r="S13" s="7">
        <f>TONT20000DEC2015!L13+TONT20000JANV!J13+TONT20000FEV!J13+TONT20000MARS!J13+TONT20000AVRIL!J13+TONT20000MAI!J13+TONT20000JUIN!J13+TONT20000JUIL!J13+TONT20000AOUT!J13+TONT20000SEPT!J13+TONT20000OCT!J13+TONT20000NOV!K13</f>
        <v>30000</v>
      </c>
      <c r="T13" s="7">
        <f>TONT20000DEC2015!M13+TONT20000JANV!K13+TONT20000FEV!K13+TONT20000MARS!K13+TONT20000AVRIL!K13+TONT20000MAI!K13+TONT20000JUIN!K13+TONT20000JUIL!K13+TONT20000AOUT!K13+TONT20000SEPT!K13+TONT20000OCT!K13+TONT20000NOV!L13</f>
        <v>0</v>
      </c>
      <c r="U13" s="7">
        <f>TONT20000DEC2015!N13+TONT20000JANV!L13+TONT20000FEV!L13+TONT20000MARS!L13+TONT20000AVRIL!L13+TONT20000MAI!L13+TONT20000JUIN!L13+TONT20000JUIL!L13+TONT20000AOUT!L13+TONT20000SEPT!L13+TONT20000OCT!L13+TONT20000NOV!M13</f>
        <v>156000</v>
      </c>
      <c r="V13" s="7">
        <f>TONT20000DEC2015!O13+TONT20000JANV!M13+TONT20000FEV!M13+TONT20000MARS!M13+TONT20000AVRIL!M13+TONT20000MAI!M13+TONT20000JUIN!M13+TONT20000JUIL!M13+TONT20000AOUT!M13+TONT20000SEPT!M13+TONT20000OCT!M13+TONT20000NOV!N13</f>
        <v>700000</v>
      </c>
      <c r="W13" s="7">
        <f>TONT20000DEC2015!P13+TONT20000JANV!N13+TONT20000FEV!N13+TONT20000MARS!N13+TONT20000AVRIL!N13+TONT20000MAI!N13+TONT20000JUIN!N13+TONT20000JUIL!N13+TONT20000AOUT!N13+TONT20000SEPT!N13+TONT20000OCT!N13+TONT20000NOV!O13</f>
        <v>84000</v>
      </c>
      <c r="X13" s="7">
        <f>TONT20000DEC2015!Q13+TONT20000JANV!O13+TONT20000FEV!O13+TONT20000MARS!O13+TONT20000AVRIL!O13+TONT20000MAI!O13+TONT20000JUIN!O13+TONT20000JUIL!O13+TONT20000AOUT!O13+TONT20000SEPT!O13+TONT20000OCT!O13+TONT20000NOV!P13</f>
        <v>0</v>
      </c>
      <c r="Y13" s="7">
        <f>TONT20000DEC2015!R13+TONT20000JANV!P13+TONT20000FEV!P13+TONT20000MARS!P13+TONT20000AVRIL!P13+TONT20000MAI!P13+TONT20000JUIN!P13+TONT20000JUIL!P13+TONT20000AOUT!P13+TONT20000SEPT!P13+TONT20000OCT!P13+TONT20000NOV!Q13</f>
        <v>0</v>
      </c>
      <c r="Z13" s="7">
        <f>TONT20000DEC2015!S13+TONT20000JANV!Q13+TONT20000FEV!Q13+TONT20000MARS!Q13+TONT20000AVRIL!Q13+TONT20000MAI!Q13+TONT20000JUIN!Q13+TONT20000JUIL!Q13+TONT20000AOUT!Q13+TONT20000SEPT!Q13+TONT20000OCT!Q13+TONT20000NOV!R13</f>
        <v>48440</v>
      </c>
      <c r="AA13" s="7">
        <f>TONT20000DEC2015!T13+TONT20000JANV!R13+TONT20000FEV!R13+TONT20000MARS!R13+TONT20000AVRIL!R13+TONT20000MAI!R13+TONT20000JUIN!R13+TONT20000JUIL!R13+TONT20000AOUT!R13+TONT20000SEPT!R13+TONT20000OCT!R13+TONT20000NOV!S13</f>
        <v>0</v>
      </c>
    </row>
    <row r="14" spans="1:28" x14ac:dyDescent="0.25">
      <c r="A14" s="1" t="s">
        <v>19</v>
      </c>
      <c r="B14" s="1" t="str">
        <f>VLOOKUP(A14,LISTADHERENT!A$5:H$52,2,0)</f>
        <v>DONHOU DAVID</v>
      </c>
      <c r="C14" s="6">
        <f>VLOOKUP(A14,FONDSDECAISSE!A$5:C$52,3,0)</f>
        <v>390000</v>
      </c>
      <c r="D14" s="6">
        <v>44734</v>
      </c>
      <c r="E14" s="6">
        <f t="shared" si="0"/>
        <v>470734</v>
      </c>
      <c r="F14" s="6">
        <f>TONT20000DEC2015!E14+TONT20000JANV!C14+TONT20000FEV!C14+TONT20000MARS!C14+TONT20000AVRIL!C14+TONT20000MAI!C14+TONT20000JUIN!C14+TONT20000JUIL!C14+TONT20000AOUT!C14+TONT20000SEPT!C14+TONT20000OCT!C14+TONT20000NOV!C14</f>
        <v>53014.493283829295</v>
      </c>
      <c r="G14" s="6">
        <f>TONT20000NOV!E14</f>
        <v>523748.4932838293</v>
      </c>
      <c r="H14" s="6">
        <f t="shared" si="1"/>
        <v>133748.4932838293</v>
      </c>
      <c r="I14" s="6">
        <f t="shared" si="2"/>
        <v>80000</v>
      </c>
      <c r="J14" s="36">
        <f t="shared" si="3"/>
        <v>53748.493283829303</v>
      </c>
      <c r="K14" s="6">
        <v>30000</v>
      </c>
      <c r="L14" s="6"/>
      <c r="M14" s="6">
        <v>50000</v>
      </c>
      <c r="N14" s="6">
        <f t="shared" si="4"/>
        <v>0</v>
      </c>
      <c r="O14" s="7">
        <f>TONT20000DEC2015!H14+TONT20000JANV!F14+TONT20000FEV!F14+TONT20000MARS!F14+TONT20000AVRIL!F14+TONT20000MAI!F14+TONT20000JUIN!F14+TONT20000JUIL!F14+TONT20000AOUT!F14+TONT20000SEPT!F14+TONT20000OCT!F14+TONT20000NOV!G14</f>
        <v>240000</v>
      </c>
      <c r="P14" s="7">
        <f>TONT20000DEC2015!I14+TONT20000JANV!G14+TONT20000FEV!G14+TONT20000MARS!G14+TONT20000AVRIL!G14+TONT20000MAI!G14+TONT20000JUIN!G14+TONT20000JUIL!G14+TONT20000AOUT!G14+TONT20000SEPT!G14+TONT20000OCT!G14+TONT20000NOV!H14</f>
        <v>36000</v>
      </c>
      <c r="Q14" s="7">
        <f>TONT20000DEC2015!J14+TONT20000JANV!H14+TONT20000FEV!H14+TONT20000MARS!H14+TONT20000AVRIL!H14+TONT20000MAI!H14+TONT20000JUIN!H14+TONT20000JUIL!H14+TONT20000AOUT!H14+TONT20000SEPT!H14+TONT20000OCT!H14+TONT20000NOV!I14</f>
        <v>6000</v>
      </c>
      <c r="R14" s="7">
        <f>TONT20000DEC2015!K14+TONT20000JANV!I14+TONT20000FEV!I14+TONT20000MARS!I14+TONT20000AVRIL!I14+TONT20000MAI!I14+TONT20000JUIN!I14+TONT20000JUIL!I14+TONT20000AOUT!I14+TONT20000SEPT!I14+TONT20000OCT!I14+TONT20000NOV!J14</f>
        <v>12000</v>
      </c>
      <c r="S14" s="7">
        <f>TONT20000DEC2015!L14+TONT20000JANV!J14+TONT20000FEV!J14+TONT20000MARS!J14+TONT20000AVRIL!J14+TONT20000MAI!J14+TONT20000JUIN!J14+TONT20000JUIL!J14+TONT20000AOUT!J14+TONT20000SEPT!J14+TONT20000OCT!J14+TONT20000NOV!K14</f>
        <v>30000</v>
      </c>
      <c r="T14" s="7">
        <f>TONT20000DEC2015!M14+TONT20000JANV!K14+TONT20000FEV!K14+TONT20000MARS!K14+TONT20000AVRIL!K14+TONT20000MAI!K14+TONT20000JUIN!K14+TONT20000JUIL!K14+TONT20000AOUT!K14+TONT20000SEPT!K14+TONT20000OCT!K14+TONT20000NOV!L14</f>
        <v>0</v>
      </c>
      <c r="U14" s="7">
        <f>TONT20000DEC2015!N14+TONT20000JANV!L14+TONT20000FEV!L14+TONT20000MARS!L14+TONT20000AVRIL!L14+TONT20000MAI!L14+TONT20000JUIN!L14+TONT20000JUIL!L14+TONT20000AOUT!L14+TONT20000SEPT!L14+TONT20000OCT!L14+TONT20000NOV!M14</f>
        <v>156000</v>
      </c>
      <c r="V14" s="7">
        <f>TONT20000DEC2015!O14+TONT20000JANV!M14+TONT20000FEV!M14+TONT20000MARS!M14+TONT20000AVRIL!M14+TONT20000MAI!M14+TONT20000JUIN!M14+TONT20000JUIL!M14+TONT20000AOUT!M14+TONT20000SEPT!M14+TONT20000OCT!M14+TONT20000NOV!N14</f>
        <v>0</v>
      </c>
      <c r="W14" s="7">
        <f>TONT20000DEC2015!P14+TONT20000JANV!N14+TONT20000FEV!N14+TONT20000MARS!N14+TONT20000AVRIL!N14+TONT20000MAI!N14+TONT20000JUIN!N14+TONT20000JUIL!N14+TONT20000AOUT!N14+TONT20000SEPT!N14+TONT20000OCT!N14+TONT20000NOV!O14</f>
        <v>0</v>
      </c>
      <c r="X14" s="7">
        <f>TONT20000DEC2015!Q14+TONT20000JANV!O14+TONT20000FEV!O14+TONT20000MARS!O14+TONT20000AVRIL!O14+TONT20000MAI!O14+TONT20000JUIN!O14+TONT20000JUIL!O14+TONT20000AOUT!O14+TONT20000SEPT!O14+TONT20000OCT!O14+TONT20000NOV!P14</f>
        <v>0</v>
      </c>
      <c r="Y14" s="7">
        <f>TONT20000DEC2015!R14+TONT20000JANV!P14+TONT20000FEV!P14+TONT20000MARS!P14+TONT20000AVRIL!P14+TONT20000MAI!P14+TONT20000JUIN!P14+TONT20000JUIL!P14+TONT20000AOUT!P14+TONT20000SEPT!P14+TONT20000OCT!P14+TONT20000NOV!Q14</f>
        <v>0</v>
      </c>
      <c r="Z14" s="7">
        <f>TONT20000DEC2015!S14+TONT20000JANV!Q14+TONT20000FEV!Q14+TONT20000MARS!Q14+TONT20000AVRIL!Q14+TONT20000MAI!Q14+TONT20000JUIN!Q14+TONT20000JUIL!Q14+TONT20000AOUT!Q14+TONT20000SEPT!Q14+TONT20000OCT!Q14+TONT20000NOV!R14</f>
        <v>0</v>
      </c>
      <c r="AA14" s="7">
        <f>TONT20000DEC2015!T14+TONT20000JANV!R14+TONT20000FEV!R14+TONT20000MARS!R14+TONT20000AVRIL!R14+TONT20000MAI!R14+TONT20000JUIN!R14+TONT20000JUIL!R14+TONT20000AOUT!R14+TONT20000SEPT!R14+TONT20000OCT!R14+TONT20000NOV!S14</f>
        <v>0</v>
      </c>
    </row>
    <row r="15" spans="1:28" x14ac:dyDescent="0.25">
      <c r="A15" s="1" t="s">
        <v>20</v>
      </c>
      <c r="B15" s="1" t="str">
        <f>VLOOKUP(A15,LISTADHERENT!A$5:H$52,2,0)</f>
        <v>FOTSO THOMAS</v>
      </c>
      <c r="C15" s="6">
        <f>VLOOKUP(A15,FONDSDECAISSE!A$5:C$52,3,0)</f>
        <v>390000</v>
      </c>
      <c r="D15" s="6">
        <v>3318</v>
      </c>
      <c r="E15" s="6">
        <f t="shared" si="0"/>
        <v>429318</v>
      </c>
      <c r="F15" s="6">
        <f>TONT20000DEC2015!E15+TONT20000JANV!C15+TONT20000FEV!C15+TONT20000MARS!C15+TONT20000AVRIL!C15+TONT20000MAI!C15+TONT20000JUIN!C15+TONT20000JUIL!C15+TONT20000AOUT!C15+TONT20000SEPT!C15+TONT20000OCT!C15+TONT20000NOV!C15</f>
        <v>48204.028324520041</v>
      </c>
      <c r="G15" s="6">
        <f>TONT20000NOV!E15</f>
        <v>477522.02832452004</v>
      </c>
      <c r="H15" s="6">
        <f t="shared" si="1"/>
        <v>87522.028324520041</v>
      </c>
      <c r="I15" s="6">
        <f t="shared" si="2"/>
        <v>80000</v>
      </c>
      <c r="J15" s="36">
        <f t="shared" si="3"/>
        <v>7522.0283245200408</v>
      </c>
      <c r="K15" s="6">
        <v>30000</v>
      </c>
      <c r="L15" s="6"/>
      <c r="M15" s="6">
        <v>50000</v>
      </c>
      <c r="N15" s="6">
        <f t="shared" si="4"/>
        <v>0</v>
      </c>
      <c r="O15" s="7">
        <f>TONT20000DEC2015!H15+TONT20000JANV!F15+TONT20000FEV!F15+TONT20000MARS!F15+TONT20000AVRIL!F15+TONT20000MAI!F15+TONT20000JUIN!F15+TONT20000JUIL!F15+TONT20000AOUT!F15+TONT20000SEPT!F15+TONT20000OCT!F15+TONT20000NOV!G15</f>
        <v>240000</v>
      </c>
      <c r="P15" s="7">
        <f>TONT20000DEC2015!I15+TONT20000JANV!G15+TONT20000FEV!G15+TONT20000MARS!G15+TONT20000AVRIL!G15+TONT20000MAI!G15+TONT20000JUIN!G15+TONT20000JUIL!G15+TONT20000AOUT!G15+TONT20000SEPT!G15+TONT20000OCT!G15+TONT20000NOV!H15</f>
        <v>36000</v>
      </c>
      <c r="Q15" s="7">
        <f>TONT20000DEC2015!J15+TONT20000JANV!H15+TONT20000FEV!H15+TONT20000MARS!H15+TONT20000AVRIL!H15+TONT20000MAI!H15+TONT20000JUIN!H15+TONT20000JUIL!H15+TONT20000AOUT!H15+TONT20000SEPT!H15+TONT20000OCT!H15+TONT20000NOV!I15</f>
        <v>6000</v>
      </c>
      <c r="R15" s="7">
        <f>TONT20000DEC2015!K15+TONT20000JANV!I15+TONT20000FEV!I15+TONT20000MARS!I15+TONT20000AVRIL!I15+TONT20000MAI!I15+TONT20000JUIN!I15+TONT20000JUIL!I15+TONT20000AOUT!I15+TONT20000SEPT!I15+TONT20000OCT!I15+TONT20000NOV!J15</f>
        <v>12000</v>
      </c>
      <c r="S15" s="7">
        <f>TONT20000DEC2015!L15+TONT20000JANV!J15+TONT20000FEV!J15+TONT20000MARS!J15+TONT20000AVRIL!J15+TONT20000MAI!J15+TONT20000JUIN!J15+TONT20000JUIL!J15+TONT20000AOUT!J15+TONT20000SEPT!J15+TONT20000OCT!J15+TONT20000NOV!K15</f>
        <v>30000</v>
      </c>
      <c r="T15" s="7">
        <f>TONT20000DEC2015!M15+TONT20000JANV!K15+TONT20000FEV!K15+TONT20000MARS!K15+TONT20000AVRIL!K15+TONT20000MAI!K15+TONT20000JUIN!K15+TONT20000JUIL!K15+TONT20000AOUT!K15+TONT20000SEPT!K15+TONT20000OCT!K15+TONT20000NOV!L15</f>
        <v>0</v>
      </c>
      <c r="U15" s="7">
        <f>TONT20000DEC2015!N15+TONT20000JANV!L15+TONT20000FEV!L15+TONT20000MARS!L15+TONT20000AVRIL!L15+TONT20000MAI!L15+TONT20000JUIN!L15+TONT20000JUIL!L15+TONT20000AOUT!L15+TONT20000SEPT!L15+TONT20000OCT!L15+TONT20000NOV!M15</f>
        <v>156000</v>
      </c>
      <c r="V15" s="7">
        <f>TONT20000DEC2015!O15+TONT20000JANV!M15+TONT20000FEV!M15+TONT20000MARS!M15+TONT20000AVRIL!M15+TONT20000MAI!M15+TONT20000JUIN!M15+TONT20000JUIL!M15+TONT20000AOUT!M15+TONT20000SEPT!M15+TONT20000OCT!M15+TONT20000NOV!N15</f>
        <v>1000000</v>
      </c>
      <c r="W15" s="7">
        <f>TONT20000DEC2015!P15+TONT20000JANV!N15+TONT20000FEV!N15+TONT20000MARS!N15+TONT20000AVRIL!N15+TONT20000MAI!N15+TONT20000JUIN!N15+TONT20000JUIL!N15+TONT20000AOUT!N15+TONT20000SEPT!N15+TONT20000OCT!N15+TONT20000NOV!O15</f>
        <v>120000</v>
      </c>
      <c r="X15" s="7">
        <f>TONT20000DEC2015!Q15+TONT20000JANV!O15+TONT20000FEV!O15+TONT20000MARS!O15+TONT20000AVRIL!O15+TONT20000MAI!O15+TONT20000JUIN!O15+TONT20000JUIL!O15+TONT20000AOUT!O15+TONT20000SEPT!O15+TONT20000OCT!O15+TONT20000NOV!P15</f>
        <v>0</v>
      </c>
      <c r="Y15" s="7">
        <f>TONT20000DEC2015!R15+TONT20000JANV!P15+TONT20000FEV!P15+TONT20000MARS!P15+TONT20000AVRIL!P15+TONT20000MAI!P15+TONT20000JUIN!P15+TONT20000JUIL!P15+TONT20000AOUT!P15+TONT20000SEPT!P15+TONT20000OCT!P15+TONT20000NOV!Q15</f>
        <v>0</v>
      </c>
      <c r="Z15" s="7">
        <f>TONT20000DEC2015!S15+TONT20000JANV!Q15+TONT20000FEV!Q15+TONT20000MARS!Q15+TONT20000AVRIL!Q15+TONT20000MAI!Q15+TONT20000JUIN!Q15+TONT20000JUIL!Q15+TONT20000AOUT!Q15+TONT20000SEPT!Q15+TONT20000OCT!Q15+TONT20000NOV!R15</f>
        <v>0</v>
      </c>
      <c r="AA15" s="7">
        <f>TONT20000DEC2015!T15+TONT20000JANV!R15+TONT20000FEV!R15+TONT20000MARS!R15+TONT20000AVRIL!R15+TONT20000MAI!R15+TONT20000JUIN!R15+TONT20000JUIL!R15+TONT20000AOUT!R15+TONT20000SEPT!R15+TONT20000OCT!R15+TONT20000NOV!S15</f>
        <v>0</v>
      </c>
    </row>
    <row r="16" spans="1:28" x14ac:dyDescent="0.25">
      <c r="A16" s="1" t="s">
        <v>21</v>
      </c>
      <c r="B16" s="1" t="str">
        <f>VLOOKUP(A16,LISTADHERENT!A$5:H$52,2,0)</f>
        <v>HENGUE PAUL OMER</v>
      </c>
      <c r="C16" s="6">
        <f>VLOOKUP(A16,FONDSDECAISSE!A$5:C$52,3,0)</f>
        <v>390000</v>
      </c>
      <c r="D16" s="6">
        <v>1083990</v>
      </c>
      <c r="E16" s="6">
        <f t="shared" si="0"/>
        <v>1503990</v>
      </c>
      <c r="F16" s="6">
        <f>TONT20000DEC2015!E16+TONT20000JANV!C16+TONT20000FEV!C16+TONT20000MARS!C16+TONT20000AVRIL!C16+TONT20000MAI!C16+TONT20000JUIN!C16+TONT20000JUIL!C16+TONT20000AOUT!C16+TONT20000SEPT!C16+TONT20000OCT!C16+TONT20000NOV!C16</f>
        <v>47702.041325197948</v>
      </c>
      <c r="G16" s="6">
        <f>TONT20000NOV!E16</f>
        <v>467702.04132519802</v>
      </c>
      <c r="H16" s="6">
        <f t="shared" si="1"/>
        <v>1161692.041325198</v>
      </c>
      <c r="I16" s="6">
        <f t="shared" si="2"/>
        <v>88000</v>
      </c>
      <c r="J16" s="36">
        <f t="shared" si="3"/>
        <v>1073692.041325198</v>
      </c>
      <c r="K16" s="6">
        <v>30000</v>
      </c>
      <c r="L16" s="6"/>
      <c r="M16" s="6">
        <v>50000</v>
      </c>
      <c r="N16" s="6">
        <f t="shared" si="4"/>
        <v>8000</v>
      </c>
      <c r="O16" s="7">
        <f>TONT20000DEC2015!H16+TONT20000JANV!F16+TONT20000FEV!F16+TONT20000MARS!F16+TONT20000AVRIL!F16+TONT20000MAI!F16+TONT20000JUIN!F16+TONT20000JUIL!F16+TONT20000AOUT!F16+TONT20000SEPT!F16+TONT20000OCT!F16+TONT20000NOV!G16</f>
        <v>200000</v>
      </c>
      <c r="P16" s="7">
        <f>TONT20000DEC2015!I16+TONT20000JANV!G16+TONT20000FEV!G16+TONT20000MARS!G16+TONT20000AVRIL!G16+TONT20000MAI!G16+TONT20000JUIN!G16+TONT20000JUIL!G16+TONT20000AOUT!G16+TONT20000SEPT!G16+TONT20000OCT!G16+TONT20000NOV!H16</f>
        <v>30000</v>
      </c>
      <c r="Q16" s="7">
        <f>TONT20000DEC2015!J16+TONT20000JANV!H16+TONT20000FEV!H16+TONT20000MARS!H16+TONT20000AVRIL!H16+TONT20000MAI!H16+TONT20000JUIN!H16+TONT20000JUIL!H16+TONT20000AOUT!H16+TONT20000SEPT!H16+TONT20000OCT!H16+TONT20000NOV!I16</f>
        <v>5000</v>
      </c>
      <c r="R16" s="7">
        <f>TONT20000DEC2015!K16+TONT20000JANV!I16+TONT20000FEV!I16+TONT20000MARS!I16+TONT20000AVRIL!I16+TONT20000MAI!I16+TONT20000JUIN!I16+TONT20000JUIL!I16+TONT20000AOUT!I16+TONT20000SEPT!I16+TONT20000OCT!I16+TONT20000NOV!J16</f>
        <v>10000</v>
      </c>
      <c r="S16" s="7">
        <f>TONT20000DEC2015!L16+TONT20000JANV!J16+TONT20000FEV!J16+TONT20000MARS!J16+TONT20000AVRIL!J16+TONT20000MAI!J16+TONT20000JUIN!J16+TONT20000JUIL!J16+TONT20000AOUT!J16+TONT20000SEPT!J16+TONT20000OCT!J16+TONT20000NOV!K16</f>
        <v>25000</v>
      </c>
      <c r="T16" s="7">
        <f>TONT20000DEC2015!M16+TONT20000JANV!K16+TONT20000FEV!K16+TONT20000MARS!K16+TONT20000AVRIL!K16+TONT20000MAI!K16+TONT20000JUIN!K16+TONT20000JUIL!K16+TONT20000AOUT!K16+TONT20000SEPT!K16+TONT20000OCT!K16+TONT20000NOV!L16</f>
        <v>0</v>
      </c>
      <c r="U16" s="7">
        <f>TONT20000DEC2015!N16+TONT20000JANV!L16+TONT20000FEV!L16+TONT20000MARS!L16+TONT20000AVRIL!L16+TONT20000MAI!L16+TONT20000JUIN!L16+TONT20000JUIL!L16+TONT20000AOUT!L16+TONT20000SEPT!L16+TONT20000OCT!L16+TONT20000NOV!M16</f>
        <v>130000</v>
      </c>
      <c r="V16" s="7">
        <f>TONT20000DEC2015!O16+TONT20000JANV!M16+TONT20000FEV!M16+TONT20000MARS!M16+TONT20000AVRIL!M16+TONT20000MAI!M16+TONT20000JUIN!M16+TONT20000JUIL!M16+TONT20000AOUT!M16+TONT20000SEPT!M16+TONT20000OCT!M16+TONT20000NOV!N16</f>
        <v>0</v>
      </c>
      <c r="W16" s="7">
        <f>TONT20000DEC2015!P16+TONT20000JANV!N16+TONT20000FEV!N16+TONT20000MARS!N16+TONT20000AVRIL!N16+TONT20000MAI!N16+TONT20000JUIN!N16+TONT20000JUIL!N16+TONT20000AOUT!N16+TONT20000SEPT!N16+TONT20000OCT!N16+TONT20000NOV!O16</f>
        <v>0</v>
      </c>
      <c r="X16" s="7">
        <f>TONT20000DEC2015!Q16+TONT20000JANV!O16+TONT20000FEV!O16+TONT20000MARS!O16+TONT20000AVRIL!O16+TONT20000MAI!O16+TONT20000JUIN!O16+TONT20000JUIL!O16+TONT20000AOUT!O16+TONT20000SEPT!O16+TONT20000OCT!O16+TONT20000NOV!P16</f>
        <v>0</v>
      </c>
      <c r="Y16" s="7">
        <f>TONT20000DEC2015!R16+TONT20000JANV!P16+TONT20000FEV!P16+TONT20000MARS!P16+TONT20000AVRIL!P16+TONT20000MAI!P16+TONT20000JUIN!P16+TONT20000JUIL!P16+TONT20000AOUT!P16+TONT20000SEPT!P16+TONT20000OCT!P16+TONT20000NOV!Q16</f>
        <v>0</v>
      </c>
      <c r="Z16" s="7">
        <f>TONT20000DEC2015!S16+TONT20000JANV!Q16+TONT20000FEV!Q16+TONT20000MARS!Q16+TONT20000AVRIL!Q16+TONT20000MAI!Q16+TONT20000JUIN!Q16+TONT20000JUIL!Q16+TONT20000AOUT!Q16+TONT20000SEPT!Q16+TONT20000OCT!Q16+TONT20000NOV!R16</f>
        <v>0</v>
      </c>
      <c r="AA16" s="7">
        <f>TONT20000DEC2015!T16+TONT20000JANV!R16+TONT20000FEV!R16+TONT20000MARS!R16+TONT20000AVRIL!R16+TONT20000MAI!R16+TONT20000JUIN!R16+TONT20000JUIL!R16+TONT20000AOUT!R16+TONT20000SEPT!R16+TONT20000OCT!R16+TONT20000NOV!S16</f>
        <v>0</v>
      </c>
    </row>
    <row r="17" spans="1:27" x14ac:dyDescent="0.25">
      <c r="A17" s="1" t="s">
        <v>22</v>
      </c>
      <c r="B17" s="1" t="str">
        <f>VLOOKUP(A17,LISTADHERENT!A$5:H$52,2,0)</f>
        <v>HODIEP JULES</v>
      </c>
      <c r="C17" s="6">
        <v>50000</v>
      </c>
      <c r="D17" s="6">
        <v>0</v>
      </c>
      <c r="E17" s="6">
        <f t="shared" si="0"/>
        <v>58100</v>
      </c>
      <c r="F17" s="6">
        <f>TONT20000DEC2015!E17+TONT20000JANV!C17+TONT20000FEV!C17+TONT20000MARS!C17+TONT20000AVRIL!C17+TONT20000MAI!C17+TONT20000JUIN!C17+TONT20000JUIL!C17+TONT20000AOUT!C17+TONT20000SEPT!C17+TONT20000OCT!C17+TONT20000NOV!C17</f>
        <v>6252.3821302807419</v>
      </c>
      <c r="G17" s="6">
        <f>TONT20000NOV!E17</f>
        <v>92252.382130280748</v>
      </c>
      <c r="H17" s="6">
        <f t="shared" si="1"/>
        <v>14352.382130280741</v>
      </c>
      <c r="I17" s="6">
        <f t="shared" si="2"/>
        <v>14092</v>
      </c>
      <c r="J17" s="36">
        <f t="shared" si="3"/>
        <v>260.38213028074097</v>
      </c>
      <c r="K17" s="6"/>
      <c r="L17" s="6"/>
      <c r="M17" s="6">
        <f>50000-35908</f>
        <v>14092</v>
      </c>
      <c r="N17" s="6">
        <f t="shared" si="4"/>
        <v>0</v>
      </c>
      <c r="O17" s="7">
        <f>TONT20000DEC2015!H17+TONT20000JANV!F17+TONT20000FEV!F17+TONT20000MARS!F17+TONT20000AVRIL!F17+TONT20000MAI!F17+TONT20000JUIN!F17+TONT20000JUIL!F17+TONT20000AOUT!F17+TONT20000SEPT!F17+TONT20000OCT!F17+TONT20000NOV!G17</f>
        <v>240000</v>
      </c>
      <c r="P17" s="7">
        <f>TONT20000DEC2015!I17+TONT20000JANV!G17+TONT20000FEV!G17+TONT20000MARS!G17+TONT20000AVRIL!G17+TONT20000MAI!G17+TONT20000JUIN!G17+TONT20000JUIL!G17+TONT20000AOUT!G17+TONT20000SEPT!G17+TONT20000OCT!G17+TONT20000NOV!H17-18000-9900</f>
        <v>8100</v>
      </c>
      <c r="Q17" s="7">
        <f>TONT20000DEC2015!J17+TONT20000JANV!H17+TONT20000FEV!H17+TONT20000MARS!H17+TONT20000AVRIL!H17+TONT20000MAI!H17+TONT20000JUIN!H17+TONT20000JUIL!H17+TONT20000AOUT!H17+TONT20000SEPT!H17+TONT20000OCT!H17+TONT20000NOV!I17</f>
        <v>6000</v>
      </c>
      <c r="R17" s="7">
        <f>TONT20000DEC2015!K17+TONT20000JANV!I17+TONT20000FEV!I17+TONT20000MARS!I17+TONT20000AVRIL!I17+TONT20000MAI!I17+TONT20000JUIN!I17+TONT20000JUIL!I17+TONT20000AOUT!I17+TONT20000SEPT!I17+TONT20000OCT!I17+TONT20000NOV!J17</f>
        <v>12000</v>
      </c>
      <c r="S17" s="7">
        <f>TONT20000DEC2015!L17+TONT20000JANV!J17+TONT20000FEV!J17+TONT20000MARS!J17+TONT20000AVRIL!J17+TONT20000MAI!J17+TONT20000JUIN!J17+TONT20000JUIL!J17+TONT20000AOUT!J17+TONT20000SEPT!J17+TONT20000OCT!J17+TONT20000NOV!K17</f>
        <v>30000</v>
      </c>
      <c r="T17" s="7">
        <f>TONT20000DEC2015!M17+TONT20000JANV!K17+TONT20000FEV!K17+TONT20000MARS!K17+TONT20000AVRIL!K17+TONT20000MAI!K17+TONT20000JUIN!K17+TONT20000JUIL!K17+TONT20000AOUT!K17+TONT20000SEPT!K17+TONT20000OCT!K17+TONT20000NOV!L17</f>
        <v>0</v>
      </c>
      <c r="U17" s="7">
        <f>TONT20000DEC2015!N17+TONT20000JANV!L17+TONT20000FEV!L17+TONT20000MARS!L17+TONT20000AVRIL!L17+TONT20000MAI!L17+TONT20000JUIN!L17+TONT20000JUIL!L17+TONT20000AOUT!L17+TONT20000SEPT!L17+TONT20000OCT!L17+TONT20000NOV!M17</f>
        <v>156000</v>
      </c>
      <c r="V17" s="7">
        <f>TONT20000DEC2015!O17+TONT20000JANV!M17+TONT20000FEV!M17+TONT20000MARS!M17+TONT20000AVRIL!M17+TONT20000MAI!M17+TONT20000JUIN!M17+TONT20000JUIL!M17+TONT20000AOUT!M17+TONT20000SEPT!M17+TONT20000OCT!M17+TONT20000NOV!N17</f>
        <v>0</v>
      </c>
      <c r="W17" s="7">
        <f>TONT20000DEC2015!P17+TONT20000JANV!N17+TONT20000FEV!N17+TONT20000MARS!N17+TONT20000AVRIL!N17+TONT20000MAI!N17+TONT20000JUIN!N17+TONT20000JUIL!N17+TONT20000AOUT!N17+TONT20000SEPT!N17+TONT20000OCT!N17+TONT20000NOV!O17</f>
        <v>0</v>
      </c>
      <c r="X17" s="7">
        <f>TONT20000DEC2015!Q17+TONT20000JANV!O17+TONT20000FEV!O17+TONT20000MARS!O17+TONT20000AVRIL!O17+TONT20000MAI!O17+TONT20000JUIN!O17+TONT20000JUIL!O17+TONT20000AOUT!O17+TONT20000SEPT!O17+TONT20000OCT!O17+TONT20000NOV!P17</f>
        <v>0</v>
      </c>
      <c r="Y17" s="7">
        <f>TONT20000DEC2015!R17+TONT20000JANV!P17+TONT20000FEV!P17+TONT20000MARS!P17+TONT20000AVRIL!P17+TONT20000MAI!P17+TONT20000JUIN!P17+TONT20000JUIL!P17+TONT20000AOUT!P17+TONT20000SEPT!P17+TONT20000OCT!P17+TONT20000NOV!Q17</f>
        <v>0</v>
      </c>
      <c r="Z17" s="7">
        <f>TONT20000DEC2015!S17+TONT20000JANV!Q17+TONT20000FEV!Q17+TONT20000MARS!Q17+TONT20000AVRIL!Q17+TONT20000MAI!Q17+TONT20000JUIN!Q17+TONT20000JUIL!Q17+TONT20000AOUT!Q17+TONT20000SEPT!Q17+TONT20000OCT!Q17+TONT20000NOV!R17</f>
        <v>0</v>
      </c>
      <c r="AA17" s="7">
        <f>TONT20000DEC2015!T17+TONT20000JANV!R17+TONT20000FEV!R17+TONT20000MARS!R17+TONT20000AVRIL!R17+TONT20000MAI!R17+TONT20000JUIN!R17+TONT20000JUIL!R17+TONT20000AOUT!R17+TONT20000SEPT!R17+TONT20000OCT!R17+TONT20000NOV!S17</f>
        <v>0</v>
      </c>
    </row>
    <row r="18" spans="1:27" x14ac:dyDescent="0.25">
      <c r="A18" s="1" t="s">
        <v>23</v>
      </c>
      <c r="B18" s="1" t="str">
        <f>VLOOKUP(A18,LISTADHERENT!A$5:H$52,2,0)</f>
        <v>HOTCHO BENJAMIN</v>
      </c>
      <c r="C18" s="6">
        <f>VLOOKUP(A18,FONDSDECAISSE!A$5:C$52,3,0)</f>
        <v>390000</v>
      </c>
      <c r="D18" s="6">
        <v>8723</v>
      </c>
      <c r="E18" s="6">
        <f t="shared" si="0"/>
        <v>482723</v>
      </c>
      <c r="F18" s="6">
        <f>TONT20000DEC2015!E18+TONT20000JANV!C18+TONT20000FEV!C18+TONT20000MARS!C18+TONT20000AVRIL!C18+TONT20000MAI!C18+TONT20000JUIN!C18+TONT20000JUIL!C18+TONT20000AOUT!C18+TONT20000SEPT!C18+TONT20000OCT!C18+TONT20000NOV!C18</f>
        <v>49962.37627619991</v>
      </c>
      <c r="G18" s="6">
        <f>TONT20000NOV!E18</f>
        <v>532685.37627619994</v>
      </c>
      <c r="H18" s="6">
        <f t="shared" si="1"/>
        <v>142685.37627619991</v>
      </c>
      <c r="I18" s="6">
        <f t="shared" si="2"/>
        <v>30000</v>
      </c>
      <c r="J18" s="36">
        <f t="shared" si="3"/>
        <v>112685.37627619991</v>
      </c>
      <c r="K18" s="6">
        <v>30000</v>
      </c>
      <c r="L18" s="6"/>
      <c r="M18" s="6">
        <v>0</v>
      </c>
      <c r="N18" s="6">
        <f t="shared" si="4"/>
        <v>0</v>
      </c>
      <c r="O18" s="7">
        <f>TONT20000DEC2015!H18+TONT20000JANV!F18+TONT20000FEV!F18+TONT20000MARS!F18+TONT20000AVRIL!F18+TONT20000MAI!F18+TONT20000JUIN!F18+TONT20000JUIL!F18+TONT20000AOUT!F18+TONT20000SEPT!F18+TONT20000OCT!F18+TONT20000NOV!G18</f>
        <v>338000</v>
      </c>
      <c r="P18" s="7">
        <f>TONT20000DEC2015!I18+TONT20000JANV!G18+TONT20000FEV!G18+TONT20000MARS!G18+TONT20000AVRIL!G18+TONT20000MAI!G18+TONT20000JUIN!G18+TONT20000JUIL!G18+TONT20000AOUT!G18+TONT20000SEPT!G18+TONT20000OCT!G18+TONT20000NOV!H18</f>
        <v>84000</v>
      </c>
      <c r="Q18" s="7">
        <f>TONT20000DEC2015!J18+TONT20000JANV!H18+TONT20000FEV!H18+TONT20000MARS!H18+TONT20000AVRIL!H18+TONT20000MAI!H18+TONT20000JUIN!H18+TONT20000JUIL!H18+TONT20000AOUT!H18+TONT20000SEPT!H18+TONT20000OCT!H18+TONT20000NOV!I18</f>
        <v>6000</v>
      </c>
      <c r="R18" s="7">
        <f>TONT20000DEC2015!K18+TONT20000JANV!I18+TONT20000FEV!I18+TONT20000MARS!I18+TONT20000AVRIL!I18+TONT20000MAI!I18+TONT20000JUIN!I18+TONT20000JUIL!I18+TONT20000AOUT!I18+TONT20000SEPT!I18+TONT20000OCT!I18+TONT20000NOV!J18</f>
        <v>12000</v>
      </c>
      <c r="S18" s="7">
        <f>TONT20000DEC2015!L18+TONT20000JANV!J18+TONT20000FEV!J18+TONT20000MARS!J18+TONT20000AVRIL!J18+TONT20000MAI!J18+TONT20000JUIN!J18+TONT20000JUIL!J18+TONT20000AOUT!J18+TONT20000SEPT!J18+TONT20000OCT!J18+TONT20000NOV!K18</f>
        <v>30000</v>
      </c>
      <c r="T18" s="7">
        <f>TONT20000DEC2015!M18+TONT20000JANV!K18+TONT20000FEV!K18+TONT20000MARS!K18+TONT20000AVRIL!K18+TONT20000MAI!K18+TONT20000JUIN!K18+TONT20000JUIL!K18+TONT20000AOUT!K18+TONT20000SEPT!K18+TONT20000OCT!K18+TONT20000NOV!L18</f>
        <v>50000</v>
      </c>
      <c r="U18" s="7">
        <f>TONT20000DEC2015!N18+TONT20000JANV!L18+TONT20000FEV!L18+TONT20000MARS!L18+TONT20000AVRIL!L18+TONT20000MAI!L18+TONT20000JUIN!L18+TONT20000JUIL!L18+TONT20000AOUT!L18+TONT20000SEPT!L18+TONT20000OCT!L18+TONT20000NOV!M18</f>
        <v>156000</v>
      </c>
      <c r="V18" s="7">
        <f>TONT20000DEC2015!O18+TONT20000JANV!M18+TONT20000FEV!M18+TONT20000MARS!M18+TONT20000AVRIL!M18+TONT20000MAI!M18+TONT20000JUIN!M18+TONT20000JUIL!M18+TONT20000AOUT!M18+TONT20000SEPT!M18+TONT20000OCT!M18+TONT20000NOV!N18</f>
        <v>0</v>
      </c>
      <c r="W18" s="7">
        <f>TONT20000DEC2015!P18+TONT20000JANV!N18+TONT20000FEV!N18+TONT20000MARS!N18+TONT20000AVRIL!N18+TONT20000MAI!N18+TONT20000JUIN!N18+TONT20000JUIL!N18+TONT20000AOUT!N18+TONT20000SEPT!N18+TONT20000OCT!N18+TONT20000NOV!O18</f>
        <v>0</v>
      </c>
      <c r="X18" s="7">
        <f>TONT20000DEC2015!Q18+TONT20000JANV!O18+TONT20000FEV!O18+TONT20000MARS!O18+TONT20000AVRIL!O18+TONT20000MAI!O18+TONT20000JUIN!O18+TONT20000JUIL!O18+TONT20000AOUT!O18+TONT20000SEPT!O18+TONT20000OCT!O18+TONT20000NOV!P18</f>
        <v>0</v>
      </c>
      <c r="Y18" s="7">
        <f>TONT20000DEC2015!R18+TONT20000JANV!P18+TONT20000FEV!P18+TONT20000MARS!P18+TONT20000AVRIL!P18+TONT20000MAI!P18+TONT20000JUIN!P18+TONT20000JUIL!P18+TONT20000AOUT!P18+TONT20000SEPT!P18+TONT20000OCT!P18+TONT20000NOV!Q18</f>
        <v>0</v>
      </c>
      <c r="Z18" s="7">
        <f>TONT20000DEC2015!S18+TONT20000JANV!Q18+TONT20000FEV!Q18+TONT20000MARS!Q18+TONT20000AVRIL!Q18+TONT20000MAI!Q18+TONT20000JUIN!Q18+TONT20000JUIL!Q18+TONT20000AOUT!Q18+TONT20000SEPT!Q18+TONT20000OCT!Q18+TONT20000NOV!R18</f>
        <v>0</v>
      </c>
      <c r="AA18" s="7">
        <f>TONT20000DEC2015!T18+TONT20000JANV!R18+TONT20000FEV!R18+TONT20000MARS!R18+TONT20000AVRIL!R18+TONT20000MAI!R18+TONT20000JUIN!R18+TONT20000JUIL!R18+TONT20000AOUT!R18+TONT20000SEPT!R18+TONT20000OCT!R18+TONT20000NOV!S18</f>
        <v>0</v>
      </c>
    </row>
    <row r="19" spans="1:27" x14ac:dyDescent="0.25">
      <c r="A19" s="1" t="s">
        <v>24</v>
      </c>
      <c r="B19" s="1" t="str">
        <f>VLOOKUP(A19,LISTADHERENT!A$5:H$52,2,0)</f>
        <v>KEPHE DAVID</v>
      </c>
      <c r="C19" s="6">
        <f>VLOOKUP(A19,FONDSDECAISSE!A$5:C$52,3,0)</f>
        <v>0</v>
      </c>
      <c r="D19" s="6">
        <v>12795</v>
      </c>
      <c r="E19" s="6">
        <f t="shared" si="0"/>
        <v>18000</v>
      </c>
      <c r="F19" s="6">
        <f>TONT20000DEC2015!E19+TONT20000JANV!C19+TONT20000FEV!C19+TONT20000MARS!C19+TONT20000AVRIL!C19+TONT20000MAI!C19+TONT20000JUIN!C19+TONT20000JUIL!C19+TONT20000AOUT!C19+TONT20000SEPT!C19+TONT20000OCT!C19+TONT20000NOV!C19</f>
        <v>4006.3134869877263</v>
      </c>
      <c r="G19" s="6">
        <f>TONT20000NOV!E19</f>
        <v>52801.313486987739</v>
      </c>
      <c r="H19" s="6">
        <f t="shared" si="1"/>
        <v>22006.313486987725</v>
      </c>
      <c r="I19" s="6">
        <f t="shared" si="2"/>
        <v>25161</v>
      </c>
      <c r="J19" s="36">
        <f t="shared" si="3"/>
        <v>-3154.6865130122751</v>
      </c>
      <c r="K19" s="6"/>
      <c r="L19" s="6"/>
      <c r="M19" s="6">
        <f>50000-24839</f>
        <v>25161</v>
      </c>
      <c r="N19" s="6">
        <f t="shared" si="4"/>
        <v>0</v>
      </c>
      <c r="O19" s="7">
        <f>TONT20000DEC2015!H19+TONT20000JANV!F19+TONT20000FEV!F19+TONT20000MARS!F19+TONT20000AVRIL!F19+TONT20000MAI!F19+TONT20000JUIN!F19+TONT20000JUIL!F19+TONT20000AOUT!F19+TONT20000SEPT!F19+TONT20000OCT!F19+TONT20000NOV!G19</f>
        <v>240000</v>
      </c>
      <c r="P19" s="7">
        <f>TONT20000DEC2015!I19+TONT20000JANV!G19+TONT20000FEV!G19+TONT20000MARS!G19+TONT20000AVRIL!G19+TONT20000MAI!G19+TONT20000JUIN!G19+TONT20000JUIL!G19+TONT20000AOUT!G19+TONT20000SEPT!G19+TONT20000OCT!G19+TONT20000NOV!H19-30795</f>
        <v>5205</v>
      </c>
      <c r="Q19" s="7">
        <f>TONT20000DEC2015!J19+TONT20000JANV!H19+TONT20000FEV!H19+TONT20000MARS!H19+TONT20000AVRIL!H19+TONT20000MAI!H19+TONT20000JUIN!H19+TONT20000JUIL!H19+TONT20000AOUT!H19+TONT20000SEPT!H19+TONT20000OCT!H19+TONT20000NOV!I19</f>
        <v>6000</v>
      </c>
      <c r="R19" s="7">
        <f>TONT20000DEC2015!K19+TONT20000JANV!I19+TONT20000FEV!I19+TONT20000MARS!I19+TONT20000AVRIL!I19+TONT20000MAI!I19+TONT20000JUIN!I19+TONT20000JUIL!I19+TONT20000AOUT!I19+TONT20000SEPT!I19+TONT20000OCT!I19+TONT20000NOV!J19</f>
        <v>12000</v>
      </c>
      <c r="S19" s="7">
        <f>TONT20000DEC2015!L19+TONT20000JANV!J19+TONT20000FEV!J19+TONT20000MARS!J19+TONT20000AVRIL!J19+TONT20000MAI!J19+TONT20000JUIN!J19+TONT20000JUIL!J19+TONT20000AOUT!J19+TONT20000SEPT!J19+TONT20000OCT!J19+TONT20000NOV!K19</f>
        <v>30000</v>
      </c>
      <c r="T19" s="7">
        <f>TONT20000DEC2015!M19+TONT20000JANV!K19+TONT20000FEV!K19+TONT20000MARS!K19+TONT20000AVRIL!K19+TONT20000MAI!K19+TONT20000JUIN!K19+TONT20000JUIL!K19+TONT20000AOUT!K19+TONT20000SEPT!K19+TONT20000OCT!K19+TONT20000NOV!L19</f>
        <v>0</v>
      </c>
      <c r="U19" s="7">
        <f>TONT20000DEC2015!N19+TONT20000JANV!L19+TONT20000FEV!L19+TONT20000MARS!L19+TONT20000AVRIL!L19+TONT20000MAI!L19+TONT20000JUIN!L19+TONT20000JUIL!L19+TONT20000AOUT!L19+TONT20000SEPT!L19+TONT20000OCT!L19+TONT20000NOV!M19</f>
        <v>156000</v>
      </c>
      <c r="V19" s="7">
        <f>TONT20000DEC2015!O19+TONT20000JANV!M19+TONT20000FEV!M19+TONT20000MARS!M19+TONT20000AVRIL!M19+TONT20000MAI!M19+TONT20000JUIN!M19+TONT20000JUIL!M19+TONT20000AOUT!M19+TONT20000SEPT!M19+TONT20000OCT!M19+TONT20000NOV!N19</f>
        <v>0</v>
      </c>
      <c r="W19" s="7">
        <f>TONT20000DEC2015!P19+TONT20000JANV!N19+TONT20000FEV!N19+TONT20000MARS!N19+TONT20000AVRIL!N19+TONT20000MAI!N19+TONT20000JUIN!N19+TONT20000JUIL!N19+TONT20000AOUT!N19+TONT20000SEPT!N19+TONT20000OCT!N19+TONT20000NOV!O19</f>
        <v>0</v>
      </c>
      <c r="X19" s="7">
        <f>TONT20000DEC2015!Q19+TONT20000JANV!O19+TONT20000FEV!O19+TONT20000MARS!O19+TONT20000AVRIL!O19+TONT20000MAI!O19+TONT20000JUIN!O19+TONT20000JUIL!O19+TONT20000AOUT!O19+TONT20000SEPT!O19+TONT20000OCT!O19+TONT20000NOV!P19</f>
        <v>0</v>
      </c>
      <c r="Y19" s="7">
        <f>TONT20000DEC2015!R19+TONT20000JANV!P19+TONT20000FEV!P19+TONT20000MARS!P19+TONT20000AVRIL!P19+TONT20000MAI!P19+TONT20000JUIN!P19+TONT20000JUIL!P19+TONT20000AOUT!P19+TONT20000SEPT!P19+TONT20000OCT!P19+TONT20000NOV!Q19</f>
        <v>0</v>
      </c>
      <c r="Z19" s="7">
        <f>TONT20000DEC2015!S19+TONT20000JANV!Q19+TONT20000FEV!Q19+TONT20000MARS!Q19+TONT20000AVRIL!Q19+TONT20000MAI!Q19+TONT20000JUIN!Q19+TONT20000JUIL!Q19+TONT20000AOUT!Q19+TONT20000SEPT!Q19+TONT20000OCT!Q19+TONT20000NOV!R19</f>
        <v>0</v>
      </c>
      <c r="AA19" s="7">
        <f>TONT20000DEC2015!T19+TONT20000JANV!R19+TONT20000FEV!R19+TONT20000MARS!R19+TONT20000AVRIL!R19+TONT20000MAI!R19+TONT20000JUIN!R19+TONT20000JUIL!R19+TONT20000AOUT!R19+TONT20000SEPT!R19+TONT20000OCT!R19+TONT20000NOV!S19</f>
        <v>0</v>
      </c>
    </row>
    <row r="20" spans="1:27" x14ac:dyDescent="0.25">
      <c r="A20" s="1" t="s">
        <v>25</v>
      </c>
      <c r="B20" s="1" t="str">
        <f>VLOOKUP(A20,LISTADHERENT!A$5:H$52,2,0)</f>
        <v>KEPSEU FRANCIS</v>
      </c>
      <c r="C20" s="6">
        <f>VLOOKUP(A20,FONDSDECAISSE!A$5:C$52,3,0)</f>
        <v>390000</v>
      </c>
      <c r="D20" s="6">
        <v>186997</v>
      </c>
      <c r="E20" s="6">
        <f t="shared" si="0"/>
        <v>1128997</v>
      </c>
      <c r="F20" s="6">
        <f>TONT20000DEC2015!E20+TONT20000JANV!C20+TONT20000FEV!C20+TONT20000MARS!C20+TONT20000AVRIL!C20+TONT20000MAI!C20+TONT20000JUIN!C20+TONT20000JUIL!C20+TONT20000AOUT!C20+TONT20000SEPT!C20+TONT20000OCT!C20+TONT20000NOV!C20</f>
        <v>117428.79810456731</v>
      </c>
      <c r="G20" s="6">
        <f>TONT20000NOV!E20</f>
        <v>1246425.7981045675</v>
      </c>
      <c r="H20" s="6">
        <f t="shared" si="1"/>
        <v>856425.79810456734</v>
      </c>
      <c r="I20" s="6">
        <f t="shared" si="2"/>
        <v>80000</v>
      </c>
      <c r="J20" s="36">
        <f t="shared" si="3"/>
        <v>776425.79810456734</v>
      </c>
      <c r="K20" s="6">
        <v>30000</v>
      </c>
      <c r="L20" s="6"/>
      <c r="M20" s="6">
        <v>50000</v>
      </c>
      <c r="N20" s="6">
        <f t="shared" si="4"/>
        <v>0</v>
      </c>
      <c r="O20" s="7">
        <f>TONT20000DEC2015!H20+TONT20000JANV!F20+TONT20000FEV!F20+TONT20000MARS!F20+TONT20000AVRIL!F20+TONT20000MAI!F20+TONT20000JUIN!F20+TONT20000JUIL!F20+TONT20000AOUT!F20+TONT20000SEPT!F20+TONT20000OCT!F20+TONT20000NOV!G20</f>
        <v>756000</v>
      </c>
      <c r="P20" s="7">
        <f>TONT20000DEC2015!I20+TONT20000JANV!G20+TONT20000FEV!G20+TONT20000MARS!G20+TONT20000AVRIL!G20+TONT20000MAI!G20+TONT20000JUIN!G20+TONT20000JUIL!G20+TONT20000AOUT!G20+TONT20000SEPT!G20+TONT20000OCT!G20+TONT20000NOV!H20</f>
        <v>552000</v>
      </c>
      <c r="Q20" s="7">
        <f>TONT20000DEC2015!J20+TONT20000JANV!H20+TONT20000FEV!H20+TONT20000MARS!H20+TONT20000AVRIL!H20+TONT20000MAI!H20+TONT20000JUIN!H20+TONT20000JUIL!H20+TONT20000AOUT!H20+TONT20000SEPT!H20+TONT20000OCT!H20+TONT20000NOV!I20</f>
        <v>6000</v>
      </c>
      <c r="R20" s="7">
        <f>TONT20000DEC2015!K20+TONT20000JANV!I20+TONT20000FEV!I20+TONT20000MARS!I20+TONT20000AVRIL!I20+TONT20000MAI!I20+TONT20000JUIN!I20+TONT20000JUIL!I20+TONT20000AOUT!I20+TONT20000SEPT!I20+TONT20000OCT!I20+TONT20000NOV!J20</f>
        <v>12000</v>
      </c>
      <c r="S20" s="7">
        <f>TONT20000DEC2015!L20+TONT20000JANV!J20+TONT20000FEV!J20+TONT20000MARS!J20+TONT20000AVRIL!J20+TONT20000MAI!J20+TONT20000JUIN!J20+TONT20000JUIL!J20+TONT20000AOUT!J20+TONT20000SEPT!J20+TONT20000OCT!J20+TONT20000NOV!K20</f>
        <v>30000</v>
      </c>
      <c r="T20" s="7">
        <f>TONT20000DEC2015!M20+TONT20000JANV!K20+TONT20000FEV!K20+TONT20000MARS!K20+TONT20000AVRIL!K20+TONT20000MAI!K20+TONT20000JUIN!K20+TONT20000JUIL!K20+TONT20000AOUT!K20+TONT20000SEPT!K20+TONT20000OCT!K20+TONT20000NOV!L20</f>
        <v>0</v>
      </c>
      <c r="U20" s="7">
        <f>TONT20000DEC2015!N20+TONT20000JANV!L20+TONT20000FEV!L20+TONT20000MARS!L20+TONT20000AVRIL!L20+TONT20000MAI!L20+TONT20000JUIN!L20+TONT20000JUIL!L20+TONT20000AOUT!L20+TONT20000SEPT!L20+TONT20000OCT!L20+TONT20000NOV!M20</f>
        <v>156000</v>
      </c>
      <c r="V20" s="7">
        <f>TONT20000DEC2015!O20+TONT20000JANV!M20+TONT20000FEV!M20+TONT20000MARS!M20+TONT20000AVRIL!M20+TONT20000MAI!M20+TONT20000JUIN!M20+TONT20000JUIL!M20+TONT20000AOUT!M20+TONT20000SEPT!M20+TONT20000OCT!M20+TONT20000NOV!N20</f>
        <v>0</v>
      </c>
      <c r="W20" s="7">
        <f>TONT20000DEC2015!P20+TONT20000JANV!N20+TONT20000FEV!N20+TONT20000MARS!N20+TONT20000AVRIL!N20+TONT20000MAI!N20+TONT20000JUIN!N20+TONT20000JUIL!N20+TONT20000AOUT!N20+TONT20000SEPT!N20+TONT20000OCT!N20+TONT20000NOV!O20</f>
        <v>0</v>
      </c>
      <c r="X20" s="7">
        <f>TONT20000DEC2015!Q20+TONT20000JANV!O20+TONT20000FEV!O20+TONT20000MARS!O20+TONT20000AVRIL!O20+TONT20000MAI!O20+TONT20000JUIN!O20+TONT20000JUIL!O20+TONT20000AOUT!O20+TONT20000SEPT!O20+TONT20000OCT!O20+TONT20000NOV!P20</f>
        <v>0</v>
      </c>
      <c r="Y20" s="7">
        <f>TONT20000DEC2015!R20+TONT20000JANV!P20+TONT20000FEV!P20+TONT20000MARS!P20+TONT20000AVRIL!P20+TONT20000MAI!P20+TONT20000JUIN!P20+TONT20000JUIL!P20+TONT20000AOUT!P20+TONT20000SEPT!P20+TONT20000OCT!P20+TONT20000NOV!Q20</f>
        <v>0</v>
      </c>
      <c r="Z20" s="7">
        <f>TONT20000DEC2015!S20+TONT20000JANV!Q20+TONT20000FEV!Q20+TONT20000MARS!Q20+TONT20000AVRIL!Q20+TONT20000MAI!Q20+TONT20000JUIN!Q20+TONT20000JUIL!Q20+TONT20000AOUT!Q20+TONT20000SEPT!Q20+TONT20000OCT!Q20+TONT20000NOV!R20</f>
        <v>0</v>
      </c>
      <c r="AA20" s="7">
        <f>TONT20000DEC2015!T20+TONT20000JANV!R20+TONT20000FEV!R20+TONT20000MARS!R20+TONT20000AVRIL!R20+TONT20000MAI!R20+TONT20000JUIN!R20+TONT20000JUIL!R20+TONT20000AOUT!R20+TONT20000SEPT!R20+TONT20000OCT!R20+TONT20000NOV!S20</f>
        <v>0</v>
      </c>
    </row>
    <row r="21" spans="1:27" x14ac:dyDescent="0.25">
      <c r="A21" s="1" t="s">
        <v>26</v>
      </c>
      <c r="B21" s="1" t="str">
        <f>VLOOKUP(A21,LISTADHERENT!A$5:H$52,2,0)</f>
        <v>KOUAMOU EMMANUEL</v>
      </c>
      <c r="C21" s="6">
        <f>VLOOKUP(A21,FONDSDECAISSE!A$5:C$52,3,0)</f>
        <v>390000</v>
      </c>
      <c r="D21" s="6">
        <v>2723</v>
      </c>
      <c r="E21" s="6">
        <f t="shared" si="0"/>
        <v>428723</v>
      </c>
      <c r="F21" s="6">
        <f>TONT20000DEC2015!E21+TONT20000JANV!C21+TONT20000FEV!C21+TONT20000MARS!C21+TONT20000AVRIL!C21+TONT20000MAI!C21+TONT20000JUIN!C21+TONT20000JUIL!C21+TONT20000AOUT!C21+TONT20000SEPT!C21+TONT20000OCT!C21+TONT20000NOV!C21</f>
        <v>48134.919123950465</v>
      </c>
      <c r="G21" s="6">
        <f>TONT20000NOV!E21</f>
        <v>476857.91912395041</v>
      </c>
      <c r="H21" s="6">
        <f t="shared" si="1"/>
        <v>86857.919123950473</v>
      </c>
      <c r="I21" s="6">
        <f t="shared" si="2"/>
        <v>80000</v>
      </c>
      <c r="J21" s="36">
        <f t="shared" si="3"/>
        <v>6857.9191239504726</v>
      </c>
      <c r="K21" s="6">
        <v>30000</v>
      </c>
      <c r="L21" s="6"/>
      <c r="M21" s="6">
        <v>50000</v>
      </c>
      <c r="N21" s="6">
        <f t="shared" si="4"/>
        <v>0</v>
      </c>
      <c r="O21" s="7">
        <f>TONT20000DEC2015!H21+TONT20000JANV!F21+TONT20000FEV!F21+TONT20000MARS!F21+TONT20000AVRIL!F21+TONT20000MAI!F21+TONT20000JUIN!F21+TONT20000JUIL!F21+TONT20000AOUT!F21+TONT20000SEPT!F21+TONT20000OCT!F21+TONT20000NOV!G21</f>
        <v>240000</v>
      </c>
      <c r="P21" s="7">
        <f>TONT20000DEC2015!I21+TONT20000JANV!G21+TONT20000FEV!G21+TONT20000MARS!G21+TONT20000AVRIL!G21+TONT20000MAI!G21+TONT20000JUIN!G21+TONT20000JUIL!G21+TONT20000AOUT!G21+TONT20000SEPT!G21+TONT20000OCT!G21+TONT20000NOV!H21</f>
        <v>36000</v>
      </c>
      <c r="Q21" s="7">
        <f>TONT20000DEC2015!J21+TONT20000JANV!H21+TONT20000FEV!H21+TONT20000MARS!H21+TONT20000AVRIL!H21+TONT20000MAI!H21+TONT20000JUIN!H21+TONT20000JUIL!H21+TONT20000AOUT!H21+TONT20000SEPT!H21+TONT20000OCT!H21+TONT20000NOV!I21</f>
        <v>6000</v>
      </c>
      <c r="R21" s="7">
        <f>TONT20000DEC2015!K21+TONT20000JANV!I21+TONT20000FEV!I21+TONT20000MARS!I21+TONT20000AVRIL!I21+TONT20000MAI!I21+TONT20000JUIN!I21+TONT20000JUIL!I21+TONT20000AOUT!I21+TONT20000SEPT!I21+TONT20000OCT!I21+TONT20000NOV!J21</f>
        <v>12000</v>
      </c>
      <c r="S21" s="7">
        <f>TONT20000DEC2015!L21+TONT20000JANV!J21+TONT20000FEV!J21+TONT20000MARS!J21+TONT20000AVRIL!J21+TONT20000MAI!J21+TONT20000JUIN!J21+TONT20000JUIL!J21+TONT20000AOUT!J21+TONT20000SEPT!J21+TONT20000OCT!J21+TONT20000NOV!K21</f>
        <v>30000</v>
      </c>
      <c r="T21" s="7">
        <f>TONT20000DEC2015!M21+TONT20000JANV!K21+TONT20000FEV!K21+TONT20000MARS!K21+TONT20000AVRIL!K21+TONT20000MAI!K21+TONT20000JUIN!K21+TONT20000JUIL!K21+TONT20000AOUT!K21+TONT20000SEPT!K21+TONT20000OCT!K21+TONT20000NOV!L21</f>
        <v>0</v>
      </c>
      <c r="U21" s="7">
        <f>TONT20000DEC2015!N21+TONT20000JANV!L21+TONT20000FEV!L21+TONT20000MARS!L21+TONT20000AVRIL!L21+TONT20000MAI!L21+TONT20000JUIN!L21+TONT20000JUIL!L21+TONT20000AOUT!L21+TONT20000SEPT!L21+TONT20000OCT!L21+TONT20000NOV!M21</f>
        <v>156000</v>
      </c>
      <c r="V21" s="7">
        <f>TONT20000DEC2015!O21+TONT20000JANV!M21+TONT20000FEV!M21+TONT20000MARS!M21+TONT20000AVRIL!M21+TONT20000MAI!M21+TONT20000JUIN!M21+TONT20000JUIL!M21+TONT20000AOUT!M21+TONT20000SEPT!M21+TONT20000OCT!M21+TONT20000NOV!N21</f>
        <v>1000000</v>
      </c>
      <c r="W21" s="7">
        <f>TONT20000DEC2015!P21+TONT20000JANV!N21+TONT20000FEV!N21+TONT20000MARS!N21+TONT20000AVRIL!N21+TONT20000MAI!N21+TONT20000JUIN!N21+TONT20000JUIL!N21+TONT20000AOUT!N21+TONT20000SEPT!N21+TONT20000OCT!N21+TONT20000NOV!O21</f>
        <v>120000</v>
      </c>
      <c r="X21" s="7">
        <f>TONT20000DEC2015!Q21+TONT20000JANV!O21+TONT20000FEV!O21+TONT20000MARS!O21+TONT20000AVRIL!O21+TONT20000MAI!O21+TONT20000JUIN!O21+TONT20000JUIL!O21+TONT20000AOUT!O21+TONT20000SEPT!O21+TONT20000OCT!O21+TONT20000NOV!P21</f>
        <v>0</v>
      </c>
      <c r="Y21" s="7">
        <f>TONT20000DEC2015!R21+TONT20000JANV!P21+TONT20000FEV!P21+TONT20000MARS!P21+TONT20000AVRIL!P21+TONT20000MAI!P21+TONT20000JUIN!P21+TONT20000JUIL!P21+TONT20000AOUT!P21+TONT20000SEPT!P21+TONT20000OCT!P21+TONT20000NOV!Q21</f>
        <v>0</v>
      </c>
      <c r="Z21" s="7">
        <f>TONT20000DEC2015!S21+TONT20000JANV!Q21+TONT20000FEV!Q21+TONT20000MARS!Q21+TONT20000AVRIL!Q21+TONT20000MAI!Q21+TONT20000JUIN!Q21+TONT20000JUIL!Q21+TONT20000AOUT!Q21+TONT20000SEPT!Q21+TONT20000OCT!Q21+TONT20000NOV!R21</f>
        <v>0</v>
      </c>
      <c r="AA21" s="7">
        <f>TONT20000DEC2015!T21+TONT20000JANV!R21+TONT20000FEV!R21+TONT20000MARS!R21+TONT20000AVRIL!R21+TONT20000MAI!R21+TONT20000JUIN!R21+TONT20000JUIL!R21+TONT20000AOUT!R21+TONT20000SEPT!R21+TONT20000OCT!R21+TONT20000NOV!S21</f>
        <v>0</v>
      </c>
    </row>
    <row r="22" spans="1:27" ht="12.75" customHeight="1" x14ac:dyDescent="0.25">
      <c r="A22" s="1" t="s">
        <v>27</v>
      </c>
      <c r="B22" s="1" t="str">
        <f>VLOOKUP(A22,LISTADHERENT!A$5:H$52,2,0)</f>
        <v>KOUAMOU MOISE</v>
      </c>
      <c r="C22" s="6">
        <v>390000</v>
      </c>
      <c r="D22" s="6">
        <v>2099</v>
      </c>
      <c r="E22" s="6">
        <f t="shared" si="0"/>
        <v>428099</v>
      </c>
      <c r="F22" s="6">
        <f>TONT20000DEC2015!E22+TONT20000JANV!C22+TONT20000FEV!C22+TONT20000MARS!C22+TONT20000AVRIL!C22+TONT20000MAI!C22+TONT20000JUIN!C22+TONT20000JUIL!C22+TONT20000AOUT!C22+TONT20000SEPT!C22+TONT20000OCT!C22+TONT20000NOV!C22</f>
        <v>44949.508052013894</v>
      </c>
      <c r="G22" s="6">
        <f>TONT20000NOV!E22</f>
        <v>473048.50805201381</v>
      </c>
      <c r="H22" s="6">
        <f t="shared" si="1"/>
        <v>83048.508052013902</v>
      </c>
      <c r="I22" s="6">
        <f t="shared" si="2"/>
        <v>80000</v>
      </c>
      <c r="J22" s="36">
        <f t="shared" si="3"/>
        <v>3048.5080520139018</v>
      </c>
      <c r="K22" s="6">
        <v>30000</v>
      </c>
      <c r="L22" s="6"/>
      <c r="M22" s="6">
        <v>50000</v>
      </c>
      <c r="N22" s="6">
        <f t="shared" si="4"/>
        <v>0</v>
      </c>
      <c r="O22" s="7">
        <f>TONT20000DEC2015!H22+TONT20000JANV!F22+TONT20000FEV!F22+TONT20000MARS!F22+TONT20000AVRIL!F22+TONT20000MAI!F22+TONT20000JUIN!F22+TONT20000JUIL!F22+TONT20000AOUT!F22+TONT20000SEPT!F22+TONT20000OCT!F22+TONT20000NOV!G22</f>
        <v>240000</v>
      </c>
      <c r="P22" s="7">
        <f>TONT20000DEC2015!I22+TONT20000JANV!G22+TONT20000FEV!G22+TONT20000MARS!G22+TONT20000AVRIL!G22+TONT20000MAI!G22+TONT20000JUIN!G22+TONT20000JUIL!G22+TONT20000AOUT!G22+TONT20000SEPT!G22+TONT20000OCT!G22+TONT20000NOV!H22</f>
        <v>36000</v>
      </c>
      <c r="Q22" s="7">
        <f>TONT20000DEC2015!J22+TONT20000JANV!H22+TONT20000FEV!H22+TONT20000MARS!H22+TONT20000AVRIL!H22+TONT20000MAI!H22+TONT20000JUIN!H22+TONT20000JUIL!H22+TONT20000AOUT!H22+TONT20000SEPT!H22+TONT20000OCT!H22+TONT20000NOV!I22</f>
        <v>6000</v>
      </c>
      <c r="R22" s="7">
        <f>TONT20000DEC2015!K22+TONT20000JANV!I22+TONT20000FEV!I22+TONT20000MARS!I22+TONT20000AVRIL!I22+TONT20000MAI!I22+TONT20000JUIN!I22+TONT20000JUIL!I22+TONT20000AOUT!I22+TONT20000SEPT!I22+TONT20000OCT!I22+TONT20000NOV!J22</f>
        <v>12000</v>
      </c>
      <c r="S22" s="7">
        <f>TONT20000DEC2015!L22+TONT20000JANV!J22+TONT20000FEV!J22+TONT20000MARS!J22+TONT20000AVRIL!J22+TONT20000MAI!J22+TONT20000JUIN!J22+TONT20000JUIL!J22+TONT20000AOUT!J22+TONT20000SEPT!J22+TONT20000OCT!J22+TONT20000NOV!K22</f>
        <v>30000</v>
      </c>
      <c r="T22" s="7">
        <f>TONT20000DEC2015!M22+TONT20000JANV!K22+TONT20000FEV!K22+TONT20000MARS!K22+TONT20000AVRIL!K22+TONT20000MAI!K22+TONT20000JUIN!K22+TONT20000JUIL!K22+TONT20000AOUT!K22+TONT20000SEPT!K22+TONT20000OCT!K22+TONT20000NOV!L22</f>
        <v>0</v>
      </c>
      <c r="U22" s="7">
        <f>TONT20000DEC2015!N22+TONT20000JANV!L22+TONT20000FEV!L22+TONT20000MARS!L22+TONT20000AVRIL!L22+TONT20000MAI!L22+TONT20000JUIN!L22+TONT20000JUIL!L22+TONT20000AOUT!L22+TONT20000SEPT!L22+TONT20000OCT!L22+TONT20000NOV!M22</f>
        <v>156000</v>
      </c>
      <c r="V22" s="7">
        <f>TONT20000DEC2015!O22+TONT20000JANV!M22+TONT20000FEV!M22+TONT20000MARS!M22+TONT20000AVRIL!M22+TONT20000MAI!M22+TONT20000JUIN!M22+TONT20000JUIL!M22+TONT20000AOUT!M22+TONT20000SEPT!M22+TONT20000OCT!M22+TONT20000NOV!N22</f>
        <v>860000</v>
      </c>
      <c r="W22" s="7">
        <f>TONT20000DEC2015!P22+TONT20000JANV!N22+TONT20000FEV!N22+TONT20000MARS!N22+TONT20000AVRIL!N22+TONT20000MAI!N22+TONT20000JUIN!N22+TONT20000JUIL!N22+TONT20000AOUT!N22+TONT20000SEPT!N22+TONT20000OCT!N22+TONT20000NOV!O22</f>
        <v>97800</v>
      </c>
      <c r="X22" s="7">
        <f>TONT20000DEC2015!Q22+TONT20000JANV!O22+TONT20000FEV!O22+TONT20000MARS!O22+TONT20000AVRIL!O22+TONT20000MAI!O22+TONT20000JUIN!O22+TONT20000JUIL!O22+TONT20000AOUT!O22+TONT20000SEPT!O22+TONT20000OCT!O22+TONT20000NOV!P22</f>
        <v>0</v>
      </c>
      <c r="Y22" s="7">
        <f>TONT20000DEC2015!R22+TONT20000JANV!P22+TONT20000FEV!P22+TONT20000MARS!P22+TONT20000AVRIL!P22+TONT20000MAI!P22+TONT20000JUIN!P22+TONT20000JUIL!P22+TONT20000AOUT!P22+TONT20000SEPT!P22+TONT20000OCT!P22+TONT20000NOV!Q22</f>
        <v>0</v>
      </c>
      <c r="Z22" s="7">
        <f>TONT20000DEC2015!S22+TONT20000JANV!Q22+TONT20000FEV!Q22+TONT20000MARS!Q22+TONT20000AVRIL!Q22+TONT20000MAI!Q22+TONT20000JUIN!Q22+TONT20000JUIL!Q22+TONT20000AOUT!Q22+TONT20000SEPT!Q22+TONT20000OCT!Q22+TONT20000NOV!R22</f>
        <v>0</v>
      </c>
      <c r="AA22" s="7">
        <f>TONT20000DEC2015!T22+TONT20000JANV!R22+TONT20000FEV!R22+TONT20000MARS!R22+TONT20000AVRIL!R22+TONT20000MAI!R22+TONT20000JUIN!R22+TONT20000JUIL!R22+TONT20000AOUT!R22+TONT20000SEPT!R22+TONT20000OCT!R22+TONT20000NOV!S22</f>
        <v>0</v>
      </c>
    </row>
    <row r="23" spans="1:27" x14ac:dyDescent="0.25">
      <c r="A23" s="1" t="s">
        <v>28</v>
      </c>
      <c r="B23" s="1" t="str">
        <f>VLOOKUP(A23,LISTADHERENT!A$5:H$52,2,0)</f>
        <v>KOUAMOU VICTOR PEGUY</v>
      </c>
      <c r="C23" s="6">
        <f>VLOOKUP(A23,FONDSDECAISSE!A$5:C$52,3,0)</f>
        <v>390000</v>
      </c>
      <c r="D23" s="6">
        <v>36629</v>
      </c>
      <c r="E23" s="6">
        <f t="shared" si="0"/>
        <v>461629</v>
      </c>
      <c r="F23" s="6">
        <f>TONT20000DEC2015!E23+TONT20000JANV!C23+TONT20000FEV!C23+TONT20000MARS!C23+TONT20000AVRIL!C23+TONT20000MAI!C23+TONT20000JUIN!C23+TONT20000JUIL!C23+TONT20000AOUT!C23+TONT20000SEPT!C23+TONT20000OCT!C23+TONT20000NOV!C23</f>
        <v>52057.784299896477</v>
      </c>
      <c r="G23" s="6">
        <f>TONT20000NOV!E23</f>
        <v>513686.78429989645</v>
      </c>
      <c r="H23" s="6">
        <f t="shared" si="1"/>
        <v>123686.78429989648</v>
      </c>
      <c r="I23" s="6">
        <f t="shared" si="2"/>
        <v>80000</v>
      </c>
      <c r="J23" s="36">
        <f t="shared" si="3"/>
        <v>43686.784299896477</v>
      </c>
      <c r="K23" s="6">
        <v>30000</v>
      </c>
      <c r="L23" s="6"/>
      <c r="M23" s="6">
        <v>50000</v>
      </c>
      <c r="N23" s="6">
        <f t="shared" si="4"/>
        <v>0</v>
      </c>
      <c r="O23" s="7">
        <f>TONT20000DEC2015!H23+TONT20000JANV!F23+TONT20000FEV!F23+TONT20000MARS!F23+TONT20000AVRIL!F23+TONT20000MAI!F23+TONT20000JUIN!F23+TONT20000JUIL!F23+TONT20000AOUT!F23+TONT20000SEPT!F23+TONT20000OCT!F23+TONT20000NOV!G23</f>
        <v>239000</v>
      </c>
      <c r="P23" s="7">
        <f>TONT20000DEC2015!I23+TONT20000JANV!G23+TONT20000FEV!G23+TONT20000MARS!G23+TONT20000AVRIL!G23+TONT20000MAI!G23+TONT20000JUIN!G23+TONT20000JUIL!G23+TONT20000AOUT!G23+TONT20000SEPT!G23+TONT20000OCT!G23+TONT20000NOV!H23</f>
        <v>35000</v>
      </c>
      <c r="Q23" s="7">
        <f>TONT20000DEC2015!J23+TONT20000JANV!H23+TONT20000FEV!H23+TONT20000MARS!H23+TONT20000AVRIL!H23+TONT20000MAI!H23+TONT20000JUIN!H23+TONT20000JUIL!H23+TONT20000AOUT!H23+TONT20000SEPT!H23+TONT20000OCT!H23+TONT20000NOV!I23</f>
        <v>6000</v>
      </c>
      <c r="R23" s="7">
        <f>TONT20000DEC2015!K23+TONT20000JANV!I23+TONT20000FEV!I23+TONT20000MARS!I23+TONT20000AVRIL!I23+TONT20000MAI!I23+TONT20000JUIN!I23+TONT20000JUIL!I23+TONT20000AOUT!I23+TONT20000SEPT!I23+TONT20000OCT!I23+TONT20000NOV!J23</f>
        <v>12000</v>
      </c>
      <c r="S23" s="7">
        <f>TONT20000DEC2015!L23+TONT20000JANV!J23+TONT20000FEV!J23+TONT20000MARS!J23+TONT20000AVRIL!J23+TONT20000MAI!J23+TONT20000JUIN!J23+TONT20000JUIL!J23+TONT20000AOUT!J23+TONT20000SEPT!J23+TONT20000OCT!J23+TONT20000NOV!K23</f>
        <v>30000</v>
      </c>
      <c r="T23" s="7">
        <f>TONT20000DEC2015!M23+TONT20000JANV!K23+TONT20000FEV!K23+TONT20000MARS!K23+TONT20000AVRIL!K23+TONT20000MAI!K23+TONT20000JUIN!K23+TONT20000JUIL!K23+TONT20000AOUT!K23+TONT20000SEPT!K23+TONT20000OCT!K23+TONT20000NOV!L23</f>
        <v>0</v>
      </c>
      <c r="U23" s="7">
        <f>TONT20000DEC2015!N23+TONT20000JANV!L23+TONT20000FEV!L23+TONT20000MARS!L23+TONT20000AVRIL!L23+TONT20000MAI!L23+TONT20000JUIN!L23+TONT20000JUIL!L23+TONT20000AOUT!L23+TONT20000SEPT!L23+TONT20000OCT!L23+TONT20000NOV!M23</f>
        <v>156000</v>
      </c>
      <c r="V23" s="7">
        <f>TONT20000DEC2015!O23+TONT20000JANV!M23+TONT20000FEV!M23+TONT20000MARS!M23+TONT20000AVRIL!M23+TONT20000MAI!M23+TONT20000JUIN!M23+TONT20000JUIL!M23+TONT20000AOUT!M23+TONT20000SEPT!M23+TONT20000OCT!M23+TONT20000NOV!N23</f>
        <v>1800000</v>
      </c>
      <c r="W23" s="7">
        <f>TONT20000DEC2015!P23+TONT20000JANV!N23+TONT20000FEV!N23+TONT20000MARS!N23+TONT20000AVRIL!N23+TONT20000MAI!N23+TONT20000JUIN!N23+TONT20000JUIL!N23+TONT20000AOUT!N23+TONT20000SEPT!N23+TONT20000OCT!N23+TONT20000NOV!O23</f>
        <v>128000</v>
      </c>
      <c r="X23" s="7">
        <f>TONT20000DEC2015!Q23+TONT20000JANV!O23+TONT20000FEV!O23+TONT20000MARS!O23+TONT20000AVRIL!O23+TONT20000MAI!O23+TONT20000JUIN!O23+TONT20000JUIL!O23+TONT20000AOUT!O23+TONT20000SEPT!O23+TONT20000OCT!O23+TONT20000NOV!P23</f>
        <v>1000000</v>
      </c>
      <c r="Y23" s="7">
        <f>TONT20000DEC2015!R23+TONT20000JANV!P23+TONT20000FEV!P23+TONT20000MARS!P23+TONT20000AVRIL!P23+TONT20000MAI!P23+TONT20000JUIN!P23+TONT20000JUIL!P23+TONT20000AOUT!P23+TONT20000SEPT!P23+TONT20000OCT!P23+TONT20000NOV!Q23</f>
        <v>0</v>
      </c>
      <c r="Z23" s="7">
        <f>TONT20000DEC2015!S23+TONT20000JANV!Q23+TONT20000FEV!Q23+TONT20000MARS!Q23+TONT20000AVRIL!Q23+TONT20000MAI!Q23+TONT20000JUIN!Q23+TONT20000JUIL!Q23+TONT20000AOUT!Q23+TONT20000SEPT!Q23+TONT20000OCT!Q23+TONT20000NOV!R23</f>
        <v>0</v>
      </c>
      <c r="AA23" s="7">
        <f>TONT20000DEC2015!T23+TONT20000JANV!R23+TONT20000FEV!R23+TONT20000MARS!R23+TONT20000AVRIL!R23+TONT20000MAI!R23+TONT20000JUIN!R23+TONT20000JUIL!R23+TONT20000AOUT!R23+TONT20000SEPT!R23+TONT20000OCT!R23+TONT20000NOV!S23</f>
        <v>0</v>
      </c>
    </row>
    <row r="24" spans="1:27" x14ac:dyDescent="0.25">
      <c r="A24" s="1" t="s">
        <v>29</v>
      </c>
      <c r="B24" s="1" t="str">
        <f>VLOOKUP(A24,LISTADHERENT!A$5:H$52,2,0)</f>
        <v>KOUATCHO MESSACK</v>
      </c>
      <c r="C24" s="6">
        <f>VLOOKUP(A24,FONDSDECAISSE!A$5:C$52,3,0)</f>
        <v>390000</v>
      </c>
      <c r="D24" s="6">
        <v>0</v>
      </c>
      <c r="E24" s="6">
        <f t="shared" si="0"/>
        <v>426000</v>
      </c>
      <c r="F24" s="6">
        <f>TONT20000DEC2015!E24+TONT20000JANV!C24+TONT20000FEV!C24+TONT20000MARS!C24+TONT20000AVRIL!C24+TONT20000MAI!C24+TONT20000JUIN!C24+TONT20000JUIL!C24+TONT20000AOUT!C24+TONT20000SEPT!C24+TONT20000OCT!C24+TONT20000NOV!C24</f>
        <v>47818.642900167419</v>
      </c>
      <c r="G24" s="6">
        <f>TONT20000NOV!E24</f>
        <v>473818.64290016744</v>
      </c>
      <c r="H24" s="6">
        <f t="shared" si="1"/>
        <v>83818.642900167411</v>
      </c>
      <c r="I24" s="6">
        <f t="shared" si="2"/>
        <v>80000</v>
      </c>
      <c r="J24" s="36">
        <f t="shared" si="3"/>
        <v>3818.6429001674114</v>
      </c>
      <c r="K24" s="6">
        <v>30000</v>
      </c>
      <c r="L24" s="6"/>
      <c r="M24" s="6">
        <v>50000</v>
      </c>
      <c r="N24" s="6">
        <f t="shared" si="4"/>
        <v>0</v>
      </c>
      <c r="O24" s="7">
        <f>TONT20000DEC2015!H24+TONT20000JANV!F24+TONT20000FEV!F24+TONT20000MARS!F24+TONT20000AVRIL!F24+TONT20000MAI!F24+TONT20000JUIN!F24+TONT20000JUIL!F24+TONT20000AOUT!F24+TONT20000SEPT!F24+TONT20000OCT!F24+TONT20000NOV!G24</f>
        <v>240000</v>
      </c>
      <c r="P24" s="7">
        <f>TONT20000DEC2015!I24+TONT20000JANV!G24+TONT20000FEV!G24+TONT20000MARS!G24+TONT20000AVRIL!G24+TONT20000MAI!G24+TONT20000JUIN!G24+TONT20000JUIL!G24+TONT20000AOUT!G24+TONT20000SEPT!G24+TONT20000OCT!G24+TONT20000NOV!H24</f>
        <v>36000</v>
      </c>
      <c r="Q24" s="7">
        <f>TONT20000DEC2015!J24+TONT20000JANV!H24+TONT20000FEV!H24+TONT20000MARS!H24+TONT20000AVRIL!H24+TONT20000MAI!H24+TONT20000JUIN!H24+TONT20000JUIL!H24+TONT20000AOUT!H24+TONT20000SEPT!H24+TONT20000OCT!H24+TONT20000NOV!I24</f>
        <v>6000</v>
      </c>
      <c r="R24" s="7">
        <f>TONT20000DEC2015!K24+TONT20000JANV!I24+TONT20000FEV!I24+TONT20000MARS!I24+TONT20000AVRIL!I24+TONT20000MAI!I24+TONT20000JUIN!I24+TONT20000JUIL!I24+TONT20000AOUT!I24+TONT20000SEPT!I24+TONT20000OCT!I24+TONT20000NOV!J24</f>
        <v>12000</v>
      </c>
      <c r="S24" s="7">
        <f>TONT20000DEC2015!L24+TONT20000JANV!J24+TONT20000FEV!J24+TONT20000MARS!J24+TONT20000AVRIL!J24+TONT20000MAI!J24+TONT20000JUIN!J24+TONT20000JUIL!J24+TONT20000AOUT!J24+TONT20000SEPT!J24+TONT20000OCT!J24+TONT20000NOV!K24</f>
        <v>30000</v>
      </c>
      <c r="T24" s="7">
        <f>TONT20000DEC2015!M24+TONT20000JANV!K24+TONT20000FEV!K24+TONT20000MARS!K24+TONT20000AVRIL!K24+TONT20000MAI!K24+TONT20000JUIN!K24+TONT20000JUIL!K24+TONT20000AOUT!K24+TONT20000SEPT!K24+TONT20000OCT!K24+TONT20000NOV!L24</f>
        <v>0</v>
      </c>
      <c r="U24" s="7">
        <f>TONT20000DEC2015!N24+TONT20000JANV!L24+TONT20000FEV!L24+TONT20000MARS!L24+TONT20000AVRIL!L24+TONT20000MAI!L24+TONT20000JUIN!L24+TONT20000JUIL!L24+TONT20000AOUT!L24+TONT20000SEPT!L24+TONT20000OCT!L24+TONT20000NOV!M24</f>
        <v>156000</v>
      </c>
      <c r="V24" s="7">
        <f>TONT20000DEC2015!O24+TONT20000JANV!M24+TONT20000FEV!M24+TONT20000MARS!M24+TONT20000AVRIL!M24+TONT20000MAI!M24+TONT20000JUIN!M24+TONT20000JUIL!M24+TONT20000AOUT!M24+TONT20000SEPT!M24+TONT20000OCT!M24+TONT20000NOV!N24</f>
        <v>1600000</v>
      </c>
      <c r="W24" s="7">
        <f>TONT20000DEC2015!P24+TONT20000JANV!N24+TONT20000FEV!N24+TONT20000MARS!N24+TONT20000AVRIL!N24+TONT20000MAI!N24+TONT20000JUIN!N24+TONT20000JUIL!N24+TONT20000AOUT!N24+TONT20000SEPT!N24+TONT20000OCT!N24+TONT20000NOV!O24</f>
        <v>192000</v>
      </c>
      <c r="X24" s="7">
        <f>TONT20000DEC2015!Q24+TONT20000JANV!O24+TONT20000FEV!O24+TONT20000MARS!O24+TONT20000AVRIL!O24+TONT20000MAI!O24+TONT20000JUIN!O24+TONT20000JUIL!O24+TONT20000AOUT!O24+TONT20000SEPT!O24+TONT20000OCT!O24+TONT20000NOV!P24</f>
        <v>0</v>
      </c>
      <c r="Y24" s="7">
        <f>TONT20000DEC2015!R24+TONT20000JANV!P24+TONT20000FEV!P24+TONT20000MARS!P24+TONT20000AVRIL!P24+TONT20000MAI!P24+TONT20000JUIN!P24+TONT20000JUIL!P24+TONT20000AOUT!P24+TONT20000SEPT!P24+TONT20000OCT!P24+TONT20000NOV!Q24</f>
        <v>0</v>
      </c>
      <c r="Z24" s="7">
        <f>TONT20000DEC2015!S24+TONT20000JANV!Q24+TONT20000FEV!Q24+TONT20000MARS!Q24+TONT20000AVRIL!Q24+TONT20000MAI!Q24+TONT20000JUIN!Q24+TONT20000JUIL!Q24+TONT20000AOUT!Q24+TONT20000SEPT!Q24+TONT20000OCT!Q24+TONT20000NOV!R24</f>
        <v>0</v>
      </c>
      <c r="AA24" s="7">
        <f>TONT20000DEC2015!T24+TONT20000JANV!R24+TONT20000FEV!R24+TONT20000MARS!R24+TONT20000AVRIL!R24+TONT20000MAI!R24+TONT20000JUIN!R24+TONT20000JUIL!R24+TONT20000AOUT!R24+TONT20000SEPT!R24+TONT20000OCT!R24+TONT20000NOV!S24</f>
        <v>0</v>
      </c>
    </row>
    <row r="25" spans="1:27" x14ac:dyDescent="0.25">
      <c r="A25" s="1" t="s">
        <v>30</v>
      </c>
      <c r="B25" s="1" t="str">
        <f>VLOOKUP(A25,LISTADHERENT!A$5:H$52,2,0)</f>
        <v>LOWE JEAN</v>
      </c>
      <c r="C25" s="6">
        <f>VLOOKUP(A25,FONDSDECAISSE!A$5:C$52,3,0)</f>
        <v>390000</v>
      </c>
      <c r="D25" s="6">
        <v>4331</v>
      </c>
      <c r="E25" s="6">
        <f t="shared" si="0"/>
        <v>430331</v>
      </c>
      <c r="F25" s="6">
        <f>TONT20000DEC2015!E25+TONT20000JANV!C25+TONT20000FEV!C25+TONT20000MARS!C25+TONT20000AVRIL!C25+TONT20000MAI!C25+TONT20000JUIN!C25+TONT20000JUIL!C25+TONT20000AOUT!C25+TONT20000SEPT!C25+TONT20000OCT!C25+TONT20000NOV!C25</f>
        <v>48321.688190363682</v>
      </c>
      <c r="G25" s="6">
        <f>TONT20000NOV!E25</f>
        <v>478652.6881903637</v>
      </c>
      <c r="H25" s="6">
        <f t="shared" si="1"/>
        <v>88652.688190363682</v>
      </c>
      <c r="I25" s="6">
        <f t="shared" si="2"/>
        <v>80000</v>
      </c>
      <c r="J25" s="36">
        <f t="shared" si="3"/>
        <v>8652.6881903636822</v>
      </c>
      <c r="K25" s="6">
        <v>30000</v>
      </c>
      <c r="L25" s="6"/>
      <c r="M25" s="6">
        <v>50000</v>
      </c>
      <c r="N25" s="6">
        <f t="shared" si="4"/>
        <v>0</v>
      </c>
      <c r="O25" s="7">
        <f>TONT20000DEC2015!H25+TONT20000JANV!F25+TONT20000FEV!F25+TONT20000MARS!F25+TONT20000AVRIL!F25+TONT20000MAI!F25+TONT20000JUIN!F25+TONT20000JUIL!F25+TONT20000AOUT!F25+TONT20000SEPT!F25+TONT20000OCT!F25+TONT20000NOV!G25</f>
        <v>240000</v>
      </c>
      <c r="P25" s="7">
        <f>TONT20000DEC2015!I25+TONT20000JANV!G25+TONT20000FEV!G25+TONT20000MARS!G25+TONT20000AVRIL!G25+TONT20000MAI!G25+TONT20000JUIN!G25+TONT20000JUIL!G25+TONT20000AOUT!G25+TONT20000SEPT!G25+TONT20000OCT!G25+TONT20000NOV!H25</f>
        <v>36000</v>
      </c>
      <c r="Q25" s="7">
        <f>TONT20000DEC2015!J25+TONT20000JANV!H25+TONT20000FEV!H25+TONT20000MARS!H25+TONT20000AVRIL!H25+TONT20000MAI!H25+TONT20000JUIN!H25+TONT20000JUIL!H25+TONT20000AOUT!H25+TONT20000SEPT!H25+TONT20000OCT!H25+TONT20000NOV!I25</f>
        <v>6000</v>
      </c>
      <c r="R25" s="7">
        <f>TONT20000DEC2015!K25+TONT20000JANV!I25+TONT20000FEV!I25+TONT20000MARS!I25+TONT20000AVRIL!I25+TONT20000MAI!I25+TONT20000JUIN!I25+TONT20000JUIL!I25+TONT20000AOUT!I25+TONT20000SEPT!I25+TONT20000OCT!I25+TONT20000NOV!J25</f>
        <v>12000</v>
      </c>
      <c r="S25" s="7">
        <f>TONT20000DEC2015!L25+TONT20000JANV!J25+TONT20000FEV!J25+TONT20000MARS!J25+TONT20000AVRIL!J25+TONT20000MAI!J25+TONT20000JUIN!J25+TONT20000JUIL!J25+TONT20000AOUT!J25+TONT20000SEPT!J25+TONT20000OCT!J25+TONT20000NOV!K25</f>
        <v>30000</v>
      </c>
      <c r="T25" s="7">
        <f>TONT20000DEC2015!M25+TONT20000JANV!K25+TONT20000FEV!K25+TONT20000MARS!K25+TONT20000AVRIL!K25+TONT20000MAI!K25+TONT20000JUIN!K25+TONT20000JUIL!K25+TONT20000AOUT!K25+TONT20000SEPT!K25+TONT20000OCT!K25+TONT20000NOV!L25</f>
        <v>0</v>
      </c>
      <c r="U25" s="7">
        <f>TONT20000DEC2015!N25+TONT20000JANV!L25+TONT20000FEV!L25+TONT20000MARS!L25+TONT20000AVRIL!L25+TONT20000MAI!L25+TONT20000JUIN!L25+TONT20000JUIL!L25+TONT20000AOUT!L25+TONT20000SEPT!L25+TONT20000OCT!L25+TONT20000NOV!M25</f>
        <v>156000</v>
      </c>
      <c r="V25" s="7">
        <f>TONT20000DEC2015!O25+TONT20000JANV!M25+TONT20000FEV!M25+TONT20000MARS!M25+TONT20000AVRIL!M25+TONT20000MAI!M25+TONT20000JUIN!M25+TONT20000JUIL!M25+TONT20000AOUT!M25+TONT20000SEPT!M25+TONT20000OCT!M25+TONT20000NOV!N25</f>
        <v>240000</v>
      </c>
      <c r="W25" s="7">
        <f>TONT20000DEC2015!P25+TONT20000JANV!N25+TONT20000FEV!N25+TONT20000MARS!N25+TONT20000AVRIL!N25+TONT20000MAI!N25+TONT20000JUIN!N25+TONT20000JUIL!N25+TONT20000AOUT!N25+TONT20000SEPT!N25+TONT20000OCT!N25+TONT20000NOV!O25</f>
        <v>7200</v>
      </c>
      <c r="X25" s="7">
        <f>TONT20000DEC2015!Q25+TONT20000JANV!O25+TONT20000FEV!O25+TONT20000MARS!O25+TONT20000AVRIL!O25+TONT20000MAI!O25+TONT20000JUIN!O25+TONT20000JUIL!O25+TONT20000AOUT!O25+TONT20000SEPT!O25+TONT20000OCT!O25+TONT20000NOV!P25</f>
        <v>160000</v>
      </c>
      <c r="Y25" s="7">
        <f>TONT20000DEC2015!R25+TONT20000JANV!P25+TONT20000FEV!P25+TONT20000MARS!P25+TONT20000AVRIL!P25+TONT20000MAI!P25+TONT20000JUIN!P25+TONT20000JUIL!P25+TONT20000AOUT!P25+TONT20000SEPT!P25+TONT20000OCT!P25+TONT20000NOV!Q25</f>
        <v>0</v>
      </c>
      <c r="Z25" s="7">
        <f>TONT20000DEC2015!S25+TONT20000JANV!Q25+TONT20000FEV!Q25+TONT20000MARS!Q25+TONT20000AVRIL!Q25+TONT20000MAI!Q25+TONT20000JUIN!Q25+TONT20000JUIL!Q25+TONT20000AOUT!Q25+TONT20000SEPT!Q25+TONT20000OCT!Q25+TONT20000NOV!R25</f>
        <v>0</v>
      </c>
      <c r="AA25" s="7">
        <f>TONT20000DEC2015!T25+TONT20000JANV!R25+TONT20000FEV!R25+TONT20000MARS!R25+TONT20000AVRIL!R25+TONT20000MAI!R25+TONT20000JUIN!R25+TONT20000JUIL!R25+TONT20000AOUT!R25+TONT20000SEPT!R25+TONT20000OCT!R25+TONT20000NOV!S25</f>
        <v>0</v>
      </c>
    </row>
    <row r="26" spans="1:27" x14ac:dyDescent="0.25">
      <c r="A26" s="1" t="s">
        <v>31</v>
      </c>
      <c r="B26" s="1" t="str">
        <f>VLOOKUP(A26,LISTADHERENT!A$5:H$52,2,0)</f>
        <v>NANKAM APPOLINAIRE</v>
      </c>
      <c r="C26" s="6">
        <f>VLOOKUP(A26,FONDSDECAISSE!A$5:C$52,3,0)</f>
        <v>390000</v>
      </c>
      <c r="D26" s="6">
        <v>4411</v>
      </c>
      <c r="E26" s="6">
        <f t="shared" si="0"/>
        <v>430411</v>
      </c>
      <c r="F26" s="6">
        <f>TONT20000DEC2015!E26+TONT20000JANV!C26+TONT20000FEV!C26+TONT20000MARS!C26+TONT20000AVRIL!C26+TONT20000MAI!C26+TONT20000JUIN!C26+TONT20000JUIL!C26+TONT20000AOUT!C26+TONT20000SEPT!C26+TONT20000OCT!C26+TONT20000NOV!C26</f>
        <v>48330.980183717562</v>
      </c>
      <c r="G26" s="6">
        <f>TONT20000NOV!E26</f>
        <v>478741.98018371756</v>
      </c>
      <c r="H26" s="6">
        <f t="shared" si="1"/>
        <v>88741.980183717562</v>
      </c>
      <c r="I26" s="6">
        <f t="shared" si="2"/>
        <v>80000</v>
      </c>
      <c r="J26" s="36">
        <f t="shared" si="3"/>
        <v>8741.9801837175619</v>
      </c>
      <c r="K26" s="6">
        <v>30000</v>
      </c>
      <c r="L26" s="6"/>
      <c r="M26" s="6">
        <v>50000</v>
      </c>
      <c r="N26" s="6">
        <f t="shared" si="4"/>
        <v>0</v>
      </c>
      <c r="O26" s="7">
        <f>TONT20000DEC2015!H26+TONT20000JANV!F26+TONT20000FEV!F26+TONT20000MARS!F26+TONT20000AVRIL!F26+TONT20000MAI!F26+TONT20000JUIN!F26+TONT20000JUIL!F26+TONT20000AOUT!F26+TONT20000SEPT!F26+TONT20000OCT!F26+TONT20000NOV!G26</f>
        <v>240000</v>
      </c>
      <c r="P26" s="7">
        <f>TONT20000DEC2015!I26+TONT20000JANV!G26+TONT20000FEV!G26+TONT20000MARS!G26+TONT20000AVRIL!G26+TONT20000MAI!G26+TONT20000JUIN!G26+TONT20000JUIL!G26+TONT20000AOUT!G26+TONT20000SEPT!G26+TONT20000OCT!G26+TONT20000NOV!H26</f>
        <v>36000</v>
      </c>
      <c r="Q26" s="7">
        <f>TONT20000DEC2015!J26+TONT20000JANV!H26+TONT20000FEV!H26+TONT20000MARS!H26+TONT20000AVRIL!H26+TONT20000MAI!H26+TONT20000JUIN!H26+TONT20000JUIL!H26+TONT20000AOUT!H26+TONT20000SEPT!H26+TONT20000OCT!H26+TONT20000NOV!I26</f>
        <v>6000</v>
      </c>
      <c r="R26" s="7">
        <f>TONT20000DEC2015!K26+TONT20000JANV!I26+TONT20000FEV!I26+TONT20000MARS!I26+TONT20000AVRIL!I26+TONT20000MAI!I26+TONT20000JUIN!I26+TONT20000JUIL!I26+TONT20000AOUT!I26+TONT20000SEPT!I26+TONT20000OCT!I26+TONT20000NOV!J26</f>
        <v>12000</v>
      </c>
      <c r="S26" s="7">
        <f>TONT20000DEC2015!L26+TONT20000JANV!J26+TONT20000FEV!J26+TONT20000MARS!J26+TONT20000AVRIL!J26+TONT20000MAI!J26+TONT20000JUIN!J26+TONT20000JUIL!J26+TONT20000AOUT!J26+TONT20000SEPT!J26+TONT20000OCT!J26+TONT20000NOV!K26</f>
        <v>30000</v>
      </c>
      <c r="T26" s="7">
        <f>TONT20000DEC2015!M26+TONT20000JANV!K26+TONT20000FEV!K26+TONT20000MARS!K26+TONT20000AVRIL!K26+TONT20000MAI!K26+TONT20000JUIN!K26+TONT20000JUIL!K26+TONT20000AOUT!K26+TONT20000SEPT!K26+TONT20000OCT!K26+TONT20000NOV!L26</f>
        <v>0</v>
      </c>
      <c r="U26" s="7">
        <f>TONT20000DEC2015!N26+TONT20000JANV!L26+TONT20000FEV!L26+TONT20000MARS!L26+TONT20000AVRIL!L26+TONT20000MAI!L26+TONT20000JUIN!L26+TONT20000JUIL!L26+TONT20000AOUT!L26+TONT20000SEPT!L26+TONT20000OCT!L26+TONT20000NOV!M26</f>
        <v>156000</v>
      </c>
      <c r="V26" s="7">
        <f>TONT20000DEC2015!O26+TONT20000JANV!M26+TONT20000FEV!M26+TONT20000MARS!M26+TONT20000AVRIL!M26+TONT20000MAI!M26+TONT20000JUIN!M26+TONT20000JUIL!M26+TONT20000AOUT!M26+TONT20000SEPT!M26+TONT20000OCT!M26+TONT20000NOV!N26</f>
        <v>1000000</v>
      </c>
      <c r="W26" s="7">
        <f>TONT20000DEC2015!P26+TONT20000JANV!N26+TONT20000FEV!N26+TONT20000MARS!N26+TONT20000AVRIL!N26+TONT20000MAI!N26+TONT20000JUIN!N26+TONT20000JUIL!N26+TONT20000AOUT!N26+TONT20000SEPT!N26+TONT20000OCT!N26+TONT20000NOV!O26</f>
        <v>120000</v>
      </c>
      <c r="X26" s="7">
        <f>TONT20000DEC2015!Q26+TONT20000JANV!O26+TONT20000FEV!O26+TONT20000MARS!O26+TONT20000AVRIL!O26+TONT20000MAI!O26+TONT20000JUIN!O26+TONT20000JUIL!O26+TONT20000AOUT!O26+TONT20000SEPT!O26+TONT20000OCT!O26+TONT20000NOV!P26</f>
        <v>0</v>
      </c>
      <c r="Y26" s="7">
        <f>TONT20000DEC2015!R26+TONT20000JANV!P26+TONT20000FEV!P26+TONT20000MARS!P26+TONT20000AVRIL!P26+TONT20000MAI!P26+TONT20000JUIN!P26+TONT20000JUIL!P26+TONT20000AOUT!P26+TONT20000SEPT!P26+TONT20000OCT!P26+TONT20000NOV!Q26</f>
        <v>0</v>
      </c>
      <c r="Z26" s="7">
        <f>TONT20000DEC2015!S26+TONT20000JANV!Q26+TONT20000FEV!Q26+TONT20000MARS!Q26+TONT20000AVRIL!Q26+TONT20000MAI!Q26+TONT20000JUIN!Q26+TONT20000JUIL!Q26+TONT20000AOUT!Q26+TONT20000SEPT!Q26+TONT20000OCT!Q26+TONT20000NOV!R26</f>
        <v>0</v>
      </c>
      <c r="AA26" s="7">
        <f>TONT20000DEC2015!T26+TONT20000JANV!R26+TONT20000FEV!R26+TONT20000MARS!R26+TONT20000AVRIL!R26+TONT20000MAI!R26+TONT20000JUIN!R26+TONT20000JUIL!R26+TONT20000AOUT!R26+TONT20000SEPT!R26+TONT20000OCT!R26+TONT20000NOV!S26</f>
        <v>0</v>
      </c>
    </row>
    <row r="27" spans="1:27" x14ac:dyDescent="0.25">
      <c r="A27" s="1" t="s">
        <v>32</v>
      </c>
      <c r="B27" s="1" t="str">
        <f>VLOOKUP(A27,LISTADHERENT!A$5:H$52,2,0)</f>
        <v>NDJOMO ETIENNE</v>
      </c>
      <c r="C27" s="6">
        <f>VLOOKUP(A27,FONDSDECAISSE!A$5:C$52,3,0)</f>
        <v>390000</v>
      </c>
      <c r="D27" s="6">
        <v>2060</v>
      </c>
      <c r="E27" s="6">
        <f t="shared" si="0"/>
        <v>488060</v>
      </c>
      <c r="F27" s="6">
        <f>TONT20000DEC2015!E27+TONT20000JANV!C27+TONT20000FEV!C27+TONT20000MARS!C27+TONT20000AVRIL!C27+TONT20000MAI!C27+TONT20000JUIN!C27+TONT20000JUIL!C27+TONT20000AOUT!C27+TONT20000SEPT!C27+TONT20000OCT!C27+TONT20000NOV!C27</f>
        <v>52258.203895613129</v>
      </c>
      <c r="G27" s="6">
        <f>TONT20000NOV!E27</f>
        <v>540318.20389561309</v>
      </c>
      <c r="H27" s="6">
        <f t="shared" si="1"/>
        <v>150318.20389561314</v>
      </c>
      <c r="I27" s="6">
        <f t="shared" si="2"/>
        <v>80000</v>
      </c>
      <c r="J27" s="36">
        <f t="shared" si="3"/>
        <v>70318.203895613144</v>
      </c>
      <c r="K27" s="6">
        <v>30000</v>
      </c>
      <c r="L27" s="6"/>
      <c r="M27" s="6">
        <v>50000</v>
      </c>
      <c r="N27" s="6">
        <f t="shared" si="4"/>
        <v>0</v>
      </c>
      <c r="O27" s="7">
        <f>TONT20000DEC2015!H27+TONT20000JANV!F27+TONT20000FEV!F27+TONT20000MARS!F27+TONT20000AVRIL!F27+TONT20000MAI!F27+TONT20000JUIN!F27+TONT20000JUIL!F27+TONT20000AOUT!F27+TONT20000SEPT!F27+TONT20000OCT!F27+TONT20000NOV!G27</f>
        <v>300000</v>
      </c>
      <c r="P27" s="7">
        <f>TONT20000DEC2015!I27+TONT20000JANV!G27+TONT20000FEV!G27+TONT20000MARS!G27+TONT20000AVRIL!G27+TONT20000MAI!G27+TONT20000JUIN!G27+TONT20000JUIL!G27+TONT20000AOUT!G27+TONT20000SEPT!G27+TONT20000OCT!G27+TONT20000NOV!H27</f>
        <v>96000</v>
      </c>
      <c r="Q27" s="7">
        <f>TONT20000DEC2015!J27+TONT20000JANV!H27+TONT20000FEV!H27+TONT20000MARS!H27+TONT20000AVRIL!H27+TONT20000MAI!H27+TONT20000JUIN!H27+TONT20000JUIL!H27+TONT20000AOUT!H27+TONT20000SEPT!H27+TONT20000OCT!H27+TONT20000NOV!I27</f>
        <v>6000</v>
      </c>
      <c r="R27" s="7">
        <f>TONT20000DEC2015!K27+TONT20000JANV!I27+TONT20000FEV!I27+TONT20000MARS!I27+TONT20000AVRIL!I27+TONT20000MAI!I27+TONT20000JUIN!I27+TONT20000JUIL!I27+TONT20000AOUT!I27+TONT20000SEPT!I27+TONT20000OCT!I27+TONT20000NOV!J27</f>
        <v>12000</v>
      </c>
      <c r="S27" s="7">
        <f>TONT20000DEC2015!L27+TONT20000JANV!J27+TONT20000FEV!J27+TONT20000MARS!J27+TONT20000AVRIL!J27+TONT20000MAI!J27+TONT20000JUIN!J27+TONT20000JUIL!J27+TONT20000AOUT!J27+TONT20000SEPT!J27+TONT20000OCT!J27+TONT20000NOV!K27</f>
        <v>30000</v>
      </c>
      <c r="T27" s="7">
        <f>TONT20000DEC2015!M27+TONT20000JANV!K27+TONT20000FEV!K27+TONT20000MARS!K27+TONT20000AVRIL!K27+TONT20000MAI!K27+TONT20000JUIN!K27+TONT20000JUIL!K27+TONT20000AOUT!K27+TONT20000SEPT!K27+TONT20000OCT!K27+TONT20000NOV!L27</f>
        <v>0</v>
      </c>
      <c r="U27" s="7">
        <f>TONT20000DEC2015!N27+TONT20000JANV!L27+TONT20000FEV!L27+TONT20000MARS!L27+TONT20000AVRIL!L27+TONT20000MAI!L27+TONT20000JUIN!L27+TONT20000JUIL!L27+TONT20000AOUT!L27+TONT20000SEPT!L27+TONT20000OCT!L27+TONT20000NOV!M27</f>
        <v>156000</v>
      </c>
      <c r="V27" s="7">
        <f>TONT20000DEC2015!O27+TONT20000JANV!M27+TONT20000FEV!M27+TONT20000MARS!M27+TONT20000AVRIL!M27+TONT20000MAI!M27+TONT20000JUIN!M27+TONT20000JUIL!M27+TONT20000AOUT!M27+TONT20000SEPT!M27+TONT20000OCT!M27+TONT20000NOV!N27</f>
        <v>1600000</v>
      </c>
      <c r="W27" s="7">
        <f>TONT20000DEC2015!P27+TONT20000JANV!N27+TONT20000FEV!N27+TONT20000MARS!N27+TONT20000AVRIL!N27+TONT20000MAI!N27+TONT20000JUIN!N27+TONT20000JUIL!N27+TONT20000AOUT!N27+TONT20000SEPT!N27+TONT20000OCT!N27+TONT20000NOV!O27</f>
        <v>48000</v>
      </c>
      <c r="X27" s="7">
        <f>TONT20000DEC2015!Q27+TONT20000JANV!O27+TONT20000FEV!O27+TONT20000MARS!O27+TONT20000AVRIL!O27+TONT20000MAI!O27+TONT20000JUIN!O27+TONT20000JUIL!O27+TONT20000AOUT!O27+TONT20000SEPT!O27+TONT20000OCT!O27+TONT20000NOV!P27</f>
        <v>1200000</v>
      </c>
      <c r="Y27" s="7">
        <f>TONT20000DEC2015!R27+TONT20000JANV!P27+TONT20000FEV!P27+TONT20000MARS!P27+TONT20000AVRIL!P27+TONT20000MAI!P27+TONT20000JUIN!P27+TONT20000JUIL!P27+TONT20000AOUT!P27+TONT20000SEPT!P27+TONT20000OCT!P27+TONT20000NOV!Q27</f>
        <v>0</v>
      </c>
      <c r="Z27" s="7">
        <f>TONT20000DEC2015!S27+TONT20000JANV!Q27+TONT20000FEV!Q27+TONT20000MARS!Q27+TONT20000AVRIL!Q27+TONT20000MAI!Q27+TONT20000JUIN!Q27+TONT20000JUIL!Q27+TONT20000AOUT!Q27+TONT20000SEPT!Q27+TONT20000OCT!Q27+TONT20000NOV!R27</f>
        <v>0</v>
      </c>
      <c r="AA27" s="7">
        <f>TONT20000DEC2015!T27+TONT20000JANV!R27+TONT20000FEV!R27+TONT20000MARS!R27+TONT20000AVRIL!R27+TONT20000MAI!R27+TONT20000JUIN!R27+TONT20000JUIL!R27+TONT20000AOUT!R27+TONT20000SEPT!R27+TONT20000OCT!R27+TONT20000NOV!S27</f>
        <v>0</v>
      </c>
    </row>
    <row r="28" spans="1:27" ht="0.75" customHeight="1" x14ac:dyDescent="0.25">
      <c r="A28" s="1" t="s">
        <v>33</v>
      </c>
      <c r="B28" s="1" t="str">
        <f>VLOOKUP(A28,LISTADHERENT!A$5:H$52,2,0)</f>
        <v>NDOMBOU JEAN CLAUDE</v>
      </c>
      <c r="C28" s="6">
        <f>VLOOKUP(A28,FONDSDECAISSE!A$5:C$52,3,0)</f>
        <v>0</v>
      </c>
      <c r="D28" s="6">
        <v>0</v>
      </c>
      <c r="E28" s="6">
        <f t="shared" si="0"/>
        <v>0</v>
      </c>
      <c r="F28" s="6">
        <f>TONT20000DEC2015!E28+TONT20000JANV!C28+TONT20000FEV!C28+TONT20000MARS!C28+TONT20000AVRIL!C28+TONT20000MAI!C28+TONT20000JUIN!C28+TONT20000JUIL!C28+TONT20000AOUT!C28+TONT20000SEPT!C28+TONT20000OCT!C28+TONT20000NOV!C28</f>
        <v>0</v>
      </c>
      <c r="G28" s="6">
        <f>TONT20000NOV!E28</f>
        <v>0</v>
      </c>
      <c r="H28" s="6">
        <f t="shared" si="1"/>
        <v>0</v>
      </c>
      <c r="I28" s="6">
        <f t="shared" si="2"/>
        <v>0</v>
      </c>
      <c r="J28" s="36">
        <f t="shared" si="3"/>
        <v>0</v>
      </c>
      <c r="K28" s="6"/>
      <c r="L28" s="6"/>
      <c r="M28" s="6"/>
      <c r="N28" s="6"/>
      <c r="O28" s="7">
        <f>TONT20000DEC2015!H28+TONT20000JANV!F28+TONT20000FEV!F28+TONT20000MARS!F28+TONT20000AVRIL!F28+TONT20000MAI!F28+TONT20000JUIN!F28+TONT20000JUIL!F28+TONT20000AOUT!F28+TONT20000SEPT!F28+TONT20000OCT!F28+TONT20000NOV!G28</f>
        <v>0</v>
      </c>
      <c r="P28" s="7">
        <f>TONT20000DEC2015!I28+TONT20000JANV!G28+TONT20000FEV!G28+TONT20000MARS!G28+TONT20000AVRIL!G28+TONT20000MAI!G28+TONT20000JUIN!G28+TONT20000JUIL!G28+TONT20000AOUT!G28+TONT20000SEPT!G28+TONT20000OCT!G28+TONT20000NOV!H28</f>
        <v>0</v>
      </c>
      <c r="Q28" s="7">
        <f>TONT20000DEC2015!J28+TONT20000JANV!H28+TONT20000FEV!H28+TONT20000MARS!H28+TONT20000AVRIL!H28+TONT20000MAI!H28+TONT20000JUIN!H28+TONT20000JUIL!H28+TONT20000AOUT!H28+TONT20000SEPT!H28+TONT20000OCT!H28+TONT20000NOV!I28</f>
        <v>0</v>
      </c>
      <c r="R28" s="7">
        <f>TONT20000DEC2015!K28+TONT20000JANV!I28+TONT20000FEV!I28+TONT20000MARS!I28+TONT20000AVRIL!I28+TONT20000MAI!I28+TONT20000JUIN!I28+TONT20000JUIL!I28+TONT20000AOUT!I28+TONT20000SEPT!I28+TONT20000OCT!I28+TONT20000NOV!J28</f>
        <v>0</v>
      </c>
      <c r="S28" s="7">
        <f>TONT20000DEC2015!L28+TONT20000JANV!J28+TONT20000FEV!J28+TONT20000MARS!J28+TONT20000AVRIL!J28+TONT20000MAI!J28+TONT20000JUIN!J28+TONT20000JUIL!J28+TONT20000AOUT!J28+TONT20000SEPT!J28+TONT20000OCT!J28+TONT20000NOV!K28</f>
        <v>0</v>
      </c>
      <c r="T28" s="7">
        <f>TONT20000DEC2015!M28+TONT20000JANV!K28+TONT20000FEV!K28+TONT20000MARS!K28+TONT20000AVRIL!K28+TONT20000MAI!K28+TONT20000JUIN!K28+TONT20000JUIL!K28+TONT20000AOUT!K28+TONT20000SEPT!K28+TONT20000OCT!K28+TONT20000NOV!L28</f>
        <v>0</v>
      </c>
      <c r="U28" s="7">
        <f>TONT20000DEC2015!N28+TONT20000JANV!L28+TONT20000FEV!L28+TONT20000MARS!L28+TONT20000AVRIL!L28+TONT20000MAI!L28+TONT20000JUIN!L28+TONT20000JUIL!L28+TONT20000AOUT!L28+TONT20000SEPT!L28+TONT20000OCT!L28+TONT20000NOV!M28</f>
        <v>0</v>
      </c>
      <c r="V28" s="7">
        <f>TONT20000DEC2015!O28+TONT20000JANV!M28+TONT20000FEV!M28+TONT20000MARS!M28+TONT20000AVRIL!M28+TONT20000MAI!M28+TONT20000JUIN!M28+TONT20000JUIL!M28+TONT20000AOUT!M28+TONT20000SEPT!M28+TONT20000OCT!M28+TONT20000NOV!N28</f>
        <v>0</v>
      </c>
      <c r="W28" s="7">
        <f>TONT20000DEC2015!P28+TONT20000JANV!N28+TONT20000FEV!N28+TONT20000MARS!N28+TONT20000AVRIL!N28+TONT20000MAI!N28+TONT20000JUIN!N28+TONT20000JUIL!N28+TONT20000AOUT!N28+TONT20000SEPT!N28+TONT20000OCT!N28+TONT20000NOV!O28</f>
        <v>0</v>
      </c>
      <c r="X28" s="7">
        <f>TONT20000DEC2015!Q28+TONT20000JANV!O28+TONT20000FEV!O28+TONT20000MARS!O28+TONT20000AVRIL!O28+TONT20000MAI!O28+TONT20000JUIN!O28+TONT20000JUIL!O28+TONT20000AOUT!O28+TONT20000SEPT!O28+TONT20000OCT!O28+TONT20000NOV!P28</f>
        <v>0</v>
      </c>
      <c r="Y28" s="7">
        <f>TONT20000DEC2015!R28+TONT20000JANV!P28+TONT20000FEV!P28+TONT20000MARS!P28+TONT20000AVRIL!P28+TONT20000MAI!P28+TONT20000JUIN!P28+TONT20000JUIL!P28+TONT20000AOUT!P28+TONT20000SEPT!P28+TONT20000OCT!P28+TONT20000NOV!Q28</f>
        <v>0</v>
      </c>
      <c r="Z28" s="7">
        <f>TONT20000DEC2015!S28+TONT20000JANV!Q28+TONT20000FEV!Q28+TONT20000MARS!Q28+TONT20000AVRIL!Q28+TONT20000MAI!Q28+TONT20000JUIN!Q28+TONT20000JUIL!Q28+TONT20000AOUT!Q28+TONT20000SEPT!Q28+TONT20000OCT!Q28+TONT20000NOV!R28</f>
        <v>0</v>
      </c>
      <c r="AA28" s="7">
        <f>TONT20000DEC2015!T28+TONT20000JANV!R28+TONT20000FEV!R28+TONT20000MARS!R28+TONT20000AVRIL!R28+TONT20000MAI!R28+TONT20000JUIN!R28+TONT20000JUIL!R28+TONT20000AOUT!R28+TONT20000SEPT!R28+TONT20000OCT!R28+TONT20000NOV!S28</f>
        <v>0</v>
      </c>
    </row>
    <row r="29" spans="1:27" x14ac:dyDescent="0.25">
      <c r="A29" s="1" t="s">
        <v>34</v>
      </c>
      <c r="B29" s="1" t="str">
        <f>VLOOKUP(A29,LISTADHERENT!A$5:H$52,2,0)</f>
        <v>NGONDIEP CLAUDE</v>
      </c>
      <c r="C29" s="6">
        <f>VLOOKUP(A29,FONDSDECAISSE!A$5:C$52,3,0)</f>
        <v>390000</v>
      </c>
      <c r="D29" s="6">
        <v>179574</v>
      </c>
      <c r="E29" s="6">
        <f t="shared" si="0"/>
        <v>605574</v>
      </c>
      <c r="F29" s="6">
        <f>TONT20000DEC2015!E29+TONT20000JANV!C29+TONT20000FEV!C29+TONT20000MARS!C29+TONT20000AVRIL!C29+TONT20000MAI!C29+TONT20000JUIN!C29+TONT20000JUIL!C29+TONT20000AOUT!C29+TONT20000SEPT!C29+TONT20000OCT!C29+TONT20000NOV!C29</f>
        <v>68676.148081812222</v>
      </c>
      <c r="G29" s="6">
        <f>TONT20000NOV!E29</f>
        <v>674250.14808181231</v>
      </c>
      <c r="H29" s="6">
        <f t="shared" si="1"/>
        <v>284250.14808181219</v>
      </c>
      <c r="I29" s="6">
        <f t="shared" si="2"/>
        <v>80000</v>
      </c>
      <c r="J29" s="36">
        <f t="shared" si="3"/>
        <v>204250.14808181219</v>
      </c>
      <c r="K29" s="6">
        <v>30000</v>
      </c>
      <c r="L29" s="6"/>
      <c r="M29" s="6">
        <v>50000</v>
      </c>
      <c r="N29" s="6">
        <f t="shared" si="4"/>
        <v>0</v>
      </c>
      <c r="O29" s="7">
        <f>TONT20000DEC2015!H29+TONT20000JANV!F29+TONT20000FEV!F29+TONT20000MARS!F29+TONT20000AVRIL!F29+TONT20000MAI!F29+TONT20000JUIN!F29+TONT20000JUIL!F29+TONT20000AOUT!F29+TONT20000SEPT!F29+TONT20000OCT!F29+TONT20000NOV!G29</f>
        <v>240000</v>
      </c>
      <c r="P29" s="7">
        <f>TONT20000DEC2015!I29+TONT20000JANV!G29+TONT20000FEV!G29+TONT20000MARS!G29+TONT20000AVRIL!G29+TONT20000MAI!G29+TONT20000JUIN!G29+TONT20000JUIL!G29+TONT20000AOUT!G29+TONT20000SEPT!G29+TONT20000OCT!G29+TONT20000NOV!H29</f>
        <v>36000</v>
      </c>
      <c r="Q29" s="7">
        <f>TONT20000DEC2015!J29+TONT20000JANV!H29+TONT20000FEV!H29+TONT20000MARS!H29+TONT20000AVRIL!H29+TONT20000MAI!H29+TONT20000JUIN!H29+TONT20000JUIL!H29+TONT20000AOUT!H29+TONT20000SEPT!H29+TONT20000OCT!H29+TONT20000NOV!I29</f>
        <v>6000</v>
      </c>
      <c r="R29" s="7">
        <f>TONT20000DEC2015!K29+TONT20000JANV!I29+TONT20000FEV!I29+TONT20000MARS!I29+TONT20000AVRIL!I29+TONT20000MAI!I29+TONT20000JUIN!I29+TONT20000JUIL!I29+TONT20000AOUT!I29+TONT20000SEPT!I29+TONT20000OCT!I29+TONT20000NOV!J29</f>
        <v>12000</v>
      </c>
      <c r="S29" s="7">
        <f>TONT20000DEC2015!L29+TONT20000JANV!J29+TONT20000FEV!J29+TONT20000MARS!J29+TONT20000AVRIL!J29+TONT20000MAI!J29+TONT20000JUIN!J29+TONT20000JUIL!J29+TONT20000AOUT!J29+TONT20000SEPT!J29+TONT20000OCT!J29+TONT20000NOV!K29</f>
        <v>30000</v>
      </c>
      <c r="T29" s="7">
        <f>TONT20000DEC2015!M29+TONT20000JANV!K29+TONT20000FEV!K29+TONT20000MARS!K29+TONT20000AVRIL!K29+TONT20000MAI!K29+TONT20000JUIN!K29+TONT20000JUIL!K29+TONT20000AOUT!K29+TONT20000SEPT!K29+TONT20000OCT!K29+TONT20000NOV!L29</f>
        <v>0</v>
      </c>
      <c r="U29" s="7">
        <f>TONT20000DEC2015!N29+TONT20000JANV!L29+TONT20000FEV!L29+TONT20000MARS!L29+TONT20000AVRIL!L29+TONT20000MAI!L29+TONT20000JUIN!L29+TONT20000JUIL!L29+TONT20000AOUT!L29+TONT20000SEPT!L29+TONT20000OCT!L29+TONT20000NOV!M29</f>
        <v>156000</v>
      </c>
      <c r="V29" s="7">
        <f>TONT20000DEC2015!O29+TONT20000JANV!M29+TONT20000FEV!M29+TONT20000MARS!M29+TONT20000AVRIL!M29+TONT20000MAI!M29+TONT20000JUIN!M29+TONT20000JUIL!M29+TONT20000AOUT!M29+TONT20000SEPT!M29+TONT20000OCT!M29+TONT20000NOV!N29</f>
        <v>0</v>
      </c>
      <c r="W29" s="7">
        <f>TONT20000DEC2015!P29+TONT20000JANV!N29+TONT20000FEV!N29+TONT20000MARS!N29+TONT20000AVRIL!N29+TONT20000MAI!N29+TONT20000JUIN!N29+TONT20000JUIL!N29+TONT20000AOUT!N29+TONT20000SEPT!N29+TONT20000OCT!N29+TONT20000NOV!O29</f>
        <v>0</v>
      </c>
      <c r="X29" s="7">
        <f>TONT20000DEC2015!Q29+TONT20000JANV!O29+TONT20000FEV!O29+TONT20000MARS!O29+TONT20000AVRIL!O29+TONT20000MAI!O29+TONT20000JUIN!O29+TONT20000JUIL!O29+TONT20000AOUT!O29+TONT20000SEPT!O29+TONT20000OCT!O29+TONT20000NOV!P29</f>
        <v>0</v>
      </c>
      <c r="Y29" s="7">
        <f>TONT20000DEC2015!R29+TONT20000JANV!P29+TONT20000FEV!P29+TONT20000MARS!P29+TONT20000AVRIL!P29+TONT20000MAI!P29+TONT20000JUIN!P29+TONT20000JUIL!P29+TONT20000AOUT!P29+TONT20000SEPT!P29+TONT20000OCT!P29+TONT20000NOV!Q29</f>
        <v>0</v>
      </c>
      <c r="Z29" s="7">
        <f>TONT20000DEC2015!S29+TONT20000JANV!Q29+TONT20000FEV!Q29+TONT20000MARS!Q29+TONT20000AVRIL!Q29+TONT20000MAI!Q29+TONT20000JUIN!Q29+TONT20000JUIL!Q29+TONT20000AOUT!Q29+TONT20000SEPT!Q29+TONT20000OCT!Q29+TONT20000NOV!R29</f>
        <v>0</v>
      </c>
      <c r="AA29" s="7">
        <f>TONT20000DEC2015!T29+TONT20000JANV!R29+TONT20000FEV!R29+TONT20000MARS!R29+TONT20000AVRIL!R29+TONT20000MAI!R29+TONT20000JUIN!R29+TONT20000JUIL!R29+TONT20000AOUT!R29+TONT20000SEPT!R29+TONT20000OCT!R29+TONT20000NOV!S29</f>
        <v>0</v>
      </c>
    </row>
    <row r="30" spans="1:27" x14ac:dyDescent="0.25">
      <c r="A30" s="1" t="s">
        <v>35</v>
      </c>
      <c r="B30" s="1" t="str">
        <f>VLOOKUP(A30,LISTADHERENT!A$5:H$52,2,0)</f>
        <v>NGONGANG JEAN THEODORE</v>
      </c>
      <c r="C30" s="6">
        <f>VLOOKUP(A30,FONDSDECAISSE!A$5:C$52,3,0)</f>
        <v>0</v>
      </c>
      <c r="D30" s="6">
        <v>0</v>
      </c>
      <c r="E30" s="6">
        <f t="shared" si="0"/>
        <v>17782</v>
      </c>
      <c r="F30" s="6">
        <f>TONT20000DEC2015!E30+TONT20000JANV!C30+TONT20000FEV!C30+TONT20000MARS!C30+TONT20000AVRIL!C30+TONT20000MAI!C30+TONT20000JUIN!C30+TONT20000JUIL!C30+TONT20000AOUT!C30+TONT20000SEPT!C30+TONT20000OCT!C30+TONT20000NOV!C30</f>
        <v>2520.1752999498185</v>
      </c>
      <c r="G30" s="6">
        <f>TONT20000NOV!E30</f>
        <v>38520.175299949828</v>
      </c>
      <c r="H30" s="6">
        <f t="shared" si="1"/>
        <v>20302.17529994982</v>
      </c>
      <c r="I30" s="6">
        <f t="shared" si="2"/>
        <v>20196</v>
      </c>
      <c r="J30" s="36">
        <f t="shared" si="3"/>
        <v>106.17529994982033</v>
      </c>
      <c r="K30" s="6"/>
      <c r="L30" s="6"/>
      <c r="M30" s="6">
        <f>50000-29804</f>
        <v>20196</v>
      </c>
      <c r="N30" s="6">
        <f t="shared" si="4"/>
        <v>0</v>
      </c>
      <c r="O30" s="7">
        <f>TONT20000DEC2015!H30+TONT20000JANV!F30+TONT20000FEV!F30+TONT20000MARS!F30+TONT20000AVRIL!F30+TONT20000MAI!F30+TONT20000JUIN!F30+TONT20000JUIL!F30+TONT20000AOUT!F30+TONT20000SEPT!F30+TONT20000OCT!F30+TONT20000NOV!G30</f>
        <v>240000</v>
      </c>
      <c r="P30" s="7">
        <f>TONT20000DEC2015!I30+TONT20000JANV!G30+TONT20000FEV!G30+TONT20000MARS!G30+TONT20000AVRIL!G30+TONT20000MAI!G30+TONT20000JUIN!G30+TONT20000JUIL!G30+TONT20000AOUT!G30+TONT20000SEPT!G30+TONT20000OCT!G30+TONT20000NOV!H30-18218</f>
        <v>17782</v>
      </c>
      <c r="Q30" s="7">
        <f>TONT20000DEC2015!J30+TONT20000JANV!H30+TONT20000FEV!H30+TONT20000MARS!H30+TONT20000AVRIL!H30+TONT20000MAI!H30+TONT20000JUIN!H30+TONT20000JUIL!H30+TONT20000AOUT!H30+TONT20000SEPT!H30+TONT20000OCT!H30+TONT20000NOV!I30</f>
        <v>6000</v>
      </c>
      <c r="R30" s="7">
        <f>TONT20000DEC2015!K30+TONT20000JANV!I30+TONT20000FEV!I30+TONT20000MARS!I30+TONT20000AVRIL!I30+TONT20000MAI!I30+TONT20000JUIN!I30+TONT20000JUIL!I30+TONT20000AOUT!I30+TONT20000SEPT!I30+TONT20000OCT!I30+TONT20000NOV!J30</f>
        <v>12000</v>
      </c>
      <c r="S30" s="7">
        <f>TONT20000DEC2015!L30+TONT20000JANV!J30+TONT20000FEV!J30+TONT20000MARS!J30+TONT20000AVRIL!J30+TONT20000MAI!J30+TONT20000JUIN!J30+TONT20000JUIL!J30+TONT20000AOUT!J30+TONT20000SEPT!J30+TONT20000OCT!J30+TONT20000NOV!K30</f>
        <v>30000</v>
      </c>
      <c r="T30" s="7">
        <f>TONT20000DEC2015!M30+TONT20000JANV!K30+TONT20000FEV!K30+TONT20000MARS!K30+TONT20000AVRIL!K30+TONT20000MAI!K30+TONT20000JUIN!K30+TONT20000JUIL!K30+TONT20000AOUT!K30+TONT20000SEPT!K30+TONT20000OCT!K30+TONT20000NOV!L30</f>
        <v>0</v>
      </c>
      <c r="U30" s="7">
        <f>TONT20000DEC2015!N30+TONT20000JANV!L30+TONT20000FEV!L30+TONT20000MARS!L30+TONT20000AVRIL!L30+TONT20000MAI!L30+TONT20000JUIN!L30+TONT20000JUIL!L30+TONT20000AOUT!L30+TONT20000SEPT!L30+TONT20000OCT!L30+TONT20000NOV!M30</f>
        <v>156000</v>
      </c>
      <c r="V30" s="7">
        <f>TONT20000DEC2015!O30+TONT20000JANV!M30+TONT20000FEV!M30+TONT20000MARS!M30+TONT20000AVRIL!M30+TONT20000MAI!M30+TONT20000JUIN!M30+TONT20000JUIL!M30+TONT20000AOUT!M30+TONT20000SEPT!M30+TONT20000OCT!M30+TONT20000NOV!N30</f>
        <v>0</v>
      </c>
      <c r="W30" s="7">
        <f>TONT20000DEC2015!P30+TONT20000JANV!N30+TONT20000FEV!N30+TONT20000MARS!N30+TONT20000AVRIL!N30+TONT20000MAI!N30+TONT20000JUIN!N30+TONT20000JUIL!N30+TONT20000AOUT!N30+TONT20000SEPT!N30+TONT20000OCT!N30+TONT20000NOV!O30</f>
        <v>0</v>
      </c>
      <c r="X30" s="7">
        <f>TONT20000DEC2015!Q30+TONT20000JANV!O30+TONT20000FEV!O30+TONT20000MARS!O30+TONT20000AVRIL!O30+TONT20000MAI!O30+TONT20000JUIN!O30+TONT20000JUIL!O30+TONT20000AOUT!O30+TONT20000SEPT!O30+TONT20000OCT!O30+TONT20000NOV!P30</f>
        <v>0</v>
      </c>
      <c r="Y30" s="7">
        <f>TONT20000DEC2015!R30+TONT20000JANV!P30+TONT20000FEV!P30+TONT20000MARS!P30+TONT20000AVRIL!P30+TONT20000MAI!P30+TONT20000JUIN!P30+TONT20000JUIL!P30+TONT20000AOUT!P30+TONT20000SEPT!P30+TONT20000OCT!P30+TONT20000NOV!Q30</f>
        <v>0</v>
      </c>
      <c r="Z30" s="7">
        <f>TONT20000DEC2015!S30+TONT20000JANV!Q30+TONT20000FEV!Q30+TONT20000MARS!Q30+TONT20000AVRIL!Q30+TONT20000MAI!Q30+TONT20000JUIN!Q30+TONT20000JUIL!Q30+TONT20000AOUT!Q30+TONT20000SEPT!Q30+TONT20000OCT!Q30+TONT20000NOV!R30</f>
        <v>0</v>
      </c>
      <c r="AA30" s="7">
        <f>TONT20000DEC2015!T30+TONT20000JANV!R30+TONT20000FEV!R30+TONT20000MARS!R30+TONT20000AVRIL!R30+TONT20000MAI!R30+TONT20000JUIN!R30+TONT20000JUIL!R30+TONT20000AOUT!R30+TONT20000SEPT!R30+TONT20000OCT!R30+TONT20000NOV!S30</f>
        <v>0</v>
      </c>
    </row>
    <row r="31" spans="1:27" x14ac:dyDescent="0.25">
      <c r="A31" s="1" t="s">
        <v>36</v>
      </c>
      <c r="B31" s="1" t="str">
        <f>VLOOKUP(A31,LISTADHERENT!A$5:H$52,2,0)</f>
        <v>NGUIEMEGNI MATHIEU BLAISE</v>
      </c>
      <c r="C31" s="6">
        <v>390000</v>
      </c>
      <c r="D31" s="6">
        <v>0</v>
      </c>
      <c r="E31" s="6">
        <f t="shared" si="0"/>
        <v>945945</v>
      </c>
      <c r="F31" s="6">
        <f>TONT20000DEC2015!E31+TONT20000JANV!C31+TONT20000FEV!C31+TONT20000MARS!C31+TONT20000AVRIL!C31+TONT20000MAI!C31+TONT20000JUIN!C31+TONT20000JUIL!C31+TONT20000AOUT!C31+TONT20000SEPT!C31+TONT20000OCT!C31+TONT20000NOV!C31</f>
        <v>39243.08962026301</v>
      </c>
      <c r="G31" s="6">
        <f>TONT20000NOV!E31</f>
        <v>985188.08962026308</v>
      </c>
      <c r="H31" s="6">
        <f t="shared" si="1"/>
        <v>595188.08962026297</v>
      </c>
      <c r="I31" s="6">
        <f t="shared" si="2"/>
        <v>30000</v>
      </c>
      <c r="J31" s="36">
        <f t="shared" si="3"/>
        <v>565188.08962026297</v>
      </c>
      <c r="K31" s="6">
        <v>30000</v>
      </c>
      <c r="L31" s="6"/>
      <c r="M31" s="6">
        <v>0</v>
      </c>
      <c r="N31" s="6">
        <f t="shared" si="4"/>
        <v>0</v>
      </c>
      <c r="O31" s="7">
        <f>TONT20000DEC2015!H31+TONT20000JANV!F31+TONT20000FEV!F31+TONT20000MARS!F31+TONT20000AVRIL!F31+TONT20000MAI!F31+TONT20000JUIN!F31+TONT20000JUIL!F31+TONT20000AOUT!F31+TONT20000SEPT!F31+TONT20000OCT!F31+TONT20000NOV!G31</f>
        <v>860000</v>
      </c>
      <c r="P31" s="7">
        <f>TONT20000DEC2015!I31+TONT20000JANV!G31+TONT20000FEV!G31+TONT20000MARS!G31+TONT20000AVRIL!G31+TONT20000MAI!G31+TONT20000JUIN!G31+TONT20000JUIL!G31+TONT20000AOUT!G31+TONT20000SEPT!G31+TONT20000OCT!G31+TONT20000NOV!H31</f>
        <v>555945</v>
      </c>
      <c r="Q31" s="7">
        <f>TONT20000DEC2015!J31+TONT20000JANV!H31+TONT20000FEV!H31+TONT20000MARS!H31+TONT20000AVRIL!H31+TONT20000MAI!H31+TONT20000JUIN!H31+TONT20000JUIL!H31+TONT20000AOUT!H31+TONT20000SEPT!H31+TONT20000OCT!H31+TONT20000NOV!I31</f>
        <v>6000</v>
      </c>
      <c r="R31" s="7">
        <f>TONT20000DEC2015!K31+TONT20000JANV!I31+TONT20000FEV!I31+TONT20000MARS!I31+TONT20000AVRIL!I31+TONT20000MAI!I31+TONT20000JUIN!I31+TONT20000JUIL!I31+TONT20000AOUT!I31+TONT20000SEPT!I31+TONT20000OCT!I31+TONT20000NOV!J31</f>
        <v>12000</v>
      </c>
      <c r="S31" s="7">
        <f>TONT20000DEC2015!L31+TONT20000JANV!J31+TONT20000FEV!J31+TONT20000MARS!J31+TONT20000AVRIL!J31+TONT20000MAI!J31+TONT20000JUIN!J31+TONT20000JUIL!J31+TONT20000AOUT!J31+TONT20000SEPT!J31+TONT20000OCT!J31+TONT20000NOV!K31</f>
        <v>30000</v>
      </c>
      <c r="T31" s="7">
        <f>TONT20000DEC2015!M31+TONT20000JANV!K31+TONT20000FEV!K31+TONT20000MARS!K31+TONT20000AVRIL!K31+TONT20000MAI!K31+TONT20000JUIN!K31+TONT20000JUIL!K31+TONT20000AOUT!K31+TONT20000SEPT!K31+TONT20000OCT!K31+TONT20000NOV!L31</f>
        <v>50000</v>
      </c>
      <c r="U31" s="7">
        <f>TONT20000DEC2015!N31+TONT20000JANV!L31+TONT20000FEV!L31+TONT20000MARS!L31+TONT20000AVRIL!L31+TONT20000MAI!L31+TONT20000JUIN!L31+TONT20000JUIL!L31+TONT20000AOUT!L31+TONT20000SEPT!L31+TONT20000OCT!L31+TONT20000NOV!M31</f>
        <v>156000</v>
      </c>
      <c r="V31" s="7">
        <f>TONT20000DEC2015!O31+TONT20000JANV!M31+TONT20000FEV!M31+TONT20000MARS!M31+TONT20000AVRIL!M31+TONT20000MAI!M31+TONT20000JUIN!M31+TONT20000JUIL!M31+TONT20000AOUT!M31+TONT20000SEPT!M31+TONT20000OCT!M31+TONT20000NOV!N31</f>
        <v>0</v>
      </c>
      <c r="W31" s="7">
        <f>TONT20000DEC2015!P31+TONT20000JANV!N31+TONT20000FEV!N31+TONT20000MARS!N31+TONT20000AVRIL!N31+TONT20000MAI!N31+TONT20000JUIN!N31+TONT20000JUIL!N31+TONT20000AOUT!N31+TONT20000SEPT!N31+TONT20000OCT!N31+TONT20000NOV!O31</f>
        <v>0</v>
      </c>
      <c r="X31" s="7">
        <f>TONT20000DEC2015!Q31+TONT20000JANV!O31+TONT20000FEV!O31+TONT20000MARS!O31+TONT20000AVRIL!O31+TONT20000MAI!O31+TONT20000JUIN!O31+TONT20000JUIL!O31+TONT20000AOUT!O31+TONT20000SEPT!O31+TONT20000OCT!O31+TONT20000NOV!P31</f>
        <v>0</v>
      </c>
      <c r="Y31" s="7">
        <f>TONT20000DEC2015!R31+TONT20000JANV!P31+TONT20000FEV!P31+TONT20000MARS!P31+TONT20000AVRIL!P31+TONT20000MAI!P31+TONT20000JUIN!P31+TONT20000JUIL!P31+TONT20000AOUT!P31+TONT20000SEPT!P31+TONT20000OCT!P31+TONT20000NOV!Q31</f>
        <v>0</v>
      </c>
      <c r="Z31" s="7">
        <f>TONT20000DEC2015!S31+TONT20000JANV!Q31+TONT20000FEV!Q31+TONT20000MARS!Q31+TONT20000AVRIL!Q31+TONT20000MAI!Q31+TONT20000JUIN!Q31+TONT20000JUIL!Q31+TONT20000AOUT!Q31+TONT20000SEPT!Q31+TONT20000OCT!Q31+TONT20000NOV!R31</f>
        <v>50055</v>
      </c>
      <c r="AA31" s="7">
        <f>TONT20000DEC2015!T31+TONT20000JANV!R31+TONT20000FEV!R31+TONT20000MARS!R31+TONT20000AVRIL!R31+TONT20000MAI!R31+TONT20000JUIN!R31+TONT20000JUIL!R31+TONT20000AOUT!R31+TONT20000SEPT!R31+TONT20000OCT!R31+TONT20000NOV!S31</f>
        <v>0</v>
      </c>
    </row>
    <row r="32" spans="1:27" x14ac:dyDescent="0.25">
      <c r="A32" s="1" t="s">
        <v>37</v>
      </c>
      <c r="B32" s="1" t="str">
        <f>VLOOKUP(A32,LISTADHERENT!A$5:H$52,2,0)</f>
        <v>NJEPDJIO MBOUKAM DELUXE</v>
      </c>
      <c r="C32" s="6">
        <f>VLOOKUP(A32,FONDSDECAISSE!A$5:C$52,3,0)</f>
        <v>390000</v>
      </c>
      <c r="D32" s="6">
        <v>1734</v>
      </c>
      <c r="E32" s="6">
        <f t="shared" si="0"/>
        <v>443734</v>
      </c>
      <c r="F32" s="6">
        <f>TONT20000DEC2015!E32+TONT20000JANV!C32+TONT20000FEV!C32+TONT20000MARS!C32+TONT20000AVRIL!C32+TONT20000MAI!C32+TONT20000JUIN!C32+TONT20000JUIL!C32+TONT20000AOUT!C32+TONT20000SEPT!C32+TONT20000OCT!C32+TONT20000NOV!C32</f>
        <v>49539.713222555911</v>
      </c>
      <c r="G32" s="6">
        <f>TONT20000NOV!E32</f>
        <v>493273.71322255593</v>
      </c>
      <c r="H32" s="6">
        <f t="shared" si="1"/>
        <v>103273.7132225559</v>
      </c>
      <c r="I32" s="6">
        <f t="shared" si="2"/>
        <v>80000</v>
      </c>
      <c r="J32" s="36">
        <f t="shared" si="3"/>
        <v>23273.713222555903</v>
      </c>
      <c r="K32" s="6">
        <v>30000</v>
      </c>
      <c r="L32" s="6"/>
      <c r="M32" s="6">
        <v>50000</v>
      </c>
      <c r="N32" s="6">
        <f t="shared" si="4"/>
        <v>0</v>
      </c>
      <c r="O32" s="7">
        <f>TONT20000DEC2015!H32+TONT20000JANV!F32+TONT20000FEV!F32+TONT20000MARS!F32+TONT20000AVRIL!F32+TONT20000MAI!F32+TONT20000JUIN!F32+TONT20000JUIL!F32+TONT20000AOUT!F32+TONT20000SEPT!F32+TONT20000OCT!F32+TONT20000NOV!G32</f>
        <v>256000</v>
      </c>
      <c r="P32" s="7">
        <f>TONT20000DEC2015!I32+TONT20000JANV!G32+TONT20000FEV!G32+TONT20000MARS!G32+TONT20000AVRIL!G32+TONT20000MAI!G32+TONT20000JUIN!G32+TONT20000JUIL!G32+TONT20000AOUT!G32+TONT20000SEPT!G32+TONT20000OCT!G32+TONT20000NOV!H32</f>
        <v>52000</v>
      </c>
      <c r="Q32" s="7">
        <f>TONT20000DEC2015!J32+TONT20000JANV!H32+TONT20000FEV!H32+TONT20000MARS!H32+TONT20000AVRIL!H32+TONT20000MAI!H32+TONT20000JUIN!H32+TONT20000JUIL!H32+TONT20000AOUT!H32+TONT20000SEPT!H32+TONT20000OCT!H32+TONT20000NOV!I32</f>
        <v>6000</v>
      </c>
      <c r="R32" s="7">
        <f>TONT20000DEC2015!K32+TONT20000JANV!I32+TONT20000FEV!I32+TONT20000MARS!I32+TONT20000AVRIL!I32+TONT20000MAI!I32+TONT20000JUIN!I32+TONT20000JUIL!I32+TONT20000AOUT!I32+TONT20000SEPT!I32+TONT20000OCT!I32+TONT20000NOV!J32</f>
        <v>12000</v>
      </c>
      <c r="S32" s="7">
        <f>TONT20000DEC2015!L32+TONT20000JANV!J32+TONT20000FEV!J32+TONT20000MARS!J32+TONT20000AVRIL!J32+TONT20000MAI!J32+TONT20000JUIN!J32+TONT20000JUIL!J32+TONT20000AOUT!J32+TONT20000SEPT!J32+TONT20000OCT!J32+TONT20000NOV!K32</f>
        <v>30000</v>
      </c>
      <c r="T32" s="7">
        <f>TONT20000DEC2015!M32+TONT20000JANV!K32+TONT20000FEV!K32+TONT20000MARS!K32+TONT20000AVRIL!K32+TONT20000MAI!K32+TONT20000JUIN!K32+TONT20000JUIL!K32+TONT20000AOUT!K32+TONT20000SEPT!K32+TONT20000OCT!K32+TONT20000NOV!L32</f>
        <v>0</v>
      </c>
      <c r="U32" s="7">
        <f>TONT20000DEC2015!N32+TONT20000JANV!L32+TONT20000FEV!L32+TONT20000MARS!L32+TONT20000AVRIL!L32+TONT20000MAI!L32+TONT20000JUIN!L32+TONT20000JUIL!L32+TONT20000AOUT!L32+TONT20000SEPT!L32+TONT20000OCT!L32+TONT20000NOV!M32</f>
        <v>156000</v>
      </c>
      <c r="V32" s="7">
        <f>TONT20000DEC2015!O32+TONT20000JANV!M32+TONT20000FEV!M32+TONT20000MARS!M32+TONT20000AVRIL!M32+TONT20000MAI!M32+TONT20000JUIN!M32+TONT20000JUIL!M32+TONT20000AOUT!M32+TONT20000SEPT!M32+TONT20000OCT!M32+TONT20000NOV!N32</f>
        <v>2000000</v>
      </c>
      <c r="W32" s="7">
        <f>TONT20000DEC2015!P32+TONT20000JANV!N32+TONT20000FEV!N32+TONT20000MARS!N32+TONT20000AVRIL!N32+TONT20000MAI!N32+TONT20000JUIN!N32+TONT20000JUIL!N32+TONT20000AOUT!N32+TONT20000SEPT!N32+TONT20000OCT!N32+TONT20000NOV!O32</f>
        <v>150000</v>
      </c>
      <c r="X32" s="7">
        <f>TONT20000DEC2015!Q32+TONT20000JANV!O32+TONT20000FEV!O32+TONT20000MARS!O32+TONT20000AVRIL!O32+TONT20000MAI!O32+TONT20000JUIN!O32+TONT20000JUIL!O32+TONT20000AOUT!O32+TONT20000SEPT!O32+TONT20000OCT!O32+TONT20000NOV!P32</f>
        <v>1000000</v>
      </c>
      <c r="Y32" s="7">
        <f>TONT20000DEC2015!R32+TONT20000JANV!P32+TONT20000FEV!P32+TONT20000MARS!P32+TONT20000AVRIL!P32+TONT20000MAI!P32+TONT20000JUIN!P32+TONT20000JUIL!P32+TONT20000AOUT!P32+TONT20000SEPT!P32+TONT20000OCT!P32+TONT20000NOV!Q32</f>
        <v>0</v>
      </c>
      <c r="Z32" s="7">
        <f>TONT20000DEC2015!S32+TONT20000JANV!Q32+TONT20000FEV!Q32+TONT20000MARS!Q32+TONT20000AVRIL!Q32+TONT20000MAI!Q32+TONT20000JUIN!Q32+TONT20000JUIL!Q32+TONT20000AOUT!Q32+TONT20000SEPT!Q32+TONT20000OCT!Q32+TONT20000NOV!R32</f>
        <v>0</v>
      </c>
      <c r="AA32" s="7">
        <f>TONT20000DEC2015!T32+TONT20000JANV!R32+TONT20000FEV!R32+TONT20000MARS!R32+TONT20000AVRIL!R32+TONT20000MAI!R32+TONT20000JUIN!R32+TONT20000JUIL!R32+TONT20000AOUT!R32+TONT20000SEPT!R32+TONT20000OCT!R32+TONT20000NOV!S32</f>
        <v>0</v>
      </c>
    </row>
    <row r="33" spans="1:27" x14ac:dyDescent="0.25">
      <c r="A33" s="1" t="s">
        <v>38</v>
      </c>
      <c r="B33" s="1" t="str">
        <f>VLOOKUP(A33,LISTADHERENT!A$5:H$52,2,0)</f>
        <v>NKAMGANG JUSTIN DEJOLIE</v>
      </c>
      <c r="C33" s="6">
        <v>72000</v>
      </c>
      <c r="D33" s="6">
        <v>0</v>
      </c>
      <c r="E33" s="6">
        <f t="shared" si="0"/>
        <v>478259</v>
      </c>
      <c r="F33" s="6">
        <f>TONT20000DEC2015!E33+TONT20000JANV!C33+TONT20000FEV!C33+TONT20000MARS!C33+TONT20000AVRIL!C33+TONT20000MAI!C33+TONT20000JUIN!C33+TONT20000JUIL!C33+TONT20000AOUT!C33+TONT20000SEPT!C33+TONT20000OCT!C33+TONT20000NOV!C33</f>
        <v>22208.015020581428</v>
      </c>
      <c r="G33" s="6">
        <f>TONT20000NOV!E33</f>
        <v>539008.01502058154</v>
      </c>
      <c r="H33" s="6">
        <f t="shared" si="1"/>
        <v>428467.01502058143</v>
      </c>
      <c r="I33" s="6">
        <f t="shared" si="2"/>
        <v>43204</v>
      </c>
      <c r="J33" s="36">
        <f t="shared" si="3"/>
        <v>385263.01502058143</v>
      </c>
      <c r="K33" s="6"/>
      <c r="L33" s="6"/>
      <c r="M33" s="6">
        <f>50000-6796</f>
        <v>43204</v>
      </c>
      <c r="N33" s="6">
        <f t="shared" si="4"/>
        <v>0</v>
      </c>
      <c r="O33" s="7">
        <f>TONT20000DEC2015!H33+TONT20000JANV!F33+TONT20000FEV!F33+TONT20000MARS!F33+TONT20000AVRIL!F33+TONT20000MAI!F33+TONT20000JUIN!F33+TONT20000JUIL!F33+TONT20000AOUT!F33+TONT20000SEPT!F33+TONT20000OCT!F33+TONT20000NOV!G33</f>
        <v>648800</v>
      </c>
      <c r="P33" s="7">
        <f>TONT20000DEC2015!I33+TONT20000JANV!G33+TONT20000FEV!G33+TONT20000MARS!G33+TONT20000AVRIL!G33+TONT20000MAI!G33+TONT20000JUIN!G33+TONT20000JUIL!G33+TONT20000AOUT!G33+TONT20000SEPT!G33+TONT20000OCT!G33+TONT20000NOV!H33-38541</f>
        <v>406259</v>
      </c>
      <c r="Q33" s="7">
        <f>TONT20000DEC2015!J33+TONT20000JANV!H33+TONT20000FEV!H33+TONT20000MARS!H33+TONT20000AVRIL!H33+TONT20000MAI!H33+TONT20000JUIN!H33+TONT20000JUIL!H33+TONT20000AOUT!H33+TONT20000SEPT!H33+TONT20000OCT!H33+TONT20000NOV!I33</f>
        <v>6000</v>
      </c>
      <c r="R33" s="7">
        <f>TONT20000DEC2015!K33+TONT20000JANV!I33+TONT20000FEV!I33+TONT20000MARS!I33+TONT20000AVRIL!I33+TONT20000MAI!I33+TONT20000JUIN!I33+TONT20000JUIL!I33+TONT20000AOUT!I33+TONT20000SEPT!I33+TONT20000OCT!I33+TONT20000NOV!J33</f>
        <v>12000</v>
      </c>
      <c r="S33" s="7">
        <f>TONT20000DEC2015!L33+TONT20000JANV!J33+TONT20000FEV!J33+TONT20000MARS!J33+TONT20000AVRIL!J33+TONT20000MAI!J33+TONT20000JUIN!J33+TONT20000JUIL!J33+TONT20000AOUT!J33+TONT20000SEPT!J33+TONT20000OCT!J33+TONT20000NOV!K33</f>
        <v>30000</v>
      </c>
      <c r="T33" s="7">
        <f>TONT20000DEC2015!M33+TONT20000JANV!K33+TONT20000FEV!K33+TONT20000MARS!K33+TONT20000AVRIL!K33+TONT20000MAI!K33+TONT20000JUIN!K33+TONT20000JUIL!K33+TONT20000AOUT!K33+TONT20000SEPT!K33+TONT20000OCT!K33+TONT20000NOV!L33</f>
        <v>0</v>
      </c>
      <c r="U33" s="7">
        <f>TONT20000DEC2015!N33+TONT20000JANV!L33+TONT20000FEV!L33+TONT20000MARS!L33+TONT20000AVRIL!L33+TONT20000MAI!L33+TONT20000JUIN!L33+TONT20000JUIL!L33+TONT20000AOUT!L33+TONT20000SEPT!L33+TONT20000OCT!L33+TONT20000NOV!M33</f>
        <v>156000</v>
      </c>
      <c r="V33" s="7">
        <f>TONT20000DEC2015!O33+TONT20000JANV!M33+TONT20000FEV!M33+TONT20000MARS!M33+TONT20000AVRIL!M33+TONT20000MAI!M33+TONT20000JUIN!M33+TONT20000JUIL!M33+TONT20000AOUT!M33+TONT20000SEPT!M33+TONT20000OCT!M33+TONT20000NOV!N33</f>
        <v>1000000</v>
      </c>
      <c r="W33" s="7">
        <f>TONT20000DEC2015!P33+TONT20000JANV!N33+TONT20000FEV!N33+TONT20000MARS!N33+TONT20000AVRIL!N33+TONT20000MAI!N33+TONT20000JUIN!N33+TONT20000JUIL!N33+TONT20000AOUT!N33+TONT20000SEPT!N33+TONT20000OCT!N33+TONT20000NOV!O33</f>
        <v>120000</v>
      </c>
      <c r="X33" s="7">
        <f>TONT20000DEC2015!Q33+TONT20000JANV!O33+TONT20000FEV!O33+TONT20000MARS!O33+TONT20000AVRIL!O33+TONT20000MAI!O33+TONT20000JUIN!O33+TONT20000JUIL!O33+TONT20000AOUT!O33+TONT20000SEPT!O33+TONT20000OCT!O33+TONT20000NOV!P33</f>
        <v>0</v>
      </c>
      <c r="Y33" s="7">
        <f>TONT20000DEC2015!R33+TONT20000JANV!P33+TONT20000FEV!P33+TONT20000MARS!P33+TONT20000AVRIL!P33+TONT20000MAI!P33+TONT20000JUIN!P33+TONT20000JUIL!P33+TONT20000AOUT!P33+TONT20000SEPT!P33+TONT20000OCT!P33+TONT20000NOV!Q33</f>
        <v>0</v>
      </c>
      <c r="Z33" s="7">
        <f>TONT20000DEC2015!S33+TONT20000JANV!Q33+TONT20000FEV!Q33+TONT20000MARS!Q33+TONT20000AVRIL!Q33+TONT20000MAI!Q33+TONT20000JUIN!Q33+TONT20000JUIL!Q33+TONT20000AOUT!Q33+TONT20000SEPT!Q33+TONT20000OCT!Q33+TONT20000NOV!R33</f>
        <v>0</v>
      </c>
      <c r="AA33" s="7">
        <f>TONT20000DEC2015!T33+TONT20000JANV!R33+TONT20000FEV!R33+TONT20000MARS!R33+TONT20000AVRIL!R33+TONT20000MAI!R33+TONT20000JUIN!R33+TONT20000JUIL!R33+TONT20000AOUT!R33+TONT20000SEPT!R33+TONT20000OCT!R33+TONT20000NOV!S33</f>
        <v>0</v>
      </c>
    </row>
    <row r="34" spans="1:27" x14ac:dyDescent="0.25">
      <c r="A34" s="1" t="s">
        <v>39</v>
      </c>
      <c r="B34" s="1" t="str">
        <f>VLOOKUP(A34,LISTADHERENT!A$5:H$52,2,0)</f>
        <v>NKEPSEU DIEUDONNE</v>
      </c>
      <c r="C34" s="6">
        <f>VLOOKUP(A34,FONDSDECAISSE!A$5:C$52,3,0)</f>
        <v>390000</v>
      </c>
      <c r="D34" s="6">
        <v>8739</v>
      </c>
      <c r="E34" s="6">
        <f t="shared" si="0"/>
        <v>494739</v>
      </c>
      <c r="F34" s="6">
        <f>TONT20000DEC2015!E34+TONT20000JANV!C34+TONT20000FEV!C34+TONT20000MARS!C34+TONT20000AVRIL!C34+TONT20000MAI!C34+TONT20000JUIN!C34+TONT20000JUIL!C34+TONT20000AOUT!C34+TONT20000SEPT!C34+TONT20000OCT!C34+TONT20000NOV!C34</f>
        <v>53033.96919074608</v>
      </c>
      <c r="G34" s="6">
        <f>TONT20000NOV!E34</f>
        <v>547772.96919074608</v>
      </c>
      <c r="H34" s="6">
        <f t="shared" si="1"/>
        <v>157772.96919074608</v>
      </c>
      <c r="I34" s="6">
        <f t="shared" si="2"/>
        <v>30000</v>
      </c>
      <c r="J34" s="36">
        <f t="shared" si="3"/>
        <v>127772.96919074608</v>
      </c>
      <c r="K34" s="6">
        <v>30000</v>
      </c>
      <c r="L34" s="6"/>
      <c r="M34" s="6">
        <v>0</v>
      </c>
      <c r="N34" s="6">
        <f t="shared" si="4"/>
        <v>0</v>
      </c>
      <c r="O34" s="7">
        <f>TONT20000DEC2015!H34+TONT20000JANV!F34+TONT20000FEV!F34+TONT20000MARS!F34+TONT20000AVRIL!F34+TONT20000MAI!F34+TONT20000JUIN!F34+TONT20000JUIL!F34+TONT20000AOUT!F34+TONT20000SEPT!F34+TONT20000OCT!F34+TONT20000NOV!G34</f>
        <v>350000</v>
      </c>
      <c r="P34" s="7">
        <f>TONT20000DEC2015!I34+TONT20000JANV!G34+TONT20000FEV!G34+TONT20000MARS!G34+TONT20000AVRIL!G34+TONT20000MAI!G34+TONT20000JUIN!G34+TONT20000JUIL!G34+TONT20000AOUT!G34+TONT20000SEPT!G34+TONT20000OCT!G34+TONT20000NOV!H34</f>
        <v>96000</v>
      </c>
      <c r="Q34" s="7">
        <f>TONT20000DEC2015!J34+TONT20000JANV!H34+TONT20000FEV!H34+TONT20000MARS!H34+TONT20000AVRIL!H34+TONT20000MAI!H34+TONT20000JUIN!H34+TONT20000JUIL!H34+TONT20000AOUT!H34+TONT20000SEPT!H34+TONT20000OCT!H34+TONT20000NOV!I34</f>
        <v>6000</v>
      </c>
      <c r="R34" s="7">
        <f>TONT20000DEC2015!K34+TONT20000JANV!I34+TONT20000FEV!I34+TONT20000MARS!I34+TONT20000AVRIL!I34+TONT20000MAI!I34+TONT20000JUIN!I34+TONT20000JUIL!I34+TONT20000AOUT!I34+TONT20000SEPT!I34+TONT20000OCT!I34+TONT20000NOV!J34</f>
        <v>12000</v>
      </c>
      <c r="S34" s="7">
        <f>TONT20000DEC2015!L34+TONT20000JANV!J34+TONT20000FEV!J34+TONT20000MARS!J34+TONT20000AVRIL!J34+TONT20000MAI!J34+TONT20000JUIN!J34+TONT20000JUIL!J34+TONT20000AOUT!J34+TONT20000SEPT!J34+TONT20000OCT!J34+TONT20000NOV!K34</f>
        <v>30000</v>
      </c>
      <c r="T34" s="7">
        <f>TONT20000DEC2015!M34+TONT20000JANV!K34+TONT20000FEV!K34+TONT20000MARS!K34+TONT20000AVRIL!K34+TONT20000MAI!K34+TONT20000JUIN!K34+TONT20000JUIL!K34+TONT20000AOUT!K34+TONT20000SEPT!K34+TONT20000OCT!K34+TONT20000NOV!L34</f>
        <v>50000</v>
      </c>
      <c r="U34" s="7">
        <f>TONT20000DEC2015!N34+TONT20000JANV!L34+TONT20000FEV!L34+TONT20000MARS!L34+TONT20000AVRIL!L34+TONT20000MAI!L34+TONT20000JUIN!L34+TONT20000JUIL!L34+TONT20000AOUT!L34+TONT20000SEPT!L34+TONT20000OCT!L34+TONT20000NOV!M34</f>
        <v>156000</v>
      </c>
      <c r="V34" s="7">
        <f>TONT20000DEC2015!O34+TONT20000JANV!M34+TONT20000FEV!M34+TONT20000MARS!M34+TONT20000AVRIL!M34+TONT20000MAI!M34+TONT20000JUIN!M34+TONT20000JUIL!M34+TONT20000AOUT!M34+TONT20000SEPT!M34+TONT20000OCT!M34+TONT20000NOV!N34</f>
        <v>600000</v>
      </c>
      <c r="W34" s="7">
        <f>TONT20000DEC2015!P34+TONT20000JANV!N34+TONT20000FEV!N34+TONT20000MARS!N34+TONT20000AVRIL!N34+TONT20000MAI!N34+TONT20000JUIN!N34+TONT20000JUIL!N34+TONT20000AOUT!N34+TONT20000SEPT!N34+TONT20000OCT!N34+TONT20000NOV!O34</f>
        <v>72000</v>
      </c>
      <c r="X34" s="7">
        <f>TONT20000DEC2015!Q34+TONT20000JANV!O34+TONT20000FEV!O34+TONT20000MARS!O34+TONT20000AVRIL!O34+TONT20000MAI!O34+TONT20000JUIN!O34+TONT20000JUIL!O34+TONT20000AOUT!O34+TONT20000SEPT!O34+TONT20000OCT!O34+TONT20000NOV!P34</f>
        <v>0</v>
      </c>
      <c r="Y34" s="7">
        <f>TONT20000DEC2015!R34+TONT20000JANV!P34+TONT20000FEV!P34+TONT20000MARS!P34+TONT20000AVRIL!P34+TONT20000MAI!P34+TONT20000JUIN!P34+TONT20000JUIL!P34+TONT20000AOUT!P34+TONT20000SEPT!P34+TONT20000OCT!P34+TONT20000NOV!Q34</f>
        <v>0</v>
      </c>
      <c r="Z34" s="7">
        <f>TONT20000DEC2015!S34+TONT20000JANV!Q34+TONT20000FEV!Q34+TONT20000MARS!Q34+TONT20000AVRIL!Q34+TONT20000MAI!Q34+TONT20000JUIN!Q34+TONT20000JUIL!Q34+TONT20000AOUT!Q34+TONT20000SEPT!Q34+TONT20000OCT!Q34+TONT20000NOV!R34</f>
        <v>0</v>
      </c>
      <c r="AA34" s="7">
        <f>TONT20000DEC2015!T34+TONT20000JANV!R34+TONT20000FEV!R34+TONT20000MARS!R34+TONT20000AVRIL!R34+TONT20000MAI!R34+TONT20000JUIN!R34+TONT20000JUIL!R34+TONT20000AOUT!R34+TONT20000SEPT!R34+TONT20000OCT!R34+TONT20000NOV!S34</f>
        <v>0</v>
      </c>
    </row>
    <row r="35" spans="1:27" s="21" customFormat="1" x14ac:dyDescent="0.25">
      <c r="A35" s="19" t="s">
        <v>40</v>
      </c>
      <c r="B35" s="19" t="str">
        <f>VLOOKUP(A35,LISTADHERENT!A$5:H$52,2,0)</f>
        <v>NKEPSEU HENANG RENE</v>
      </c>
      <c r="C35" s="33">
        <f>VLOOKUP(A35,FONDSDECAISSE!A$5:C$52,3,0)</f>
        <v>390000</v>
      </c>
      <c r="D35" s="33">
        <v>7983</v>
      </c>
      <c r="E35" s="33">
        <f t="shared" si="0"/>
        <v>424983</v>
      </c>
      <c r="F35" s="33">
        <f>TONT20000DEC2015!E35+TONT20000JANV!C35+TONT20000FEV!C35+TONT20000MARS!C35+TONT20000AVRIL!C35+TONT20000MAI!C35+TONT20000JUIN!C35+TONT20000JUIL!C35+TONT20000AOUT!C35+TONT20000SEPT!C35+TONT20000OCT!C35+TONT20000NOV!C35</f>
        <v>48528.487864436152</v>
      </c>
      <c r="G35" s="33">
        <f>TONT20000NOV!E35</f>
        <v>473511.48786443617</v>
      </c>
      <c r="H35" s="33">
        <f t="shared" si="1"/>
        <v>83511.487864436145</v>
      </c>
      <c r="I35" s="33">
        <f t="shared" si="2"/>
        <v>42000</v>
      </c>
      <c r="J35" s="43">
        <f t="shared" si="3"/>
        <v>41511.487864436145</v>
      </c>
      <c r="K35" s="33">
        <v>30000</v>
      </c>
      <c r="L35" s="33"/>
      <c r="M35" s="33"/>
      <c r="N35" s="33">
        <f t="shared" si="4"/>
        <v>12000</v>
      </c>
      <c r="O35" s="20">
        <f>TONT20000DEC2015!H35+TONT20000JANV!F35+TONT20000FEV!F35+TONT20000MARS!F35+TONT20000AVRIL!F35+TONT20000MAI!F35+TONT20000JUIN!F35+TONT20000JUIL!F35+TONT20000AOUT!F35+TONT20000SEPT!F35+TONT20000OCT!F35+TONT20000NOV!G35</f>
        <v>180000</v>
      </c>
      <c r="P35" s="20">
        <f>TONT20000DEC2015!I35+TONT20000JANV!G35+TONT20000FEV!G35+TONT20000MARS!G35+TONT20000AVRIL!G35+TONT20000MAI!G35+TONT20000JUIN!G35+TONT20000JUIL!G35+TONT20000AOUT!G35+TONT20000SEPT!G35+TONT20000OCT!G35+TONT20000NOV!H35</f>
        <v>27000</v>
      </c>
      <c r="Q35" s="20">
        <f>TONT20000DEC2015!J35+TONT20000JANV!H35+TONT20000FEV!H35+TONT20000MARS!H35+TONT20000AVRIL!H35+TONT20000MAI!H35+TONT20000JUIN!H35+TONT20000JUIL!H35+TONT20000AOUT!H35+TONT20000SEPT!H35+TONT20000OCT!H35+TONT20000NOV!I35</f>
        <v>4500</v>
      </c>
      <c r="R35" s="20">
        <f>TONT20000DEC2015!K35+TONT20000JANV!I35+TONT20000FEV!I35+TONT20000MARS!I35+TONT20000AVRIL!I35+TONT20000MAI!I35+TONT20000JUIN!I35+TONT20000JUIL!I35+TONT20000AOUT!I35+TONT20000SEPT!I35+TONT20000OCT!I35+TONT20000NOV!J35</f>
        <v>9000</v>
      </c>
      <c r="S35" s="20">
        <f>TONT20000DEC2015!L35+TONT20000JANV!J35+TONT20000FEV!J35+TONT20000MARS!J35+TONT20000AVRIL!J35+TONT20000MAI!J35+TONT20000JUIN!J35+TONT20000JUIL!J35+TONT20000AOUT!J35+TONT20000SEPT!J35+TONT20000OCT!J35+TONT20000NOV!K35</f>
        <v>22500</v>
      </c>
      <c r="T35" s="20">
        <f>TONT20000DEC2015!M35+TONT20000JANV!K35+TONT20000FEV!K35+TONT20000MARS!K35+TONT20000AVRIL!K35+TONT20000MAI!K35+TONT20000JUIN!K35+TONT20000JUIL!K35+TONT20000AOUT!K35+TONT20000SEPT!K35+TONT20000OCT!K35+TONT20000NOV!L35</f>
        <v>0</v>
      </c>
      <c r="U35" s="20">
        <f>TONT20000DEC2015!N35+TONT20000JANV!L35+TONT20000FEV!L35+TONT20000MARS!L35+TONT20000AVRIL!L35+TONT20000MAI!L35+TONT20000JUIN!L35+TONT20000JUIL!L35+TONT20000AOUT!L35+TONT20000SEPT!L35+TONT20000OCT!L35+TONT20000NOV!M35</f>
        <v>117000</v>
      </c>
      <c r="V35" s="20">
        <f>TONT20000DEC2015!O35+TONT20000JANV!M35+TONT20000FEV!M35+TONT20000MARS!M35+TONT20000AVRIL!M35+TONT20000MAI!M35+TONT20000JUIN!M35+TONT20000JUIL!M35+TONT20000AOUT!M35+TONT20000SEPT!M35+TONT20000OCT!M35+TONT20000NOV!N35</f>
        <v>0</v>
      </c>
      <c r="W35" s="20">
        <f>TONT20000DEC2015!P35+TONT20000JANV!N35+TONT20000FEV!N35+TONT20000MARS!N35+TONT20000AVRIL!N35+TONT20000MAI!N35+TONT20000JUIN!N35+TONT20000JUIL!N35+TONT20000AOUT!N35+TONT20000SEPT!N35+TONT20000OCT!N35+TONT20000NOV!O35</f>
        <v>0</v>
      </c>
      <c r="X35" s="20">
        <f>TONT20000DEC2015!Q35+TONT20000JANV!O35+TONT20000FEV!O35+TONT20000MARS!O35+TONT20000AVRIL!O35+TONT20000MAI!O35+TONT20000JUIN!O35+TONT20000JUIL!O35+TONT20000AOUT!O35+TONT20000SEPT!O35+TONT20000OCT!O35+TONT20000NOV!P35</f>
        <v>0</v>
      </c>
      <c r="Y35" s="20">
        <f>TONT20000DEC2015!R35+TONT20000JANV!P35+TONT20000FEV!P35+TONT20000MARS!P35+TONT20000AVRIL!P35+TONT20000MAI!P35+TONT20000JUIN!P35+TONT20000JUIL!P35+TONT20000AOUT!P35+TONT20000SEPT!P35+TONT20000OCT!P35+TONT20000NOV!Q35</f>
        <v>0</v>
      </c>
      <c r="Z35" s="20">
        <f>TONT20000DEC2015!S35+TONT20000JANV!Q35+TONT20000FEV!Q35+TONT20000MARS!Q35+TONT20000AVRIL!Q35+TONT20000MAI!Q35+TONT20000JUIN!Q35+TONT20000JUIL!Q35+TONT20000AOUT!Q35+TONT20000SEPT!Q35+TONT20000OCT!Q35+TONT20000NOV!R35</f>
        <v>0</v>
      </c>
      <c r="AA35" s="20">
        <f>TONT20000DEC2015!T35+TONT20000JANV!R35+TONT20000FEV!R35+TONT20000MARS!R35+TONT20000AVRIL!R35+TONT20000MAI!R35+TONT20000JUIN!R35+TONT20000JUIL!R35+TONT20000AOUT!R35+TONT20000SEPT!R35+TONT20000OCT!R35+TONT20000NOV!S35</f>
        <v>0</v>
      </c>
    </row>
    <row r="36" spans="1:27" x14ac:dyDescent="0.25">
      <c r="A36" s="1" t="s">
        <v>41</v>
      </c>
      <c r="B36" s="1" t="str">
        <f>VLOOKUP(A36,LISTADHERENT!A$5:H$52,2,0)</f>
        <v>NTEPDIE TUEMAC MZ</v>
      </c>
      <c r="C36" s="6">
        <f>VLOOKUP(A36,FONDSDECAISSE!A$5:C$52,3,0)</f>
        <v>0</v>
      </c>
      <c r="D36" s="6">
        <v>0</v>
      </c>
      <c r="E36" s="6">
        <f t="shared" si="0"/>
        <v>15000</v>
      </c>
      <c r="F36" s="6">
        <f>TONT20000DEC2015!E36+TONT20000JANV!C36+TONT20000FEV!C36+TONT20000MARS!C36+TONT20000AVRIL!C36+TONT20000MAI!C36+TONT20000JUIN!C36+TONT20000JUIL!C36+TONT20000AOUT!C36+TONT20000SEPT!C36+TONT20000OCT!C36+TONT20000NOV!C36</f>
        <v>895.44927563009298</v>
      </c>
      <c r="G36" s="6">
        <f>TONT20000NOV!E36</f>
        <v>15895.449275630095</v>
      </c>
      <c r="H36" s="6">
        <f t="shared" si="1"/>
        <v>15895.449275630093</v>
      </c>
      <c r="I36" s="6">
        <f t="shared" si="2"/>
        <v>28000</v>
      </c>
      <c r="J36" s="36">
        <f t="shared" si="3"/>
        <v>-12104.550724369907</v>
      </c>
      <c r="K36" s="6"/>
      <c r="L36" s="6"/>
      <c r="M36" s="6"/>
      <c r="N36" s="6">
        <f t="shared" si="4"/>
        <v>28000</v>
      </c>
      <c r="O36" s="7">
        <f>TONT20000DEC2015!H36+TONT20000JANV!F36+TONT20000FEV!F36+TONT20000MARS!F36+TONT20000AVRIL!F36+TONT20000MAI!F36+TONT20000JUIN!F36+TONT20000JUIL!F36+TONT20000AOUT!F36+TONT20000SEPT!F36+TONT20000OCT!F36+TONT20000NOV!G36</f>
        <v>100000</v>
      </c>
      <c r="P36" s="7">
        <f>TONT20000DEC2015!I36+TONT20000JANV!G36+TONT20000FEV!G36+TONT20000MARS!G36+TONT20000AVRIL!G36+TONT20000MAI!G36+TONT20000JUIN!G36+TONT20000JUIL!G36+TONT20000AOUT!G36+TONT20000SEPT!G36+TONT20000OCT!G36+TONT20000NOV!H36</f>
        <v>15000</v>
      </c>
      <c r="Q36" s="7">
        <f>TONT20000DEC2015!J36+TONT20000JANV!H36+TONT20000FEV!H36+TONT20000MARS!H36+TONT20000AVRIL!H36+TONT20000MAI!H36+TONT20000JUIN!H36+TONT20000JUIL!H36+TONT20000AOUT!H36+TONT20000SEPT!H36+TONT20000OCT!H36+TONT20000NOV!I36</f>
        <v>2500</v>
      </c>
      <c r="R36" s="7">
        <f>TONT20000DEC2015!K36+TONT20000JANV!I36+TONT20000FEV!I36+TONT20000MARS!I36+TONT20000AVRIL!I36+TONT20000MAI!I36+TONT20000JUIN!I36+TONT20000JUIL!I36+TONT20000AOUT!I36+TONT20000SEPT!I36+TONT20000OCT!I36+TONT20000NOV!J36</f>
        <v>5000</v>
      </c>
      <c r="S36" s="7">
        <f>TONT20000DEC2015!L36+TONT20000JANV!J36+TONT20000FEV!J36+TONT20000MARS!J36+TONT20000AVRIL!J36+TONT20000MAI!J36+TONT20000JUIN!J36+TONT20000JUIL!J36+TONT20000AOUT!J36+TONT20000SEPT!J36+TONT20000OCT!J36+TONT20000NOV!K36</f>
        <v>12500</v>
      </c>
      <c r="T36" s="7">
        <f>TONT20000DEC2015!M36+TONT20000JANV!K36+TONT20000FEV!K36+TONT20000MARS!K36+TONT20000AVRIL!K36+TONT20000MAI!K36+TONT20000JUIN!K36+TONT20000JUIL!K36+TONT20000AOUT!K36+TONT20000SEPT!K36+TONT20000OCT!K36+TONT20000NOV!L36</f>
        <v>0</v>
      </c>
      <c r="U36" s="7">
        <f>TONT20000DEC2015!N36+TONT20000JANV!L36+TONT20000FEV!L36+TONT20000MARS!L36+TONT20000AVRIL!L36+TONT20000MAI!L36+TONT20000JUIN!L36+TONT20000JUIL!L36+TONT20000AOUT!L36+TONT20000SEPT!L36+TONT20000OCT!L36+TONT20000NOV!M36</f>
        <v>65000</v>
      </c>
      <c r="V36" s="7">
        <f>TONT20000DEC2015!O36+TONT20000JANV!M36+TONT20000FEV!M36+TONT20000MARS!M36+TONT20000AVRIL!M36+TONT20000MAI!M36+TONT20000JUIN!M36+TONT20000JUIL!M36+TONT20000AOUT!M36+TONT20000SEPT!M36+TONT20000OCT!M36+TONT20000NOV!N36</f>
        <v>0</v>
      </c>
      <c r="W36" s="7">
        <f>TONT20000DEC2015!P36+TONT20000JANV!N36+TONT20000FEV!N36+TONT20000MARS!N36+TONT20000AVRIL!N36+TONT20000MAI!N36+TONT20000JUIN!N36+TONT20000JUIL!N36+TONT20000AOUT!N36+TONT20000SEPT!N36+TONT20000OCT!N36+TONT20000NOV!O36</f>
        <v>0</v>
      </c>
      <c r="X36" s="7">
        <f>TONT20000DEC2015!Q36+TONT20000JANV!O36+TONT20000FEV!O36+TONT20000MARS!O36+TONT20000AVRIL!O36+TONT20000MAI!O36+TONT20000JUIN!O36+TONT20000JUIL!O36+TONT20000AOUT!O36+TONT20000SEPT!O36+TONT20000OCT!O36+TONT20000NOV!P36</f>
        <v>0</v>
      </c>
      <c r="Y36" s="7">
        <f>TONT20000DEC2015!R36+TONT20000JANV!P36+TONT20000FEV!P36+TONT20000MARS!P36+TONT20000AVRIL!P36+TONT20000MAI!P36+TONT20000JUIN!P36+TONT20000JUIL!P36+TONT20000AOUT!P36+TONT20000SEPT!P36+TONT20000OCT!P36+TONT20000NOV!Q36</f>
        <v>0</v>
      </c>
      <c r="Z36" s="7">
        <f>TONT20000DEC2015!S36+TONT20000JANV!Q36+TONT20000FEV!Q36+TONT20000MARS!Q36+TONT20000AVRIL!Q36+TONT20000MAI!Q36+TONT20000JUIN!Q36+TONT20000JUIL!Q36+TONT20000AOUT!Q36+TONT20000SEPT!Q36+TONT20000OCT!Q36+TONT20000NOV!R36</f>
        <v>0</v>
      </c>
      <c r="AA36" s="7">
        <f>TONT20000DEC2015!T36+TONT20000JANV!R36+TONT20000FEV!R36+TONT20000MARS!R36+TONT20000AVRIL!R36+TONT20000MAI!R36+TONT20000JUIN!R36+TONT20000JUIL!R36+TONT20000AOUT!R36+TONT20000SEPT!R36+TONT20000OCT!R36+TONT20000NOV!S36</f>
        <v>0</v>
      </c>
    </row>
    <row r="37" spans="1:27" s="21" customFormat="1" x14ac:dyDescent="0.25">
      <c r="A37" s="19" t="s">
        <v>42</v>
      </c>
      <c r="B37" s="19" t="str">
        <f>VLOOKUP(A37,LISTADHERENT!A$5:H$52,2,0)</f>
        <v>NTOMBOU ADOLPHE</v>
      </c>
      <c r="C37" s="33">
        <f>VLOOKUP(A37,FONDSDECAISSE!A$5:C$52,3,0)</f>
        <v>0</v>
      </c>
      <c r="D37" s="33">
        <v>0</v>
      </c>
      <c r="E37" s="33">
        <f t="shared" si="0"/>
        <v>27000</v>
      </c>
      <c r="F37" s="33">
        <f>TONT20000DEC2015!E37+TONT20000JANV!C37+TONT20000FEV!C37+TONT20000MARS!C37+TONT20000AVRIL!C37+TONT20000MAI!C37+TONT20000JUIN!C37+TONT20000JUIL!C37+TONT20000AOUT!C37+TONT20000SEPT!C37+TONT20000OCT!C37+TONT20000NOV!C37</f>
        <v>2302.7954774171731</v>
      </c>
      <c r="G37" s="33">
        <f>TONT20000NOV!E37</f>
        <v>29302.795477417181</v>
      </c>
      <c r="H37" s="6">
        <f t="shared" si="1"/>
        <v>29302.795477417174</v>
      </c>
      <c r="I37" s="6">
        <f t="shared" si="2"/>
        <v>12000</v>
      </c>
      <c r="J37" s="36">
        <f t="shared" si="3"/>
        <v>17302.795477417174</v>
      </c>
      <c r="K37" s="33"/>
      <c r="L37" s="33"/>
      <c r="M37" s="33"/>
      <c r="N37" s="33">
        <f t="shared" si="4"/>
        <v>12000</v>
      </c>
      <c r="O37" s="20">
        <f>TONT20000DEC2015!H37+TONT20000JANV!F37+TONT20000FEV!F37+TONT20000MARS!F37+TONT20000AVRIL!F37+TONT20000MAI!F37+TONT20000JUIN!F37+TONT20000JUIL!F37+TONT20000AOUT!F37+TONT20000SEPT!F37+TONT20000OCT!F37+TONT20000NOV!G37</f>
        <v>180000</v>
      </c>
      <c r="P37" s="20">
        <f>TONT20000DEC2015!I37+TONT20000JANV!G37+TONT20000FEV!G37+TONT20000MARS!G37+TONT20000AVRIL!G37+TONT20000MAI!G37+TONT20000JUIN!G37+TONT20000JUIL!G37+TONT20000AOUT!G37+TONT20000SEPT!G37+TONT20000OCT!G37+TONT20000NOV!H37</f>
        <v>27000</v>
      </c>
      <c r="Q37" s="20">
        <f>TONT20000DEC2015!J37+TONT20000JANV!H37+TONT20000FEV!H37+TONT20000MARS!H37+TONT20000AVRIL!H37+TONT20000MAI!H37+TONT20000JUIN!H37+TONT20000JUIL!H37+TONT20000AOUT!H37+TONT20000SEPT!H37+TONT20000OCT!H37+TONT20000NOV!I37</f>
        <v>4500</v>
      </c>
      <c r="R37" s="20">
        <f>TONT20000DEC2015!K37+TONT20000JANV!I37+TONT20000FEV!I37+TONT20000MARS!I37+TONT20000AVRIL!I37+TONT20000MAI!I37+TONT20000JUIN!I37+TONT20000JUIL!I37+TONT20000AOUT!I37+TONT20000SEPT!I37+TONT20000OCT!I37+TONT20000NOV!J37</f>
        <v>9000</v>
      </c>
      <c r="S37" s="20">
        <f>TONT20000DEC2015!L37+TONT20000JANV!J37+TONT20000FEV!J37+TONT20000MARS!J37+TONT20000AVRIL!J37+TONT20000MAI!J37+TONT20000JUIN!J37+TONT20000JUIL!J37+TONT20000AOUT!J37+TONT20000SEPT!J37+TONT20000OCT!J37+TONT20000NOV!K37</f>
        <v>22500</v>
      </c>
      <c r="T37" s="20">
        <f>TONT20000DEC2015!M37+TONT20000JANV!K37+TONT20000FEV!K37+TONT20000MARS!K37+TONT20000AVRIL!K37+TONT20000MAI!K37+TONT20000JUIN!K37+TONT20000JUIL!K37+TONT20000AOUT!K37+TONT20000SEPT!K37+TONT20000OCT!K37+TONT20000NOV!L37</f>
        <v>0</v>
      </c>
      <c r="U37" s="20">
        <f>TONT20000DEC2015!N37+TONT20000JANV!L37+TONT20000FEV!L37+TONT20000MARS!L37+TONT20000AVRIL!L37+TONT20000MAI!L37+TONT20000JUIN!L37+TONT20000JUIL!L37+TONT20000AOUT!L37+TONT20000SEPT!L37+TONT20000OCT!L37+TONT20000NOV!M37</f>
        <v>117000</v>
      </c>
      <c r="V37" s="20">
        <f>TONT20000DEC2015!O37+TONT20000JANV!M37+TONT20000FEV!M37+TONT20000MARS!M37+TONT20000AVRIL!M37+TONT20000MAI!M37+TONT20000JUIN!M37+TONT20000JUIL!M37+TONT20000AOUT!M37+TONT20000SEPT!M37+TONT20000OCT!M37+TONT20000NOV!N37</f>
        <v>0</v>
      </c>
      <c r="W37" s="20">
        <f>TONT20000DEC2015!P37+TONT20000JANV!N37+TONT20000FEV!N37+TONT20000MARS!N37+TONT20000AVRIL!N37+TONT20000MAI!N37+TONT20000JUIN!N37+TONT20000JUIL!N37+TONT20000AOUT!N37+TONT20000SEPT!N37+TONT20000OCT!N37+TONT20000NOV!O37</f>
        <v>0</v>
      </c>
      <c r="X37" s="20">
        <f>TONT20000DEC2015!Q37+TONT20000JANV!O37+TONT20000FEV!O37+TONT20000MARS!O37+TONT20000AVRIL!O37+TONT20000MAI!O37+TONT20000JUIN!O37+TONT20000JUIL!O37+TONT20000AOUT!O37+TONT20000SEPT!O37+TONT20000OCT!O37+TONT20000NOV!P37</f>
        <v>0</v>
      </c>
      <c r="Y37" s="20">
        <f>TONT20000DEC2015!R37+TONT20000JANV!P37+TONT20000FEV!P37+TONT20000MARS!P37+TONT20000AVRIL!P37+TONT20000MAI!P37+TONT20000JUIN!P37+TONT20000JUIL!P37+TONT20000AOUT!P37+TONT20000SEPT!P37+TONT20000OCT!P37+TONT20000NOV!Q37</f>
        <v>0</v>
      </c>
      <c r="Z37" s="20">
        <f>TONT20000DEC2015!S37+TONT20000JANV!Q37+TONT20000FEV!Q37+TONT20000MARS!Q37+TONT20000AVRIL!Q37+TONT20000MAI!Q37+TONT20000JUIN!Q37+TONT20000JUIL!Q37+TONT20000AOUT!Q37+TONT20000SEPT!Q37+TONT20000OCT!Q37+TONT20000NOV!R37</f>
        <v>0</v>
      </c>
      <c r="AA37" s="20">
        <f>TONT20000DEC2015!T37+TONT20000JANV!R37+TONT20000FEV!R37+TONT20000MARS!R37+TONT20000AVRIL!R37+TONT20000MAI!R37+TONT20000JUIN!R37+TONT20000JUIL!R37+TONT20000AOUT!R37+TONT20000SEPT!R37+TONT20000OCT!R37+TONT20000NOV!S37</f>
        <v>0</v>
      </c>
    </row>
    <row r="38" spans="1:27" x14ac:dyDescent="0.25">
      <c r="A38" s="1" t="s">
        <v>43</v>
      </c>
      <c r="B38" s="1" t="str">
        <f>VLOOKUP(A38,LISTADHERENT!A$5:H$52,2,0)</f>
        <v>PATEGO NJOSSU GUSTAVE</v>
      </c>
      <c r="C38" s="6">
        <f>VLOOKUP(A38,FONDSDECAISSE!A$5:C$52,3,0)</f>
        <v>390000</v>
      </c>
      <c r="D38" s="6">
        <v>140</v>
      </c>
      <c r="E38" s="6">
        <f t="shared" si="0"/>
        <v>426140</v>
      </c>
      <c r="F38" s="6">
        <f>TONT20000DEC2015!E38+TONT20000JANV!C38+TONT20000FEV!C38+TONT20000MARS!C38+TONT20000AVRIL!C38+TONT20000MAI!C38+TONT20000JUIN!C38+TONT20000JUIL!C38+TONT20000AOUT!C38+TONT20000SEPT!C38+TONT20000OCT!C38+TONT20000NOV!C38</f>
        <v>47834.903888536719</v>
      </c>
      <c r="G38" s="6">
        <f>TONT20000NOV!E38</f>
        <v>473974.90388853668</v>
      </c>
      <c r="H38" s="6">
        <f t="shared" si="1"/>
        <v>83974.903888536719</v>
      </c>
      <c r="I38" s="6">
        <f t="shared" si="2"/>
        <v>80000</v>
      </c>
      <c r="J38" s="36">
        <f t="shared" si="3"/>
        <v>3974.903888536719</v>
      </c>
      <c r="K38" s="6">
        <v>30000</v>
      </c>
      <c r="L38" s="6"/>
      <c r="M38" s="6">
        <v>50000</v>
      </c>
      <c r="N38" s="6">
        <f t="shared" si="4"/>
        <v>0</v>
      </c>
      <c r="O38" s="7">
        <f>TONT20000DEC2015!H38+TONT20000JANV!F38+TONT20000FEV!F38+TONT20000MARS!F38+TONT20000AVRIL!F38+TONT20000MAI!F38+TONT20000JUIN!F38+TONT20000JUIL!F38+TONT20000AOUT!F38+TONT20000SEPT!F38+TONT20000OCT!F38+TONT20000NOV!G38</f>
        <v>240000</v>
      </c>
      <c r="P38" s="7">
        <f>TONT20000DEC2015!I38+TONT20000JANV!G38+TONT20000FEV!G38+TONT20000MARS!G38+TONT20000AVRIL!G38+TONT20000MAI!G38+TONT20000JUIN!G38+TONT20000JUIL!G38+TONT20000AOUT!G38+TONT20000SEPT!G38+TONT20000OCT!G38+TONT20000NOV!H38</f>
        <v>36000</v>
      </c>
      <c r="Q38" s="7">
        <f>TONT20000DEC2015!J38+TONT20000JANV!H38+TONT20000FEV!H38+TONT20000MARS!H38+TONT20000AVRIL!H38+TONT20000MAI!H38+TONT20000JUIN!H38+TONT20000JUIL!H38+TONT20000AOUT!H38+TONT20000SEPT!H38+TONT20000OCT!H38+TONT20000NOV!I38</f>
        <v>6000</v>
      </c>
      <c r="R38" s="7">
        <f>TONT20000DEC2015!K38+TONT20000JANV!I38+TONT20000FEV!I38+TONT20000MARS!I38+TONT20000AVRIL!I38+TONT20000MAI!I38+TONT20000JUIN!I38+TONT20000JUIL!I38+TONT20000AOUT!I38+TONT20000SEPT!I38+TONT20000OCT!I38+TONT20000NOV!J38</f>
        <v>12000</v>
      </c>
      <c r="S38" s="7">
        <f>TONT20000DEC2015!L38+TONT20000JANV!J38+TONT20000FEV!J38+TONT20000MARS!J38+TONT20000AVRIL!J38+TONT20000MAI!J38+TONT20000JUIN!J38+TONT20000JUIL!J38+TONT20000AOUT!J38+TONT20000SEPT!J38+TONT20000OCT!J38+TONT20000NOV!K38</f>
        <v>30000</v>
      </c>
      <c r="T38" s="7">
        <f>TONT20000DEC2015!M38+TONT20000JANV!K38+TONT20000FEV!K38+TONT20000MARS!K38+TONT20000AVRIL!K38+TONT20000MAI!K38+TONT20000JUIN!K38+TONT20000JUIL!K38+TONT20000AOUT!K38+TONT20000SEPT!K38+TONT20000OCT!K38+TONT20000NOV!L38</f>
        <v>0</v>
      </c>
      <c r="U38" s="7">
        <f>TONT20000DEC2015!N38+TONT20000JANV!L38+TONT20000FEV!L38+TONT20000MARS!L38+TONT20000AVRIL!L38+TONT20000MAI!L38+TONT20000JUIN!L38+TONT20000JUIL!L38+TONT20000AOUT!L38+TONT20000SEPT!L38+TONT20000OCT!L38+TONT20000NOV!M38</f>
        <v>156000</v>
      </c>
      <c r="V38" s="7">
        <f>TONT20000DEC2015!O38+TONT20000JANV!M38+TONT20000FEV!M38+TONT20000MARS!M38+TONT20000AVRIL!M38+TONT20000MAI!M38+TONT20000JUIN!M38+TONT20000JUIL!M38+TONT20000AOUT!M38+TONT20000SEPT!M38+TONT20000OCT!M38+TONT20000NOV!N38</f>
        <v>0</v>
      </c>
      <c r="W38" s="7">
        <f>TONT20000DEC2015!P38+TONT20000JANV!N38+TONT20000FEV!N38+TONT20000MARS!N38+TONT20000AVRIL!N38+TONT20000MAI!N38+TONT20000JUIN!N38+TONT20000JUIL!N38+TONT20000AOUT!N38+TONT20000SEPT!N38+TONT20000OCT!N38+TONT20000NOV!O38</f>
        <v>0</v>
      </c>
      <c r="X38" s="7">
        <f>TONT20000DEC2015!Q38+TONT20000JANV!O38+TONT20000FEV!O38+TONT20000MARS!O38+TONT20000AVRIL!O38+TONT20000MAI!O38+TONT20000JUIN!O38+TONT20000JUIL!O38+TONT20000AOUT!O38+TONT20000SEPT!O38+TONT20000OCT!O38+TONT20000NOV!P38</f>
        <v>0</v>
      </c>
      <c r="Y38" s="7">
        <f>TONT20000DEC2015!R38+TONT20000JANV!P38+TONT20000FEV!P38+TONT20000MARS!P38+TONT20000AVRIL!P38+TONT20000MAI!P38+TONT20000JUIN!P38+TONT20000JUIL!P38+TONT20000AOUT!P38+TONT20000SEPT!P38+TONT20000OCT!P38+TONT20000NOV!Q38</f>
        <v>0</v>
      </c>
      <c r="Z38" s="7">
        <f>TONT20000DEC2015!S38+TONT20000JANV!Q38+TONT20000FEV!Q38+TONT20000MARS!Q38+TONT20000AVRIL!Q38+TONT20000MAI!Q38+TONT20000JUIN!Q38+TONT20000JUIL!Q38+TONT20000AOUT!Q38+TONT20000SEPT!Q38+TONT20000OCT!Q38+TONT20000NOV!R38</f>
        <v>0</v>
      </c>
      <c r="AA38" s="7">
        <f>TONT20000DEC2015!T38+TONT20000JANV!R38+TONT20000FEV!R38+TONT20000MARS!R38+TONT20000AVRIL!R38+TONT20000MAI!R38+TONT20000JUIN!R38+TONT20000JUIL!R38+TONT20000AOUT!R38+TONT20000SEPT!R38+TONT20000OCT!R38+TONT20000NOV!S38</f>
        <v>0</v>
      </c>
    </row>
    <row r="39" spans="1:27" x14ac:dyDescent="0.25">
      <c r="A39" s="1" t="s">
        <v>44</v>
      </c>
      <c r="B39" s="1" t="str">
        <f>VLOOKUP(A39,LISTADHERENT!A$5:H$52,2,0)</f>
        <v>SEUNOU RICHELOT</v>
      </c>
      <c r="C39" s="6">
        <f>VLOOKUP(A39,FONDSDECAISSE!A$5:C$52,3,0)</f>
        <v>390000</v>
      </c>
      <c r="D39" s="6">
        <v>2632</v>
      </c>
      <c r="E39" s="6">
        <f t="shared" si="0"/>
        <v>428632</v>
      </c>
      <c r="F39" s="6">
        <f>TONT20000DEC2015!E39+TONT20000JANV!C39+TONT20000FEV!C39+TONT20000MARS!C39+TONT20000AVRIL!C39+TONT20000MAI!C39+TONT20000JUIN!C39+TONT20000JUIL!C39+TONT20000AOUT!C39+TONT20000SEPT!C39+TONT20000OCT!C39+TONT20000NOV!C39</f>
        <v>48124.34948151042</v>
      </c>
      <c r="G39" s="6">
        <f>TONT20000NOV!E39</f>
        <v>476756.34948151035</v>
      </c>
      <c r="H39" s="6">
        <f t="shared" si="1"/>
        <v>86756.34948151042</v>
      </c>
      <c r="I39" s="6">
        <f t="shared" si="2"/>
        <v>80000</v>
      </c>
      <c r="J39" s="36">
        <f t="shared" si="3"/>
        <v>6756.3494815104204</v>
      </c>
      <c r="K39" s="6">
        <v>30000</v>
      </c>
      <c r="L39" s="6"/>
      <c r="M39" s="6">
        <v>50000</v>
      </c>
      <c r="N39" s="6">
        <f t="shared" si="4"/>
        <v>0</v>
      </c>
      <c r="O39" s="7">
        <f>TONT20000DEC2015!H39+TONT20000JANV!F39+TONT20000FEV!F39+TONT20000MARS!F39+TONT20000AVRIL!F39+TONT20000MAI!F39+TONT20000JUIN!F39+TONT20000JUIL!F39+TONT20000AOUT!F39+TONT20000SEPT!F39+TONT20000OCT!F39+TONT20000NOV!G39</f>
        <v>240000</v>
      </c>
      <c r="P39" s="7">
        <f>TONT20000DEC2015!I39+TONT20000JANV!G39+TONT20000FEV!G39+TONT20000MARS!G39+TONT20000AVRIL!G39+TONT20000MAI!G39+TONT20000JUIN!G39+TONT20000JUIL!G39+TONT20000AOUT!G39+TONT20000SEPT!G39+TONT20000OCT!G39+TONT20000NOV!H39</f>
        <v>36000</v>
      </c>
      <c r="Q39" s="7">
        <f>TONT20000DEC2015!J39+TONT20000JANV!H39+TONT20000FEV!H39+TONT20000MARS!H39+TONT20000AVRIL!H39+TONT20000MAI!H39+TONT20000JUIN!H39+TONT20000JUIL!H39+TONT20000AOUT!H39+TONT20000SEPT!H39+TONT20000OCT!H39+TONT20000NOV!I39</f>
        <v>6000</v>
      </c>
      <c r="R39" s="7">
        <f>TONT20000DEC2015!K39+TONT20000JANV!I39+TONT20000FEV!I39+TONT20000MARS!I39+TONT20000AVRIL!I39+TONT20000MAI!I39+TONT20000JUIN!I39+TONT20000JUIL!I39+TONT20000AOUT!I39+TONT20000SEPT!I39+TONT20000OCT!I39+TONT20000NOV!J39</f>
        <v>12000</v>
      </c>
      <c r="S39" s="7">
        <f>TONT20000DEC2015!L39+TONT20000JANV!J39+TONT20000FEV!J39+TONT20000MARS!J39+TONT20000AVRIL!J39+TONT20000MAI!J39+TONT20000JUIN!J39+TONT20000JUIL!J39+TONT20000AOUT!J39+TONT20000SEPT!J39+TONT20000OCT!J39+TONT20000NOV!K39</f>
        <v>30000</v>
      </c>
      <c r="T39" s="7">
        <f>TONT20000DEC2015!M39+TONT20000JANV!K39+TONT20000FEV!K39+TONT20000MARS!K39+TONT20000AVRIL!K39+TONT20000MAI!K39+TONT20000JUIN!K39+TONT20000JUIL!K39+TONT20000AOUT!K39+TONT20000SEPT!K39+TONT20000OCT!K39+TONT20000NOV!L39</f>
        <v>0</v>
      </c>
      <c r="U39" s="7">
        <f>TONT20000DEC2015!N39+TONT20000JANV!L39+TONT20000FEV!L39+TONT20000MARS!L39+TONT20000AVRIL!L39+TONT20000MAI!L39+TONT20000JUIN!L39+TONT20000JUIL!L39+TONT20000AOUT!L39+TONT20000SEPT!L39+TONT20000OCT!L39+TONT20000NOV!M39</f>
        <v>156000</v>
      </c>
      <c r="V39" s="7">
        <f>TONT20000DEC2015!O39+TONT20000JANV!M39+TONT20000FEV!M39+TONT20000MARS!M39+TONT20000AVRIL!M39+TONT20000MAI!M39+TONT20000JUIN!M39+TONT20000JUIL!M39+TONT20000AOUT!M39+TONT20000SEPT!M39+TONT20000OCT!M39+TONT20000NOV!N39</f>
        <v>1000000</v>
      </c>
      <c r="W39" s="7">
        <f>TONT20000DEC2015!P39+TONT20000JANV!N39+TONT20000FEV!N39+TONT20000MARS!N39+TONT20000AVRIL!N39+TONT20000MAI!N39+TONT20000JUIN!N39+TONT20000JUIL!N39+TONT20000AOUT!N39+TONT20000SEPT!N39+TONT20000OCT!N39+TONT20000NOV!O39</f>
        <v>120000</v>
      </c>
      <c r="X39" s="7">
        <f>TONT20000DEC2015!Q39+TONT20000JANV!O39+TONT20000FEV!O39+TONT20000MARS!O39+TONT20000AVRIL!O39+TONT20000MAI!O39+TONT20000JUIN!O39+TONT20000JUIL!O39+TONT20000AOUT!O39+TONT20000SEPT!O39+TONT20000OCT!O39+TONT20000NOV!P39</f>
        <v>0</v>
      </c>
      <c r="Y39" s="7">
        <f>TONT20000DEC2015!R39+TONT20000JANV!P39+TONT20000FEV!P39+TONT20000MARS!P39+TONT20000AVRIL!P39+TONT20000MAI!P39+TONT20000JUIN!P39+TONT20000JUIL!P39+TONT20000AOUT!P39+TONT20000SEPT!P39+TONT20000OCT!P39+TONT20000NOV!Q39</f>
        <v>0</v>
      </c>
      <c r="Z39" s="7">
        <f>TONT20000DEC2015!S39+TONT20000JANV!Q39+TONT20000FEV!Q39+TONT20000MARS!Q39+TONT20000AVRIL!Q39+TONT20000MAI!Q39+TONT20000JUIN!Q39+TONT20000JUIL!Q39+TONT20000AOUT!Q39+TONT20000SEPT!Q39+TONT20000OCT!Q39+TONT20000NOV!R39</f>
        <v>0</v>
      </c>
      <c r="AA39" s="7">
        <f>TONT20000DEC2015!T39+TONT20000JANV!R39+TONT20000FEV!R39+TONT20000MARS!R39+TONT20000AVRIL!R39+TONT20000MAI!R39+TONT20000JUIN!R39+TONT20000JUIL!R39+TONT20000AOUT!R39+TONT20000SEPT!R39+TONT20000OCT!R39+TONT20000NOV!S39</f>
        <v>0</v>
      </c>
    </row>
    <row r="40" spans="1:27" x14ac:dyDescent="0.25">
      <c r="A40" s="1" t="s">
        <v>45</v>
      </c>
      <c r="B40" s="1" t="str">
        <f>VLOOKUP(A40,LISTADHERENT!A$5:H$52,2,0)</f>
        <v>SIME ABEL</v>
      </c>
      <c r="C40" s="6">
        <v>390000</v>
      </c>
      <c r="D40" s="6">
        <v>0</v>
      </c>
      <c r="E40" s="6">
        <f t="shared" si="0"/>
        <v>398873</v>
      </c>
      <c r="F40" s="6">
        <f>TONT20000DEC2015!E40+TONT20000JANV!C40+TONT20000FEV!C40+TONT20000MARS!C40+TONT20000AVRIL!C40+TONT20000MAI!C40+TONT20000JUIN!C40+TONT20000JUIL!C40+TONT20000AOUT!C40+TONT20000SEPT!C40+TONT20000OCT!C40+TONT20000NOV!C40</f>
        <v>15621.347483163368</v>
      </c>
      <c r="G40" s="6">
        <f>TONT20000NOV!E40</f>
        <v>441621.34748316335</v>
      </c>
      <c r="H40" s="6">
        <f t="shared" si="1"/>
        <v>24494.347483163368</v>
      </c>
      <c r="I40" s="6">
        <f t="shared" si="2"/>
        <v>24006</v>
      </c>
      <c r="J40" s="36">
        <f t="shared" si="3"/>
        <v>488.34748316336845</v>
      </c>
      <c r="K40" s="6"/>
      <c r="L40" s="6"/>
      <c r="M40" s="6">
        <f>50000-25994</f>
        <v>24006</v>
      </c>
      <c r="N40" s="6">
        <f t="shared" si="4"/>
        <v>0</v>
      </c>
      <c r="O40" s="7">
        <f>TONT20000DEC2015!H40+TONT20000JANV!F40+TONT20000FEV!F40+TONT20000MARS!F40+TONT20000AVRIL!F40+TONT20000MAI!F40+TONT20000JUIN!F40+TONT20000JUIL!F40+TONT20000AOUT!F40+TONT20000SEPT!F40+TONT20000OCT!F40+TONT20000NOV!G40</f>
        <v>240000</v>
      </c>
      <c r="P40" s="7">
        <f>TONT20000DEC2015!I40+TONT20000JANV!G40+TONT20000FEV!G40+TONT20000MARS!G40+TONT20000AVRIL!G40+TONT20000MAI!G40+TONT20000JUIN!G40+TONT20000JUIL!G40+TONT20000AOUT!G40+TONT20000SEPT!G40+TONT20000OCT!G40+TONT20000NOV!H40-27127</f>
        <v>8873</v>
      </c>
      <c r="Q40" s="7">
        <f>TONT20000DEC2015!J40+TONT20000JANV!H40+TONT20000FEV!H40+TONT20000MARS!H40+TONT20000AVRIL!H40+TONT20000MAI!H40+TONT20000JUIN!H40+TONT20000JUIL!H40+TONT20000AOUT!H40+TONT20000SEPT!H40+TONT20000OCT!H40+TONT20000NOV!I40</f>
        <v>6000</v>
      </c>
      <c r="R40" s="7">
        <f>TONT20000DEC2015!K40+TONT20000JANV!I40+TONT20000FEV!I40+TONT20000MARS!I40+TONT20000AVRIL!I40+TONT20000MAI!I40+TONT20000JUIN!I40+TONT20000JUIL!I40+TONT20000AOUT!I40+TONT20000SEPT!I40+TONT20000OCT!I40+TONT20000NOV!J40</f>
        <v>12000</v>
      </c>
      <c r="S40" s="7">
        <f>TONT20000DEC2015!L40+TONT20000JANV!J40+TONT20000FEV!J40+TONT20000MARS!J40+TONT20000AVRIL!J40+TONT20000MAI!J40+TONT20000JUIN!J40+TONT20000JUIL!J40+TONT20000AOUT!J40+TONT20000SEPT!J40+TONT20000OCT!J40+TONT20000NOV!K40</f>
        <v>30000</v>
      </c>
      <c r="T40" s="7">
        <f>TONT20000DEC2015!M40+TONT20000JANV!K40+TONT20000FEV!K40+TONT20000MARS!K40+TONT20000AVRIL!K40+TONT20000MAI!K40+TONT20000JUIN!K40+TONT20000JUIL!K40+TONT20000AOUT!K40+TONT20000SEPT!K40+TONT20000OCT!K40+TONT20000NOV!L40</f>
        <v>0</v>
      </c>
      <c r="U40" s="7">
        <f>TONT20000DEC2015!N40+TONT20000JANV!L40+TONT20000FEV!L40+TONT20000MARS!L40+TONT20000AVRIL!L40+TONT20000MAI!L40+TONT20000JUIN!L40+TONT20000JUIL!L40+TONT20000AOUT!L40+TONT20000SEPT!L40+TONT20000OCT!L40+TONT20000NOV!M40</f>
        <v>156000</v>
      </c>
      <c r="V40" s="7">
        <f>TONT20000DEC2015!O40+TONT20000JANV!M40+TONT20000FEV!M40+TONT20000MARS!M40+TONT20000AVRIL!M40+TONT20000MAI!M40+TONT20000JUIN!M40+TONT20000JUIL!M40+TONT20000AOUT!M40+TONT20000SEPT!M40+TONT20000OCT!M40+TONT20000NOV!N40</f>
        <v>0</v>
      </c>
      <c r="W40" s="7">
        <f>TONT20000DEC2015!P40+TONT20000JANV!N40+TONT20000FEV!N40+TONT20000MARS!N40+TONT20000AVRIL!N40+TONT20000MAI!N40+TONT20000JUIN!N40+TONT20000JUIL!N40+TONT20000AOUT!N40+TONT20000SEPT!N40+TONT20000OCT!N40+TONT20000NOV!O40</f>
        <v>0</v>
      </c>
      <c r="X40" s="7">
        <f>TONT20000DEC2015!Q40+TONT20000JANV!O40+TONT20000FEV!O40+TONT20000MARS!O40+TONT20000AVRIL!O40+TONT20000MAI!O40+TONT20000JUIN!O40+TONT20000JUIL!O40+TONT20000AOUT!O40+TONT20000SEPT!O40+TONT20000OCT!O40+TONT20000NOV!P40</f>
        <v>0</v>
      </c>
      <c r="Y40" s="7">
        <f>TONT20000DEC2015!R40+TONT20000JANV!P40+TONT20000FEV!P40+TONT20000MARS!P40+TONT20000AVRIL!P40+TONT20000MAI!P40+TONT20000JUIN!P40+TONT20000JUIL!P40+TONT20000AOUT!P40+TONT20000SEPT!P40+TONT20000OCT!P40+TONT20000NOV!Q40</f>
        <v>0</v>
      </c>
      <c r="Z40" s="7">
        <f>TONT20000DEC2015!S40+TONT20000JANV!Q40+TONT20000FEV!Q40+TONT20000MARS!Q40+TONT20000AVRIL!Q40+TONT20000MAI!Q40+TONT20000JUIN!Q40+TONT20000JUIL!Q40+TONT20000AOUT!Q40+TONT20000SEPT!Q40+TONT20000OCT!Q40+TONT20000NOV!R40</f>
        <v>0</v>
      </c>
      <c r="AA40" s="7">
        <f>TONT20000DEC2015!T40+TONT20000JANV!R40+TONT20000FEV!R40+TONT20000MARS!R40+TONT20000AVRIL!R40+TONT20000MAI!R40+TONT20000JUIN!R40+TONT20000JUIL!R40+TONT20000AOUT!R40+TONT20000SEPT!R40+TONT20000OCT!R40+TONT20000NOV!S40</f>
        <v>0</v>
      </c>
    </row>
    <row r="41" spans="1:27" x14ac:dyDescent="0.25">
      <c r="A41" s="1" t="s">
        <v>46</v>
      </c>
      <c r="B41" s="1" t="str">
        <f>VLOOKUP(A41,LISTADHERENT!A$5:H$52,2,0)</f>
        <v>SIME FONGANG ERIC</v>
      </c>
      <c r="C41" s="6">
        <f>VLOOKUP(A41,FONDSDECAISSE!A$5:C$52,3,0)</f>
        <v>390000</v>
      </c>
      <c r="D41" s="6">
        <v>982</v>
      </c>
      <c r="E41" s="6">
        <f t="shared" si="0"/>
        <v>426982</v>
      </c>
      <c r="F41" s="6">
        <f>TONT20000DEC2015!E41+TONT20000JANV!C41+TONT20000FEV!C41+TONT20000MARS!C41+TONT20000AVRIL!C41+TONT20000MAI!C41+TONT20000JUIN!C41+TONT20000JUIL!C41+TONT20000AOUT!C41+TONT20000SEPT!C41+TONT20000OCT!C41+TONT20000NOV!C41</f>
        <v>47932.702118586429</v>
      </c>
      <c r="G41" s="6">
        <f>TONT20000NOV!E41</f>
        <v>474914.7021185864</v>
      </c>
      <c r="H41" s="6">
        <f t="shared" si="1"/>
        <v>84914.702118586429</v>
      </c>
      <c r="I41" s="6">
        <f t="shared" si="2"/>
        <v>80000</v>
      </c>
      <c r="J41" s="36">
        <f t="shared" si="3"/>
        <v>4914.7021185864287</v>
      </c>
      <c r="K41" s="6">
        <v>30000</v>
      </c>
      <c r="L41" s="6"/>
      <c r="M41" s="6">
        <v>50000</v>
      </c>
      <c r="N41" s="6">
        <f t="shared" si="4"/>
        <v>0</v>
      </c>
      <c r="O41" s="7">
        <f>TONT20000DEC2015!H41+TONT20000JANV!F41+TONT20000FEV!F41+TONT20000MARS!F41+TONT20000AVRIL!F41+TONT20000MAI!F41+TONT20000JUIN!F41+TONT20000JUIL!F41+TONT20000AOUT!F41+TONT20000SEPT!F41+TONT20000OCT!F41+TONT20000NOV!G41</f>
        <v>240000</v>
      </c>
      <c r="P41" s="7">
        <f>TONT20000DEC2015!I41+TONT20000JANV!G41+TONT20000FEV!G41+TONT20000MARS!G41+TONT20000AVRIL!G41+TONT20000MAI!G41+TONT20000JUIN!G41+TONT20000JUIL!G41+TONT20000AOUT!G41+TONT20000SEPT!G41+TONT20000OCT!G41+TONT20000NOV!H41</f>
        <v>36000</v>
      </c>
      <c r="Q41" s="7">
        <f>TONT20000DEC2015!J41+TONT20000JANV!H41+TONT20000FEV!H41+TONT20000MARS!H41+TONT20000AVRIL!H41+TONT20000MAI!H41+TONT20000JUIN!H41+TONT20000JUIL!H41+TONT20000AOUT!H41+TONT20000SEPT!H41+TONT20000OCT!H41+TONT20000NOV!I41</f>
        <v>6000</v>
      </c>
      <c r="R41" s="7">
        <f>TONT20000DEC2015!K41+TONT20000JANV!I41+TONT20000FEV!I41+TONT20000MARS!I41+TONT20000AVRIL!I41+TONT20000MAI!I41+TONT20000JUIN!I41+TONT20000JUIL!I41+TONT20000AOUT!I41+TONT20000SEPT!I41+TONT20000OCT!I41+TONT20000NOV!J41</f>
        <v>12000</v>
      </c>
      <c r="S41" s="7">
        <f>TONT20000DEC2015!L41+TONT20000JANV!J41+TONT20000FEV!J41+TONT20000MARS!J41+TONT20000AVRIL!J41+TONT20000MAI!J41+TONT20000JUIN!J41+TONT20000JUIL!J41+TONT20000AOUT!J41+TONT20000SEPT!J41+TONT20000OCT!J41+TONT20000NOV!K41</f>
        <v>30000</v>
      </c>
      <c r="T41" s="7">
        <f>TONT20000DEC2015!M41+TONT20000JANV!K41+TONT20000FEV!K41+TONT20000MARS!K41+TONT20000AVRIL!K41+TONT20000MAI!K41+TONT20000JUIN!K41+TONT20000JUIL!K41+TONT20000AOUT!K41+TONT20000SEPT!K41+TONT20000OCT!K41+TONT20000NOV!L41</f>
        <v>0</v>
      </c>
      <c r="U41" s="7">
        <f>TONT20000DEC2015!N41+TONT20000JANV!L41+TONT20000FEV!L41+TONT20000MARS!L41+TONT20000AVRIL!L41+TONT20000MAI!L41+TONT20000JUIN!L41+TONT20000JUIL!L41+TONT20000AOUT!L41+TONT20000SEPT!L41+TONT20000OCT!L41+TONT20000NOV!M41</f>
        <v>156000</v>
      </c>
      <c r="V41" s="7">
        <f>TONT20000DEC2015!O41+TONT20000JANV!M41+TONT20000FEV!M41+TONT20000MARS!M41+TONT20000AVRIL!M41+TONT20000MAI!M41+TONT20000JUIN!M41+TONT20000JUIL!M41+TONT20000AOUT!M41+TONT20000SEPT!M41+TONT20000OCT!M41+TONT20000NOV!N41</f>
        <v>1000000</v>
      </c>
      <c r="W41" s="7">
        <f>TONT20000DEC2015!P41+TONT20000JANV!N41+TONT20000FEV!N41+TONT20000MARS!N41+TONT20000AVRIL!N41+TONT20000MAI!N41+TONT20000JUIN!N41+TONT20000JUIL!N41+TONT20000AOUT!N41+TONT20000SEPT!N41+TONT20000OCT!N41+TONT20000NOV!O41</f>
        <v>120000</v>
      </c>
      <c r="X41" s="7">
        <f>TONT20000DEC2015!Q41+TONT20000JANV!O41+TONT20000FEV!O41+TONT20000MARS!O41+TONT20000AVRIL!O41+TONT20000MAI!O41+TONT20000JUIN!O41+TONT20000JUIL!O41+TONT20000AOUT!O41+TONT20000SEPT!O41+TONT20000OCT!O41+TONT20000NOV!P41</f>
        <v>0</v>
      </c>
      <c r="Y41" s="7">
        <f>TONT20000DEC2015!R41+TONT20000JANV!P41+TONT20000FEV!P41+TONT20000MARS!P41+TONT20000AVRIL!P41+TONT20000MAI!P41+TONT20000JUIN!P41+TONT20000JUIL!P41+TONT20000AOUT!P41+TONT20000SEPT!P41+TONT20000OCT!P41+TONT20000NOV!Q41</f>
        <v>0</v>
      </c>
      <c r="Z41" s="7">
        <f>TONT20000DEC2015!S41+TONT20000JANV!Q41+TONT20000FEV!Q41+TONT20000MARS!Q41+TONT20000AVRIL!Q41+TONT20000MAI!Q41+TONT20000JUIN!Q41+TONT20000JUIL!Q41+TONT20000AOUT!Q41+TONT20000SEPT!Q41+TONT20000OCT!Q41+TONT20000NOV!R41</f>
        <v>0</v>
      </c>
      <c r="AA41" s="7">
        <f>TONT20000DEC2015!T41+TONT20000JANV!R41+TONT20000FEV!R41+TONT20000MARS!R41+TONT20000AVRIL!R41+TONT20000MAI!R41+TONT20000JUIN!R41+TONT20000JUIL!R41+TONT20000AOUT!R41+TONT20000SEPT!R41+TONT20000OCT!R41+TONT20000NOV!S41</f>
        <v>0</v>
      </c>
    </row>
    <row r="42" spans="1:27" x14ac:dyDescent="0.25">
      <c r="A42" s="1" t="s">
        <v>47</v>
      </c>
      <c r="B42" s="1" t="str">
        <f>VLOOKUP(A42,LISTADHERENT!A$5:H$52,2,0)</f>
        <v>SIME MATHIEU</v>
      </c>
      <c r="C42" s="6">
        <f>VLOOKUP(A42,FONDSDECAISSE!A$5:C$52,3,0)</f>
        <v>390000</v>
      </c>
      <c r="D42" s="6">
        <v>636</v>
      </c>
      <c r="E42" s="6">
        <f t="shared" si="0"/>
        <v>426636</v>
      </c>
      <c r="F42" s="6">
        <f>TONT20000DEC2015!E42+TONT20000JANV!C42+TONT20000FEV!C42+TONT20000MARS!C42+TONT20000AVRIL!C42+TONT20000MAI!C42+TONT20000JUIN!C42+TONT20000JUIL!C42+TONT20000AOUT!C42+TONT20000SEPT!C42+TONT20000OCT!C42+TONT20000NOV!C42</f>
        <v>47892.514247330852</v>
      </c>
      <c r="G42" s="6">
        <f>TONT20000NOV!E42</f>
        <v>474528.51424733078</v>
      </c>
      <c r="H42" s="6">
        <f t="shared" si="1"/>
        <v>84528.514247330852</v>
      </c>
      <c r="I42" s="6">
        <f t="shared" si="2"/>
        <v>80000</v>
      </c>
      <c r="J42" s="36">
        <f t="shared" si="3"/>
        <v>4528.5142473308515</v>
      </c>
      <c r="K42" s="6">
        <v>30000</v>
      </c>
      <c r="L42" s="6"/>
      <c r="M42" s="6">
        <v>50000</v>
      </c>
      <c r="N42" s="6">
        <f t="shared" si="4"/>
        <v>0</v>
      </c>
      <c r="O42" s="7">
        <f>TONT20000DEC2015!H42+TONT20000JANV!F42+TONT20000FEV!F42+TONT20000MARS!F42+TONT20000AVRIL!F42+TONT20000MAI!F42+TONT20000JUIN!F42+TONT20000JUIL!F42+TONT20000AOUT!F42+TONT20000SEPT!F42+TONT20000OCT!F42+TONT20000NOV!G42</f>
        <v>240000</v>
      </c>
      <c r="P42" s="7">
        <f>TONT20000DEC2015!I42+TONT20000JANV!G42+TONT20000FEV!G42+TONT20000MARS!G42+TONT20000AVRIL!G42+TONT20000MAI!G42+TONT20000JUIN!G42+TONT20000JUIL!G42+TONT20000AOUT!G42+TONT20000SEPT!G42+TONT20000OCT!G42+TONT20000NOV!H42</f>
        <v>36000</v>
      </c>
      <c r="Q42" s="7">
        <f>TONT20000DEC2015!J42+TONT20000JANV!H42+TONT20000FEV!H42+TONT20000MARS!H42+TONT20000AVRIL!H42+TONT20000MAI!H42+TONT20000JUIN!H42+TONT20000JUIL!H42+TONT20000AOUT!H42+TONT20000SEPT!H42+TONT20000OCT!H42+TONT20000NOV!I42</f>
        <v>6000</v>
      </c>
      <c r="R42" s="7">
        <f>TONT20000DEC2015!K42+TONT20000JANV!I42+TONT20000FEV!I42+TONT20000MARS!I42+TONT20000AVRIL!I42+TONT20000MAI!I42+TONT20000JUIN!I42+TONT20000JUIL!I42+TONT20000AOUT!I42+TONT20000SEPT!I42+TONT20000OCT!I42+TONT20000NOV!J42</f>
        <v>12000</v>
      </c>
      <c r="S42" s="7">
        <f>TONT20000DEC2015!L42+TONT20000JANV!J42+TONT20000FEV!J42+TONT20000MARS!J42+TONT20000AVRIL!J42+TONT20000MAI!J42+TONT20000JUIN!J42+TONT20000JUIL!J42+TONT20000AOUT!J42+TONT20000SEPT!J42+TONT20000OCT!J42+TONT20000NOV!K42</f>
        <v>30000</v>
      </c>
      <c r="T42" s="7">
        <f>TONT20000DEC2015!M42+TONT20000JANV!K42+TONT20000FEV!K42+TONT20000MARS!K42+TONT20000AVRIL!K42+TONT20000MAI!K42+TONT20000JUIN!K42+TONT20000JUIL!K42+TONT20000AOUT!K42+TONT20000SEPT!K42+TONT20000OCT!K42+TONT20000NOV!L42</f>
        <v>0</v>
      </c>
      <c r="U42" s="7">
        <f>TONT20000DEC2015!N42+TONT20000JANV!L42+TONT20000FEV!L42+TONT20000MARS!L42+TONT20000AVRIL!L42+TONT20000MAI!L42+TONT20000JUIN!L42+TONT20000JUIL!L42+TONT20000AOUT!L42+TONT20000SEPT!L42+TONT20000OCT!L42+TONT20000NOV!M42</f>
        <v>156000</v>
      </c>
      <c r="V42" s="7">
        <f>TONT20000DEC2015!O42+TONT20000JANV!M42+TONT20000FEV!M42+TONT20000MARS!M42+TONT20000AVRIL!M42+TONT20000MAI!M42+TONT20000JUIN!M42+TONT20000JUIL!M42+TONT20000AOUT!M42+TONT20000SEPT!M42+TONT20000OCT!M42+TONT20000NOV!N42</f>
        <v>800000</v>
      </c>
      <c r="W42" s="7">
        <f>TONT20000DEC2015!P42+TONT20000JANV!N42+TONT20000FEV!N42+TONT20000MARS!N42+TONT20000AVRIL!N42+TONT20000MAI!N42+TONT20000JUIN!N42+TONT20000JUIL!N42+TONT20000AOUT!N42+TONT20000SEPT!N42+TONT20000OCT!N42+TONT20000NOV!O42</f>
        <v>96000</v>
      </c>
      <c r="X42" s="7">
        <f>TONT20000DEC2015!Q42+TONT20000JANV!O42+TONT20000FEV!O42+TONT20000MARS!O42+TONT20000AVRIL!O42+TONT20000MAI!O42+TONT20000JUIN!O42+TONT20000JUIL!O42+TONT20000AOUT!O42+TONT20000SEPT!O42+TONT20000OCT!O42+TONT20000NOV!P42</f>
        <v>0</v>
      </c>
      <c r="Y42" s="7">
        <f>TONT20000DEC2015!R42+TONT20000JANV!P42+TONT20000FEV!P42+TONT20000MARS!P42+TONT20000AVRIL!P42+TONT20000MAI!P42+TONT20000JUIN!P42+TONT20000JUIL!P42+TONT20000AOUT!P42+TONT20000SEPT!P42+TONT20000OCT!P42+TONT20000NOV!Q42</f>
        <v>0</v>
      </c>
      <c r="Z42" s="7">
        <f>TONT20000DEC2015!S42+TONT20000JANV!Q42+TONT20000FEV!Q42+TONT20000MARS!Q42+TONT20000AVRIL!Q42+TONT20000MAI!Q42+TONT20000JUIN!Q42+TONT20000JUIL!Q42+TONT20000AOUT!Q42+TONT20000SEPT!Q42+TONT20000OCT!Q42+TONT20000NOV!R42</f>
        <v>0</v>
      </c>
      <c r="AA42" s="7">
        <f>TONT20000DEC2015!T42+TONT20000JANV!R42+TONT20000FEV!R42+TONT20000MARS!R42+TONT20000AVRIL!R42+TONT20000MAI!R42+TONT20000JUIN!R42+TONT20000JUIL!R42+TONT20000AOUT!R42+TONT20000SEPT!R42+TONT20000OCT!R42+TONT20000NOV!S42</f>
        <v>0</v>
      </c>
    </row>
    <row r="43" spans="1:27" s="11" customFormat="1" x14ac:dyDescent="0.25">
      <c r="A43" s="34" t="s">
        <v>48</v>
      </c>
      <c r="B43" s="34" t="str">
        <f>VLOOKUP(A43,LISTADHERENT!A$5:H$52,2,0)</f>
        <v>SIME PIERRE</v>
      </c>
      <c r="C43" s="35">
        <f>VLOOKUP(A43,FONDSDECAISSE!A$5:C$52,3,0)</f>
        <v>390000</v>
      </c>
      <c r="D43" s="35">
        <v>146079</v>
      </c>
      <c r="E43" s="35">
        <f t="shared" si="0"/>
        <v>1147306</v>
      </c>
      <c r="F43" s="35">
        <f>TONT20000DEC2015!E43+TONT20000JANV!C43+TONT20000FEV!C43+TONT20000MARS!C43+TONT20000AVRIL!C43+TONT20000MAI!C43+TONT20000JUIN!C43+TONT20000JUIL!C43+TONT20000AOUT!C43+TONT20000SEPT!C43+TONT20000OCT!C43+TONT20000NOV!C43</f>
        <v>121669.85298085454</v>
      </c>
      <c r="G43" s="35">
        <f>TONT20000NOV!E43</f>
        <v>1268975.8529808545</v>
      </c>
      <c r="H43" s="6">
        <f t="shared" si="1"/>
        <v>878975.85298085457</v>
      </c>
      <c r="I43" s="6">
        <f t="shared" si="2"/>
        <v>80000</v>
      </c>
      <c r="J43" s="36">
        <f t="shared" si="3"/>
        <v>798975.85298085457</v>
      </c>
      <c r="K43" s="6">
        <v>30000</v>
      </c>
      <c r="L43" s="35"/>
      <c r="M43" s="35">
        <v>50000</v>
      </c>
      <c r="N43" s="35">
        <f t="shared" si="4"/>
        <v>0</v>
      </c>
      <c r="O43" s="10">
        <f>TONT20000DEC2015!H43+TONT20000JANV!F43+TONT20000FEV!F43+TONT20000MARS!F43+TONT20000AVRIL!F43+TONT20000MAI!F43+TONT20000JUIN!F43+TONT20000JUIL!F43+TONT20000AOUT!F43+TONT20000SEPT!F43+TONT20000OCT!F43+TONT20000NOV!G43</f>
        <v>1130000</v>
      </c>
      <c r="P43" s="10">
        <f>TONT20000DEC2015!I43+TONT20000JANV!G43+TONT20000FEV!G43+TONT20000MARS!G43+TONT20000AVRIL!G43+TONT20000MAI!G43+TONT20000JUIN!G43+TONT20000JUIL!G43+TONT20000AOUT!G43+TONT20000SEPT!G43+TONT20000OCT!G43+TONT20000NOV!H43-854773+550000</f>
        <v>611227</v>
      </c>
      <c r="Q43" s="10">
        <f>TONT20000DEC2015!J43+TONT20000JANV!H43+TONT20000FEV!H43+TONT20000MARS!H43+TONT20000AVRIL!H43+TONT20000MAI!H43+TONT20000JUIN!H43+TONT20000JUIL!H43+TONT20000AOUT!H43+TONT20000SEPT!H43+TONT20000OCT!H43+TONT20000NOV!I43</f>
        <v>6000</v>
      </c>
      <c r="R43" s="10">
        <f>TONT20000DEC2015!K43+TONT20000JANV!I43+TONT20000FEV!I43+TONT20000MARS!I43+TONT20000AVRIL!I43+TONT20000MAI!I43+TONT20000JUIN!I43+TONT20000JUIL!I43+TONT20000AOUT!I43+TONT20000SEPT!I43+TONT20000OCT!I43+TONT20000NOV!J43</f>
        <v>12000</v>
      </c>
      <c r="S43" s="10">
        <f>TONT20000DEC2015!L43+TONT20000JANV!J43+TONT20000FEV!J43+TONT20000MARS!J43+TONT20000AVRIL!J43+TONT20000MAI!J43+TONT20000JUIN!J43+TONT20000JUIL!J43+TONT20000AOUT!J43+TONT20000SEPT!J43+TONT20000OCT!J43+TONT20000NOV!K43</f>
        <v>30000</v>
      </c>
      <c r="T43" s="10">
        <f>TONT20000DEC2015!M43+TONT20000JANV!K43+TONT20000FEV!K43+TONT20000MARS!K43+TONT20000AVRIL!K43+TONT20000MAI!K43+TONT20000JUIN!K43+TONT20000JUIL!K43+TONT20000AOUT!K43+TONT20000SEPT!K43+TONT20000OCT!K43+TONT20000NOV!L43</f>
        <v>10000</v>
      </c>
      <c r="U43" s="10">
        <f>TONT20000DEC2015!N43+TONT20000JANV!L43+TONT20000FEV!L43+TONT20000MARS!L43+TONT20000AVRIL!L43+TONT20000MAI!L43+TONT20000JUIN!L43+TONT20000JUIL!L43+TONT20000AOUT!L43+TONT20000SEPT!L43+TONT20000OCT!L43+TONT20000NOV!M43</f>
        <v>156000</v>
      </c>
      <c r="V43" s="10">
        <f>TONT20000DEC2015!O43+TONT20000JANV!M43+TONT20000FEV!M43+TONT20000MARS!M43+TONT20000AVRIL!M43+TONT20000MAI!M43+TONT20000JUIN!M43+TONT20000JUIL!M43+TONT20000AOUT!M43+TONT20000SEPT!M43+TONT20000OCT!M43+TONT20000NOV!N43</f>
        <v>1110000</v>
      </c>
      <c r="W43" s="10">
        <f>TONT20000DEC2015!P43+TONT20000JANV!N43+TONT20000FEV!N43+TONT20000MARS!N43+TONT20000AVRIL!N43+TONT20000MAI!N43+TONT20000JUIN!N43+TONT20000JUIL!N43+TONT20000AOUT!N43+TONT20000SEPT!N43+TONT20000OCT!N43+TONT20000NOV!O43</f>
        <v>84600</v>
      </c>
      <c r="X43" s="10">
        <f>TONT20000DEC2015!Q43+TONT20000JANV!O43+TONT20000FEV!O43+TONT20000MARS!O43+TONT20000AVRIL!O43+TONT20000MAI!O43+TONT20000JUIN!O43+TONT20000JUIL!O43+TONT20000AOUT!O43+TONT20000SEPT!O43+TONT20000OCT!O43+TONT20000NOV!P43</f>
        <v>540000</v>
      </c>
      <c r="Y43" s="10">
        <f>TONT20000DEC2015!R43+TONT20000JANV!P43+TONT20000FEV!P43+TONT20000MARS!P43+TONT20000AVRIL!P43+TONT20000MAI!P43+TONT20000JUIN!P43+TONT20000JUIL!P43+TONT20000AOUT!P43+TONT20000SEPT!P43+TONT20000OCT!P43+TONT20000NOV!Q43</f>
        <v>0</v>
      </c>
      <c r="Z43" s="10">
        <f>TONT20000DEC2015!S43+TONT20000JANV!Q43+TONT20000FEV!Q43+TONT20000MARS!Q43+TONT20000AVRIL!Q43+TONT20000MAI!Q43+TONT20000JUIN!Q43+TONT20000JUIL!Q43+TONT20000AOUT!Q43+TONT20000SEPT!Q43+TONT20000OCT!Q43+TONT20000NOV!R43</f>
        <v>0</v>
      </c>
      <c r="AA43" s="10">
        <f>TONT20000DEC2015!T43+TONT20000JANV!R43+TONT20000FEV!R43+TONT20000MARS!R43+TONT20000AVRIL!R43+TONT20000MAI!R43+TONT20000JUIN!R43+TONT20000JUIL!R43+TONT20000AOUT!R43+TONT20000SEPT!R43+TONT20000OCT!R43+TONT20000NOV!S43</f>
        <v>0</v>
      </c>
    </row>
    <row r="44" spans="1:27" x14ac:dyDescent="0.25">
      <c r="A44" s="1" t="s">
        <v>49</v>
      </c>
      <c r="B44" s="1" t="str">
        <f>VLOOKUP(A44,LISTADHERENT!A$5:H$52,2,0)</f>
        <v>TAGNE NANGUEN MARTIN</v>
      </c>
      <c r="C44" s="6">
        <v>390000</v>
      </c>
      <c r="D44" s="6">
        <v>0</v>
      </c>
      <c r="E44" s="6">
        <f t="shared" si="0"/>
        <v>426000</v>
      </c>
      <c r="F44" s="6">
        <f>TONT20000DEC2015!E44+TONT20000JANV!C44+TONT20000FEV!C44+TONT20000MARS!C44+TONT20000AVRIL!C44+TONT20000MAI!C44+TONT20000JUIN!C44+TONT20000JUIL!C44+TONT20000AOUT!C44+TONT20000SEPT!C44+TONT20000OCT!C44+TONT20000NOV!C44</f>
        <v>15621.347483163368</v>
      </c>
      <c r="G44" s="6">
        <f>TONT20000NOV!E44</f>
        <v>441621.34748316335</v>
      </c>
      <c r="H44" s="6">
        <f t="shared" si="1"/>
        <v>51621.347483163365</v>
      </c>
      <c r="I44" s="6">
        <f t="shared" si="2"/>
        <v>50000</v>
      </c>
      <c r="J44" s="36">
        <f t="shared" si="3"/>
        <v>1621.3474831633648</v>
      </c>
      <c r="K44" s="6"/>
      <c r="L44" s="6"/>
      <c r="M44" s="6">
        <v>50000</v>
      </c>
      <c r="N44" s="6">
        <f t="shared" si="4"/>
        <v>0</v>
      </c>
      <c r="O44" s="7">
        <f>TONT20000DEC2015!H44+TONT20000JANV!F44+TONT20000FEV!F44+TONT20000MARS!F44+TONT20000AVRIL!F44+TONT20000MAI!F44+TONT20000JUIN!F44+TONT20000JUIL!F44+TONT20000AOUT!F44+TONT20000SEPT!F44+TONT20000OCT!F44+TONT20000NOV!G44</f>
        <v>240000</v>
      </c>
      <c r="P44" s="7">
        <f>TONT20000DEC2015!I44+TONT20000JANV!G44+TONT20000FEV!G44+TONT20000MARS!G44+TONT20000AVRIL!G44+TONT20000MAI!G44+TONT20000JUIN!G44+TONT20000JUIL!G44+TONT20000AOUT!G44+TONT20000SEPT!G44+TONT20000OCT!G44+TONT20000NOV!H44</f>
        <v>36000</v>
      </c>
      <c r="Q44" s="7">
        <f>TONT20000DEC2015!J44+TONT20000JANV!H44+TONT20000FEV!H44+TONT20000MARS!H44+TONT20000AVRIL!H44+TONT20000MAI!H44+TONT20000JUIN!H44+TONT20000JUIL!H44+TONT20000AOUT!H44+TONT20000SEPT!H44+TONT20000OCT!H44+TONT20000NOV!I44</f>
        <v>6000</v>
      </c>
      <c r="R44" s="7">
        <f>TONT20000DEC2015!K44+TONT20000JANV!I44+TONT20000FEV!I44+TONT20000MARS!I44+TONT20000AVRIL!I44+TONT20000MAI!I44+TONT20000JUIN!I44+TONT20000JUIL!I44+TONT20000AOUT!I44+TONT20000SEPT!I44+TONT20000OCT!I44+TONT20000NOV!J44</f>
        <v>12000</v>
      </c>
      <c r="S44" s="7">
        <f>TONT20000DEC2015!L44+TONT20000JANV!J44+TONT20000FEV!J44+TONT20000MARS!J44+TONT20000AVRIL!J44+TONT20000MAI!J44+TONT20000JUIN!J44+TONT20000JUIL!J44+TONT20000AOUT!J44+TONT20000SEPT!J44+TONT20000OCT!J44+TONT20000NOV!K44</f>
        <v>30000</v>
      </c>
      <c r="T44" s="7">
        <f>TONT20000DEC2015!M44+TONT20000JANV!K44+TONT20000FEV!K44+TONT20000MARS!K44+TONT20000AVRIL!K44+TONT20000MAI!K44+TONT20000JUIN!K44+TONT20000JUIL!K44+TONT20000AOUT!K44+TONT20000SEPT!K44+TONT20000OCT!K44+TONT20000NOV!L44</f>
        <v>0</v>
      </c>
      <c r="U44" s="7">
        <f>TONT20000DEC2015!N44+TONT20000JANV!L44+TONT20000FEV!L44+TONT20000MARS!L44+TONT20000AVRIL!L44+TONT20000MAI!L44+TONT20000JUIN!L44+TONT20000JUIL!L44+TONT20000AOUT!L44+TONT20000SEPT!L44+TONT20000OCT!L44+TONT20000NOV!M44</f>
        <v>156000</v>
      </c>
      <c r="V44" s="7">
        <f>TONT20000DEC2015!O44+TONT20000JANV!M44+TONT20000FEV!M44+TONT20000MARS!M44+TONT20000AVRIL!M44+TONT20000MAI!M44+TONT20000JUIN!M44+TONT20000JUIL!M44+TONT20000AOUT!M44+TONT20000SEPT!M44+TONT20000OCT!M44+TONT20000NOV!N44</f>
        <v>0</v>
      </c>
      <c r="W44" s="7">
        <f>TONT20000DEC2015!P44+TONT20000JANV!N44+TONT20000FEV!N44+TONT20000MARS!N44+TONT20000AVRIL!N44+TONT20000MAI!N44+TONT20000JUIN!N44+TONT20000JUIL!N44+TONT20000AOUT!N44+TONT20000SEPT!N44+TONT20000OCT!N44+TONT20000NOV!O44</f>
        <v>0</v>
      </c>
      <c r="X44" s="7">
        <f>TONT20000DEC2015!Q44+TONT20000JANV!O44+TONT20000FEV!O44+TONT20000MARS!O44+TONT20000AVRIL!O44+TONT20000MAI!O44+TONT20000JUIN!O44+TONT20000JUIL!O44+TONT20000AOUT!O44+TONT20000SEPT!O44+TONT20000OCT!O44+TONT20000NOV!P44</f>
        <v>0</v>
      </c>
      <c r="Y44" s="7">
        <f>TONT20000DEC2015!R44+TONT20000JANV!P44+TONT20000FEV!P44+TONT20000MARS!P44+TONT20000AVRIL!P44+TONT20000MAI!P44+TONT20000JUIN!P44+TONT20000JUIL!P44+TONT20000AOUT!P44+TONT20000SEPT!P44+TONT20000OCT!P44+TONT20000NOV!Q44</f>
        <v>0</v>
      </c>
      <c r="Z44" s="7">
        <f>TONT20000DEC2015!S44+TONT20000JANV!Q44+TONT20000FEV!Q44+TONT20000MARS!Q44+TONT20000AVRIL!Q44+TONT20000MAI!Q44+TONT20000JUIN!Q44+TONT20000JUIL!Q44+TONT20000AOUT!Q44+TONT20000SEPT!Q44+TONT20000OCT!Q44+TONT20000NOV!R44</f>
        <v>0</v>
      </c>
      <c r="AA44" s="7">
        <f>TONT20000DEC2015!T44+TONT20000JANV!R44+TONT20000FEV!R44+TONT20000MARS!R44+TONT20000AVRIL!R44+TONT20000MAI!R44+TONT20000JUIN!R44+TONT20000JUIL!R44+TONT20000AOUT!R44+TONT20000SEPT!R44+TONT20000OCT!R44+TONT20000NOV!S44</f>
        <v>0</v>
      </c>
    </row>
    <row r="45" spans="1:27" x14ac:dyDescent="0.25">
      <c r="A45" s="1" t="s">
        <v>50</v>
      </c>
      <c r="B45" s="1" t="str">
        <f>VLOOKUP(A45,LISTADHERENT!A$5:H$52,2,0)</f>
        <v>TCHOUAMOU JEAN PAUL</v>
      </c>
      <c r="C45" s="6">
        <f>VLOOKUP(A45,FONDSDECAISSE!A$5:C$52,3,0)</f>
        <v>0</v>
      </c>
      <c r="D45" s="6">
        <v>0</v>
      </c>
      <c r="E45" s="6">
        <f t="shared" si="0"/>
        <v>12323</v>
      </c>
      <c r="F45" s="6">
        <f>TONT20000DEC2015!E45+TONT20000JANV!C45+TONT20000FEV!C45+TONT20000MARS!C45+TONT20000AVRIL!C45+TONT20000MAI!C45+TONT20000JUIN!C45+TONT20000JUIL!C45+TONT20000AOUT!C45+TONT20000SEPT!C45+TONT20000OCT!C45+TONT20000NOV!C45</f>
        <v>2520.1752999498185</v>
      </c>
      <c r="G45" s="6">
        <f>TONT20000NOV!E45</f>
        <v>38520.175299949828</v>
      </c>
      <c r="H45" s="6">
        <f t="shared" si="1"/>
        <v>14843.175299949819</v>
      </c>
      <c r="I45" s="6">
        <f t="shared" si="2"/>
        <v>14737</v>
      </c>
      <c r="J45" s="36">
        <f t="shared" si="3"/>
        <v>106.17529994981851</v>
      </c>
      <c r="K45" s="6"/>
      <c r="L45" s="6"/>
      <c r="M45" s="6">
        <f>50000-35263</f>
        <v>14737</v>
      </c>
      <c r="N45" s="6">
        <f t="shared" si="4"/>
        <v>0</v>
      </c>
      <c r="O45" s="7">
        <f>TONT20000DEC2015!H45+TONT20000JANV!F45+TONT20000FEV!F45+TONT20000MARS!F45+TONT20000AVRIL!F45+TONT20000MAI!F45+TONT20000JUIN!F45+TONT20000JUIL!F45+TONT20000AOUT!F45+TONT20000SEPT!F45+TONT20000OCT!F45+TONT20000NOV!G45</f>
        <v>290000</v>
      </c>
      <c r="P45" s="7">
        <f>TONT20000DEC2015!I45+TONT20000JANV!G45+TONT20000FEV!G45+TONT20000MARS!G45+TONT20000AVRIL!G45+TONT20000MAI!G45+TONT20000JUIN!G45+TONT20000JUIL!G45+TONT20000AOUT!G45+TONT20000SEPT!G45+TONT20000OCT!G45+TONT20000NOV!H45-23677</f>
        <v>12323</v>
      </c>
      <c r="Q45" s="7">
        <f>TONT20000DEC2015!J45+TONT20000JANV!H45+TONT20000FEV!H45+TONT20000MARS!H45+TONT20000AVRIL!H45+TONT20000MAI!H45+TONT20000JUIN!H45+TONT20000JUIL!H45+TONT20000AOUT!H45+TONT20000SEPT!H45+TONT20000OCT!H45+TONT20000NOV!I45</f>
        <v>6000</v>
      </c>
      <c r="R45" s="7">
        <f>TONT20000DEC2015!K45+TONT20000JANV!I45+TONT20000FEV!I45+TONT20000MARS!I45+TONT20000AVRIL!I45+TONT20000MAI!I45+TONT20000JUIN!I45+TONT20000JUIL!I45+TONT20000AOUT!I45+TONT20000SEPT!I45+TONT20000OCT!I45+TONT20000NOV!J45</f>
        <v>12000</v>
      </c>
      <c r="S45" s="7">
        <f>TONT20000DEC2015!L45+TONT20000JANV!J45+TONT20000FEV!J45+TONT20000MARS!J45+TONT20000AVRIL!J45+TONT20000MAI!J45+TONT20000JUIN!J45+TONT20000JUIL!J45+TONT20000AOUT!J45+TONT20000SEPT!J45+TONT20000OCT!J45+TONT20000NOV!K45</f>
        <v>30000</v>
      </c>
      <c r="T45" s="7">
        <f>TONT20000DEC2015!M45+TONT20000JANV!K45+TONT20000FEV!K45+TONT20000MARS!K45+TONT20000AVRIL!K45+TONT20000MAI!K45+TONT20000JUIN!K45+TONT20000JUIL!K45+TONT20000AOUT!K45+TONT20000SEPT!K45+TONT20000OCT!K45+TONT20000NOV!L45</f>
        <v>50000</v>
      </c>
      <c r="U45" s="7">
        <f>TONT20000DEC2015!N45+TONT20000JANV!L45+TONT20000FEV!L45+TONT20000MARS!L45+TONT20000AVRIL!L45+TONT20000MAI!L45+TONT20000JUIN!L45+TONT20000JUIL!L45+TONT20000AOUT!L45+TONT20000SEPT!L45+TONT20000OCT!L45+TONT20000NOV!M45</f>
        <v>156000</v>
      </c>
      <c r="V45" s="7">
        <f>TONT20000DEC2015!O45+TONT20000JANV!M45+TONT20000FEV!M45+TONT20000MARS!M45+TONT20000AVRIL!M45+TONT20000MAI!M45+TONT20000JUIN!M45+TONT20000JUIL!M45+TONT20000AOUT!M45+TONT20000SEPT!M45+TONT20000OCT!M45+TONT20000NOV!N45</f>
        <v>0</v>
      </c>
      <c r="W45" s="7">
        <f>TONT20000DEC2015!P45+TONT20000JANV!N45+TONT20000FEV!N45+TONT20000MARS!N45+TONT20000AVRIL!N45+TONT20000MAI!N45+TONT20000JUIN!N45+TONT20000JUIL!N45+TONT20000AOUT!N45+TONT20000SEPT!N45+TONT20000OCT!N45+TONT20000NOV!O45</f>
        <v>0</v>
      </c>
      <c r="X45" s="7">
        <f>TONT20000DEC2015!Q45+TONT20000JANV!O45+TONT20000FEV!O45+TONT20000MARS!O45+TONT20000AVRIL!O45+TONT20000MAI!O45+TONT20000JUIN!O45+TONT20000JUIL!O45+TONT20000AOUT!O45+TONT20000SEPT!O45+TONT20000OCT!O45+TONT20000NOV!P45</f>
        <v>0</v>
      </c>
      <c r="Y45" s="7">
        <f>TONT20000DEC2015!R45+TONT20000JANV!P45+TONT20000FEV!P45+TONT20000MARS!P45+TONT20000AVRIL!P45+TONT20000MAI!P45+TONT20000JUIN!P45+TONT20000JUIL!P45+TONT20000AOUT!P45+TONT20000SEPT!P45+TONT20000OCT!P45+TONT20000NOV!Q45</f>
        <v>0</v>
      </c>
      <c r="Z45" s="7">
        <f>TONT20000DEC2015!S45+TONT20000JANV!Q45+TONT20000FEV!Q45+TONT20000MARS!Q45+TONT20000AVRIL!Q45+TONT20000MAI!Q45+TONT20000JUIN!Q45+TONT20000JUIL!Q45+TONT20000AOUT!Q45+TONT20000SEPT!Q45+TONT20000OCT!Q45+TONT20000NOV!R45</f>
        <v>0</v>
      </c>
      <c r="AA45" s="7">
        <f>TONT20000DEC2015!T45+TONT20000JANV!R45+TONT20000FEV!R45+TONT20000MARS!R45+TONT20000AVRIL!R45+TONT20000MAI!R45+TONT20000JUIN!R45+TONT20000JUIL!R45+TONT20000AOUT!R45+TONT20000SEPT!R45+TONT20000OCT!R45+TONT20000NOV!S45</f>
        <v>0</v>
      </c>
    </row>
    <row r="46" spans="1:27" x14ac:dyDescent="0.25">
      <c r="A46" s="1" t="s">
        <v>51</v>
      </c>
      <c r="B46" s="1" t="str">
        <f>VLOOKUP(A46,LISTADHERENT!A$5:H$52,2,0)</f>
        <v>TCHOUAMOU MATHIEU</v>
      </c>
      <c r="C46" s="6">
        <f>VLOOKUP(A46,FONDSDECAISSE!A$5:C$52,3,0)</f>
        <v>390000</v>
      </c>
      <c r="D46" s="6">
        <v>3437</v>
      </c>
      <c r="E46" s="6">
        <f t="shared" si="0"/>
        <v>429437</v>
      </c>
      <c r="F46" s="6">
        <f>TONT20000DEC2015!E46+TONT20000JANV!C46+TONT20000FEV!C46+TONT20000MARS!C46+TONT20000AVRIL!C46+TONT20000MAI!C46+TONT20000JUIN!C46+TONT20000JUIL!C46+TONT20000AOUT!C46+TONT20000SEPT!C46+TONT20000OCT!C46+TONT20000NOV!C46</f>
        <v>48217.850164633935</v>
      </c>
      <c r="G46" s="6">
        <f>TONT20000NOV!E46</f>
        <v>477654.85016463388</v>
      </c>
      <c r="H46" s="6">
        <f t="shared" si="1"/>
        <v>87654.850164633943</v>
      </c>
      <c r="I46" s="6">
        <f t="shared" si="2"/>
        <v>80000</v>
      </c>
      <c r="J46" s="36">
        <f t="shared" si="3"/>
        <v>7654.8501646339428</v>
      </c>
      <c r="K46" s="6">
        <v>30000</v>
      </c>
      <c r="L46" s="6"/>
      <c r="M46" s="6">
        <v>50000</v>
      </c>
      <c r="N46" s="6">
        <f t="shared" si="4"/>
        <v>0</v>
      </c>
      <c r="O46" s="7">
        <f>TONT20000DEC2015!H46+TONT20000JANV!F46+TONT20000FEV!F46+TONT20000MARS!F46+TONT20000AVRIL!F46+TONT20000MAI!F46+TONT20000JUIN!F46+TONT20000JUIL!F46+TONT20000AOUT!F46+TONT20000SEPT!F46+TONT20000OCT!F46+TONT20000NOV!G46</f>
        <v>240000</v>
      </c>
      <c r="P46" s="7">
        <f>TONT20000DEC2015!I46+TONT20000JANV!G46+TONT20000FEV!G46+TONT20000MARS!G46+TONT20000AVRIL!G46+TONT20000MAI!G46+TONT20000JUIN!G46+TONT20000JUIL!G46+TONT20000AOUT!G46+TONT20000SEPT!G46+TONT20000OCT!G46+TONT20000NOV!H46</f>
        <v>36000</v>
      </c>
      <c r="Q46" s="7">
        <f>TONT20000DEC2015!J46+TONT20000JANV!H46+TONT20000FEV!H46+TONT20000MARS!H46+TONT20000AVRIL!H46+TONT20000MAI!H46+TONT20000JUIN!H46+TONT20000JUIL!H46+TONT20000AOUT!H46+TONT20000SEPT!H46+TONT20000OCT!H46+TONT20000NOV!I46</f>
        <v>6000</v>
      </c>
      <c r="R46" s="7">
        <f>TONT20000DEC2015!K46+TONT20000JANV!I46+TONT20000FEV!I46+TONT20000MARS!I46+TONT20000AVRIL!I46+TONT20000MAI!I46+TONT20000JUIN!I46+TONT20000JUIL!I46+TONT20000AOUT!I46+TONT20000SEPT!I46+TONT20000OCT!I46+TONT20000NOV!J46</f>
        <v>12000</v>
      </c>
      <c r="S46" s="7">
        <f>TONT20000DEC2015!L46+TONT20000JANV!J46+TONT20000FEV!J46+TONT20000MARS!J46+TONT20000AVRIL!J46+TONT20000MAI!J46+TONT20000JUIN!J46+TONT20000JUIL!J46+TONT20000AOUT!J46+TONT20000SEPT!J46+TONT20000OCT!J46+TONT20000NOV!K46</f>
        <v>30000</v>
      </c>
      <c r="T46" s="7">
        <f>TONT20000DEC2015!M46+TONT20000JANV!K46+TONT20000FEV!K46+TONT20000MARS!K46+TONT20000AVRIL!K46+TONT20000MAI!K46+TONT20000JUIN!K46+TONT20000JUIL!K46+TONT20000AOUT!K46+TONT20000SEPT!K46+TONT20000OCT!K46+TONT20000NOV!L46</f>
        <v>0</v>
      </c>
      <c r="U46" s="7">
        <f>TONT20000DEC2015!N46+TONT20000JANV!L46+TONT20000FEV!L46+TONT20000MARS!L46+TONT20000AVRIL!L46+TONT20000MAI!L46+TONT20000JUIN!L46+TONT20000JUIL!L46+TONT20000AOUT!L46+TONT20000SEPT!L46+TONT20000OCT!L46+TONT20000NOV!M46</f>
        <v>156000</v>
      </c>
      <c r="V46" s="7">
        <f>TONT20000DEC2015!O46+TONT20000JANV!M46+TONT20000FEV!M46+TONT20000MARS!M46+TONT20000AVRIL!M46+TONT20000MAI!M46+TONT20000JUIN!M46+TONT20000JUIL!M46+TONT20000AOUT!M46+TONT20000SEPT!M46+TONT20000OCT!M46+TONT20000NOV!N46</f>
        <v>1500000</v>
      </c>
      <c r="W46" s="7">
        <f>TONT20000DEC2015!P46+TONT20000JANV!N46+TONT20000FEV!N46+TONT20000MARS!N46+TONT20000AVRIL!N46+TONT20000MAI!N46+TONT20000JUIN!N46+TONT20000JUIL!N46+TONT20000AOUT!N46+TONT20000SEPT!N46+TONT20000OCT!N46+TONT20000NOV!O46</f>
        <v>45000</v>
      </c>
      <c r="X46" s="7">
        <f>TONT20000DEC2015!Q46+TONT20000JANV!O46+TONT20000FEV!O46+TONT20000MARS!O46+TONT20000AVRIL!O46+TONT20000MAI!O46+TONT20000JUIN!O46+TONT20000JUIL!O46+TONT20000AOUT!O46+TONT20000SEPT!O46+TONT20000OCT!O46+TONT20000NOV!P46</f>
        <v>1000000</v>
      </c>
      <c r="Y46" s="7">
        <f>TONT20000DEC2015!R46+TONT20000JANV!P46+TONT20000FEV!P46+TONT20000MARS!P46+TONT20000AVRIL!P46+TONT20000MAI!P46+TONT20000JUIN!P46+TONT20000JUIL!P46+TONT20000AOUT!P46+TONT20000SEPT!P46+TONT20000OCT!P46+TONT20000NOV!Q46</f>
        <v>94825</v>
      </c>
      <c r="Z46" s="7">
        <f>TONT20000DEC2015!S46+TONT20000JANV!Q46+TONT20000FEV!Q46+TONT20000MARS!Q46+TONT20000AVRIL!Q46+TONT20000MAI!Q46+TONT20000JUIN!Q46+TONT20000JUIL!Q46+TONT20000AOUT!Q46+TONT20000SEPT!Q46+TONT20000OCT!Q46+TONT20000NOV!R46</f>
        <v>0</v>
      </c>
      <c r="AA46" s="7">
        <f>TONT20000DEC2015!T46+TONT20000JANV!R46+TONT20000FEV!R46+TONT20000MARS!R46+TONT20000AVRIL!R46+TONT20000MAI!R46+TONT20000JUIN!R46+TONT20000JUIL!R46+TONT20000AOUT!R46+TONT20000SEPT!R46+TONT20000OCT!R46+TONT20000NOV!S46</f>
        <v>0</v>
      </c>
    </row>
    <row r="47" spans="1:27" x14ac:dyDescent="0.25">
      <c r="A47" s="1" t="s">
        <v>52</v>
      </c>
      <c r="B47" s="1" t="str">
        <f>VLOOKUP(A47,LISTADHERENT!A$5:H$52,2,0)</f>
        <v>TCHOUANTE FRANCOIS</v>
      </c>
      <c r="C47" s="6">
        <v>325719</v>
      </c>
      <c r="D47" s="6">
        <v>4925</v>
      </c>
      <c r="E47" s="6">
        <f t="shared" si="0"/>
        <v>393644</v>
      </c>
      <c r="F47" s="6">
        <f>TONT20000DEC2015!E47+TONT20000JANV!C47+TONT20000FEV!C47+TONT20000MARS!C47+TONT20000AVRIL!C47+TONT20000MAI!C47+TONT20000JUIN!C47+TONT20000JUIL!C47+TONT20000AOUT!C47+TONT20000SEPT!C47+TONT20000OCT!C47+TONT20000NOV!C47</f>
        <v>37907.070442368466</v>
      </c>
      <c r="G47" s="6">
        <f>TONT20000NOV!E47</f>
        <v>431551.07044236845</v>
      </c>
      <c r="H47" s="6">
        <f t="shared" si="1"/>
        <v>105832.07044236847</v>
      </c>
      <c r="I47" s="6">
        <f t="shared" si="2"/>
        <v>80000</v>
      </c>
      <c r="J47" s="36">
        <f t="shared" si="3"/>
        <v>25832.070442368466</v>
      </c>
      <c r="K47" s="6">
        <v>30000</v>
      </c>
      <c r="L47" s="6"/>
      <c r="M47" s="6">
        <v>50000</v>
      </c>
      <c r="N47" s="6">
        <f t="shared" si="4"/>
        <v>0</v>
      </c>
      <c r="O47" s="7">
        <f>TONT20000DEC2015!H47+TONT20000JANV!F47+TONT20000FEV!F47+TONT20000MARS!F47+TONT20000AVRIL!F47+TONT20000MAI!F47+TONT20000JUIN!F47+TONT20000JUIL!F47+TONT20000AOUT!F47+TONT20000SEPT!F47+TONT20000OCT!F47+TONT20000NOV!G47</f>
        <v>267000</v>
      </c>
      <c r="P47" s="7">
        <f>TONT20000DEC2015!I47+TONT20000JANV!G47+TONT20000FEV!G47+TONT20000MARS!G47+TONT20000AVRIL!G47+TONT20000MAI!G47+TONT20000JUIN!G47+TONT20000JUIL!G47+TONT20000AOUT!G47+TONT20000SEPT!G47+TONT20000OCT!G47+TONT20000NOV!H47</f>
        <v>63000</v>
      </c>
      <c r="Q47" s="7">
        <f>TONT20000DEC2015!J47+TONT20000JANV!H47+TONT20000FEV!H47+TONT20000MARS!H47+TONT20000AVRIL!H47+TONT20000MAI!H47+TONT20000JUIN!H47+TONT20000JUIL!H47+TONT20000AOUT!H47+TONT20000SEPT!H47+TONT20000OCT!H47+TONT20000NOV!I47</f>
        <v>6000</v>
      </c>
      <c r="R47" s="7">
        <f>TONT20000DEC2015!K47+TONT20000JANV!I47+TONT20000FEV!I47+TONT20000MARS!I47+TONT20000AVRIL!I47+TONT20000MAI!I47+TONT20000JUIN!I47+TONT20000JUIL!I47+TONT20000AOUT!I47+TONT20000SEPT!I47+TONT20000OCT!I47+TONT20000NOV!J47</f>
        <v>12000</v>
      </c>
      <c r="S47" s="7">
        <f>TONT20000DEC2015!L47+TONT20000JANV!J47+TONT20000FEV!J47+TONT20000MARS!J47+TONT20000AVRIL!J47+TONT20000MAI!J47+TONT20000JUIN!J47+TONT20000JUIL!J47+TONT20000AOUT!J47+TONT20000SEPT!J47+TONT20000OCT!J47+TONT20000NOV!K47</f>
        <v>30000</v>
      </c>
      <c r="T47" s="7">
        <f>TONT20000DEC2015!M47+TONT20000JANV!K47+TONT20000FEV!K47+TONT20000MARS!K47+TONT20000AVRIL!K47+TONT20000MAI!K47+TONT20000JUIN!K47+TONT20000JUIL!K47+TONT20000AOUT!K47+TONT20000SEPT!K47+TONT20000OCT!K47+TONT20000NOV!L47</f>
        <v>0</v>
      </c>
      <c r="U47" s="7">
        <f>TONT20000DEC2015!N47+TONT20000JANV!L47+TONT20000FEV!L47+TONT20000MARS!L47+TONT20000AVRIL!L47+TONT20000MAI!L47+TONT20000JUIN!L47+TONT20000JUIL!L47+TONT20000AOUT!L47+TONT20000SEPT!L47+TONT20000OCT!L47+TONT20000NOV!M47</f>
        <v>156000</v>
      </c>
      <c r="V47" s="7">
        <f>TONT20000DEC2015!O47+TONT20000JANV!M47+TONT20000FEV!M47+TONT20000MARS!M47+TONT20000AVRIL!M47+TONT20000MAI!M47+TONT20000JUIN!M47+TONT20000JUIL!M47+TONT20000AOUT!M47+TONT20000SEPT!M47+TONT20000OCT!M47+TONT20000NOV!N47</f>
        <v>1250000</v>
      </c>
      <c r="W47" s="7">
        <f>TONT20000DEC2015!P47+TONT20000JANV!N47+TONT20000FEV!N47+TONT20000MARS!N47+TONT20000AVRIL!N47+TONT20000MAI!N47+TONT20000JUIN!N47+TONT20000JUIL!N47+TONT20000AOUT!N47+TONT20000SEPT!N47+TONT20000OCT!N47+TONT20000NOV!O47</f>
        <v>105000</v>
      </c>
      <c r="X47" s="7">
        <f>TONT20000DEC2015!Q47+TONT20000JANV!O47+TONT20000FEV!O47+TONT20000MARS!O47+TONT20000AVRIL!O47+TONT20000MAI!O47+TONT20000JUIN!O47+TONT20000JUIL!O47+TONT20000AOUT!O47+TONT20000SEPT!O47+TONT20000OCT!O47+TONT20000NOV!P47</f>
        <v>0</v>
      </c>
      <c r="Y47" s="7">
        <f>TONT20000DEC2015!R47+TONT20000JANV!P47+TONT20000FEV!P47+TONT20000MARS!P47+TONT20000AVRIL!P47+TONT20000MAI!P47+TONT20000JUIN!P47+TONT20000JUIL!P47+TONT20000AOUT!P47+TONT20000SEPT!P47+TONT20000OCT!P47+TONT20000NOV!Q47</f>
        <v>0</v>
      </c>
      <c r="Z47" s="7">
        <f>TONT20000DEC2015!S47+TONT20000JANV!Q47+TONT20000FEV!Q47+TONT20000MARS!Q47+TONT20000AVRIL!Q47+TONT20000MAI!Q47+TONT20000JUIN!Q47+TONT20000JUIL!Q47+TONT20000AOUT!Q47+TONT20000SEPT!Q47+TONT20000OCT!Q47+TONT20000NOV!R47</f>
        <v>0</v>
      </c>
      <c r="AA47" s="7">
        <f>TONT20000DEC2015!T47+TONT20000JANV!R47+TONT20000FEV!R47+TONT20000MARS!R47+TONT20000AVRIL!R47+TONT20000MAI!R47+TONT20000JUIN!R47+TONT20000JUIL!R47+TONT20000AOUT!R47+TONT20000SEPT!R47+TONT20000OCT!R47+TONT20000NOV!S47</f>
        <v>0</v>
      </c>
    </row>
    <row r="48" spans="1:27" x14ac:dyDescent="0.25">
      <c r="A48" s="1" t="s">
        <v>53</v>
      </c>
      <c r="B48" s="1" t="str">
        <f>VLOOKUP(A48,LISTADHERENT!A$5:H$52,2,0)</f>
        <v>TCHOUTOU NANA CLAUDE</v>
      </c>
      <c r="C48" s="6">
        <f>VLOOKUP(A48,FONDSDECAISSE!A$5:C$52,3,0)</f>
        <v>0</v>
      </c>
      <c r="D48" s="6">
        <v>0</v>
      </c>
      <c r="E48" s="6">
        <f t="shared" si="0"/>
        <v>14126</v>
      </c>
      <c r="F48" s="6">
        <f>TONT20000DEC2015!E48+TONT20000JANV!C48+TONT20000FEV!C48+TONT20000MARS!C48+TONT20000AVRIL!C48+TONT20000MAI!C48+TONT20000JUIN!C48+TONT20000JUIL!C48+TONT20000AOUT!C48+TONT20000SEPT!C48+TONT20000OCT!C48+TONT20000NOV!C48</f>
        <v>1437.0428369319613</v>
      </c>
      <c r="G48" s="6">
        <f>TONT20000NOV!E48</f>
        <v>25437.042836931963</v>
      </c>
      <c r="H48" s="6">
        <f t="shared" si="1"/>
        <v>15563.042836931962</v>
      </c>
      <c r="I48" s="6">
        <f t="shared" si="2"/>
        <v>16000</v>
      </c>
      <c r="J48" s="36">
        <f t="shared" si="3"/>
        <v>-436.95716306803843</v>
      </c>
      <c r="K48" s="6"/>
      <c r="L48" s="6"/>
      <c r="M48" s="6"/>
      <c r="N48" s="6">
        <f t="shared" si="4"/>
        <v>16000</v>
      </c>
      <c r="O48" s="7">
        <f>TONT20000DEC2015!H48+TONT20000JANV!F48+TONT20000FEV!F48+TONT20000MARS!F48+TONT20000AVRIL!F48+TONT20000MAI!F48+TONT20000JUIN!F48+TONT20000JUIL!F48+TONT20000AOUT!F48+TONT20000SEPT!F48+TONT20000OCT!F48+TONT20000NOV!G48</f>
        <v>160000</v>
      </c>
      <c r="P48" s="7">
        <f>TONT20000DEC2015!I48+TONT20000JANV!G48+TONT20000FEV!G48+TONT20000MARS!G48+TONT20000AVRIL!G48+TONT20000MAI!G48+TONT20000JUIN!G48+TONT20000JUIL!G48+TONT20000AOUT!G48+TONT20000SEPT!G48+TONT20000OCT!G48+TONT20000NOV!H48-9874</f>
        <v>14126</v>
      </c>
      <c r="Q48" s="7">
        <f>TONT20000DEC2015!J48+TONT20000JANV!H48+TONT20000FEV!H48+TONT20000MARS!H48+TONT20000AVRIL!H48+TONT20000MAI!H48+TONT20000JUIN!H48+TONT20000JUIL!H48+TONT20000AOUT!H48+TONT20000SEPT!H48+TONT20000OCT!H48+TONT20000NOV!I48</f>
        <v>4000</v>
      </c>
      <c r="R48" s="7">
        <f>TONT20000DEC2015!K48+TONT20000JANV!I48+TONT20000FEV!I48+TONT20000MARS!I48+TONT20000AVRIL!I48+TONT20000MAI!I48+TONT20000JUIN!I48+TONT20000JUIL!I48+TONT20000AOUT!I48+TONT20000SEPT!I48+TONT20000OCT!I48+TONT20000NOV!J48</f>
        <v>8000</v>
      </c>
      <c r="S48" s="7">
        <f>TONT20000DEC2015!L48+TONT20000JANV!J48+TONT20000FEV!J48+TONT20000MARS!J48+TONT20000AVRIL!J48+TONT20000MAI!J48+TONT20000JUIN!J48+TONT20000JUIL!J48+TONT20000AOUT!J48+TONT20000SEPT!J48+TONT20000OCT!J48+TONT20000NOV!K48</f>
        <v>20000</v>
      </c>
      <c r="T48" s="7">
        <f>TONT20000DEC2015!M48+TONT20000JANV!K48+TONT20000FEV!K48+TONT20000MARS!K48+TONT20000AVRIL!K48+TONT20000MAI!K48+TONT20000JUIN!K48+TONT20000JUIL!K48+TONT20000AOUT!K48+TONT20000SEPT!K48+TONT20000OCT!K48+TONT20000NOV!L48</f>
        <v>0</v>
      </c>
      <c r="U48" s="7">
        <f>TONT20000DEC2015!N48+TONT20000JANV!L48+TONT20000FEV!L48+TONT20000MARS!L48+TONT20000AVRIL!L48+TONT20000MAI!L48+TONT20000JUIN!L48+TONT20000JUIL!L48+TONT20000AOUT!L48+TONT20000SEPT!L48+TONT20000OCT!L48+TONT20000NOV!M48</f>
        <v>104000</v>
      </c>
      <c r="V48" s="7">
        <f>TONT20000DEC2015!O48+TONT20000JANV!M48+TONT20000FEV!M48+TONT20000MARS!M48+TONT20000AVRIL!M48+TONT20000MAI!M48+TONT20000JUIN!M48+TONT20000JUIL!M48+TONT20000AOUT!M48+TONT20000SEPT!M48+TONT20000OCT!M48+TONT20000NOV!N48</f>
        <v>0</v>
      </c>
      <c r="W48" s="7">
        <f>TONT20000DEC2015!P48+TONT20000JANV!N48+TONT20000FEV!N48+TONT20000MARS!N48+TONT20000AVRIL!N48+TONT20000MAI!N48+TONT20000JUIN!N48+TONT20000JUIL!N48+TONT20000AOUT!N48+TONT20000SEPT!N48+TONT20000OCT!N48+TONT20000NOV!O48</f>
        <v>0</v>
      </c>
      <c r="X48" s="7">
        <f>TONT20000DEC2015!Q48+TONT20000JANV!O48+TONT20000FEV!O48+TONT20000MARS!O48+TONT20000AVRIL!O48+TONT20000MAI!O48+TONT20000JUIN!O48+TONT20000JUIL!O48+TONT20000AOUT!O48+TONT20000SEPT!O48+TONT20000OCT!O48+TONT20000NOV!P48</f>
        <v>0</v>
      </c>
      <c r="Y48" s="7">
        <f>TONT20000DEC2015!R48+TONT20000JANV!P48+TONT20000FEV!P48+TONT20000MARS!P48+TONT20000AVRIL!P48+TONT20000MAI!P48+TONT20000JUIN!P48+TONT20000JUIL!P48+TONT20000AOUT!P48+TONT20000SEPT!P48+TONT20000OCT!P48+TONT20000NOV!Q48</f>
        <v>0</v>
      </c>
      <c r="Z48" s="7">
        <f>TONT20000DEC2015!S48+TONT20000JANV!Q48+TONT20000FEV!Q48+TONT20000MARS!Q48+TONT20000AVRIL!Q48+TONT20000MAI!Q48+TONT20000JUIN!Q48+TONT20000JUIL!Q48+TONT20000AOUT!Q48+TONT20000SEPT!Q48+TONT20000OCT!Q48+TONT20000NOV!R48</f>
        <v>0</v>
      </c>
      <c r="AA48" s="7">
        <f>TONT20000DEC2015!T48+TONT20000JANV!R48+TONT20000FEV!R48+TONT20000MARS!R48+TONT20000AVRIL!R48+TONT20000MAI!R48+TONT20000JUIN!R48+TONT20000JUIL!R48+TONT20000AOUT!R48+TONT20000SEPT!R48+TONT20000OCT!R48+TONT20000NOV!S48</f>
        <v>0</v>
      </c>
    </row>
    <row r="49" spans="1:27" x14ac:dyDescent="0.25">
      <c r="A49" s="1" t="s">
        <v>54</v>
      </c>
      <c r="B49" s="1" t="str">
        <f>VLOOKUP(A49,LISTADHERENT!A$5:H$52,2,0)</f>
        <v>TIEYAM ERNEST</v>
      </c>
      <c r="C49" s="6">
        <f>VLOOKUP(A49,FONDSDECAISSE!A$5:C$52,3,0)</f>
        <v>390000</v>
      </c>
      <c r="D49" s="6">
        <v>804</v>
      </c>
      <c r="E49" s="6">
        <f t="shared" si="0"/>
        <v>426804</v>
      </c>
      <c r="F49" s="6">
        <f>TONT20000DEC2015!E49+TONT20000JANV!C49+TONT20000FEV!C49+TONT20000MARS!C49+TONT20000AVRIL!C49+TONT20000MAI!C49+TONT20000JUIN!C49+TONT20000JUIL!C49+TONT20000AOUT!C49+TONT20000SEPT!C49+TONT20000OCT!C49+TONT20000NOV!C49</f>
        <v>47789.289267848253</v>
      </c>
      <c r="G49" s="6">
        <f>TONT20000NOV!E49</f>
        <v>474593.28926784825</v>
      </c>
      <c r="H49" s="6">
        <f t="shared" si="1"/>
        <v>84593.289267848246</v>
      </c>
      <c r="I49" s="6">
        <f t="shared" si="2"/>
        <v>80000</v>
      </c>
      <c r="J49" s="36">
        <f t="shared" si="3"/>
        <v>4593.2892678482458</v>
      </c>
      <c r="K49" s="6">
        <v>30000</v>
      </c>
      <c r="L49" s="6"/>
      <c r="M49" s="6">
        <v>50000</v>
      </c>
      <c r="N49" s="6">
        <f t="shared" si="4"/>
        <v>0</v>
      </c>
      <c r="O49" s="7">
        <f>TONT20000DEC2015!H49+TONT20000JANV!F49+TONT20000FEV!F49+TONT20000MARS!F49+TONT20000AVRIL!F49+TONT20000MAI!F49+TONT20000JUIN!F49+TONT20000JUIL!F49+TONT20000AOUT!F49+TONT20000SEPT!F49+TONT20000OCT!F49+TONT20000NOV!G49</f>
        <v>240000</v>
      </c>
      <c r="P49" s="7">
        <f>TONT20000DEC2015!I49+TONT20000JANV!G49+TONT20000FEV!G49+TONT20000MARS!G49+TONT20000AVRIL!G49+TONT20000MAI!G49+TONT20000JUIN!G49+TONT20000JUIL!G49+TONT20000AOUT!G49+TONT20000SEPT!G49+TONT20000OCT!G49+TONT20000NOV!H49</f>
        <v>36000</v>
      </c>
      <c r="Q49" s="7">
        <f>TONT20000DEC2015!J49+TONT20000JANV!H49+TONT20000FEV!H49+TONT20000MARS!H49+TONT20000AVRIL!H49+TONT20000MAI!H49+TONT20000JUIN!H49+TONT20000JUIL!H49+TONT20000AOUT!H49+TONT20000SEPT!H49+TONT20000OCT!H49+TONT20000NOV!I49</f>
        <v>6000</v>
      </c>
      <c r="R49" s="7">
        <f>TONT20000DEC2015!K49+TONT20000JANV!I49+TONT20000FEV!I49+TONT20000MARS!I49+TONT20000AVRIL!I49+TONT20000MAI!I49+TONT20000JUIN!I49+TONT20000JUIL!I49+TONT20000AOUT!I49+TONT20000SEPT!I49+TONT20000OCT!I49+TONT20000NOV!J49</f>
        <v>12000</v>
      </c>
      <c r="S49" s="7">
        <f>TONT20000DEC2015!L49+TONT20000JANV!J49+TONT20000FEV!J49+TONT20000MARS!J49+TONT20000AVRIL!J49+TONT20000MAI!J49+TONT20000JUIN!J49+TONT20000JUIL!J49+TONT20000AOUT!J49+TONT20000SEPT!J49+TONT20000OCT!J49+TONT20000NOV!K49</f>
        <v>30000</v>
      </c>
      <c r="T49" s="7">
        <f>TONT20000DEC2015!M49+TONT20000JANV!K49+TONT20000FEV!K49+TONT20000MARS!K49+TONT20000AVRIL!K49+TONT20000MAI!K49+TONT20000JUIN!K49+TONT20000JUIL!K49+TONT20000AOUT!K49+TONT20000SEPT!K49+TONT20000OCT!K49+TONT20000NOV!L49</f>
        <v>0</v>
      </c>
      <c r="U49" s="7">
        <f>TONT20000DEC2015!N49+TONT20000JANV!L49+TONT20000FEV!L49+TONT20000MARS!L49+TONT20000AVRIL!L49+TONT20000MAI!L49+TONT20000JUIN!L49+TONT20000JUIL!L49+TONT20000AOUT!L49+TONT20000SEPT!L49+TONT20000OCT!L49+TONT20000NOV!M49</f>
        <v>156000</v>
      </c>
      <c r="V49" s="7">
        <f>TONT20000DEC2015!O49+TONT20000JANV!M49+TONT20000FEV!M49+TONT20000MARS!M49+TONT20000AVRIL!M49+TONT20000MAI!M49+TONT20000JUIN!M49+TONT20000JUIL!M49+TONT20000AOUT!M49+TONT20000SEPT!M49+TONT20000OCT!M49+TONT20000NOV!N49</f>
        <v>1000000</v>
      </c>
      <c r="W49" s="7">
        <f>TONT20000DEC2015!P49+TONT20000JANV!N49+TONT20000FEV!N49+TONT20000MARS!N49+TONT20000AVRIL!N49+TONT20000MAI!N49+TONT20000JUIN!N49+TONT20000JUIL!N49+TONT20000AOUT!N49+TONT20000SEPT!N49+TONT20000OCT!N49+TONT20000NOV!O49</f>
        <v>120000</v>
      </c>
      <c r="X49" s="7">
        <f>TONT20000DEC2015!Q49+TONT20000JANV!O49+TONT20000FEV!O49+TONT20000MARS!O49+TONT20000AVRIL!O49+TONT20000MAI!O49+TONT20000JUIN!O49+TONT20000JUIL!O49+TONT20000AOUT!O49+TONT20000SEPT!O49+TONT20000OCT!O49+TONT20000NOV!P49</f>
        <v>0</v>
      </c>
      <c r="Y49" s="7">
        <f>TONT20000DEC2015!R49+TONT20000JANV!P49+TONT20000FEV!P49+TONT20000MARS!P49+TONT20000AVRIL!P49+TONT20000MAI!P49+TONT20000JUIN!P49+TONT20000JUIL!P49+TONT20000AOUT!P49+TONT20000SEPT!P49+TONT20000OCT!P49+TONT20000NOV!Q49</f>
        <v>0</v>
      </c>
      <c r="Z49" s="7">
        <f>TONT20000DEC2015!S49+TONT20000JANV!Q49+TONT20000FEV!Q49+TONT20000MARS!Q49+TONT20000AVRIL!Q49+TONT20000MAI!Q49+TONT20000JUIN!Q49+TONT20000JUIL!Q49+TONT20000AOUT!Q49+TONT20000SEPT!Q49+TONT20000OCT!Q49+TONT20000NOV!R49</f>
        <v>0</v>
      </c>
      <c r="AA49" s="7">
        <f>TONT20000DEC2015!T49+TONT20000JANV!R49+TONT20000FEV!R49+TONT20000MARS!R49+TONT20000AVRIL!R49+TONT20000MAI!R49+TONT20000JUIN!R49+TONT20000JUIL!R49+TONT20000AOUT!R49+TONT20000SEPT!R49+TONT20000OCT!R49+TONT20000NOV!S49</f>
        <v>0</v>
      </c>
    </row>
    <row r="50" spans="1:27" x14ac:dyDescent="0.25">
      <c r="A50" s="1" t="s">
        <v>55</v>
      </c>
      <c r="B50" s="1" t="str">
        <f>VLOOKUP(A50,LISTADHERENT!A$5:H$52,2,0)</f>
        <v>TUGMA PIERRE LOTI</v>
      </c>
      <c r="C50" s="6">
        <f>VLOOKUP(A50,FONDSDECAISSE!A$5:C$52,3,0)</f>
        <v>390000</v>
      </c>
      <c r="D50" s="6">
        <v>17636</v>
      </c>
      <c r="E50" s="6">
        <f t="shared" si="0"/>
        <v>443636</v>
      </c>
      <c r="F50" s="6">
        <f>TONT20000DEC2015!E50+TONT20000JANV!C50+TONT20000FEV!C50+TONT20000MARS!C50+TONT20000AVRIL!C50+TONT20000MAI!C50+TONT20000JUIN!C50+TONT20000JUIL!C50+TONT20000AOUT!C50+TONT20000SEPT!C50+TONT20000OCT!C50+TONT20000NOV!C50</f>
        <v>49867.062835032637</v>
      </c>
      <c r="G50" s="6">
        <f>TONT20000NOV!E50</f>
        <v>493503.06283503259</v>
      </c>
      <c r="H50" s="6">
        <f t="shared" si="1"/>
        <v>103503.06283503264</v>
      </c>
      <c r="I50" s="6">
        <f t="shared" si="2"/>
        <v>80000</v>
      </c>
      <c r="J50" s="36">
        <f t="shared" si="3"/>
        <v>23503.062835032644</v>
      </c>
      <c r="K50" s="6">
        <v>30000</v>
      </c>
      <c r="L50" s="6"/>
      <c r="M50" s="6">
        <v>50000</v>
      </c>
      <c r="N50" s="6">
        <f t="shared" si="4"/>
        <v>0</v>
      </c>
      <c r="O50" s="7">
        <f>TONT20000DEC2015!H50+TONT20000JANV!F50+TONT20000FEV!F50+TONT20000MARS!F50+TONT20000AVRIL!F50+TONT20000MAI!F50+TONT20000JUIN!F50+TONT20000JUIL!F50+TONT20000AOUT!F50+TONT20000SEPT!F50+TONT20000OCT!F50+TONT20000NOV!G50</f>
        <v>240000</v>
      </c>
      <c r="P50" s="7">
        <f>TONT20000DEC2015!I50+TONT20000JANV!G50+TONT20000FEV!G50+TONT20000MARS!G50+TONT20000AVRIL!G50+TONT20000MAI!G50+TONT20000JUIN!G50+TONT20000JUIL!G50+TONT20000AOUT!G50+TONT20000SEPT!G50+TONT20000OCT!G50+TONT20000NOV!H50</f>
        <v>36000</v>
      </c>
      <c r="Q50" s="7">
        <f>TONT20000DEC2015!J50+TONT20000JANV!H50+TONT20000FEV!H50+TONT20000MARS!H50+TONT20000AVRIL!H50+TONT20000MAI!H50+TONT20000JUIN!H50+TONT20000JUIL!H50+TONT20000AOUT!H50+TONT20000SEPT!H50+TONT20000OCT!H50+TONT20000NOV!I50</f>
        <v>6000</v>
      </c>
      <c r="R50" s="7">
        <f>TONT20000DEC2015!K50+TONT20000JANV!I50+TONT20000FEV!I50+TONT20000MARS!I50+TONT20000AVRIL!I50+TONT20000MAI!I50+TONT20000JUIN!I50+TONT20000JUIL!I50+TONT20000AOUT!I50+TONT20000SEPT!I50+TONT20000OCT!I50+TONT20000NOV!J50</f>
        <v>12000</v>
      </c>
      <c r="S50" s="7">
        <f>TONT20000DEC2015!L50+TONT20000JANV!J50+TONT20000FEV!J50+TONT20000MARS!J50+TONT20000AVRIL!J50+TONT20000MAI!J50+TONT20000JUIN!J50+TONT20000JUIL!J50+TONT20000AOUT!J50+TONT20000SEPT!J50+TONT20000OCT!J50+TONT20000NOV!K50</f>
        <v>30000</v>
      </c>
      <c r="T50" s="7">
        <f>TONT20000DEC2015!M50+TONT20000JANV!K50+TONT20000FEV!K50+TONT20000MARS!K50+TONT20000AVRIL!K50+TONT20000MAI!K50+TONT20000JUIN!K50+TONT20000JUIL!K50+TONT20000AOUT!K50+TONT20000SEPT!K50+TONT20000OCT!K50+TONT20000NOV!L50</f>
        <v>0</v>
      </c>
      <c r="U50" s="7">
        <f>TONT20000DEC2015!N50+TONT20000JANV!L50+TONT20000FEV!L50+TONT20000MARS!L50+TONT20000AVRIL!L50+TONT20000MAI!L50+TONT20000JUIN!L50+TONT20000JUIL!L50+TONT20000AOUT!L50+TONT20000SEPT!L50+TONT20000OCT!L50+TONT20000NOV!M50</f>
        <v>156000</v>
      </c>
      <c r="V50" s="7">
        <f>TONT20000DEC2015!O50+TONT20000JANV!M50+TONT20000FEV!M50+TONT20000MARS!M50+TONT20000AVRIL!M50+TONT20000MAI!M50+TONT20000JUIN!M50+TONT20000JUIL!M50+TONT20000AOUT!M50+TONT20000SEPT!M50+TONT20000OCT!M50+TONT20000NOV!N50</f>
        <v>0</v>
      </c>
      <c r="W50" s="7">
        <f>TONT20000DEC2015!P50+TONT20000JANV!N50+TONT20000FEV!N50+TONT20000MARS!N50+TONT20000AVRIL!N50+TONT20000MAI!N50+TONT20000JUIN!N50+TONT20000JUIL!N50+TONT20000AOUT!N50+TONT20000SEPT!N50+TONT20000OCT!N50+TONT20000NOV!O50</f>
        <v>0</v>
      </c>
      <c r="X50" s="7">
        <f>TONT20000DEC2015!Q50+TONT20000JANV!O50+TONT20000FEV!O50+TONT20000MARS!O50+TONT20000AVRIL!O50+TONT20000MAI!O50+TONT20000JUIN!O50+TONT20000JUIL!O50+TONT20000AOUT!O50+TONT20000SEPT!O50+TONT20000OCT!O50+TONT20000NOV!P50</f>
        <v>0</v>
      </c>
      <c r="Y50" s="7">
        <f>TONT20000DEC2015!R50+TONT20000JANV!P50+TONT20000FEV!P50+TONT20000MARS!P50+TONT20000AVRIL!P50+TONT20000MAI!P50+TONT20000JUIN!P50+TONT20000JUIL!P50+TONT20000AOUT!P50+TONT20000SEPT!P50+TONT20000OCT!P50+TONT20000NOV!Q50</f>
        <v>0</v>
      </c>
      <c r="Z50" s="7">
        <f>TONT20000DEC2015!S50+TONT20000JANV!Q50+TONT20000FEV!Q50+TONT20000MARS!Q50+TONT20000AVRIL!Q50+TONT20000MAI!Q50+TONT20000JUIN!Q50+TONT20000JUIL!Q50+TONT20000AOUT!Q50+TONT20000SEPT!Q50+TONT20000OCT!Q50+TONT20000NOV!R50</f>
        <v>0</v>
      </c>
      <c r="AA50" s="7">
        <f>TONT20000DEC2015!T50+TONT20000JANV!R50+TONT20000FEV!R50+TONT20000MARS!R50+TONT20000AVRIL!R50+TONT20000MAI!R50+TONT20000JUIN!R50+TONT20000JUIL!R50+TONT20000AOUT!R50+TONT20000SEPT!R50+TONT20000OCT!R50+TONT20000NOV!S50</f>
        <v>0</v>
      </c>
    </row>
    <row r="51" spans="1:27" x14ac:dyDescent="0.25">
      <c r="A51" s="1" t="s">
        <v>66</v>
      </c>
      <c r="B51" s="1" t="str">
        <f>VLOOKUP(A51,LISTADHERENT!A$5:H$52,2,0)</f>
        <v>YEPMOU JEAN JACQUES</v>
      </c>
      <c r="C51" s="6">
        <f>VLOOKUP(A51,FONDSDECAISSE!A$5:C$52,3,0)</f>
        <v>390000</v>
      </c>
      <c r="D51" s="6">
        <v>421237</v>
      </c>
      <c r="E51" s="6">
        <f t="shared" si="0"/>
        <v>847237</v>
      </c>
      <c r="F51" s="6">
        <f>TONT20000DEC2015!E51+TONT20000JANV!C51+TONT20000FEV!C51+TONT20000MARS!C51+TONT20000AVRIL!C51+TONT20000MAI!C51+TONT20000JUIN!C51+TONT20000JUIL!C51+TONT20000AOUT!C51+TONT20000SEPT!C51+TONT20000OCT!C51+TONT20000NOV!C51</f>
        <v>96745.285455328587</v>
      </c>
      <c r="G51" s="6">
        <f>TONT20000NOV!E51</f>
        <v>943982.28545532853</v>
      </c>
      <c r="H51" s="6">
        <f t="shared" si="1"/>
        <v>553982.28545532865</v>
      </c>
      <c r="I51" s="6">
        <f t="shared" si="2"/>
        <v>80000</v>
      </c>
      <c r="J51" s="36">
        <f t="shared" si="3"/>
        <v>473982.28545532865</v>
      </c>
      <c r="K51" s="6">
        <v>30000</v>
      </c>
      <c r="L51" s="6"/>
      <c r="M51" s="6">
        <v>50000</v>
      </c>
      <c r="N51" s="6">
        <f t="shared" si="4"/>
        <v>0</v>
      </c>
      <c r="O51" s="7">
        <f>TONT20000DEC2015!H51+TONT20000JANV!F51+TONT20000FEV!F51+TONT20000MARS!F51+TONT20000AVRIL!F51+TONT20000MAI!F51+TONT20000JUIN!F51+TONT20000JUIL!F51+TONT20000AOUT!F51+TONT20000SEPT!F51+TONT20000OCT!F51+TONT20000NOV!G51</f>
        <v>240000</v>
      </c>
      <c r="P51" s="7">
        <f>TONT20000DEC2015!I51+TONT20000JANV!G51+TONT20000FEV!G51+TONT20000MARS!G51+TONT20000AVRIL!G51+TONT20000MAI!G51+TONT20000JUIN!G51+TONT20000JUIL!G51+TONT20000AOUT!G51+TONT20000SEPT!G51+TONT20000OCT!G51+TONT20000NOV!H51</f>
        <v>36000</v>
      </c>
      <c r="Q51" s="7">
        <f>TONT20000DEC2015!J51+TONT20000JANV!H51+TONT20000FEV!H51+TONT20000MARS!H51+TONT20000AVRIL!H51+TONT20000MAI!H51+TONT20000JUIN!H51+TONT20000JUIL!H51+TONT20000AOUT!H51+TONT20000SEPT!H51+TONT20000OCT!H51+TONT20000NOV!I51</f>
        <v>6000</v>
      </c>
      <c r="R51" s="7">
        <f>TONT20000DEC2015!K51+TONT20000JANV!I51+TONT20000FEV!I51+TONT20000MARS!I51+TONT20000AVRIL!I51+TONT20000MAI!I51+TONT20000JUIN!I51+TONT20000JUIL!I51+TONT20000AOUT!I51+TONT20000SEPT!I51+TONT20000OCT!I51+TONT20000NOV!J51</f>
        <v>12000</v>
      </c>
      <c r="S51" s="7">
        <f>TONT20000DEC2015!L51+TONT20000JANV!J51+TONT20000FEV!J51+TONT20000MARS!J51+TONT20000AVRIL!J51+TONT20000MAI!J51+TONT20000JUIN!J51+TONT20000JUIL!J51+TONT20000AOUT!J51+TONT20000SEPT!J51+TONT20000OCT!J51+TONT20000NOV!K51</f>
        <v>30000</v>
      </c>
      <c r="T51" s="7">
        <f>TONT20000DEC2015!M51+TONT20000JANV!K51+TONT20000FEV!K51+TONT20000MARS!K51+TONT20000AVRIL!K51+TONT20000MAI!K51+TONT20000JUIN!K51+TONT20000JUIL!K51+TONT20000AOUT!K51+TONT20000SEPT!K51+TONT20000OCT!K51+TONT20000NOV!L51</f>
        <v>0</v>
      </c>
      <c r="U51" s="7">
        <f>TONT20000DEC2015!N51+TONT20000JANV!L51+TONT20000FEV!L51+TONT20000MARS!L51+TONT20000AVRIL!L51+TONT20000MAI!L51+TONT20000JUIN!L51+TONT20000JUIL!L51+TONT20000AOUT!L51+TONT20000SEPT!L51+TONT20000OCT!L51+TONT20000NOV!M51</f>
        <v>156000</v>
      </c>
      <c r="V51" s="7">
        <f>TONT20000DEC2015!O51+TONT20000JANV!M51+TONT20000FEV!M51+TONT20000MARS!M51+TONT20000AVRIL!M51+TONT20000MAI!M51+TONT20000JUIN!M51+TONT20000JUIL!M51+TONT20000AOUT!M51+TONT20000SEPT!M51+TONT20000OCT!M51+TONT20000NOV!N51</f>
        <v>0</v>
      </c>
      <c r="W51" s="7">
        <f>TONT20000DEC2015!P51+TONT20000JANV!N51+TONT20000FEV!N51+TONT20000MARS!N51+TONT20000AVRIL!N51+TONT20000MAI!N51+TONT20000JUIN!N51+TONT20000JUIL!N51+TONT20000AOUT!N51+TONT20000SEPT!N51+TONT20000OCT!N51+TONT20000NOV!O51</f>
        <v>0</v>
      </c>
      <c r="X51" s="7">
        <f>TONT20000DEC2015!Q51+TONT20000JANV!O51+TONT20000FEV!O51+TONT20000MARS!O51+TONT20000AVRIL!O51+TONT20000MAI!O51+TONT20000JUIN!O51+TONT20000JUIL!O51+TONT20000AOUT!O51+TONT20000SEPT!O51+TONT20000OCT!O51+TONT20000NOV!P51</f>
        <v>0</v>
      </c>
      <c r="Y51" s="7">
        <f>TONT20000DEC2015!R51+TONT20000JANV!P51+TONT20000FEV!P51+TONT20000MARS!P51+TONT20000AVRIL!P51+TONT20000MAI!P51+TONT20000JUIN!P51+TONT20000JUIL!P51+TONT20000AOUT!P51+TONT20000SEPT!P51+TONT20000OCT!P51+TONT20000NOV!Q51</f>
        <v>0</v>
      </c>
      <c r="Z51" s="7">
        <f>TONT20000DEC2015!S51+TONT20000JANV!Q51+TONT20000FEV!Q51+TONT20000MARS!Q51+TONT20000AVRIL!Q51+TONT20000MAI!Q51+TONT20000JUIN!Q51+TONT20000JUIL!Q51+TONT20000AOUT!Q51+TONT20000SEPT!Q51+TONT20000OCT!Q51+TONT20000NOV!R51</f>
        <v>0</v>
      </c>
      <c r="AA51" s="7">
        <f>TONT20000DEC2015!T51+TONT20000JANV!R51+TONT20000FEV!R51+TONT20000MARS!R51+TONT20000AVRIL!R51+TONT20000MAI!R51+TONT20000JUIN!R51+TONT20000JUIL!R51+TONT20000AOUT!R51+TONT20000SEPT!R51+TONT20000OCT!R51+TONT20000NOV!S51</f>
        <v>0</v>
      </c>
    </row>
    <row r="52" spans="1:27" x14ac:dyDescent="0.25">
      <c r="A52" s="1" t="s">
        <v>178</v>
      </c>
      <c r="B52" s="1" t="str">
        <f>VLOOKUP(A52,LISTADHERENT!A$5:H$52,2,0)</f>
        <v>YOUMBI EMMANUEL</v>
      </c>
      <c r="C52" s="6">
        <f>VLOOKUP(A52,FONDSDECAISSE!A$5:C$52,3,0)</f>
        <v>390000</v>
      </c>
      <c r="D52" s="6">
        <v>1003279</v>
      </c>
      <c r="E52" s="6">
        <f t="shared" si="0"/>
        <v>1429279</v>
      </c>
      <c r="F52" s="6">
        <f>TONT20000DEC2015!E52+TONT20000JANV!C52+TONT20000FEV!C52+TONT20000MARS!C52+TONT20000AVRIL!C52+TONT20000MAI!C52+TONT20000JUIN!C52+TONT20000JUIL!C52+TONT20000AOUT!C52+TONT20000SEPT!C52+TONT20000OCT!C52+TONT20000NOV!C52</f>
        <v>164349.41540139486</v>
      </c>
      <c r="G52" s="6">
        <f>TONT20000NOV!E52</f>
        <v>1593628.4154013947</v>
      </c>
      <c r="H52" s="6">
        <f t="shared" si="1"/>
        <v>1203628.4154013949</v>
      </c>
      <c r="I52" s="6">
        <f t="shared" si="2"/>
        <v>80000</v>
      </c>
      <c r="J52" s="36">
        <f t="shared" si="3"/>
        <v>1123628.4154013949</v>
      </c>
      <c r="K52" s="6">
        <v>30000</v>
      </c>
      <c r="L52" s="6"/>
      <c r="M52" s="6">
        <v>50000</v>
      </c>
      <c r="N52" s="6">
        <f t="shared" si="4"/>
        <v>0</v>
      </c>
      <c r="O52" s="7">
        <f>TONT20000DEC2015!H52+TONT20000JANV!F52+TONT20000FEV!F52+TONT20000MARS!F52+TONT20000AVRIL!F52+TONT20000MAI!F52+TONT20000JUIN!F52+TONT20000JUIL!F52+TONT20000AOUT!F52+TONT20000SEPT!F52+TONT20000OCT!F52+TONT20000NOV!G52</f>
        <v>240000</v>
      </c>
      <c r="P52" s="7">
        <f>TONT20000DEC2015!I52+TONT20000JANV!G52+TONT20000FEV!G52+TONT20000MARS!G52+TONT20000AVRIL!G52+TONT20000MAI!G52+TONT20000JUIN!G52+TONT20000JUIL!G52+TONT20000AOUT!G52+TONT20000SEPT!G52+TONT20000OCT!G52+TONT20000NOV!H52</f>
        <v>36000</v>
      </c>
      <c r="Q52" s="7">
        <f>TONT20000DEC2015!J52+TONT20000JANV!H52+TONT20000FEV!H52+TONT20000MARS!H52+TONT20000AVRIL!H52+TONT20000MAI!H52+TONT20000JUIN!H52+TONT20000JUIL!H52+TONT20000AOUT!H52+TONT20000SEPT!H52+TONT20000OCT!H52+TONT20000NOV!I52</f>
        <v>6000</v>
      </c>
      <c r="R52" s="7">
        <f>TONT20000DEC2015!K52+TONT20000JANV!I52+TONT20000FEV!I52+TONT20000MARS!I52+TONT20000AVRIL!I52+TONT20000MAI!I52+TONT20000JUIN!I52+TONT20000JUIL!I52+TONT20000AOUT!I52+TONT20000SEPT!I52+TONT20000OCT!I52+TONT20000NOV!J52</f>
        <v>12000</v>
      </c>
      <c r="S52" s="7">
        <f>TONT20000DEC2015!L52+TONT20000JANV!J52+TONT20000FEV!J52+TONT20000MARS!J52+TONT20000AVRIL!J52+TONT20000MAI!J52+TONT20000JUIN!J52+TONT20000JUIL!J52+TONT20000AOUT!J52+TONT20000SEPT!J52+TONT20000OCT!J52+TONT20000NOV!K52</f>
        <v>30000</v>
      </c>
      <c r="T52" s="7">
        <f>TONT20000DEC2015!M52+TONT20000JANV!K52+TONT20000FEV!K52+TONT20000MARS!K52+TONT20000AVRIL!K52+TONT20000MAI!K52+TONT20000JUIN!K52+TONT20000JUIL!K52+TONT20000AOUT!K52+TONT20000SEPT!K52+TONT20000OCT!K52+TONT20000NOV!L52</f>
        <v>0</v>
      </c>
      <c r="U52" s="7">
        <f>TONT20000DEC2015!N52+TONT20000JANV!L52+TONT20000FEV!L52+TONT20000MARS!L52+TONT20000AVRIL!L52+TONT20000MAI!L52+TONT20000JUIN!L52+TONT20000JUIL!L52+TONT20000AOUT!L52+TONT20000SEPT!L52+TONT20000OCT!L52+TONT20000NOV!M52</f>
        <v>156000</v>
      </c>
      <c r="V52" s="7">
        <f>TONT20000DEC2015!O52+TONT20000JANV!M52+TONT20000FEV!M52+TONT20000MARS!M52+TONT20000AVRIL!M52+TONT20000MAI!M52+TONT20000JUIN!M52+TONT20000JUIL!M52+TONT20000AOUT!M52+TONT20000SEPT!M52+TONT20000OCT!M52+TONT20000NOV!N52</f>
        <v>0</v>
      </c>
      <c r="W52" s="7">
        <f>TONT20000DEC2015!P52+TONT20000JANV!N52+TONT20000FEV!N52+TONT20000MARS!N52+TONT20000AVRIL!N52+TONT20000MAI!N52+TONT20000JUIN!N52+TONT20000JUIL!N52+TONT20000AOUT!N52+TONT20000SEPT!N52+TONT20000OCT!N52+TONT20000NOV!O52</f>
        <v>0</v>
      </c>
      <c r="X52" s="7">
        <f>TONT20000DEC2015!Q52+TONT20000JANV!O52+TONT20000FEV!O52+TONT20000MARS!O52+TONT20000AVRIL!O52+TONT20000MAI!O52+TONT20000JUIN!O52+TONT20000JUIL!O52+TONT20000AOUT!O52+TONT20000SEPT!O52+TONT20000OCT!O52+TONT20000NOV!P52</f>
        <v>0</v>
      </c>
      <c r="Y52" s="7">
        <f>TONT20000DEC2015!R52+TONT20000JANV!P52+TONT20000FEV!P52+TONT20000MARS!P52+TONT20000AVRIL!P52+TONT20000MAI!P52+TONT20000JUIN!P52+TONT20000JUIL!P52+TONT20000AOUT!P52+TONT20000SEPT!P52+TONT20000OCT!P52+TONT20000NOV!Q52</f>
        <v>0</v>
      </c>
      <c r="Z52" s="7">
        <f>TONT20000DEC2015!S52+TONT20000JANV!Q52+TONT20000FEV!Q52+TONT20000MARS!Q52+TONT20000AVRIL!Q52+TONT20000MAI!Q52+TONT20000JUIN!Q52+TONT20000JUIL!Q52+TONT20000AOUT!Q52+TONT20000SEPT!Q52+TONT20000OCT!Q52+TONT20000NOV!R52</f>
        <v>0</v>
      </c>
      <c r="AA52" s="7">
        <f>TONT20000DEC2015!T52+TONT20000JANV!R52+TONT20000FEV!R52+TONT20000MARS!R52+TONT20000AVRIL!R52+TONT20000MAI!R52+TONT20000JUIN!R52+TONT20000JUIL!R52+TONT20000AOUT!R52+TONT20000SEPT!R52+TONT20000OCT!R52+TONT20000NOV!S52</f>
        <v>0</v>
      </c>
    </row>
    <row r="53" spans="1:27" x14ac:dyDescent="0.25">
      <c r="A53" s="1"/>
      <c r="B53" s="1"/>
      <c r="C53" s="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</row>
    <row r="54" spans="1:27" ht="18" x14ac:dyDescent="0.25">
      <c r="A54" s="8" t="s">
        <v>56</v>
      </c>
      <c r="B54" s="8"/>
      <c r="C54" s="9">
        <f t="shared" ref="C54:AA54" si="5">SUM(C5:C53)</f>
        <v>14487719</v>
      </c>
      <c r="D54" s="9">
        <f t="shared" si="5"/>
        <v>4617209</v>
      </c>
      <c r="E54" s="9">
        <f t="shared" si="5"/>
        <v>23319328</v>
      </c>
      <c r="F54" s="9">
        <f t="shared" si="5"/>
        <v>2282100</v>
      </c>
      <c r="G54" s="9">
        <f t="shared" si="5"/>
        <v>24623865</v>
      </c>
      <c r="H54" s="9">
        <f t="shared" si="5"/>
        <v>11113709.000000004</v>
      </c>
      <c r="I54" s="9">
        <f t="shared" si="5"/>
        <v>2850396</v>
      </c>
      <c r="J54" s="9">
        <f t="shared" si="5"/>
        <v>8263313.0000000019</v>
      </c>
      <c r="K54" s="9">
        <f t="shared" si="5"/>
        <v>1050000</v>
      </c>
      <c r="L54" s="9">
        <f t="shared" si="5"/>
        <v>0</v>
      </c>
      <c r="M54" s="9">
        <f t="shared" si="5"/>
        <v>1716396</v>
      </c>
      <c r="N54" s="9">
        <f t="shared" si="5"/>
        <v>84000</v>
      </c>
      <c r="O54" s="9">
        <f t="shared" si="5"/>
        <v>13820360</v>
      </c>
      <c r="P54" s="9">
        <f t="shared" si="5"/>
        <v>4214400</v>
      </c>
      <c r="Q54" s="9">
        <f t="shared" si="5"/>
        <v>260000</v>
      </c>
      <c r="R54" s="9">
        <f t="shared" si="5"/>
        <v>520000</v>
      </c>
      <c r="S54" s="9">
        <f t="shared" si="5"/>
        <v>1300000</v>
      </c>
      <c r="T54" s="9">
        <f t="shared" si="5"/>
        <v>235000</v>
      </c>
      <c r="U54" s="9">
        <f t="shared" si="5"/>
        <v>6760000</v>
      </c>
      <c r="V54" s="9">
        <f t="shared" si="5"/>
        <v>25710000</v>
      </c>
      <c r="W54" s="9">
        <f t="shared" si="5"/>
        <v>2282100</v>
      </c>
      <c r="X54" s="9">
        <f t="shared" si="5"/>
        <v>6900000</v>
      </c>
      <c r="Y54" s="9">
        <f t="shared" si="5"/>
        <v>94825</v>
      </c>
      <c r="Z54" s="9">
        <f t="shared" si="5"/>
        <v>98495</v>
      </c>
      <c r="AA54" s="9">
        <f t="shared" si="5"/>
        <v>0</v>
      </c>
    </row>
    <row r="55" spans="1:27" s="38" customFormat="1" ht="18" x14ac:dyDescent="0.25">
      <c r="A55" s="37" t="s">
        <v>213</v>
      </c>
      <c r="C55" s="39"/>
      <c r="J55" s="40">
        <f>J5+J6+J7+J8+J9+J10+J11+J12+J13+J14+J15+J16+J18+J20+J21+J22+J23+J24+J25+J26+J27+J29+J31+J32+J34+J35+J37+J38+J39+J41+J42+J43+J46+J47+J49+J50+J51+J52+J44</f>
        <v>7892785.0991665255</v>
      </c>
      <c r="O55" s="39"/>
      <c r="Q55" s="41"/>
      <c r="R55" s="39"/>
      <c r="S55" s="39"/>
      <c r="T55" s="39"/>
      <c r="Z55" s="40"/>
      <c r="AA55" s="39"/>
    </row>
    <row r="56" spans="1:27" ht="18" x14ac:dyDescent="0.25">
      <c r="J56" s="42">
        <f>J17+J19+J28+J30+J33+J36+J40+J45+J48</f>
        <v>370527.90083347494</v>
      </c>
    </row>
    <row r="57" spans="1:27" ht="18" x14ac:dyDescent="0.25">
      <c r="B57" s="9" t="s">
        <v>193</v>
      </c>
      <c r="G57" s="9">
        <f>E58+E59+E60</f>
        <v>11113709</v>
      </c>
      <c r="H57" s="9"/>
      <c r="I57" s="9"/>
    </row>
    <row r="58" spans="1:27" ht="15.75" x14ac:dyDescent="0.25">
      <c r="D58" s="32" t="s">
        <v>183</v>
      </c>
      <c r="E58" s="31">
        <f>D54</f>
        <v>4617209</v>
      </c>
    </row>
    <row r="59" spans="1:27" ht="15.75" x14ac:dyDescent="0.25">
      <c r="D59" s="32" t="s">
        <v>195</v>
      </c>
      <c r="E59" s="31">
        <f>+F54</f>
        <v>2282100</v>
      </c>
    </row>
    <row r="60" spans="1:27" ht="15.75" x14ac:dyDescent="0.25">
      <c r="D60" s="32" t="s">
        <v>218</v>
      </c>
      <c r="E60" s="31">
        <f>P54</f>
        <v>4214400</v>
      </c>
    </row>
    <row r="61" spans="1:27" ht="15.75" x14ac:dyDescent="0.25">
      <c r="D61" s="32"/>
      <c r="E61" s="31"/>
    </row>
    <row r="62" spans="1:27" ht="18" x14ac:dyDescent="0.25">
      <c r="B62" s="9" t="s">
        <v>193</v>
      </c>
      <c r="F62" s="9">
        <f>J55</f>
        <v>7892785.0991665255</v>
      </c>
    </row>
    <row r="63" spans="1:27" ht="18" x14ac:dyDescent="0.25">
      <c r="B63" s="9" t="s">
        <v>210</v>
      </c>
      <c r="F63" s="9">
        <f>M54</f>
        <v>1716396</v>
      </c>
    </row>
    <row r="64" spans="1:27" ht="18" x14ac:dyDescent="0.25">
      <c r="B64" s="9" t="s">
        <v>212</v>
      </c>
      <c r="F64" s="9">
        <f>K54</f>
        <v>1050000</v>
      </c>
    </row>
    <row r="65" spans="2:9" ht="18" x14ac:dyDescent="0.25">
      <c r="B65" s="9" t="s">
        <v>196</v>
      </c>
      <c r="F65" s="9">
        <f>N54</f>
        <v>84000</v>
      </c>
    </row>
    <row r="66" spans="2:9" ht="18" x14ac:dyDescent="0.25">
      <c r="B66" s="9" t="s">
        <v>184</v>
      </c>
      <c r="F66" s="9">
        <f>L54</f>
        <v>0</v>
      </c>
    </row>
    <row r="68" spans="2:9" ht="18" x14ac:dyDescent="0.25">
      <c r="B68" s="9" t="s">
        <v>56</v>
      </c>
      <c r="G68" s="9">
        <f>F62+F63+F64+F65+F66</f>
        <v>10743181.099166526</v>
      </c>
      <c r="H68" s="9"/>
      <c r="I68" s="9"/>
    </row>
    <row r="70" spans="2:9" ht="18" x14ac:dyDescent="0.25">
      <c r="B70" s="9" t="s">
        <v>214</v>
      </c>
      <c r="G70" s="42">
        <f>G57-G68</f>
        <v>370527.90083347447</v>
      </c>
      <c r="H70" s="42"/>
      <c r="I70" s="42"/>
    </row>
  </sheetData>
  <autoFilter ref="A4:AB50"/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71"/>
  <sheetViews>
    <sheetView tabSelected="1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12" sqref="B12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7" style="2" bestFit="1" customWidth="1"/>
    <col min="4" max="5" width="15.28515625" customWidth="1"/>
    <col min="6" max="6" width="16.85546875" bestFit="1" customWidth="1"/>
    <col min="7" max="7" width="17" bestFit="1" customWidth="1"/>
    <col min="8" max="10" width="17.140625" customWidth="1"/>
    <col min="11" max="13" width="17.28515625" customWidth="1"/>
    <col min="14" max="14" width="13.140625" customWidth="1"/>
    <col min="15" max="15" width="16.28515625" customWidth="1"/>
    <col min="16" max="16" width="13.140625" customWidth="1"/>
    <col min="17" max="17" width="17" style="2" bestFit="1" customWidth="1"/>
    <col min="18" max="18" width="15.140625" bestFit="1" customWidth="1"/>
    <col min="19" max="19" width="17.7109375" style="4" bestFit="1" customWidth="1"/>
    <col min="20" max="20" width="15.7109375" style="2" customWidth="1"/>
    <col min="21" max="21" width="15.140625" style="2" bestFit="1" customWidth="1"/>
    <col min="22" max="22" width="18.28515625" style="2" bestFit="1" customWidth="1"/>
    <col min="23" max="28" width="18.140625" customWidth="1"/>
    <col min="29" max="29" width="21.42578125" style="2" bestFit="1" customWidth="1"/>
    <col min="30" max="30" width="19" bestFit="1" customWidth="1"/>
  </cols>
  <sheetData>
    <row r="1" spans="1:30" x14ac:dyDescent="0.25">
      <c r="A1" s="1" t="s">
        <v>0</v>
      </c>
      <c r="B1" s="1" t="s">
        <v>1</v>
      </c>
      <c r="C1" s="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30" x14ac:dyDescent="0.25">
      <c r="A2" s="1" t="s">
        <v>2</v>
      </c>
      <c r="B2" s="1" t="s">
        <v>3</v>
      </c>
      <c r="C2" s="6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30" x14ac:dyDescent="0.25">
      <c r="A3" s="1" t="s">
        <v>4</v>
      </c>
      <c r="B3" s="1" t="s">
        <v>5</v>
      </c>
      <c r="C3" s="6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30" ht="42" customHeight="1" x14ac:dyDescent="0.25">
      <c r="A4" s="1" t="s">
        <v>6</v>
      </c>
      <c r="B4" s="1" t="s">
        <v>7</v>
      </c>
      <c r="C4" s="5" t="s">
        <v>188</v>
      </c>
      <c r="D4" s="5" t="s">
        <v>183</v>
      </c>
      <c r="E4" s="5" t="s">
        <v>225</v>
      </c>
      <c r="F4" s="5" t="s">
        <v>190</v>
      </c>
      <c r="G4" s="5" t="s">
        <v>186</v>
      </c>
      <c r="H4" s="5" t="s">
        <v>191</v>
      </c>
      <c r="I4" s="5" t="s">
        <v>215</v>
      </c>
      <c r="J4" s="5" t="s">
        <v>216</v>
      </c>
      <c r="K4" s="5" t="s">
        <v>217</v>
      </c>
      <c r="L4" s="5" t="s">
        <v>219</v>
      </c>
      <c r="M4" s="5" t="s">
        <v>212</v>
      </c>
      <c r="N4" s="5" t="s">
        <v>184</v>
      </c>
      <c r="O4" s="5" t="s">
        <v>209</v>
      </c>
      <c r="P4" s="5" t="s">
        <v>192</v>
      </c>
      <c r="Q4" s="5" t="s">
        <v>65</v>
      </c>
      <c r="R4" s="5" t="s">
        <v>57</v>
      </c>
      <c r="S4" s="5" t="s">
        <v>58</v>
      </c>
      <c r="T4" s="5" t="s">
        <v>59</v>
      </c>
      <c r="U4" s="5" t="s">
        <v>60</v>
      </c>
      <c r="V4" s="5" t="s">
        <v>61</v>
      </c>
      <c r="W4" s="5" t="s">
        <v>62</v>
      </c>
      <c r="X4" s="5" t="s">
        <v>63</v>
      </c>
      <c r="Y4" s="5" t="s">
        <v>64</v>
      </c>
      <c r="Z4" s="5" t="s">
        <v>8</v>
      </c>
      <c r="AA4" s="5" t="s">
        <v>182</v>
      </c>
      <c r="AB4" s="5" t="s">
        <v>181</v>
      </c>
      <c r="AC4" s="6" t="s">
        <v>9</v>
      </c>
      <c r="AD4" s="1" t="s">
        <v>10</v>
      </c>
    </row>
    <row r="5" spans="1:30" x14ac:dyDescent="0.25">
      <c r="A5" s="1" t="s">
        <v>185</v>
      </c>
      <c r="B5" s="1" t="str">
        <f>VLOOKUP(A5,LISTADHERENT!A$5:H$52,2,0)</f>
        <v>ASELBY</v>
      </c>
      <c r="C5" s="6">
        <f>VLOOKUP(A5,FONDSDECAISSE!A$5:C$52,3,0)</f>
        <v>0</v>
      </c>
      <c r="D5" s="6">
        <v>318145</v>
      </c>
      <c r="E5" s="6">
        <f>K5-L5</f>
        <v>2097</v>
      </c>
      <c r="F5" s="6">
        <f t="shared" ref="F5:F52" si="0">C5+D5+R5</f>
        <v>318145</v>
      </c>
      <c r="G5" s="6">
        <f>INT(TONT20000DEC2015!E5+TONT20000JANV!C5+TONT20000FEV!C5+TONT20000MARS!C5+TONT20000AVRIL!C5+TONT20000MAI!C5+TONT20000JUIN!C5+TONT20000JUIL!C5+TONT20000AOUT!C5+TONT20000SEPT!C5+TONT20000OCT!C5+TONT20000NOV!C5)</f>
        <v>36952</v>
      </c>
      <c r="H5" s="6">
        <f>TONT20000NOV!E5</f>
        <v>355097.51531966974</v>
      </c>
      <c r="I5" s="6">
        <f t="shared" ref="I5:I52" si="1">D5+G5+R5</f>
        <v>355097</v>
      </c>
      <c r="J5" s="6">
        <f>M5+N5+O5+P5</f>
        <v>0</v>
      </c>
      <c r="K5" s="6">
        <f>I5-J5</f>
        <v>355097</v>
      </c>
      <c r="L5" s="6">
        <v>353000</v>
      </c>
      <c r="M5" s="6">
        <v>0</v>
      </c>
      <c r="N5" s="6">
        <v>0</v>
      </c>
      <c r="O5" s="6">
        <v>0</v>
      </c>
      <c r="P5" s="6">
        <v>0</v>
      </c>
      <c r="Q5" s="7">
        <f>TONT20000DEC2015!H5+TONT20000JANV!F5+TONT20000FEV!F5+TONT20000MARS!F5+TONT20000AVRIL!F5+TONT20000MAI!F5+TONT20000JUIN!F5+TONT20000JUIL!F5+TONT20000AOUT!F5+TONT20000SEPT!F5+TONT20000OCT!F5+TONT20000NOV!G5</f>
        <v>0</v>
      </c>
      <c r="R5" s="7">
        <f>TONT20000DEC2015!I5+TONT20000JANV!G5+TONT20000FEV!G5+TONT20000MARS!G5+TONT20000AVRIL!G5+TONT20000MAI!G5+TONT20000JUIN!G5+TONT20000JUIL!G5+TONT20000AOUT!G5+TONT20000SEPT!G5+TONT20000OCT!G5+TONT20000NOV!H5</f>
        <v>0</v>
      </c>
      <c r="S5" s="7">
        <f>TONT20000DEC2015!J5+TONT20000JANV!H5+TONT20000FEV!H5+TONT20000MARS!H5+TONT20000AVRIL!H5+TONT20000MAI!H5+TONT20000JUIN!H5+TONT20000JUIL!H5+TONT20000AOUT!H5+TONT20000SEPT!H5+TONT20000OCT!H5+TONT20000NOV!I5</f>
        <v>0</v>
      </c>
      <c r="T5" s="7">
        <f>TONT20000DEC2015!K5+TONT20000JANV!I5+TONT20000FEV!I5+TONT20000MARS!I5+TONT20000AVRIL!I5+TONT20000MAI!I5+TONT20000JUIN!I5+TONT20000JUIL!I5+TONT20000AOUT!I5+TONT20000SEPT!I5+TONT20000OCT!I5+TONT20000NOV!J5</f>
        <v>0</v>
      </c>
      <c r="U5" s="7">
        <f>TONT20000DEC2015!L5+TONT20000JANV!J5+TONT20000FEV!J5+TONT20000MARS!J5+TONT20000AVRIL!J5+TONT20000MAI!J5+TONT20000JUIN!J5+TONT20000JUIL!J5+TONT20000AOUT!J5+TONT20000SEPT!J5+TONT20000OCT!J5+TONT20000NOV!K5</f>
        <v>0</v>
      </c>
      <c r="V5" s="7">
        <f>TONT20000DEC2015!M5+TONT20000JANV!K5+TONT20000FEV!K5+TONT20000MARS!K5+TONT20000AVRIL!K5+TONT20000MAI!K5+TONT20000JUIN!K5+TONT20000JUIL!K5+TONT20000AOUT!K5+TONT20000SEPT!K5+TONT20000OCT!K5+TONT20000NOV!L5</f>
        <v>0</v>
      </c>
      <c r="W5" s="7">
        <f>TONT20000DEC2015!N5+TONT20000JANV!L5+TONT20000FEV!L5+TONT20000MARS!L5+TONT20000AVRIL!L5+TONT20000MAI!L5+TONT20000JUIN!L5+TONT20000JUIL!L5+TONT20000AOUT!L5+TONT20000SEPT!L5+TONT20000OCT!L5+TONT20000NOV!M5</f>
        <v>0</v>
      </c>
      <c r="X5" s="7">
        <f>TONT20000DEC2015!O5+TONT20000JANV!M5+TONT20000FEV!M5+TONT20000MARS!M5+TONT20000AVRIL!M5+TONT20000MAI!M5+TONT20000JUIN!M5+TONT20000JUIL!M5+TONT20000AOUT!M5+TONT20000SEPT!M5+TONT20000OCT!M5+TONT20000NOV!N5</f>
        <v>0</v>
      </c>
      <c r="Y5" s="7">
        <f>TONT20000DEC2015!P5+TONT20000JANV!N5+TONT20000FEV!N5+TONT20000MARS!N5+TONT20000AVRIL!N5+TONT20000MAI!N5+TONT20000JUIN!N5+TONT20000JUIL!N5+TONT20000AOUT!N5+TONT20000SEPT!N5+TONT20000OCT!N5+TONT20000NOV!O5</f>
        <v>0</v>
      </c>
      <c r="Z5" s="7">
        <f>TONT20000DEC2015!Q5+TONT20000JANV!O5+TONT20000FEV!O5+TONT20000MARS!O5+TONT20000AVRIL!O5+TONT20000MAI!O5+TONT20000JUIN!O5+TONT20000JUIL!O5+TONT20000AOUT!O5+TONT20000SEPT!O5+TONT20000OCT!O5+TONT20000NOV!P5</f>
        <v>0</v>
      </c>
      <c r="AA5" s="7">
        <f>TONT20000DEC2015!R5+TONT20000JANV!P5+TONT20000FEV!P5+TONT20000MARS!P5+TONT20000AVRIL!P5+TONT20000MAI!P5+TONT20000JUIN!P5+TONT20000JUIL!P5+TONT20000AOUT!P5+TONT20000SEPT!P5+TONT20000OCT!P5+TONT20000NOV!Q5</f>
        <v>0</v>
      </c>
      <c r="AB5" s="7">
        <f>TONT20000DEC2015!S5+TONT20000JANV!Q5+TONT20000FEV!Q5+TONT20000MARS!Q5+TONT20000AVRIL!Q5+TONT20000MAI!Q5+TONT20000JUIN!Q5+TONT20000JUIL!Q5+TONT20000AOUT!Q5+TONT20000SEPT!Q5+TONT20000OCT!Q5+TONT20000NOV!R5</f>
        <v>0</v>
      </c>
      <c r="AC5" s="7">
        <f>TONT20000DEC2015!T5+TONT20000JANV!R5+TONT20000FEV!R5+TONT20000MARS!R5+TONT20000AVRIL!R5+TONT20000MAI!R5+TONT20000JUIN!R5+TONT20000JUIL!R5+TONT20000AOUT!R5+TONT20000SEPT!R5+TONT20000OCT!R5+TONT20000NOV!S5</f>
        <v>0</v>
      </c>
    </row>
    <row r="6" spans="1:30" x14ac:dyDescent="0.25">
      <c r="A6" s="1" t="s">
        <v>11</v>
      </c>
      <c r="B6" s="1" t="str">
        <f>VLOOKUP(A6,LISTADHERENT!A$5:H$52,2,0)</f>
        <v>BAKOP ACHILLE</v>
      </c>
      <c r="C6" s="6">
        <f>VLOOKUP(A6,FONDSDECAISSE!A$5:C$52,3,0)</f>
        <v>390000</v>
      </c>
      <c r="D6" s="6">
        <v>33536</v>
      </c>
      <c r="E6" s="6">
        <f t="shared" ref="E6:E52" si="2">K6-L6</f>
        <v>51993</v>
      </c>
      <c r="F6" s="6">
        <f t="shared" si="0"/>
        <v>453536</v>
      </c>
      <c r="G6" s="6">
        <f>INT(TONT20000DEC2015!E6+TONT20000JANV!C6+TONT20000FEV!C6+TONT20000MARS!C6+TONT20000AVRIL!C6+TONT20000MAI!C6+TONT20000JUIN!C6+TONT20000JUIL!C6+TONT20000AOUT!C6+TONT20000SEPT!C6+TONT20000OCT!C6+TONT20000NOV!C6)</f>
        <v>51457</v>
      </c>
      <c r="H6" s="6">
        <f>TONT20000NOV!E6</f>
        <v>504993.98315681884</v>
      </c>
      <c r="I6" s="6">
        <f>D6+G6+R6</f>
        <v>114993</v>
      </c>
      <c r="J6" s="6">
        <f t="shared" ref="J6:J52" si="3">M6+N6+O6+P6</f>
        <v>63000</v>
      </c>
      <c r="K6" s="6">
        <f t="shared" ref="K6:K52" si="4">I6-J6</f>
        <v>51993</v>
      </c>
      <c r="L6" s="6">
        <v>0</v>
      </c>
      <c r="M6" s="6">
        <v>30000</v>
      </c>
      <c r="N6" s="6"/>
      <c r="O6" s="6">
        <v>25000</v>
      </c>
      <c r="P6" s="6">
        <f>48000-(S6+T6+U6)</f>
        <v>8000</v>
      </c>
      <c r="Q6" s="7">
        <f>TONT20000DEC2015!H6+TONT20000JANV!F6+TONT20000FEV!F6+TONT20000MARS!F6+TONT20000AVRIL!F6+TONT20000MAI!F6+TONT20000JUIN!F6+TONT20000JUIL!F6+TONT20000AOUT!F6+TONT20000SEPT!F6+TONT20000OCT!F6+TONT20000NOV!G6</f>
        <v>225000</v>
      </c>
      <c r="R6" s="7">
        <f>TONT20000DEC2015!I6+TONT20000JANV!G6+TONT20000FEV!G6+TONT20000MARS!G6+TONT20000AVRIL!G6+TONT20000MAI!G6+TONT20000JUIN!G6+TONT20000JUIL!G6+TONT20000AOUT!G6+TONT20000SEPT!G6+TONT20000OCT!G6+TONT20000NOV!H6</f>
        <v>30000</v>
      </c>
      <c r="S6" s="7">
        <f>TONT20000DEC2015!J6+TONT20000JANV!H6+TONT20000FEV!H6+TONT20000MARS!H6+TONT20000AVRIL!H6+TONT20000MAI!H6+TONT20000JUIN!H6+TONT20000JUIL!H6+TONT20000AOUT!H6+TONT20000SEPT!H6+TONT20000OCT!H6+TONT20000NOV!I6</f>
        <v>5000</v>
      </c>
      <c r="T6" s="7">
        <f>TONT20000DEC2015!K6+TONT20000JANV!I6+TONT20000FEV!I6+TONT20000MARS!I6+TONT20000AVRIL!I6+TONT20000MAI!I6+TONT20000JUIN!I6+TONT20000JUIL!I6+TONT20000AOUT!I6+TONT20000SEPT!I6+TONT20000OCT!I6+TONT20000NOV!J6</f>
        <v>10000</v>
      </c>
      <c r="U6" s="7">
        <f>TONT20000DEC2015!L6+TONT20000JANV!J6+TONT20000FEV!J6+TONT20000MARS!J6+TONT20000AVRIL!J6+TONT20000MAI!J6+TONT20000JUIN!J6+TONT20000JUIL!J6+TONT20000AOUT!J6+TONT20000SEPT!J6+TONT20000OCT!J6+TONT20000NOV!K6</f>
        <v>25000</v>
      </c>
      <c r="V6" s="7">
        <f>TONT20000DEC2015!M6+TONT20000JANV!K6+TONT20000FEV!K6+TONT20000MARS!K6+TONT20000AVRIL!K6+TONT20000MAI!K6+TONT20000JUIN!K6+TONT20000JUIL!K6+TONT20000AOUT!K6+TONT20000SEPT!K6+TONT20000OCT!K6+TONT20000NOV!L6</f>
        <v>25000</v>
      </c>
      <c r="W6" s="7">
        <f>TONT20000DEC2015!N6+TONT20000JANV!L6+TONT20000FEV!L6+TONT20000MARS!L6+TONT20000AVRIL!L6+TONT20000MAI!L6+TONT20000JUIN!L6+TONT20000JUIL!L6+TONT20000AOUT!L6+TONT20000SEPT!L6+TONT20000OCT!L6+TONT20000NOV!M6</f>
        <v>130000</v>
      </c>
      <c r="X6" s="7">
        <f>TONT20000DEC2015!O6+TONT20000JANV!M6+TONT20000FEV!M6+TONT20000MARS!M6+TONT20000AVRIL!M6+TONT20000MAI!M6+TONT20000JUIN!M6+TONT20000JUIL!M6+TONT20000AOUT!M6+TONT20000SEPT!M6+TONT20000OCT!M6+TONT20000NOV!N6</f>
        <v>500000</v>
      </c>
      <c r="Y6" s="7">
        <f>TONT20000DEC2015!P6+TONT20000JANV!N6+TONT20000FEV!N6+TONT20000MARS!N6+TONT20000AVRIL!N6+TONT20000MAI!N6+TONT20000JUIN!N6+TONT20000JUIL!N6+TONT20000AOUT!N6+TONT20000SEPT!N6+TONT20000OCT!N6+TONT20000NOV!O6</f>
        <v>15000</v>
      </c>
      <c r="Z6" s="7">
        <f>TONT20000DEC2015!Q6+TONT20000JANV!O6+TONT20000FEV!O6+TONT20000MARS!O6+TONT20000AVRIL!O6+TONT20000MAI!O6+TONT20000JUIN!O6+TONT20000JUIL!O6+TONT20000AOUT!O6+TONT20000SEPT!O6+TONT20000OCT!O6+TONT20000NOV!P6</f>
        <v>0</v>
      </c>
      <c r="AA6" s="7">
        <f>TONT20000DEC2015!R6+TONT20000JANV!P6+TONT20000FEV!P6+TONT20000MARS!P6+TONT20000AVRIL!P6+TONT20000MAI!P6+TONT20000JUIN!P6+TONT20000JUIL!P6+TONT20000AOUT!P6+TONT20000SEPT!P6+TONT20000OCT!P6+TONT20000NOV!Q6</f>
        <v>0</v>
      </c>
      <c r="AB6" s="7">
        <f>TONT20000DEC2015!S6+TONT20000JANV!Q6+TONT20000FEV!Q6+TONT20000MARS!Q6+TONT20000AVRIL!Q6+TONT20000MAI!Q6+TONT20000JUIN!Q6+TONT20000JUIL!Q6+TONT20000AOUT!Q6+TONT20000SEPT!Q6+TONT20000OCT!Q6+TONT20000NOV!R6</f>
        <v>0</v>
      </c>
      <c r="AC6" s="7">
        <f>TONT20000DEC2015!T6+TONT20000JANV!R6+TONT20000FEV!R6+TONT20000MARS!R6+TONT20000AVRIL!R6+TONT20000MAI!R6+TONT20000JUIN!R6+TONT20000JUIL!R6+TONT20000AOUT!R6+TONT20000SEPT!R6+TONT20000OCT!R6+TONT20000NOV!S6</f>
        <v>0</v>
      </c>
    </row>
    <row r="7" spans="1:30" x14ac:dyDescent="0.25">
      <c r="A7" s="1" t="s">
        <v>12</v>
      </c>
      <c r="B7" s="1" t="str">
        <f>VLOOKUP(A7,LISTADHERENT!A$5:H$52,2,0)</f>
        <v>BOUTCHOUANG WILLIAM</v>
      </c>
      <c r="C7" s="6">
        <f>VLOOKUP(A7,FONDSDECAISSE!A$5:C$52,3,0)</f>
        <v>390000</v>
      </c>
      <c r="D7" s="6">
        <v>1704</v>
      </c>
      <c r="E7" s="6">
        <f t="shared" si="2"/>
        <v>2720</v>
      </c>
      <c r="F7" s="6">
        <f t="shared" si="0"/>
        <v>427704</v>
      </c>
      <c r="G7" s="6">
        <f>INT(TONT20000DEC2015!E7+TONT20000JANV!C7+TONT20000FEV!C7+TONT20000MARS!C7+TONT20000AVRIL!C7+TONT20000MAI!C7+TONT20000JUIN!C7+TONT20000JUIL!C7+TONT20000AOUT!C7+TONT20000SEPT!C7+TONT20000OCT!C7+TONT20000NOV!C7)</f>
        <v>48016</v>
      </c>
      <c r="H7" s="6">
        <f>TONT20000NOV!E7</f>
        <v>475720.56235860521</v>
      </c>
      <c r="I7" s="6">
        <f t="shared" si="1"/>
        <v>85720</v>
      </c>
      <c r="J7" s="6">
        <f t="shared" si="3"/>
        <v>80000</v>
      </c>
      <c r="K7" s="6">
        <f t="shared" si="4"/>
        <v>5720</v>
      </c>
      <c r="L7" s="6">
        <v>3000</v>
      </c>
      <c r="M7" s="6">
        <v>30000</v>
      </c>
      <c r="N7" s="6"/>
      <c r="O7" s="6">
        <v>50000</v>
      </c>
      <c r="P7" s="6">
        <f t="shared" ref="P7:P52" si="5">48000-(S7+T7+U7)</f>
        <v>0</v>
      </c>
      <c r="Q7" s="7">
        <f>TONT20000DEC2015!H7+TONT20000JANV!F7+TONT20000FEV!F7+TONT20000MARS!F7+TONT20000AVRIL!F7+TONT20000MAI!F7+TONT20000JUIN!F7+TONT20000JUIL!F7+TONT20000AOUT!F7+TONT20000SEPT!F7+TONT20000OCT!F7+TONT20000NOV!G7</f>
        <v>240000</v>
      </c>
      <c r="R7" s="7">
        <f>TONT20000DEC2015!I7+TONT20000JANV!G7+TONT20000FEV!G7+TONT20000MARS!G7+TONT20000AVRIL!G7+TONT20000MAI!G7+TONT20000JUIN!G7+TONT20000JUIL!G7+TONT20000AOUT!G7+TONT20000SEPT!G7+TONT20000OCT!G7+TONT20000NOV!H7</f>
        <v>36000</v>
      </c>
      <c r="S7" s="7">
        <f>TONT20000DEC2015!J7+TONT20000JANV!H7+TONT20000FEV!H7+TONT20000MARS!H7+TONT20000AVRIL!H7+TONT20000MAI!H7+TONT20000JUIN!H7+TONT20000JUIL!H7+TONT20000AOUT!H7+TONT20000SEPT!H7+TONT20000OCT!H7+TONT20000NOV!I7</f>
        <v>6000</v>
      </c>
      <c r="T7" s="7">
        <f>TONT20000DEC2015!K7+TONT20000JANV!I7+TONT20000FEV!I7+TONT20000MARS!I7+TONT20000AVRIL!I7+TONT20000MAI!I7+TONT20000JUIN!I7+TONT20000JUIL!I7+TONT20000AOUT!I7+TONT20000SEPT!I7+TONT20000OCT!I7+TONT20000NOV!J7</f>
        <v>12000</v>
      </c>
      <c r="U7" s="7">
        <f>TONT20000DEC2015!L7+TONT20000JANV!J7+TONT20000FEV!J7+TONT20000MARS!J7+TONT20000AVRIL!J7+TONT20000MAI!J7+TONT20000JUIN!J7+TONT20000JUIL!J7+TONT20000AOUT!J7+TONT20000SEPT!J7+TONT20000OCT!J7+TONT20000NOV!K7</f>
        <v>30000</v>
      </c>
      <c r="V7" s="7">
        <f>TONT20000DEC2015!M7+TONT20000JANV!K7+TONT20000FEV!K7+TONT20000MARS!K7+TONT20000AVRIL!K7+TONT20000MAI!K7+TONT20000JUIN!K7+TONT20000JUIL!K7+TONT20000AOUT!K7+TONT20000SEPT!K7+TONT20000OCT!K7+TONT20000NOV!L7</f>
        <v>0</v>
      </c>
      <c r="W7" s="7">
        <f>TONT20000DEC2015!N7+TONT20000JANV!L7+TONT20000FEV!L7+TONT20000MARS!L7+TONT20000AVRIL!L7+TONT20000MAI!L7+TONT20000JUIN!L7+TONT20000JUIL!L7+TONT20000AOUT!L7+TONT20000SEPT!L7+TONT20000OCT!L7+TONT20000NOV!M7</f>
        <v>156000</v>
      </c>
      <c r="X7" s="7">
        <f>TONT20000DEC2015!O7+TONT20000JANV!M7+TONT20000FEV!M7+TONT20000MARS!M7+TONT20000AVRIL!M7+TONT20000MAI!M7+TONT20000JUIN!M7+TONT20000JUIL!M7+TONT20000AOUT!M7+TONT20000SEPT!M7+TONT20000OCT!M7+TONT20000NOV!N7</f>
        <v>1700000</v>
      </c>
      <c r="Y7" s="7">
        <f>TONT20000DEC2015!P7+TONT20000JANV!N7+TONT20000FEV!N7+TONT20000MARS!N7+TONT20000AVRIL!N7+TONT20000MAI!N7+TONT20000JUIN!N7+TONT20000JUIL!N7+TONT20000AOUT!N7+TONT20000SEPT!N7+TONT20000OCT!N7+TONT20000NOV!O7</f>
        <v>124000</v>
      </c>
      <c r="Z7" s="7">
        <f>TONT20000DEC2015!Q7+TONT20000JANV!O7+TONT20000FEV!O7+TONT20000MARS!O7+TONT20000AVRIL!O7+TONT20000MAI!O7+TONT20000JUIN!O7+TONT20000JUIL!O7+TONT20000AOUT!O7+TONT20000SEPT!O7+TONT20000OCT!O7+TONT20000NOV!P7</f>
        <v>1000000</v>
      </c>
      <c r="AA7" s="7">
        <f>TONT20000DEC2015!R7+TONT20000JANV!P7+TONT20000FEV!P7+TONT20000MARS!P7+TONT20000AVRIL!P7+TONT20000MAI!P7+TONT20000JUIN!P7+TONT20000JUIL!P7+TONT20000AOUT!P7+TONT20000SEPT!P7+TONT20000OCT!P7+TONT20000NOV!Q7</f>
        <v>0</v>
      </c>
      <c r="AB7" s="7">
        <f>TONT20000DEC2015!S7+TONT20000JANV!Q7+TONT20000FEV!Q7+TONT20000MARS!Q7+TONT20000AVRIL!Q7+TONT20000MAI!Q7+TONT20000JUIN!Q7+TONT20000JUIL!Q7+TONT20000AOUT!Q7+TONT20000SEPT!Q7+TONT20000OCT!Q7+TONT20000NOV!R7</f>
        <v>0</v>
      </c>
      <c r="AC7" s="7">
        <f>TONT20000DEC2015!T7+TONT20000JANV!R7+TONT20000FEV!R7+TONT20000MARS!R7+TONT20000AVRIL!R7+TONT20000MAI!R7+TONT20000JUIN!R7+TONT20000JUIL!R7+TONT20000AOUT!R7+TONT20000SEPT!R7+TONT20000OCT!R7+TONT20000NOV!S7</f>
        <v>0</v>
      </c>
    </row>
    <row r="8" spans="1:30" x14ac:dyDescent="0.25">
      <c r="A8" s="1" t="s">
        <v>13</v>
      </c>
      <c r="B8" s="1" t="str">
        <f>VLOOKUP(A8,LISTADHERENT!A$5:H$52,2,0)</f>
        <v>CHINGUE FABRICE</v>
      </c>
      <c r="C8" s="6">
        <f>VLOOKUP(A8,FONDSDECAISSE!A$5:C$52,3,0)</f>
        <v>390000</v>
      </c>
      <c r="D8" s="6">
        <v>1842</v>
      </c>
      <c r="E8" s="6">
        <f t="shared" si="2"/>
        <v>5874</v>
      </c>
      <c r="F8" s="6">
        <f t="shared" si="0"/>
        <v>427842</v>
      </c>
      <c r="G8" s="6">
        <f>INT(TONT20000DEC2015!E8+TONT20000JANV!C8+TONT20000FEV!C8+TONT20000MARS!C8+TONT20000AVRIL!C8+TONT20000MAI!C8+TONT20000JUIN!C8+TONT20000JUIL!C8+TONT20000AOUT!C8+TONT20000SEPT!C8+TONT20000OCT!C8+TONT20000NOV!C8)</f>
        <v>48032</v>
      </c>
      <c r="H8" s="6">
        <f>TONT20000NOV!E8</f>
        <v>475874.59104714065</v>
      </c>
      <c r="I8" s="6">
        <f t="shared" si="1"/>
        <v>85874</v>
      </c>
      <c r="J8" s="6">
        <f t="shared" si="3"/>
        <v>80000</v>
      </c>
      <c r="K8" s="6">
        <f t="shared" si="4"/>
        <v>5874</v>
      </c>
      <c r="L8" s="6">
        <v>0</v>
      </c>
      <c r="M8" s="6">
        <v>30000</v>
      </c>
      <c r="N8" s="6"/>
      <c r="O8" s="6">
        <v>50000</v>
      </c>
      <c r="P8" s="6">
        <f t="shared" si="5"/>
        <v>0</v>
      </c>
      <c r="Q8" s="7">
        <f>TONT20000DEC2015!H8+TONT20000JANV!F8+TONT20000FEV!F8+TONT20000MARS!F8+TONT20000AVRIL!F8+TONT20000MAI!F8+TONT20000JUIN!F8+TONT20000JUIL!F8+TONT20000AOUT!F8+TONT20000SEPT!F8+TONT20000OCT!F8+TONT20000NOV!G8</f>
        <v>240000</v>
      </c>
      <c r="R8" s="7">
        <f>TONT20000DEC2015!I8+TONT20000JANV!G8+TONT20000FEV!G8+TONT20000MARS!G8+TONT20000AVRIL!G8+TONT20000MAI!G8+TONT20000JUIN!G8+TONT20000JUIL!G8+TONT20000AOUT!G8+TONT20000SEPT!G8+TONT20000OCT!G8+TONT20000NOV!H8</f>
        <v>36000</v>
      </c>
      <c r="S8" s="7">
        <f>TONT20000DEC2015!J8+TONT20000JANV!H8+TONT20000FEV!H8+TONT20000MARS!H8+TONT20000AVRIL!H8+TONT20000MAI!H8+TONT20000JUIN!H8+TONT20000JUIL!H8+TONT20000AOUT!H8+TONT20000SEPT!H8+TONT20000OCT!H8+TONT20000NOV!I8</f>
        <v>6000</v>
      </c>
      <c r="T8" s="7">
        <f>TONT20000DEC2015!K8+TONT20000JANV!I8+TONT20000FEV!I8+TONT20000MARS!I8+TONT20000AVRIL!I8+TONT20000MAI!I8+TONT20000JUIN!I8+TONT20000JUIL!I8+TONT20000AOUT!I8+TONT20000SEPT!I8+TONT20000OCT!I8+TONT20000NOV!J8</f>
        <v>12000</v>
      </c>
      <c r="U8" s="7">
        <f>TONT20000DEC2015!L8+TONT20000JANV!J8+TONT20000FEV!J8+TONT20000MARS!J8+TONT20000AVRIL!J8+TONT20000MAI!J8+TONT20000JUIN!J8+TONT20000JUIL!J8+TONT20000AOUT!J8+TONT20000SEPT!J8+TONT20000OCT!J8+TONT20000NOV!K8</f>
        <v>30000</v>
      </c>
      <c r="V8" s="7">
        <f>TONT20000DEC2015!M8+TONT20000JANV!K8+TONT20000FEV!K8+TONT20000MARS!K8+TONT20000AVRIL!K8+TONT20000MAI!K8+TONT20000JUIN!K8+TONT20000JUIL!K8+TONT20000AOUT!K8+TONT20000SEPT!K8+TONT20000OCT!K8+TONT20000NOV!L8</f>
        <v>0</v>
      </c>
      <c r="W8" s="7">
        <f>TONT20000DEC2015!N8+TONT20000JANV!L8+TONT20000FEV!L8+TONT20000MARS!L8+TONT20000AVRIL!L8+TONT20000MAI!L8+TONT20000JUIN!L8+TONT20000JUIL!L8+TONT20000AOUT!L8+TONT20000SEPT!L8+TONT20000OCT!L8+TONT20000NOV!M8</f>
        <v>156000</v>
      </c>
      <c r="X8" s="7">
        <f>TONT20000DEC2015!O8+TONT20000JANV!M8+TONT20000FEV!M8+TONT20000MARS!M8+TONT20000AVRIL!M8+TONT20000MAI!M8+TONT20000JUIN!M8+TONT20000JUIL!M8+TONT20000AOUT!M8+TONT20000SEPT!M8+TONT20000OCT!M8+TONT20000NOV!N8</f>
        <v>2000000</v>
      </c>
      <c r="Y8" s="7">
        <f>TONT20000DEC2015!P8+TONT20000JANV!N8+TONT20000FEV!N8+TONT20000MARS!N8+TONT20000AVRIL!N8+TONT20000MAI!N8+TONT20000JUIN!N8+TONT20000JUIL!N8+TONT20000AOUT!N8+TONT20000SEPT!N8+TONT20000OCT!N8+TONT20000NOV!O8</f>
        <v>180000</v>
      </c>
      <c r="Z8" s="7">
        <f>TONT20000DEC2015!Q8+TONT20000JANV!O8+TONT20000FEV!O8+TONT20000MARS!O8+TONT20000AVRIL!O8+TONT20000MAI!O8+TONT20000JUIN!O8+TONT20000JUIL!O8+TONT20000AOUT!O8+TONT20000SEPT!O8+TONT20000OCT!O8+TONT20000NOV!P8</f>
        <v>1000000</v>
      </c>
      <c r="AA8" s="7">
        <f>TONT20000DEC2015!R8+TONT20000JANV!P8+TONT20000FEV!P8+TONT20000MARS!P8+TONT20000AVRIL!P8+TONT20000MAI!P8+TONT20000JUIN!P8+TONT20000JUIL!P8+TONT20000AOUT!P8+TONT20000SEPT!P8+TONT20000OCT!P8+TONT20000NOV!Q8</f>
        <v>0</v>
      </c>
      <c r="AB8" s="7">
        <f>TONT20000DEC2015!S8+TONT20000JANV!Q8+TONT20000FEV!Q8+TONT20000MARS!Q8+TONT20000AVRIL!Q8+TONT20000MAI!Q8+TONT20000JUIN!Q8+TONT20000JUIL!Q8+TONT20000AOUT!Q8+TONT20000SEPT!Q8+TONT20000OCT!Q8+TONT20000NOV!R8</f>
        <v>0</v>
      </c>
      <c r="AC8" s="7">
        <f>TONT20000DEC2015!T8+TONT20000JANV!R8+TONT20000FEV!R8+TONT20000MARS!R8+TONT20000AVRIL!R8+TONT20000MAI!R8+TONT20000JUIN!R8+TONT20000JUIL!R8+TONT20000AOUT!R8+TONT20000SEPT!R8+TONT20000OCT!R8+TONT20000NOV!S8</f>
        <v>0</v>
      </c>
    </row>
    <row r="9" spans="1:30" x14ac:dyDescent="0.25">
      <c r="A9" s="1" t="s">
        <v>14</v>
      </c>
      <c r="B9" s="1" t="str">
        <f>VLOOKUP(A9,LISTADHERENT!A$5:H$52,2,0)</f>
        <v xml:space="preserve">DJOMO JEAN PAUL </v>
      </c>
      <c r="C9" s="6">
        <f>VLOOKUP(A9,FONDSDECAISSE!A$5:C$52,3,0)</f>
        <v>390000</v>
      </c>
      <c r="D9" s="6">
        <v>8156</v>
      </c>
      <c r="E9" s="6">
        <f t="shared" si="2"/>
        <v>2570</v>
      </c>
      <c r="F9" s="6">
        <f t="shared" si="0"/>
        <v>441156</v>
      </c>
      <c r="G9" s="6">
        <f>INT(TONT20000DEC2015!E9+TONT20000JANV!C9+TONT20000FEV!C9+TONT20000MARS!C9+TONT20000AVRIL!C9+TONT20000MAI!C9+TONT20000JUIN!C9+TONT20000JUIL!C9+TONT20000AOUT!C9+TONT20000SEPT!C9+TONT20000OCT!C9+TONT20000NOV!C9)</f>
        <v>48914</v>
      </c>
      <c r="H9" s="6">
        <f>TONT20000NOV!E9</f>
        <v>490070.35585907887</v>
      </c>
      <c r="I9" s="6">
        <f t="shared" si="1"/>
        <v>100070</v>
      </c>
      <c r="J9" s="6">
        <f t="shared" si="3"/>
        <v>80000</v>
      </c>
      <c r="K9" s="6">
        <f t="shared" si="4"/>
        <v>20070</v>
      </c>
      <c r="L9" s="6">
        <v>17500</v>
      </c>
      <c r="M9" s="6">
        <v>30000</v>
      </c>
      <c r="N9" s="6"/>
      <c r="O9" s="6">
        <v>50000</v>
      </c>
      <c r="P9" s="6">
        <f t="shared" si="5"/>
        <v>0</v>
      </c>
      <c r="Q9" s="7">
        <f>TONT20000DEC2015!H9+TONT20000JANV!F9+TONT20000FEV!F9+TONT20000MARS!F9+TONT20000AVRIL!F9+TONT20000MAI!F9+TONT20000JUIN!F9+TONT20000JUIL!F9+TONT20000AOUT!F9+TONT20000SEPT!F9+TONT20000OCT!F9+TONT20000NOV!G9</f>
        <v>247000</v>
      </c>
      <c r="R9" s="7">
        <f>TONT20000DEC2015!I9+TONT20000JANV!G9+TONT20000FEV!G9+TONT20000MARS!G9+TONT20000AVRIL!G9+TONT20000MAI!G9+TONT20000JUIN!G9+TONT20000JUIL!G9+TONT20000AOUT!G9+TONT20000SEPT!G9+TONT20000OCT!G9+TONT20000NOV!H9</f>
        <v>43000</v>
      </c>
      <c r="S9" s="7">
        <f>TONT20000DEC2015!J9+TONT20000JANV!H9+TONT20000FEV!H9+TONT20000MARS!H9+TONT20000AVRIL!H9+TONT20000MAI!H9+TONT20000JUIN!H9+TONT20000JUIL!H9+TONT20000AOUT!H9+TONT20000SEPT!H9+TONT20000OCT!H9+TONT20000NOV!I9</f>
        <v>6000</v>
      </c>
      <c r="T9" s="7">
        <f>TONT20000DEC2015!K9+TONT20000JANV!I9+TONT20000FEV!I9+TONT20000MARS!I9+TONT20000AVRIL!I9+TONT20000MAI!I9+TONT20000JUIN!I9+TONT20000JUIL!I9+TONT20000AOUT!I9+TONT20000SEPT!I9+TONT20000OCT!I9+TONT20000NOV!J9</f>
        <v>12000</v>
      </c>
      <c r="U9" s="7">
        <f>TONT20000DEC2015!L9+TONT20000JANV!J9+TONT20000FEV!J9+TONT20000MARS!J9+TONT20000AVRIL!J9+TONT20000MAI!J9+TONT20000JUIN!J9+TONT20000JUIL!J9+TONT20000AOUT!J9+TONT20000SEPT!J9+TONT20000OCT!J9+TONT20000NOV!K9</f>
        <v>30000</v>
      </c>
      <c r="V9" s="7">
        <f>TONT20000DEC2015!M9+TONT20000JANV!K9+TONT20000FEV!K9+TONT20000MARS!K9+TONT20000AVRIL!K9+TONT20000MAI!K9+TONT20000JUIN!K9+TONT20000JUIL!K9+TONT20000AOUT!K9+TONT20000SEPT!K9+TONT20000OCT!K9+TONT20000NOV!L9</f>
        <v>0</v>
      </c>
      <c r="W9" s="7">
        <f>TONT20000DEC2015!N9+TONT20000JANV!L9+TONT20000FEV!L9+TONT20000MARS!L9+TONT20000AVRIL!L9+TONT20000MAI!L9+TONT20000JUIN!L9+TONT20000JUIL!L9+TONT20000AOUT!L9+TONT20000SEPT!L9+TONT20000OCT!L9+TONT20000NOV!M9</f>
        <v>156000</v>
      </c>
      <c r="X9" s="7">
        <f>TONT20000DEC2015!O9+TONT20000JANV!M9+TONT20000FEV!M9+TONT20000MARS!M9+TONT20000AVRIL!M9+TONT20000MAI!M9+TONT20000JUIN!M9+TONT20000JUIL!M9+TONT20000AOUT!M9+TONT20000SEPT!M9+TONT20000OCT!M9+TONT20000NOV!N9</f>
        <v>200000</v>
      </c>
      <c r="Y9" s="7">
        <f>TONT20000DEC2015!P9+TONT20000JANV!N9+TONT20000FEV!N9+TONT20000MARS!N9+TONT20000AVRIL!N9+TONT20000MAI!N9+TONT20000JUIN!N9+TONT20000JUIL!N9+TONT20000AOUT!N9+TONT20000SEPT!N9+TONT20000OCT!N9+TONT20000NOV!O9</f>
        <v>6000</v>
      </c>
      <c r="Z9" s="7">
        <f>TONT20000DEC2015!Q9+TONT20000JANV!O9+TONT20000FEV!O9+TONT20000MARS!O9+TONT20000AVRIL!O9+TONT20000MAI!O9+TONT20000JUIN!O9+TONT20000JUIL!O9+TONT20000AOUT!O9+TONT20000SEPT!O9+TONT20000OCT!O9+TONT20000NOV!P9</f>
        <v>0</v>
      </c>
      <c r="AA9" s="7">
        <f>TONT20000DEC2015!R9+TONT20000JANV!P9+TONT20000FEV!P9+TONT20000MARS!P9+TONT20000AVRIL!P9+TONT20000MAI!P9+TONT20000JUIN!P9+TONT20000JUIL!P9+TONT20000AOUT!P9+TONT20000SEPT!P9+TONT20000OCT!P9+TONT20000NOV!Q9</f>
        <v>0</v>
      </c>
      <c r="AB9" s="7">
        <f>TONT20000DEC2015!S9+TONT20000JANV!Q9+TONT20000FEV!Q9+TONT20000MARS!Q9+TONT20000AVRIL!Q9+TONT20000MAI!Q9+TONT20000JUIN!Q9+TONT20000JUIL!Q9+TONT20000AOUT!Q9+TONT20000SEPT!Q9+TONT20000OCT!Q9+TONT20000NOV!R9</f>
        <v>0</v>
      </c>
      <c r="AC9" s="7">
        <f>TONT20000DEC2015!T9+TONT20000JANV!R9+TONT20000FEV!R9+TONT20000MARS!R9+TONT20000AVRIL!R9+TONT20000MAI!R9+TONT20000JUIN!R9+TONT20000JUIL!R9+TONT20000AOUT!R9+TONT20000SEPT!R9+TONT20000OCT!R9+TONT20000NOV!S9</f>
        <v>0</v>
      </c>
    </row>
    <row r="10" spans="1:30" x14ac:dyDescent="0.25">
      <c r="A10" s="1" t="s">
        <v>15</v>
      </c>
      <c r="B10" s="1" t="str">
        <f>VLOOKUP(A10,LISTADHERENT!A$5:H$52,2,0)</f>
        <v>DJOUKWE GUY</v>
      </c>
      <c r="C10" s="6">
        <f>VLOOKUP(A10,FONDSDECAISSE!A$5:C$52,3,0)</f>
        <v>390000</v>
      </c>
      <c r="D10" s="6">
        <v>5905</v>
      </c>
      <c r="E10" s="6">
        <f t="shared" si="2"/>
        <v>2697</v>
      </c>
      <c r="F10" s="6">
        <f t="shared" si="0"/>
        <v>471905</v>
      </c>
      <c r="G10" s="6">
        <f>INT(TONT20000DEC2015!E10+TONT20000JANV!C10+TONT20000FEV!C10+TONT20000MARS!C10+TONT20000AVRIL!C10+TONT20000MAI!C10+TONT20000JUIN!C10+TONT20000JUIL!C10+TONT20000AOUT!C10+TONT20000SEPT!C10+TONT20000OCT!C10+TONT20000NOV!C10)</f>
        <v>51792</v>
      </c>
      <c r="H10" s="6">
        <f>TONT20000NOV!E10</f>
        <v>523697.04973564367</v>
      </c>
      <c r="I10" s="6">
        <f t="shared" si="1"/>
        <v>133697</v>
      </c>
      <c r="J10" s="6">
        <f t="shared" si="3"/>
        <v>80000</v>
      </c>
      <c r="K10" s="6">
        <f t="shared" si="4"/>
        <v>53697</v>
      </c>
      <c r="L10" s="6">
        <v>51000</v>
      </c>
      <c r="M10" s="6">
        <v>30000</v>
      </c>
      <c r="N10" s="6"/>
      <c r="O10" s="6">
        <v>50000</v>
      </c>
      <c r="P10" s="6">
        <f t="shared" si="5"/>
        <v>0</v>
      </c>
      <c r="Q10" s="7">
        <f>TONT20000DEC2015!H10+TONT20000JANV!F10+TONT20000FEV!F10+TONT20000MARS!F10+TONT20000AVRIL!F10+TONT20000MAI!F10+TONT20000JUIN!F10+TONT20000JUIL!F10+TONT20000AOUT!F10+TONT20000SEPT!F10+TONT20000OCT!F10+TONT20000NOV!G10</f>
        <v>280000</v>
      </c>
      <c r="R10" s="7">
        <f>TONT20000DEC2015!I10+TONT20000JANV!G10+TONT20000FEV!G10+TONT20000MARS!G10+TONT20000AVRIL!G10+TONT20000MAI!G10+TONT20000JUIN!G10+TONT20000JUIL!G10+TONT20000AOUT!G10+TONT20000SEPT!G10+TONT20000OCT!G10+TONT20000NOV!H10</f>
        <v>76000</v>
      </c>
      <c r="S10" s="7">
        <f>TONT20000DEC2015!J10+TONT20000JANV!H10+TONT20000FEV!H10+TONT20000MARS!H10+TONT20000AVRIL!H10+TONT20000MAI!H10+TONT20000JUIN!H10+TONT20000JUIL!H10+TONT20000AOUT!H10+TONT20000SEPT!H10+TONT20000OCT!H10+TONT20000NOV!I10</f>
        <v>6000</v>
      </c>
      <c r="T10" s="7">
        <f>TONT20000DEC2015!K10+TONT20000JANV!I10+TONT20000FEV!I10+TONT20000MARS!I10+TONT20000AVRIL!I10+TONT20000MAI!I10+TONT20000JUIN!I10+TONT20000JUIL!I10+TONT20000AOUT!I10+TONT20000SEPT!I10+TONT20000OCT!I10+TONT20000NOV!J10</f>
        <v>12000</v>
      </c>
      <c r="U10" s="7">
        <f>TONT20000DEC2015!L10+TONT20000JANV!J10+TONT20000FEV!J10+TONT20000MARS!J10+TONT20000AVRIL!J10+TONT20000MAI!J10+TONT20000JUIN!J10+TONT20000JUIL!J10+TONT20000AOUT!J10+TONT20000SEPT!J10+TONT20000OCT!J10+TONT20000NOV!K10</f>
        <v>30000</v>
      </c>
      <c r="V10" s="7">
        <f>TONT20000DEC2015!M10+TONT20000JANV!K10+TONT20000FEV!K10+TONT20000MARS!K10+TONT20000AVRIL!K10+TONT20000MAI!K10+TONT20000JUIN!K10+TONT20000JUIL!K10+TONT20000AOUT!K10+TONT20000SEPT!K10+TONT20000OCT!K10+TONT20000NOV!L10</f>
        <v>0</v>
      </c>
      <c r="W10" s="7">
        <f>TONT20000DEC2015!N10+TONT20000JANV!L10+TONT20000FEV!L10+TONT20000MARS!L10+TONT20000AVRIL!L10+TONT20000MAI!L10+TONT20000JUIN!L10+TONT20000JUIL!L10+TONT20000AOUT!L10+TONT20000SEPT!L10+TONT20000OCT!L10+TONT20000NOV!M10</f>
        <v>156000</v>
      </c>
      <c r="X10" s="7">
        <f>TONT20000DEC2015!O10+TONT20000JANV!M10+TONT20000FEV!M10+TONT20000MARS!M10+TONT20000AVRIL!M10+TONT20000MAI!M10+TONT20000JUIN!M10+TONT20000JUIL!M10+TONT20000AOUT!M10+TONT20000SEPT!M10+TONT20000OCT!M10+TONT20000NOV!N10</f>
        <v>250000</v>
      </c>
      <c r="Y10" s="7">
        <f>TONT20000DEC2015!P10+TONT20000JANV!N10+TONT20000FEV!N10+TONT20000MARS!N10+TONT20000AVRIL!N10+TONT20000MAI!N10+TONT20000JUIN!N10+TONT20000JUIL!N10+TONT20000AOUT!N10+TONT20000SEPT!N10+TONT20000OCT!N10+TONT20000NOV!O10</f>
        <v>7500</v>
      </c>
      <c r="Z10" s="7">
        <f>TONT20000DEC2015!Q10+TONT20000JANV!O10+TONT20000FEV!O10+TONT20000MARS!O10+TONT20000AVRIL!O10+TONT20000MAI!O10+TONT20000JUIN!O10+TONT20000JUIL!O10+TONT20000AOUT!O10+TONT20000SEPT!O10+TONT20000OCT!O10+TONT20000NOV!P10</f>
        <v>0</v>
      </c>
      <c r="AA10" s="7">
        <f>TONT20000DEC2015!R10+TONT20000JANV!P10+TONT20000FEV!P10+TONT20000MARS!P10+TONT20000AVRIL!P10+TONT20000MAI!P10+TONT20000JUIN!P10+TONT20000JUIL!P10+TONT20000AOUT!P10+TONT20000SEPT!P10+TONT20000OCT!P10+TONT20000NOV!Q10</f>
        <v>0</v>
      </c>
      <c r="AB10" s="7">
        <f>TONT20000DEC2015!S10+TONT20000JANV!Q10+TONT20000FEV!Q10+TONT20000MARS!Q10+TONT20000AVRIL!Q10+TONT20000MAI!Q10+TONT20000JUIN!Q10+TONT20000JUIL!Q10+TONT20000AOUT!Q10+TONT20000SEPT!Q10+TONT20000OCT!Q10+TONT20000NOV!R10</f>
        <v>0</v>
      </c>
      <c r="AC10" s="7">
        <f>TONT20000DEC2015!T10+TONT20000JANV!R10+TONT20000FEV!R10+TONT20000MARS!R10+TONT20000AVRIL!R10+TONT20000MAI!R10+TONT20000JUIN!R10+TONT20000JUIL!R10+TONT20000AOUT!R10+TONT20000SEPT!R10+TONT20000OCT!R10+TONT20000NOV!S10</f>
        <v>0</v>
      </c>
    </row>
    <row r="11" spans="1:30" s="21" customFormat="1" x14ac:dyDescent="0.25">
      <c r="A11" s="19" t="s">
        <v>16</v>
      </c>
      <c r="B11" s="19" t="str">
        <f>VLOOKUP(A11,LISTADHERENT!A$5:H$52,2,0)</f>
        <v>DJOSSEU JOSUE</v>
      </c>
      <c r="C11" s="33"/>
      <c r="D11" s="33"/>
      <c r="E11" s="6">
        <f t="shared" si="2"/>
        <v>0</v>
      </c>
      <c r="F11" s="33"/>
      <c r="G11" s="6"/>
      <c r="H11" s="33"/>
      <c r="I11" s="33"/>
      <c r="J11" s="33"/>
      <c r="K11" s="33"/>
      <c r="L11" s="33"/>
      <c r="M11" s="33"/>
      <c r="N11" s="33"/>
      <c r="O11" s="33"/>
      <c r="P11" s="33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</row>
    <row r="12" spans="1:30" x14ac:dyDescent="0.25">
      <c r="A12" s="1" t="s">
        <v>17</v>
      </c>
      <c r="B12" s="1" t="str">
        <f>VLOOKUP(A12,LISTADHERENT!A$5:H$52,2,0)</f>
        <v>DJOUNKEP SAMUEL</v>
      </c>
      <c r="C12" s="6">
        <f>VLOOKUP(A12,FONDSDECAISSE!A$5:C$52,3,0)</f>
        <v>390000</v>
      </c>
      <c r="D12" s="6">
        <v>1055294</v>
      </c>
      <c r="E12" s="6">
        <f t="shared" si="2"/>
        <v>635540</v>
      </c>
      <c r="F12" s="6">
        <f t="shared" si="0"/>
        <v>2001294</v>
      </c>
      <c r="G12" s="6">
        <f>INT(TONT20000DEC2015!E12+TONT20000JANV!C12+TONT20000FEV!C12+TONT20000MARS!C12+TONT20000AVRIL!C12+TONT20000MAI!C12+TONT20000JUIN!C12+TONT20000JUIL!C12+TONT20000AOUT!C12+TONT20000SEPT!C12+TONT20000OCT!C12+TONT20000NOV!C12)</f>
        <v>204246</v>
      </c>
      <c r="H12" s="6">
        <f>TONT20000NOV!E12</f>
        <v>2135835.732900281</v>
      </c>
      <c r="I12" s="6">
        <f t="shared" si="1"/>
        <v>1815540</v>
      </c>
      <c r="J12" s="6">
        <f t="shared" si="3"/>
        <v>80000</v>
      </c>
      <c r="K12" s="6">
        <f t="shared" si="4"/>
        <v>1735540</v>
      </c>
      <c r="L12" s="6">
        <v>1100000</v>
      </c>
      <c r="M12" s="6">
        <v>30000</v>
      </c>
      <c r="N12" s="6"/>
      <c r="O12" s="6">
        <v>50000</v>
      </c>
      <c r="P12" s="6">
        <f t="shared" si="5"/>
        <v>0</v>
      </c>
      <c r="Q12" s="7">
        <f>TONT20000DEC2015!H12+TONT20000JANV!F12+TONT20000FEV!F12+TONT20000MARS!F12+TONT20000AVRIL!F12+TONT20000MAI!F12+TONT20000JUIN!F12+TONT20000JUIL!F12+TONT20000AOUT!F12+TONT20000SEPT!F12+TONT20000OCT!F12+TONT20000NOV!G12</f>
        <v>760000</v>
      </c>
      <c r="R12" s="7">
        <f>TONT20000DEC2015!I12+TONT20000JANV!G12+TONT20000FEV!G12+TONT20000MARS!G12+TONT20000AVRIL!G12+TONT20000MAI!G12+TONT20000JUIN!G12+TONT20000JUIL!G12+TONT20000AOUT!G12+TONT20000SEPT!G12+TONT20000OCT!G12+TONT20000NOV!H12</f>
        <v>556000</v>
      </c>
      <c r="S12" s="7">
        <f>TONT20000DEC2015!J12+TONT20000JANV!H12+TONT20000FEV!H12+TONT20000MARS!H12+TONT20000AVRIL!H12+TONT20000MAI!H12+TONT20000JUIN!H12+TONT20000JUIL!H12+TONT20000AOUT!H12+TONT20000SEPT!H12+TONT20000OCT!H12+TONT20000NOV!I12</f>
        <v>6000</v>
      </c>
      <c r="T12" s="7">
        <f>TONT20000DEC2015!K12+TONT20000JANV!I12+TONT20000FEV!I12+TONT20000MARS!I12+TONT20000AVRIL!I12+TONT20000MAI!I12+TONT20000JUIN!I12+TONT20000JUIL!I12+TONT20000AOUT!I12+TONT20000SEPT!I12+TONT20000OCT!I12+TONT20000NOV!J12</f>
        <v>12000</v>
      </c>
      <c r="U12" s="7">
        <f>TONT20000DEC2015!L12+TONT20000JANV!J12+TONT20000FEV!J12+TONT20000MARS!J12+TONT20000AVRIL!J12+TONT20000MAI!J12+TONT20000JUIN!J12+TONT20000JUIL!J12+TONT20000AOUT!J12+TONT20000SEPT!J12+TONT20000OCT!J12+TONT20000NOV!K12</f>
        <v>30000</v>
      </c>
      <c r="V12" s="7">
        <f>TONT20000DEC2015!M12+TONT20000JANV!K12+TONT20000FEV!K12+TONT20000MARS!K12+TONT20000AVRIL!K12+TONT20000MAI!K12+TONT20000JUIN!K12+TONT20000JUIL!K12+TONT20000AOUT!K12+TONT20000SEPT!K12+TONT20000OCT!K12+TONT20000NOV!L12</f>
        <v>0</v>
      </c>
      <c r="W12" s="7">
        <f>TONT20000DEC2015!N12+TONT20000JANV!L12+TONT20000FEV!L12+TONT20000MARS!L12+TONT20000AVRIL!L12+TONT20000MAI!L12+TONT20000JUIN!L12+TONT20000JUIL!L12+TONT20000AOUT!L12+TONT20000SEPT!L12+TONT20000OCT!L12+TONT20000NOV!M12</f>
        <v>156000</v>
      </c>
      <c r="X12" s="7">
        <f>TONT20000DEC2015!O12+TONT20000JANV!M12+TONT20000FEV!M12+TONT20000MARS!M12+TONT20000AVRIL!M12+TONT20000MAI!M12+TONT20000JUIN!M12+TONT20000JUIL!M12+TONT20000AOUT!M12+TONT20000SEPT!M12+TONT20000OCT!M12+TONT20000NOV!N12</f>
        <v>0</v>
      </c>
      <c r="Y12" s="7">
        <f>TONT20000DEC2015!P12+TONT20000JANV!N12+TONT20000FEV!N12+TONT20000MARS!N12+TONT20000AVRIL!N12+TONT20000MAI!N12+TONT20000JUIN!N12+TONT20000JUIL!N12+TONT20000AOUT!N12+TONT20000SEPT!N12+TONT20000OCT!N12+TONT20000NOV!O12</f>
        <v>0</v>
      </c>
      <c r="Z12" s="7">
        <f>TONT20000DEC2015!Q12+TONT20000JANV!O12+TONT20000FEV!O12+TONT20000MARS!O12+TONT20000AVRIL!O12+TONT20000MAI!O12+TONT20000JUIN!O12+TONT20000JUIL!O12+TONT20000AOUT!O12+TONT20000SEPT!O12+TONT20000OCT!O12+TONT20000NOV!P12</f>
        <v>0</v>
      </c>
      <c r="AA12" s="7">
        <f>TONT20000DEC2015!R12+TONT20000JANV!P12+TONT20000FEV!P12+TONT20000MARS!P12+TONT20000AVRIL!P12+TONT20000MAI!P12+TONT20000JUIN!P12+TONT20000JUIL!P12+TONT20000AOUT!P12+TONT20000SEPT!P12+TONT20000OCT!P12+TONT20000NOV!Q12</f>
        <v>0</v>
      </c>
      <c r="AB12" s="7">
        <f>TONT20000DEC2015!S12+TONT20000JANV!Q12+TONT20000FEV!Q12+TONT20000MARS!Q12+TONT20000AVRIL!Q12+TONT20000MAI!Q12+TONT20000JUIN!Q12+TONT20000JUIL!Q12+TONT20000AOUT!Q12+TONT20000SEPT!Q12+TONT20000OCT!Q12+TONT20000NOV!R12</f>
        <v>0</v>
      </c>
      <c r="AC12" s="7">
        <f>TONT20000DEC2015!T12+TONT20000JANV!R12+TONT20000FEV!R12+TONT20000MARS!R12+TONT20000AVRIL!R12+TONT20000MAI!R12+TONT20000JUIN!R12+TONT20000JUIL!R12+TONT20000AOUT!R12+TONT20000SEPT!R12+TONT20000OCT!R12+TONT20000NOV!S12</f>
        <v>0</v>
      </c>
    </row>
    <row r="13" spans="1:30" x14ac:dyDescent="0.25">
      <c r="A13" s="1" t="s">
        <v>18</v>
      </c>
      <c r="B13" s="1" t="str">
        <f>VLOOKUP(A13,LISTADHERENT!A$5:H$52,2,0)</f>
        <v>DJUOMBESSY ANTOINE</v>
      </c>
      <c r="C13" s="6">
        <v>390000</v>
      </c>
      <c r="D13" s="6">
        <v>0</v>
      </c>
      <c r="E13" s="6">
        <f t="shared" si="2"/>
        <v>2746</v>
      </c>
      <c r="F13" s="6">
        <f t="shared" si="0"/>
        <v>457560</v>
      </c>
      <c r="G13" s="6">
        <f>INT(TONT20000DEC2015!E13+TONT20000JANV!C13+TONT20000FEV!C13+TONT20000MARS!C13+TONT20000AVRIL!C13+TONT20000MAI!C13+TONT20000JUIN!C13+TONT20000JUIL!C13+TONT20000AOUT!C13+TONT20000SEPT!C13+TONT20000OCT!C13+TONT20000NOV!C13)</f>
        <v>43186</v>
      </c>
      <c r="H13" s="6">
        <f>TONT20000NOV!E13</f>
        <v>500746.2480208117</v>
      </c>
      <c r="I13" s="6">
        <f t="shared" si="1"/>
        <v>110746</v>
      </c>
      <c r="J13" s="6">
        <f t="shared" si="3"/>
        <v>80000</v>
      </c>
      <c r="K13" s="6">
        <f t="shared" si="4"/>
        <v>30746</v>
      </c>
      <c r="L13" s="6">
        <v>28000</v>
      </c>
      <c r="M13" s="6">
        <v>30000</v>
      </c>
      <c r="N13" s="6"/>
      <c r="O13" s="6">
        <v>50000</v>
      </c>
      <c r="P13" s="6">
        <f t="shared" si="5"/>
        <v>0</v>
      </c>
      <c r="Q13" s="7">
        <f>TONT20000DEC2015!H13+TONT20000JANV!F13+TONT20000FEV!F13+TONT20000MARS!F13+TONT20000AVRIL!F13+TONT20000MAI!F13+TONT20000JUIN!F13+TONT20000JUIL!F13+TONT20000AOUT!F13+TONT20000SEPT!F13+TONT20000OCT!F13+TONT20000NOV!G13</f>
        <v>271560</v>
      </c>
      <c r="R13" s="7">
        <f>TONT20000DEC2015!I13+TONT20000JANV!G13+TONT20000FEV!G13+TONT20000MARS!G13+TONT20000AVRIL!G13+TONT20000MAI!G13+TONT20000JUIN!G13+TONT20000JUIL!G13+TONT20000AOUT!G13+TONT20000SEPT!G13+TONT20000OCT!G13+TONT20000NOV!H13</f>
        <v>67560</v>
      </c>
      <c r="S13" s="7">
        <f>TONT20000DEC2015!J13+TONT20000JANV!H13+TONT20000FEV!H13+TONT20000MARS!H13+TONT20000AVRIL!H13+TONT20000MAI!H13+TONT20000JUIN!H13+TONT20000JUIL!H13+TONT20000AOUT!H13+TONT20000SEPT!H13+TONT20000OCT!H13+TONT20000NOV!I13</f>
        <v>6000</v>
      </c>
      <c r="T13" s="7">
        <f>TONT20000DEC2015!K13+TONT20000JANV!I13+TONT20000FEV!I13+TONT20000MARS!I13+TONT20000AVRIL!I13+TONT20000MAI!I13+TONT20000JUIN!I13+TONT20000JUIL!I13+TONT20000AOUT!I13+TONT20000SEPT!I13+TONT20000OCT!I13+TONT20000NOV!J13</f>
        <v>12000</v>
      </c>
      <c r="U13" s="7">
        <f>TONT20000DEC2015!L13+TONT20000JANV!J13+TONT20000FEV!J13+TONT20000MARS!J13+TONT20000AVRIL!J13+TONT20000MAI!J13+TONT20000JUIN!J13+TONT20000JUIL!J13+TONT20000AOUT!J13+TONT20000SEPT!J13+TONT20000OCT!J13+TONT20000NOV!K13</f>
        <v>30000</v>
      </c>
      <c r="V13" s="7">
        <f>TONT20000DEC2015!M13+TONT20000JANV!K13+TONT20000FEV!K13+TONT20000MARS!K13+TONT20000AVRIL!K13+TONT20000MAI!K13+TONT20000JUIN!K13+TONT20000JUIL!K13+TONT20000AOUT!K13+TONT20000SEPT!K13+TONT20000OCT!K13+TONT20000NOV!L13</f>
        <v>0</v>
      </c>
      <c r="W13" s="7">
        <f>TONT20000DEC2015!N13+TONT20000JANV!L13+TONT20000FEV!L13+TONT20000MARS!L13+TONT20000AVRIL!L13+TONT20000MAI!L13+TONT20000JUIN!L13+TONT20000JUIL!L13+TONT20000AOUT!L13+TONT20000SEPT!L13+TONT20000OCT!L13+TONT20000NOV!M13</f>
        <v>156000</v>
      </c>
      <c r="X13" s="7">
        <f>TONT20000DEC2015!O13+TONT20000JANV!M13+TONT20000FEV!M13+TONT20000MARS!M13+TONT20000AVRIL!M13+TONT20000MAI!M13+TONT20000JUIN!M13+TONT20000JUIL!M13+TONT20000AOUT!M13+TONT20000SEPT!M13+TONT20000OCT!M13+TONT20000NOV!N13</f>
        <v>700000</v>
      </c>
      <c r="Y13" s="7">
        <f>TONT20000DEC2015!P13+TONT20000JANV!N13+TONT20000FEV!N13+TONT20000MARS!N13+TONT20000AVRIL!N13+TONT20000MAI!N13+TONT20000JUIN!N13+TONT20000JUIL!N13+TONT20000AOUT!N13+TONT20000SEPT!N13+TONT20000OCT!N13+TONT20000NOV!O13</f>
        <v>84000</v>
      </c>
      <c r="Z13" s="7">
        <f>TONT20000DEC2015!Q13+TONT20000JANV!O13+TONT20000FEV!O13+TONT20000MARS!O13+TONT20000AVRIL!O13+TONT20000MAI!O13+TONT20000JUIN!O13+TONT20000JUIL!O13+TONT20000AOUT!O13+TONT20000SEPT!O13+TONT20000OCT!O13+TONT20000NOV!P13</f>
        <v>0</v>
      </c>
      <c r="AA13" s="7">
        <f>TONT20000DEC2015!R13+TONT20000JANV!P13+TONT20000FEV!P13+TONT20000MARS!P13+TONT20000AVRIL!P13+TONT20000MAI!P13+TONT20000JUIN!P13+TONT20000JUIL!P13+TONT20000AOUT!P13+TONT20000SEPT!P13+TONT20000OCT!P13+TONT20000NOV!Q13</f>
        <v>0</v>
      </c>
      <c r="AB13" s="7">
        <f>TONT20000DEC2015!S13+TONT20000JANV!Q13+TONT20000FEV!Q13+TONT20000MARS!Q13+TONT20000AVRIL!Q13+TONT20000MAI!Q13+TONT20000JUIN!Q13+TONT20000JUIL!Q13+TONT20000AOUT!Q13+TONT20000SEPT!Q13+TONT20000OCT!Q13+TONT20000NOV!R13</f>
        <v>48440</v>
      </c>
      <c r="AC13" s="7">
        <f>TONT20000DEC2015!T13+TONT20000JANV!R13+TONT20000FEV!R13+TONT20000MARS!R13+TONT20000AVRIL!R13+TONT20000MAI!R13+TONT20000JUIN!R13+TONT20000JUIL!R13+TONT20000AOUT!R13+TONT20000SEPT!R13+TONT20000OCT!R13+TONT20000NOV!S13</f>
        <v>0</v>
      </c>
    </row>
    <row r="14" spans="1:30" x14ac:dyDescent="0.25">
      <c r="A14" s="1" t="s">
        <v>19</v>
      </c>
      <c r="B14" s="1" t="str">
        <f>VLOOKUP(A14,LISTADHERENT!A$5:H$52,2,0)</f>
        <v>DONHOU DAVID</v>
      </c>
      <c r="C14" s="6">
        <f>VLOOKUP(A14,FONDSDECAISSE!A$5:C$52,3,0)</f>
        <v>390000</v>
      </c>
      <c r="D14" s="6">
        <v>44734</v>
      </c>
      <c r="E14" s="6">
        <f t="shared" si="2"/>
        <v>53748</v>
      </c>
      <c r="F14" s="6">
        <f t="shared" si="0"/>
        <v>470734</v>
      </c>
      <c r="G14" s="6">
        <f>INT(TONT20000DEC2015!E14+TONT20000JANV!C14+TONT20000FEV!C14+TONT20000MARS!C14+TONT20000AVRIL!C14+TONT20000MAI!C14+TONT20000JUIN!C14+TONT20000JUIL!C14+TONT20000AOUT!C14+TONT20000SEPT!C14+TONT20000OCT!C14+TONT20000NOV!C14)</f>
        <v>53014</v>
      </c>
      <c r="H14" s="6">
        <f>TONT20000NOV!E14</f>
        <v>523748.4932838293</v>
      </c>
      <c r="I14" s="6">
        <f t="shared" si="1"/>
        <v>133748</v>
      </c>
      <c r="J14" s="6">
        <f t="shared" si="3"/>
        <v>80000</v>
      </c>
      <c r="K14" s="6">
        <f t="shared" si="4"/>
        <v>53748</v>
      </c>
      <c r="L14" s="6">
        <v>0</v>
      </c>
      <c r="M14" s="6">
        <v>30000</v>
      </c>
      <c r="N14" s="6"/>
      <c r="O14" s="6">
        <v>50000</v>
      </c>
      <c r="P14" s="6">
        <f t="shared" si="5"/>
        <v>0</v>
      </c>
      <c r="Q14" s="7">
        <f>TONT20000DEC2015!H14+TONT20000JANV!F14+TONT20000FEV!F14+TONT20000MARS!F14+TONT20000AVRIL!F14+TONT20000MAI!F14+TONT20000JUIN!F14+TONT20000JUIL!F14+TONT20000AOUT!F14+TONT20000SEPT!F14+TONT20000OCT!F14+TONT20000NOV!G14</f>
        <v>240000</v>
      </c>
      <c r="R14" s="7">
        <f>TONT20000DEC2015!I14+TONT20000JANV!G14+TONT20000FEV!G14+TONT20000MARS!G14+TONT20000AVRIL!G14+TONT20000MAI!G14+TONT20000JUIN!G14+TONT20000JUIL!G14+TONT20000AOUT!G14+TONT20000SEPT!G14+TONT20000OCT!G14+TONT20000NOV!H14</f>
        <v>36000</v>
      </c>
      <c r="S14" s="7">
        <f>TONT20000DEC2015!J14+TONT20000JANV!H14+TONT20000FEV!H14+TONT20000MARS!H14+TONT20000AVRIL!H14+TONT20000MAI!H14+TONT20000JUIN!H14+TONT20000JUIL!H14+TONT20000AOUT!H14+TONT20000SEPT!H14+TONT20000OCT!H14+TONT20000NOV!I14</f>
        <v>6000</v>
      </c>
      <c r="T14" s="7">
        <f>TONT20000DEC2015!K14+TONT20000JANV!I14+TONT20000FEV!I14+TONT20000MARS!I14+TONT20000AVRIL!I14+TONT20000MAI!I14+TONT20000JUIN!I14+TONT20000JUIL!I14+TONT20000AOUT!I14+TONT20000SEPT!I14+TONT20000OCT!I14+TONT20000NOV!J14</f>
        <v>12000</v>
      </c>
      <c r="U14" s="7">
        <f>TONT20000DEC2015!L14+TONT20000JANV!J14+TONT20000FEV!J14+TONT20000MARS!J14+TONT20000AVRIL!J14+TONT20000MAI!J14+TONT20000JUIN!J14+TONT20000JUIL!J14+TONT20000AOUT!J14+TONT20000SEPT!J14+TONT20000OCT!J14+TONT20000NOV!K14</f>
        <v>30000</v>
      </c>
      <c r="V14" s="7">
        <f>TONT20000DEC2015!M14+TONT20000JANV!K14+TONT20000FEV!K14+TONT20000MARS!K14+TONT20000AVRIL!K14+TONT20000MAI!K14+TONT20000JUIN!K14+TONT20000JUIL!K14+TONT20000AOUT!K14+TONT20000SEPT!K14+TONT20000OCT!K14+TONT20000NOV!L14</f>
        <v>0</v>
      </c>
      <c r="W14" s="7">
        <f>TONT20000DEC2015!N14+TONT20000JANV!L14+TONT20000FEV!L14+TONT20000MARS!L14+TONT20000AVRIL!L14+TONT20000MAI!L14+TONT20000JUIN!L14+TONT20000JUIL!L14+TONT20000AOUT!L14+TONT20000SEPT!L14+TONT20000OCT!L14+TONT20000NOV!M14</f>
        <v>156000</v>
      </c>
      <c r="X14" s="7">
        <f>TONT20000DEC2015!O14+TONT20000JANV!M14+TONT20000FEV!M14+TONT20000MARS!M14+TONT20000AVRIL!M14+TONT20000MAI!M14+TONT20000JUIN!M14+TONT20000JUIL!M14+TONT20000AOUT!M14+TONT20000SEPT!M14+TONT20000OCT!M14+TONT20000NOV!N14</f>
        <v>0</v>
      </c>
      <c r="Y14" s="7">
        <f>TONT20000DEC2015!P14+TONT20000JANV!N14+TONT20000FEV!N14+TONT20000MARS!N14+TONT20000AVRIL!N14+TONT20000MAI!N14+TONT20000JUIN!N14+TONT20000JUIL!N14+TONT20000AOUT!N14+TONT20000SEPT!N14+TONT20000OCT!N14+TONT20000NOV!O14</f>
        <v>0</v>
      </c>
      <c r="Z14" s="7">
        <f>TONT20000DEC2015!Q14+TONT20000JANV!O14+TONT20000FEV!O14+TONT20000MARS!O14+TONT20000AVRIL!O14+TONT20000MAI!O14+TONT20000JUIN!O14+TONT20000JUIL!O14+TONT20000AOUT!O14+TONT20000SEPT!O14+TONT20000OCT!O14+TONT20000NOV!P14</f>
        <v>0</v>
      </c>
      <c r="AA14" s="7">
        <f>TONT20000DEC2015!R14+TONT20000JANV!P14+TONT20000FEV!P14+TONT20000MARS!P14+TONT20000AVRIL!P14+TONT20000MAI!P14+TONT20000JUIN!P14+TONT20000JUIL!P14+TONT20000AOUT!P14+TONT20000SEPT!P14+TONT20000OCT!P14+TONT20000NOV!Q14</f>
        <v>0</v>
      </c>
      <c r="AB14" s="7">
        <f>TONT20000DEC2015!S14+TONT20000JANV!Q14+TONT20000FEV!Q14+TONT20000MARS!Q14+TONT20000AVRIL!Q14+TONT20000MAI!Q14+TONT20000JUIN!Q14+TONT20000JUIL!Q14+TONT20000AOUT!Q14+TONT20000SEPT!Q14+TONT20000OCT!Q14+TONT20000NOV!R14</f>
        <v>0</v>
      </c>
      <c r="AC14" s="7">
        <f>TONT20000DEC2015!T14+TONT20000JANV!R14+TONT20000FEV!R14+TONT20000MARS!R14+TONT20000AVRIL!R14+TONT20000MAI!R14+TONT20000JUIN!R14+TONT20000JUIL!R14+TONT20000AOUT!R14+TONT20000SEPT!R14+TONT20000OCT!R14+TONT20000NOV!S14</f>
        <v>0</v>
      </c>
      <c r="AD14" s="2"/>
    </row>
    <row r="15" spans="1:30" x14ac:dyDescent="0.25">
      <c r="A15" s="1" t="s">
        <v>20</v>
      </c>
      <c r="B15" s="1" t="str">
        <f>VLOOKUP(A15,LISTADHERENT!A$5:H$52,2,0)</f>
        <v>FOTSO THOMAS</v>
      </c>
      <c r="C15" s="6">
        <f>VLOOKUP(A15,FONDSDECAISSE!A$5:C$52,3,0)</f>
        <v>390000</v>
      </c>
      <c r="D15" s="6">
        <v>3318</v>
      </c>
      <c r="E15" s="6">
        <f t="shared" si="2"/>
        <v>2522</v>
      </c>
      <c r="F15" s="6">
        <f t="shared" si="0"/>
        <v>429318</v>
      </c>
      <c r="G15" s="6">
        <f>INT(TONT20000DEC2015!E15+TONT20000JANV!C15+TONT20000FEV!C15+TONT20000MARS!C15+TONT20000AVRIL!C15+TONT20000MAI!C15+TONT20000JUIN!C15+TONT20000JUIL!C15+TONT20000AOUT!C15+TONT20000SEPT!C15+TONT20000OCT!C15+TONT20000NOV!C15)</f>
        <v>48204</v>
      </c>
      <c r="H15" s="6">
        <f>TONT20000NOV!E15</f>
        <v>477522.02832452004</v>
      </c>
      <c r="I15" s="6">
        <f t="shared" si="1"/>
        <v>87522</v>
      </c>
      <c r="J15" s="6">
        <f t="shared" si="3"/>
        <v>80000</v>
      </c>
      <c r="K15" s="6">
        <f t="shared" si="4"/>
        <v>7522</v>
      </c>
      <c r="L15" s="6">
        <v>5000</v>
      </c>
      <c r="M15" s="6">
        <v>30000</v>
      </c>
      <c r="N15" s="6"/>
      <c r="O15" s="6">
        <v>50000</v>
      </c>
      <c r="P15" s="6">
        <f t="shared" si="5"/>
        <v>0</v>
      </c>
      <c r="Q15" s="7">
        <f>TONT20000DEC2015!H15+TONT20000JANV!F15+TONT20000FEV!F15+TONT20000MARS!F15+TONT20000AVRIL!F15+TONT20000MAI!F15+TONT20000JUIN!F15+TONT20000JUIL!F15+TONT20000AOUT!F15+TONT20000SEPT!F15+TONT20000OCT!F15+TONT20000NOV!G15</f>
        <v>240000</v>
      </c>
      <c r="R15" s="7">
        <f>TONT20000DEC2015!I15+TONT20000JANV!G15+TONT20000FEV!G15+TONT20000MARS!G15+TONT20000AVRIL!G15+TONT20000MAI!G15+TONT20000JUIN!G15+TONT20000JUIL!G15+TONT20000AOUT!G15+TONT20000SEPT!G15+TONT20000OCT!G15+TONT20000NOV!H15</f>
        <v>36000</v>
      </c>
      <c r="S15" s="7">
        <f>TONT20000DEC2015!J15+TONT20000JANV!H15+TONT20000FEV!H15+TONT20000MARS!H15+TONT20000AVRIL!H15+TONT20000MAI!H15+TONT20000JUIN!H15+TONT20000JUIL!H15+TONT20000AOUT!H15+TONT20000SEPT!H15+TONT20000OCT!H15+TONT20000NOV!I15</f>
        <v>6000</v>
      </c>
      <c r="T15" s="7">
        <f>TONT20000DEC2015!K15+TONT20000JANV!I15+TONT20000FEV!I15+TONT20000MARS!I15+TONT20000AVRIL!I15+TONT20000MAI!I15+TONT20000JUIN!I15+TONT20000JUIL!I15+TONT20000AOUT!I15+TONT20000SEPT!I15+TONT20000OCT!I15+TONT20000NOV!J15</f>
        <v>12000</v>
      </c>
      <c r="U15" s="7">
        <f>TONT20000DEC2015!L15+TONT20000JANV!J15+TONT20000FEV!J15+TONT20000MARS!J15+TONT20000AVRIL!J15+TONT20000MAI!J15+TONT20000JUIN!J15+TONT20000JUIL!J15+TONT20000AOUT!J15+TONT20000SEPT!J15+TONT20000OCT!J15+TONT20000NOV!K15</f>
        <v>30000</v>
      </c>
      <c r="V15" s="7">
        <f>TONT20000DEC2015!M15+TONT20000JANV!K15+TONT20000FEV!K15+TONT20000MARS!K15+TONT20000AVRIL!K15+TONT20000MAI!K15+TONT20000JUIN!K15+TONT20000JUIL!K15+TONT20000AOUT!K15+TONT20000SEPT!K15+TONT20000OCT!K15+TONT20000NOV!L15</f>
        <v>0</v>
      </c>
      <c r="W15" s="7">
        <f>TONT20000DEC2015!N15+TONT20000JANV!L15+TONT20000FEV!L15+TONT20000MARS!L15+TONT20000AVRIL!L15+TONT20000MAI!L15+TONT20000JUIN!L15+TONT20000JUIL!L15+TONT20000AOUT!L15+TONT20000SEPT!L15+TONT20000OCT!L15+TONT20000NOV!M15</f>
        <v>156000</v>
      </c>
      <c r="X15" s="7">
        <f>TONT20000DEC2015!O15+TONT20000JANV!M15+TONT20000FEV!M15+TONT20000MARS!M15+TONT20000AVRIL!M15+TONT20000MAI!M15+TONT20000JUIN!M15+TONT20000JUIL!M15+TONT20000AOUT!M15+TONT20000SEPT!M15+TONT20000OCT!M15+TONT20000NOV!N15</f>
        <v>1000000</v>
      </c>
      <c r="Y15" s="7">
        <f>TONT20000DEC2015!P15+TONT20000JANV!N15+TONT20000FEV!N15+TONT20000MARS!N15+TONT20000AVRIL!N15+TONT20000MAI!N15+TONT20000JUIN!N15+TONT20000JUIL!N15+TONT20000AOUT!N15+TONT20000SEPT!N15+TONT20000OCT!N15+TONT20000NOV!O15</f>
        <v>120000</v>
      </c>
      <c r="Z15" s="7">
        <f>TONT20000DEC2015!Q15+TONT20000JANV!O15+TONT20000FEV!O15+TONT20000MARS!O15+TONT20000AVRIL!O15+TONT20000MAI!O15+TONT20000JUIN!O15+TONT20000JUIL!O15+TONT20000AOUT!O15+TONT20000SEPT!O15+TONT20000OCT!O15+TONT20000NOV!P15</f>
        <v>0</v>
      </c>
      <c r="AA15" s="7">
        <f>TONT20000DEC2015!R15+TONT20000JANV!P15+TONT20000FEV!P15+TONT20000MARS!P15+TONT20000AVRIL!P15+TONT20000MAI!P15+TONT20000JUIN!P15+TONT20000JUIL!P15+TONT20000AOUT!P15+TONT20000SEPT!P15+TONT20000OCT!P15+TONT20000NOV!Q15</f>
        <v>0</v>
      </c>
      <c r="AB15" s="7">
        <f>TONT20000DEC2015!S15+TONT20000JANV!Q15+TONT20000FEV!Q15+TONT20000MARS!Q15+TONT20000AVRIL!Q15+TONT20000MAI!Q15+TONT20000JUIN!Q15+TONT20000JUIL!Q15+TONT20000AOUT!Q15+TONT20000SEPT!Q15+TONT20000OCT!Q15+TONT20000NOV!R15</f>
        <v>0</v>
      </c>
      <c r="AC15" s="7">
        <f>TONT20000DEC2015!T15+TONT20000JANV!R15+TONT20000FEV!R15+TONT20000MARS!R15+TONT20000AVRIL!R15+TONT20000MAI!R15+TONT20000JUIN!R15+TONT20000JUIL!R15+TONT20000AOUT!R15+TONT20000SEPT!R15+TONT20000OCT!R15+TONT20000NOV!S15</f>
        <v>0</v>
      </c>
      <c r="AD15" s="2"/>
    </row>
    <row r="16" spans="1:30" x14ac:dyDescent="0.25">
      <c r="A16" s="1" t="s">
        <v>21</v>
      </c>
      <c r="B16" s="1" t="str">
        <f>VLOOKUP(A16,LISTADHERENT!A$5:H$52,2,0)</f>
        <v>HENGUE PAUL OMER</v>
      </c>
      <c r="C16" s="6">
        <f>VLOOKUP(A16,FONDSDECAISSE!A$5:C$52,3,0)</f>
        <v>390000</v>
      </c>
      <c r="D16" s="6"/>
      <c r="E16" s="6">
        <f t="shared" si="2"/>
        <v>-10298</v>
      </c>
      <c r="F16" s="6">
        <f t="shared" si="0"/>
        <v>420000</v>
      </c>
      <c r="G16" s="6">
        <f>INT(TONT20000DEC2015!E16+TONT20000JANV!C16+TONT20000FEV!C16+TONT20000MARS!C16+TONT20000AVRIL!C16+TONT20000MAI!C16+TONT20000JUIN!C16+TONT20000JUIL!C16+TONT20000AOUT!C16+TONT20000SEPT!C16+TONT20000OCT!C16+TONT20000NOV!C16)</f>
        <v>47702</v>
      </c>
      <c r="H16" s="6">
        <f>TONT20000NOV!E16</f>
        <v>467702.04132519802</v>
      </c>
      <c r="I16" s="6">
        <f t="shared" si="1"/>
        <v>77702</v>
      </c>
      <c r="J16" s="6">
        <f t="shared" si="3"/>
        <v>88000</v>
      </c>
      <c r="K16" s="6">
        <f t="shared" si="4"/>
        <v>-10298</v>
      </c>
      <c r="L16" s="6">
        <v>0</v>
      </c>
      <c r="M16" s="6">
        <v>30000</v>
      </c>
      <c r="N16" s="6"/>
      <c r="O16" s="6">
        <v>50000</v>
      </c>
      <c r="P16" s="6">
        <f t="shared" si="5"/>
        <v>8000</v>
      </c>
      <c r="Q16" s="7">
        <f>TONT20000DEC2015!H16+TONT20000JANV!F16+TONT20000FEV!F16+TONT20000MARS!F16+TONT20000AVRIL!F16+TONT20000MAI!F16+TONT20000JUIN!F16+TONT20000JUIL!F16+TONT20000AOUT!F16+TONT20000SEPT!F16+TONT20000OCT!F16+TONT20000NOV!G16</f>
        <v>200000</v>
      </c>
      <c r="R16" s="7">
        <f>TONT20000DEC2015!I16+TONT20000JANV!G16+TONT20000FEV!G16+TONT20000MARS!G16+TONT20000AVRIL!G16+TONT20000MAI!G16+TONT20000JUIN!G16+TONT20000JUIL!G16+TONT20000AOUT!G16+TONT20000SEPT!G16+TONT20000OCT!G16+TONT20000NOV!H16</f>
        <v>30000</v>
      </c>
      <c r="S16" s="7">
        <f>TONT20000DEC2015!J16+TONT20000JANV!H16+TONT20000FEV!H16+TONT20000MARS!H16+TONT20000AVRIL!H16+TONT20000MAI!H16+TONT20000JUIN!H16+TONT20000JUIL!H16+TONT20000AOUT!H16+TONT20000SEPT!H16+TONT20000OCT!H16+TONT20000NOV!I16</f>
        <v>5000</v>
      </c>
      <c r="T16" s="7">
        <f>TONT20000DEC2015!K16+TONT20000JANV!I16+TONT20000FEV!I16+TONT20000MARS!I16+TONT20000AVRIL!I16+TONT20000MAI!I16+TONT20000JUIN!I16+TONT20000JUIL!I16+TONT20000AOUT!I16+TONT20000SEPT!I16+TONT20000OCT!I16+TONT20000NOV!J16</f>
        <v>10000</v>
      </c>
      <c r="U16" s="7">
        <f>TONT20000DEC2015!L16+TONT20000JANV!J16+TONT20000FEV!J16+TONT20000MARS!J16+TONT20000AVRIL!J16+TONT20000MAI!J16+TONT20000JUIN!J16+TONT20000JUIL!J16+TONT20000AOUT!J16+TONT20000SEPT!J16+TONT20000OCT!J16+TONT20000NOV!K16</f>
        <v>25000</v>
      </c>
      <c r="V16" s="7">
        <f>TONT20000DEC2015!M16+TONT20000JANV!K16+TONT20000FEV!K16+TONT20000MARS!K16+TONT20000AVRIL!K16+TONT20000MAI!K16+TONT20000JUIN!K16+TONT20000JUIL!K16+TONT20000AOUT!K16+TONT20000SEPT!K16+TONT20000OCT!K16+TONT20000NOV!L16</f>
        <v>0</v>
      </c>
      <c r="W16" s="7">
        <f>TONT20000DEC2015!N16+TONT20000JANV!L16+TONT20000FEV!L16+TONT20000MARS!L16+TONT20000AVRIL!L16+TONT20000MAI!L16+TONT20000JUIN!L16+TONT20000JUIL!L16+TONT20000AOUT!L16+TONT20000SEPT!L16+TONT20000OCT!L16+TONT20000NOV!M16</f>
        <v>130000</v>
      </c>
      <c r="X16" s="7">
        <f>TONT20000DEC2015!O16+TONT20000JANV!M16+TONT20000FEV!M16+TONT20000MARS!M16+TONT20000AVRIL!M16+TONT20000MAI!M16+TONT20000JUIN!M16+TONT20000JUIL!M16+TONT20000AOUT!M16+TONT20000SEPT!M16+TONT20000OCT!M16+TONT20000NOV!N16</f>
        <v>0</v>
      </c>
      <c r="Y16" s="7">
        <f>TONT20000DEC2015!P16+TONT20000JANV!N16+TONT20000FEV!N16+TONT20000MARS!N16+TONT20000AVRIL!N16+TONT20000MAI!N16+TONT20000JUIN!N16+TONT20000JUIL!N16+TONT20000AOUT!N16+TONT20000SEPT!N16+TONT20000OCT!N16+TONT20000NOV!O16</f>
        <v>0</v>
      </c>
      <c r="Z16" s="7">
        <f>TONT20000DEC2015!Q16+TONT20000JANV!O16+TONT20000FEV!O16+TONT20000MARS!O16+TONT20000AVRIL!O16+TONT20000MAI!O16+TONT20000JUIN!O16+TONT20000JUIL!O16+TONT20000AOUT!O16+TONT20000SEPT!O16+TONT20000OCT!O16+TONT20000NOV!P16</f>
        <v>0</v>
      </c>
      <c r="AA16" s="7">
        <f>TONT20000DEC2015!R16+TONT20000JANV!P16+TONT20000FEV!P16+TONT20000MARS!P16+TONT20000AVRIL!P16+TONT20000MAI!P16+TONT20000JUIN!P16+TONT20000JUIL!P16+TONT20000AOUT!P16+TONT20000SEPT!P16+TONT20000OCT!P16+TONT20000NOV!Q16</f>
        <v>0</v>
      </c>
      <c r="AB16" s="7">
        <f>TONT20000DEC2015!S16+TONT20000JANV!Q16+TONT20000FEV!Q16+TONT20000MARS!Q16+TONT20000AVRIL!Q16+TONT20000MAI!Q16+TONT20000JUIN!Q16+TONT20000JUIL!Q16+TONT20000AOUT!Q16+TONT20000SEPT!Q16+TONT20000OCT!Q16+TONT20000NOV!R16</f>
        <v>0</v>
      </c>
      <c r="AC16" s="7">
        <f>TONT20000DEC2015!T16+TONT20000JANV!R16+TONT20000FEV!R16+TONT20000MARS!R16+TONT20000AVRIL!R16+TONT20000MAI!R16+TONT20000JUIN!R16+TONT20000JUIL!R16+TONT20000AOUT!R16+TONT20000SEPT!R16+TONT20000OCT!R16+TONT20000NOV!S16</f>
        <v>0</v>
      </c>
      <c r="AD16" s="2"/>
    </row>
    <row r="17" spans="1:30" x14ac:dyDescent="0.25">
      <c r="A17" s="1" t="s">
        <v>22</v>
      </c>
      <c r="B17" s="1" t="str">
        <f>VLOOKUP(A17,LISTADHERENT!A$5:H$52,2,0)</f>
        <v>HODIEP JULES</v>
      </c>
      <c r="C17" s="6">
        <v>50000</v>
      </c>
      <c r="D17" s="6">
        <v>0</v>
      </c>
      <c r="E17" s="6">
        <f t="shared" si="2"/>
        <v>260</v>
      </c>
      <c r="F17" s="6">
        <f t="shared" si="0"/>
        <v>58100</v>
      </c>
      <c r="G17" s="6">
        <f>INT(TONT20000DEC2015!E17+TONT20000JANV!C17+TONT20000FEV!C17+TONT20000MARS!C17+TONT20000AVRIL!C17+TONT20000MAI!C17+TONT20000JUIN!C17+TONT20000JUIL!C17+TONT20000AOUT!C17+TONT20000SEPT!C17+TONT20000OCT!C17+TONT20000NOV!C17)</f>
        <v>6252</v>
      </c>
      <c r="H17" s="6">
        <f>TONT20000NOV!E17</f>
        <v>92252.382130280748</v>
      </c>
      <c r="I17" s="6">
        <f t="shared" si="1"/>
        <v>14352</v>
      </c>
      <c r="J17" s="6">
        <f t="shared" si="3"/>
        <v>14092</v>
      </c>
      <c r="K17" s="6">
        <f t="shared" si="4"/>
        <v>260</v>
      </c>
      <c r="L17" s="6">
        <v>0</v>
      </c>
      <c r="M17" s="6"/>
      <c r="N17" s="6"/>
      <c r="O17" s="6">
        <f>50000-35908</f>
        <v>14092</v>
      </c>
      <c r="P17" s="6">
        <f t="shared" si="5"/>
        <v>0</v>
      </c>
      <c r="Q17" s="7">
        <f>TONT20000DEC2015!H17+TONT20000JANV!F17+TONT20000FEV!F17+TONT20000MARS!F17+TONT20000AVRIL!F17+TONT20000MAI!F17+TONT20000JUIN!F17+TONT20000JUIL!F17+TONT20000AOUT!F17+TONT20000SEPT!F17+TONT20000OCT!F17+TONT20000NOV!G17</f>
        <v>240000</v>
      </c>
      <c r="R17" s="7">
        <f>TONT20000DEC2015!I17+TONT20000JANV!G17+TONT20000FEV!G17+TONT20000MARS!G17+TONT20000AVRIL!G17+TONT20000MAI!G17+TONT20000JUIN!G17+TONT20000JUIL!G17+TONT20000AOUT!G17+TONT20000SEPT!G17+TONT20000OCT!G17+TONT20000NOV!H17-18000-9900</f>
        <v>8100</v>
      </c>
      <c r="S17" s="7">
        <f>TONT20000DEC2015!J17+TONT20000JANV!H17+TONT20000FEV!H17+TONT20000MARS!H17+TONT20000AVRIL!H17+TONT20000MAI!H17+TONT20000JUIN!H17+TONT20000JUIL!H17+TONT20000AOUT!H17+TONT20000SEPT!H17+TONT20000OCT!H17+TONT20000NOV!I17</f>
        <v>6000</v>
      </c>
      <c r="T17" s="7">
        <f>TONT20000DEC2015!K17+TONT20000JANV!I17+TONT20000FEV!I17+TONT20000MARS!I17+TONT20000AVRIL!I17+TONT20000MAI!I17+TONT20000JUIN!I17+TONT20000JUIL!I17+TONT20000AOUT!I17+TONT20000SEPT!I17+TONT20000OCT!I17+TONT20000NOV!J17</f>
        <v>12000</v>
      </c>
      <c r="U17" s="7">
        <f>TONT20000DEC2015!L17+TONT20000JANV!J17+TONT20000FEV!J17+TONT20000MARS!J17+TONT20000AVRIL!J17+TONT20000MAI!J17+TONT20000JUIN!J17+TONT20000JUIL!J17+TONT20000AOUT!J17+TONT20000SEPT!J17+TONT20000OCT!J17+TONT20000NOV!K17</f>
        <v>30000</v>
      </c>
      <c r="V17" s="7">
        <f>TONT20000DEC2015!M17+TONT20000JANV!K17+TONT20000FEV!K17+TONT20000MARS!K17+TONT20000AVRIL!K17+TONT20000MAI!K17+TONT20000JUIN!K17+TONT20000JUIL!K17+TONT20000AOUT!K17+TONT20000SEPT!K17+TONT20000OCT!K17+TONT20000NOV!L17</f>
        <v>0</v>
      </c>
      <c r="W17" s="7">
        <f>TONT20000DEC2015!N17+TONT20000JANV!L17+TONT20000FEV!L17+TONT20000MARS!L17+TONT20000AVRIL!L17+TONT20000MAI!L17+TONT20000JUIN!L17+TONT20000JUIL!L17+TONT20000AOUT!L17+TONT20000SEPT!L17+TONT20000OCT!L17+TONT20000NOV!M17</f>
        <v>156000</v>
      </c>
      <c r="X17" s="7">
        <f>TONT20000DEC2015!O17+TONT20000JANV!M17+TONT20000FEV!M17+TONT20000MARS!M17+TONT20000AVRIL!M17+TONT20000MAI!M17+TONT20000JUIN!M17+TONT20000JUIL!M17+TONT20000AOUT!M17+TONT20000SEPT!M17+TONT20000OCT!M17+TONT20000NOV!N17</f>
        <v>0</v>
      </c>
      <c r="Y17" s="7">
        <f>TONT20000DEC2015!P17+TONT20000JANV!N17+TONT20000FEV!N17+TONT20000MARS!N17+TONT20000AVRIL!N17+TONT20000MAI!N17+TONT20000JUIN!N17+TONT20000JUIL!N17+TONT20000AOUT!N17+TONT20000SEPT!N17+TONT20000OCT!N17+TONT20000NOV!O17</f>
        <v>0</v>
      </c>
      <c r="Z17" s="7">
        <f>TONT20000DEC2015!Q17+TONT20000JANV!O17+TONT20000FEV!O17+TONT20000MARS!O17+TONT20000AVRIL!O17+TONT20000MAI!O17+TONT20000JUIN!O17+TONT20000JUIL!O17+TONT20000AOUT!O17+TONT20000SEPT!O17+TONT20000OCT!O17+TONT20000NOV!P17</f>
        <v>0</v>
      </c>
      <c r="AA17" s="7">
        <f>TONT20000DEC2015!R17+TONT20000JANV!P17+TONT20000FEV!P17+TONT20000MARS!P17+TONT20000AVRIL!P17+TONT20000MAI!P17+TONT20000JUIN!P17+TONT20000JUIL!P17+TONT20000AOUT!P17+TONT20000SEPT!P17+TONT20000OCT!P17+TONT20000NOV!Q17</f>
        <v>0</v>
      </c>
      <c r="AB17" s="7">
        <f>TONT20000DEC2015!S17+TONT20000JANV!Q17+TONT20000FEV!Q17+TONT20000MARS!Q17+TONT20000AVRIL!Q17+TONT20000MAI!Q17+TONT20000JUIN!Q17+TONT20000JUIL!Q17+TONT20000AOUT!Q17+TONT20000SEPT!Q17+TONT20000OCT!Q17+TONT20000NOV!R17</f>
        <v>0</v>
      </c>
      <c r="AC17" s="7">
        <f>TONT20000DEC2015!T17+TONT20000JANV!R17+TONT20000FEV!R17+TONT20000MARS!R17+TONT20000AVRIL!R17+TONT20000MAI!R17+TONT20000JUIN!R17+TONT20000JUIL!R17+TONT20000AOUT!R17+TONT20000SEPT!R17+TONT20000OCT!R17+TONT20000NOV!S17</f>
        <v>0</v>
      </c>
      <c r="AD17" s="2"/>
    </row>
    <row r="18" spans="1:30" x14ac:dyDescent="0.25">
      <c r="A18" s="1" t="s">
        <v>23</v>
      </c>
      <c r="B18" s="1" t="str">
        <f>VLOOKUP(A18,LISTADHERENT!A$5:H$52,2,0)</f>
        <v>HOTCHO BENJAMIN</v>
      </c>
      <c r="C18" s="6">
        <f>VLOOKUP(A18,FONDSDECAISSE!A$5:C$52,3,0)</f>
        <v>390000</v>
      </c>
      <c r="D18" s="6">
        <v>8723</v>
      </c>
      <c r="E18" s="6">
        <f t="shared" si="2"/>
        <v>112685</v>
      </c>
      <c r="F18" s="6">
        <f t="shared" si="0"/>
        <v>482723</v>
      </c>
      <c r="G18" s="6">
        <f>INT(TONT20000DEC2015!E18+TONT20000JANV!C18+TONT20000FEV!C18+TONT20000MARS!C18+TONT20000AVRIL!C18+TONT20000MAI!C18+TONT20000JUIN!C18+TONT20000JUIL!C18+TONT20000AOUT!C18+TONT20000SEPT!C18+TONT20000OCT!C18+TONT20000NOV!C18)</f>
        <v>49962</v>
      </c>
      <c r="H18" s="6">
        <f>TONT20000NOV!E18</f>
        <v>532685.37627619994</v>
      </c>
      <c r="I18" s="6">
        <f t="shared" si="1"/>
        <v>142685</v>
      </c>
      <c r="J18" s="6">
        <f t="shared" si="3"/>
        <v>30000</v>
      </c>
      <c r="K18" s="6">
        <f t="shared" si="4"/>
        <v>112685</v>
      </c>
      <c r="L18" s="6">
        <v>0</v>
      </c>
      <c r="M18" s="6">
        <v>30000</v>
      </c>
      <c r="N18" s="6"/>
      <c r="O18" s="6">
        <v>0</v>
      </c>
      <c r="P18" s="6">
        <f t="shared" si="5"/>
        <v>0</v>
      </c>
      <c r="Q18" s="7">
        <f>TONT20000DEC2015!H18+TONT20000JANV!F18+TONT20000FEV!F18+TONT20000MARS!F18+TONT20000AVRIL!F18+TONT20000MAI!F18+TONT20000JUIN!F18+TONT20000JUIL!F18+TONT20000AOUT!F18+TONT20000SEPT!F18+TONT20000OCT!F18+TONT20000NOV!G18</f>
        <v>338000</v>
      </c>
      <c r="R18" s="7">
        <f>TONT20000DEC2015!I18+TONT20000JANV!G18+TONT20000FEV!G18+TONT20000MARS!G18+TONT20000AVRIL!G18+TONT20000MAI!G18+TONT20000JUIN!G18+TONT20000JUIL!G18+TONT20000AOUT!G18+TONT20000SEPT!G18+TONT20000OCT!G18+TONT20000NOV!H18</f>
        <v>84000</v>
      </c>
      <c r="S18" s="7">
        <f>TONT20000DEC2015!J18+TONT20000JANV!H18+TONT20000FEV!H18+TONT20000MARS!H18+TONT20000AVRIL!H18+TONT20000MAI!H18+TONT20000JUIN!H18+TONT20000JUIL!H18+TONT20000AOUT!H18+TONT20000SEPT!H18+TONT20000OCT!H18+TONT20000NOV!I18</f>
        <v>6000</v>
      </c>
      <c r="T18" s="7">
        <f>TONT20000DEC2015!K18+TONT20000JANV!I18+TONT20000FEV!I18+TONT20000MARS!I18+TONT20000AVRIL!I18+TONT20000MAI!I18+TONT20000JUIN!I18+TONT20000JUIL!I18+TONT20000AOUT!I18+TONT20000SEPT!I18+TONT20000OCT!I18+TONT20000NOV!J18</f>
        <v>12000</v>
      </c>
      <c r="U18" s="7">
        <f>TONT20000DEC2015!L18+TONT20000JANV!J18+TONT20000FEV!J18+TONT20000MARS!J18+TONT20000AVRIL!J18+TONT20000MAI!J18+TONT20000JUIN!J18+TONT20000JUIL!J18+TONT20000AOUT!J18+TONT20000SEPT!J18+TONT20000OCT!J18+TONT20000NOV!K18</f>
        <v>30000</v>
      </c>
      <c r="V18" s="7">
        <f>TONT20000DEC2015!M18+TONT20000JANV!K18+TONT20000FEV!K18+TONT20000MARS!K18+TONT20000AVRIL!K18+TONT20000MAI!K18+TONT20000JUIN!K18+TONT20000JUIL!K18+TONT20000AOUT!K18+TONT20000SEPT!K18+TONT20000OCT!K18+TONT20000NOV!L18</f>
        <v>50000</v>
      </c>
      <c r="W18" s="7">
        <f>TONT20000DEC2015!N18+TONT20000JANV!L18+TONT20000FEV!L18+TONT20000MARS!L18+TONT20000AVRIL!L18+TONT20000MAI!L18+TONT20000JUIN!L18+TONT20000JUIL!L18+TONT20000AOUT!L18+TONT20000SEPT!L18+TONT20000OCT!L18+TONT20000NOV!M18</f>
        <v>156000</v>
      </c>
      <c r="X18" s="7">
        <f>TONT20000DEC2015!O18+TONT20000JANV!M18+TONT20000FEV!M18+TONT20000MARS!M18+TONT20000AVRIL!M18+TONT20000MAI!M18+TONT20000JUIN!M18+TONT20000JUIL!M18+TONT20000AOUT!M18+TONT20000SEPT!M18+TONT20000OCT!M18+TONT20000NOV!N18</f>
        <v>0</v>
      </c>
      <c r="Y18" s="7">
        <f>TONT20000DEC2015!P18+TONT20000JANV!N18+TONT20000FEV!N18+TONT20000MARS!N18+TONT20000AVRIL!N18+TONT20000MAI!N18+TONT20000JUIN!N18+TONT20000JUIL!N18+TONT20000AOUT!N18+TONT20000SEPT!N18+TONT20000OCT!N18+TONT20000NOV!O18</f>
        <v>0</v>
      </c>
      <c r="Z18" s="7">
        <f>TONT20000DEC2015!Q18+TONT20000JANV!O18+TONT20000FEV!O18+TONT20000MARS!O18+TONT20000AVRIL!O18+TONT20000MAI!O18+TONT20000JUIN!O18+TONT20000JUIL!O18+TONT20000AOUT!O18+TONT20000SEPT!O18+TONT20000OCT!O18+TONT20000NOV!P18</f>
        <v>0</v>
      </c>
      <c r="AA18" s="7">
        <f>TONT20000DEC2015!R18+TONT20000JANV!P18+TONT20000FEV!P18+TONT20000MARS!P18+TONT20000AVRIL!P18+TONT20000MAI!P18+TONT20000JUIN!P18+TONT20000JUIL!P18+TONT20000AOUT!P18+TONT20000SEPT!P18+TONT20000OCT!P18+TONT20000NOV!Q18</f>
        <v>0</v>
      </c>
      <c r="AB18" s="7">
        <f>TONT20000DEC2015!S18+TONT20000JANV!Q18+TONT20000FEV!Q18+TONT20000MARS!Q18+TONT20000AVRIL!Q18+TONT20000MAI!Q18+TONT20000JUIN!Q18+TONT20000JUIL!Q18+TONT20000AOUT!Q18+TONT20000SEPT!Q18+TONT20000OCT!Q18+TONT20000NOV!R18</f>
        <v>0</v>
      </c>
      <c r="AC18" s="7">
        <f>TONT20000DEC2015!T18+TONT20000JANV!R18+TONT20000FEV!R18+TONT20000MARS!R18+TONT20000AVRIL!R18+TONT20000MAI!R18+TONT20000JUIN!R18+TONT20000JUIL!R18+TONT20000AOUT!R18+TONT20000SEPT!R18+TONT20000OCT!R18+TONT20000NOV!S18</f>
        <v>0</v>
      </c>
      <c r="AD18" s="2"/>
    </row>
    <row r="19" spans="1:30" x14ac:dyDescent="0.25">
      <c r="A19" s="1" t="s">
        <v>24</v>
      </c>
      <c r="B19" s="1" t="str">
        <f>VLOOKUP(A19,LISTADHERENT!A$5:H$52,2,0)</f>
        <v>KEPHE DAVID</v>
      </c>
      <c r="C19" s="6">
        <f>VLOOKUP(A19,FONDSDECAISSE!A$5:C$52,3,0)</f>
        <v>0</v>
      </c>
      <c r="D19" s="6">
        <v>12795</v>
      </c>
      <c r="E19" s="6">
        <f t="shared" si="2"/>
        <v>177</v>
      </c>
      <c r="F19" s="6">
        <f t="shared" si="0"/>
        <v>18000</v>
      </c>
      <c r="G19" s="6">
        <f>INT(TONT20000DEC2015!E19+TONT20000JANV!C19+TONT20000FEV!C19+TONT20000MARS!C19+TONT20000AVRIL!C19+TONT20000MAI!C19+TONT20000JUIN!C19+TONT20000JUIL!C19+TONT20000AOUT!C19+TONT20000SEPT!C19+TONT20000OCT!C19+TONT20000NOV!C19)</f>
        <v>4006</v>
      </c>
      <c r="H19" s="6">
        <f>TONT20000NOV!E19</f>
        <v>52801.313486987739</v>
      </c>
      <c r="I19" s="6">
        <f t="shared" si="1"/>
        <v>22006</v>
      </c>
      <c r="J19" s="6">
        <f t="shared" si="3"/>
        <v>21829</v>
      </c>
      <c r="K19" s="6">
        <f t="shared" si="4"/>
        <v>177</v>
      </c>
      <c r="L19" s="6">
        <v>0</v>
      </c>
      <c r="M19" s="6"/>
      <c r="N19" s="6"/>
      <c r="O19" s="6">
        <f>50000-24839-3332</f>
        <v>21829</v>
      </c>
      <c r="P19" s="6">
        <f t="shared" si="5"/>
        <v>0</v>
      </c>
      <c r="Q19" s="7">
        <f>TONT20000DEC2015!H19+TONT20000JANV!F19+TONT20000FEV!F19+TONT20000MARS!F19+TONT20000AVRIL!F19+TONT20000MAI!F19+TONT20000JUIN!F19+TONT20000JUIL!F19+TONT20000AOUT!F19+TONT20000SEPT!F19+TONT20000OCT!F19+TONT20000NOV!G19</f>
        <v>240000</v>
      </c>
      <c r="R19" s="7">
        <f>TONT20000DEC2015!I19+TONT20000JANV!G19+TONT20000FEV!G19+TONT20000MARS!G19+TONT20000AVRIL!G19+TONT20000MAI!G19+TONT20000JUIN!G19+TONT20000JUIL!G19+TONT20000AOUT!G19+TONT20000SEPT!G19+TONT20000OCT!G19+TONT20000NOV!H19-30795</f>
        <v>5205</v>
      </c>
      <c r="S19" s="7">
        <f>TONT20000DEC2015!J19+TONT20000JANV!H19+TONT20000FEV!H19+TONT20000MARS!H19+TONT20000AVRIL!H19+TONT20000MAI!H19+TONT20000JUIN!H19+TONT20000JUIL!H19+TONT20000AOUT!H19+TONT20000SEPT!H19+TONT20000OCT!H19+TONT20000NOV!I19</f>
        <v>6000</v>
      </c>
      <c r="T19" s="7">
        <f>TONT20000DEC2015!K19+TONT20000JANV!I19+TONT20000FEV!I19+TONT20000MARS!I19+TONT20000AVRIL!I19+TONT20000MAI!I19+TONT20000JUIN!I19+TONT20000JUIL!I19+TONT20000AOUT!I19+TONT20000SEPT!I19+TONT20000OCT!I19+TONT20000NOV!J19</f>
        <v>12000</v>
      </c>
      <c r="U19" s="7">
        <f>TONT20000DEC2015!L19+TONT20000JANV!J19+TONT20000FEV!J19+TONT20000MARS!J19+TONT20000AVRIL!J19+TONT20000MAI!J19+TONT20000JUIN!J19+TONT20000JUIL!J19+TONT20000AOUT!J19+TONT20000SEPT!J19+TONT20000OCT!J19+TONT20000NOV!K19</f>
        <v>30000</v>
      </c>
      <c r="V19" s="7">
        <f>TONT20000DEC2015!M19+TONT20000JANV!K19+TONT20000FEV!K19+TONT20000MARS!K19+TONT20000AVRIL!K19+TONT20000MAI!K19+TONT20000JUIN!K19+TONT20000JUIL!K19+TONT20000AOUT!K19+TONT20000SEPT!K19+TONT20000OCT!K19+TONT20000NOV!L19</f>
        <v>0</v>
      </c>
      <c r="W19" s="7">
        <f>TONT20000DEC2015!N19+TONT20000JANV!L19+TONT20000FEV!L19+TONT20000MARS!L19+TONT20000AVRIL!L19+TONT20000MAI!L19+TONT20000JUIN!L19+TONT20000JUIL!L19+TONT20000AOUT!L19+TONT20000SEPT!L19+TONT20000OCT!L19+TONT20000NOV!M19</f>
        <v>156000</v>
      </c>
      <c r="X19" s="7">
        <f>TONT20000DEC2015!O19+TONT20000JANV!M19+TONT20000FEV!M19+TONT20000MARS!M19+TONT20000AVRIL!M19+TONT20000MAI!M19+TONT20000JUIN!M19+TONT20000JUIL!M19+TONT20000AOUT!M19+TONT20000SEPT!M19+TONT20000OCT!M19+TONT20000NOV!N19</f>
        <v>0</v>
      </c>
      <c r="Y19" s="7">
        <f>TONT20000DEC2015!P19+TONT20000JANV!N19+TONT20000FEV!N19+TONT20000MARS!N19+TONT20000AVRIL!N19+TONT20000MAI!N19+TONT20000JUIN!N19+TONT20000JUIL!N19+TONT20000AOUT!N19+TONT20000SEPT!N19+TONT20000OCT!N19+TONT20000NOV!O19</f>
        <v>0</v>
      </c>
      <c r="Z19" s="7">
        <f>TONT20000DEC2015!Q19+TONT20000JANV!O19+TONT20000FEV!O19+TONT20000MARS!O19+TONT20000AVRIL!O19+TONT20000MAI!O19+TONT20000JUIN!O19+TONT20000JUIL!O19+TONT20000AOUT!O19+TONT20000SEPT!O19+TONT20000OCT!O19+TONT20000NOV!P19</f>
        <v>0</v>
      </c>
      <c r="AA19" s="7">
        <f>TONT20000DEC2015!R19+TONT20000JANV!P19+TONT20000FEV!P19+TONT20000MARS!P19+TONT20000AVRIL!P19+TONT20000MAI!P19+TONT20000JUIN!P19+TONT20000JUIL!P19+TONT20000AOUT!P19+TONT20000SEPT!P19+TONT20000OCT!P19+TONT20000NOV!Q19</f>
        <v>0</v>
      </c>
      <c r="AB19" s="7">
        <f>TONT20000DEC2015!S19+TONT20000JANV!Q19+TONT20000FEV!Q19+TONT20000MARS!Q19+TONT20000AVRIL!Q19+TONT20000MAI!Q19+TONT20000JUIN!Q19+TONT20000JUIL!Q19+TONT20000AOUT!Q19+TONT20000SEPT!Q19+TONT20000OCT!Q19+TONT20000NOV!R19</f>
        <v>0</v>
      </c>
      <c r="AC19" s="7">
        <f>TONT20000DEC2015!T19+TONT20000JANV!R19+TONT20000FEV!R19+TONT20000MARS!R19+TONT20000AVRIL!R19+TONT20000MAI!R19+TONT20000JUIN!R19+TONT20000JUIL!R19+TONT20000AOUT!R19+TONT20000SEPT!R19+TONT20000OCT!R19+TONT20000NOV!S19</f>
        <v>0</v>
      </c>
      <c r="AD19" s="2"/>
    </row>
    <row r="20" spans="1:30" x14ac:dyDescent="0.25">
      <c r="A20" s="1" t="s">
        <v>25</v>
      </c>
      <c r="B20" s="1" t="str">
        <f>VLOOKUP(A20,LISTADHERENT!A$5:H$52,2,0)</f>
        <v>KEPSEU FRANCIS</v>
      </c>
      <c r="C20" s="6">
        <f>VLOOKUP(A20,FONDSDECAISSE!A$5:C$52,3,0)</f>
        <v>390000</v>
      </c>
      <c r="D20" s="6">
        <v>186997</v>
      </c>
      <c r="E20" s="6">
        <f t="shared" si="2"/>
        <v>705425</v>
      </c>
      <c r="F20" s="6">
        <f t="shared" si="0"/>
        <v>1128997</v>
      </c>
      <c r="G20" s="6">
        <f>INT(TONT20000DEC2015!E20+TONT20000JANV!C20+TONT20000FEV!C20+TONT20000MARS!C20+TONT20000AVRIL!C20+TONT20000MAI!C20+TONT20000JUIN!C20+TONT20000JUIL!C20+TONT20000AOUT!C20+TONT20000SEPT!C20+TONT20000OCT!C20+TONT20000NOV!C20)</f>
        <v>117428</v>
      </c>
      <c r="H20" s="6">
        <f>TONT20000NOV!E20</f>
        <v>1246425.7981045675</v>
      </c>
      <c r="I20" s="6">
        <f t="shared" si="1"/>
        <v>856425</v>
      </c>
      <c r="J20" s="6">
        <f t="shared" si="3"/>
        <v>80000</v>
      </c>
      <c r="K20" s="6">
        <f t="shared" si="4"/>
        <v>776425</v>
      </c>
      <c r="L20" s="6">
        <v>71000</v>
      </c>
      <c r="M20" s="6">
        <v>30000</v>
      </c>
      <c r="N20" s="6"/>
      <c r="O20" s="6">
        <v>50000</v>
      </c>
      <c r="P20" s="6">
        <f t="shared" si="5"/>
        <v>0</v>
      </c>
      <c r="Q20" s="7">
        <f>TONT20000DEC2015!H20+TONT20000JANV!F20+TONT20000FEV!F20+TONT20000MARS!F20+TONT20000AVRIL!F20+TONT20000MAI!F20+TONT20000JUIN!F20+TONT20000JUIL!F20+TONT20000AOUT!F20+TONT20000SEPT!F20+TONT20000OCT!F20+TONT20000NOV!G20</f>
        <v>756000</v>
      </c>
      <c r="R20" s="7">
        <f>TONT20000DEC2015!I20+TONT20000JANV!G20+TONT20000FEV!G20+TONT20000MARS!G20+TONT20000AVRIL!G20+TONT20000MAI!G20+TONT20000JUIN!G20+TONT20000JUIL!G20+TONT20000AOUT!G20+TONT20000SEPT!G20+TONT20000OCT!G20+TONT20000NOV!H20</f>
        <v>552000</v>
      </c>
      <c r="S20" s="7">
        <f>TONT20000DEC2015!J20+TONT20000JANV!H20+TONT20000FEV!H20+TONT20000MARS!H20+TONT20000AVRIL!H20+TONT20000MAI!H20+TONT20000JUIN!H20+TONT20000JUIL!H20+TONT20000AOUT!H20+TONT20000SEPT!H20+TONT20000OCT!H20+TONT20000NOV!I20</f>
        <v>6000</v>
      </c>
      <c r="T20" s="7">
        <f>TONT20000DEC2015!K20+TONT20000JANV!I20+TONT20000FEV!I20+TONT20000MARS!I20+TONT20000AVRIL!I20+TONT20000MAI!I20+TONT20000JUIN!I20+TONT20000JUIL!I20+TONT20000AOUT!I20+TONT20000SEPT!I20+TONT20000OCT!I20+TONT20000NOV!J20</f>
        <v>12000</v>
      </c>
      <c r="U20" s="7">
        <f>TONT20000DEC2015!L20+TONT20000JANV!J20+TONT20000FEV!J20+TONT20000MARS!J20+TONT20000AVRIL!J20+TONT20000MAI!J20+TONT20000JUIN!J20+TONT20000JUIL!J20+TONT20000AOUT!J20+TONT20000SEPT!J20+TONT20000OCT!J20+TONT20000NOV!K20</f>
        <v>30000</v>
      </c>
      <c r="V20" s="7">
        <f>TONT20000DEC2015!M20+TONT20000JANV!K20+TONT20000FEV!K20+TONT20000MARS!K20+TONT20000AVRIL!K20+TONT20000MAI!K20+TONT20000JUIN!K20+TONT20000JUIL!K20+TONT20000AOUT!K20+TONT20000SEPT!K20+TONT20000OCT!K20+TONT20000NOV!L20</f>
        <v>0</v>
      </c>
      <c r="W20" s="7">
        <f>TONT20000DEC2015!N20+TONT20000JANV!L20+TONT20000FEV!L20+TONT20000MARS!L20+TONT20000AVRIL!L20+TONT20000MAI!L20+TONT20000JUIN!L20+TONT20000JUIL!L20+TONT20000AOUT!L20+TONT20000SEPT!L20+TONT20000OCT!L20+TONT20000NOV!M20</f>
        <v>156000</v>
      </c>
      <c r="X20" s="7">
        <f>TONT20000DEC2015!O20+TONT20000JANV!M20+TONT20000FEV!M20+TONT20000MARS!M20+TONT20000AVRIL!M20+TONT20000MAI!M20+TONT20000JUIN!M20+TONT20000JUIL!M20+TONT20000AOUT!M20+TONT20000SEPT!M20+TONT20000OCT!M20+TONT20000NOV!N20</f>
        <v>0</v>
      </c>
      <c r="Y20" s="7">
        <f>TONT20000DEC2015!P20+TONT20000JANV!N20+TONT20000FEV!N20+TONT20000MARS!N20+TONT20000AVRIL!N20+TONT20000MAI!N20+TONT20000JUIN!N20+TONT20000JUIL!N20+TONT20000AOUT!N20+TONT20000SEPT!N20+TONT20000OCT!N20+TONT20000NOV!O20</f>
        <v>0</v>
      </c>
      <c r="Z20" s="7">
        <f>TONT20000DEC2015!Q20+TONT20000JANV!O20+TONT20000FEV!O20+TONT20000MARS!O20+TONT20000AVRIL!O20+TONT20000MAI!O20+TONT20000JUIN!O20+TONT20000JUIL!O20+TONT20000AOUT!O20+TONT20000SEPT!O20+TONT20000OCT!O20+TONT20000NOV!P20</f>
        <v>0</v>
      </c>
      <c r="AA20" s="7">
        <f>TONT20000DEC2015!R20+TONT20000JANV!P20+TONT20000FEV!P20+TONT20000MARS!P20+TONT20000AVRIL!P20+TONT20000MAI!P20+TONT20000JUIN!P20+TONT20000JUIL!P20+TONT20000AOUT!P20+TONT20000SEPT!P20+TONT20000OCT!P20+TONT20000NOV!Q20</f>
        <v>0</v>
      </c>
      <c r="AB20" s="7">
        <f>TONT20000DEC2015!S20+TONT20000JANV!Q20+TONT20000FEV!Q20+TONT20000MARS!Q20+TONT20000AVRIL!Q20+TONT20000MAI!Q20+TONT20000JUIN!Q20+TONT20000JUIL!Q20+TONT20000AOUT!Q20+TONT20000SEPT!Q20+TONT20000OCT!Q20+TONT20000NOV!R20</f>
        <v>0</v>
      </c>
      <c r="AC20" s="7">
        <f>TONT20000DEC2015!T20+TONT20000JANV!R20+TONT20000FEV!R20+TONT20000MARS!R20+TONT20000AVRIL!R20+TONT20000MAI!R20+TONT20000JUIN!R20+TONT20000JUIL!R20+TONT20000AOUT!R20+TONT20000SEPT!R20+TONT20000OCT!R20+TONT20000NOV!S20</f>
        <v>0</v>
      </c>
      <c r="AD20" s="2"/>
    </row>
    <row r="21" spans="1:30" x14ac:dyDescent="0.25">
      <c r="A21" s="1" t="s">
        <v>26</v>
      </c>
      <c r="B21" s="1" t="str">
        <f>VLOOKUP(A21,LISTADHERENT!A$5:H$52,2,0)</f>
        <v>KOUAMOU EMMANUEL</v>
      </c>
      <c r="C21" s="6">
        <f>VLOOKUP(A21,FONDSDECAISSE!A$5:C$52,3,0)</f>
        <v>390000</v>
      </c>
      <c r="D21" s="6">
        <v>2723</v>
      </c>
      <c r="E21" s="6">
        <f t="shared" si="2"/>
        <v>2357</v>
      </c>
      <c r="F21" s="6">
        <f t="shared" si="0"/>
        <v>428723</v>
      </c>
      <c r="G21" s="6">
        <f>INT(TONT20000DEC2015!E21+TONT20000JANV!C21+TONT20000FEV!C21+TONT20000MARS!C21+TONT20000AVRIL!C21+TONT20000MAI!C21+TONT20000JUIN!C21+TONT20000JUIL!C21+TONT20000AOUT!C21+TONT20000SEPT!C21+TONT20000OCT!C21+TONT20000NOV!C21)</f>
        <v>48134</v>
      </c>
      <c r="H21" s="6">
        <f>TONT20000NOV!E21</f>
        <v>476857.91912395041</v>
      </c>
      <c r="I21" s="6">
        <f t="shared" si="1"/>
        <v>86857</v>
      </c>
      <c r="J21" s="6">
        <f t="shared" si="3"/>
        <v>80000</v>
      </c>
      <c r="K21" s="6">
        <f t="shared" si="4"/>
        <v>6857</v>
      </c>
      <c r="L21" s="6">
        <v>4500</v>
      </c>
      <c r="M21" s="6">
        <v>30000</v>
      </c>
      <c r="N21" s="6"/>
      <c r="O21" s="6">
        <v>50000</v>
      </c>
      <c r="P21" s="6">
        <f t="shared" si="5"/>
        <v>0</v>
      </c>
      <c r="Q21" s="7">
        <f>TONT20000DEC2015!H21+TONT20000JANV!F21+TONT20000FEV!F21+TONT20000MARS!F21+TONT20000AVRIL!F21+TONT20000MAI!F21+TONT20000JUIN!F21+TONT20000JUIL!F21+TONT20000AOUT!F21+TONT20000SEPT!F21+TONT20000OCT!F21+TONT20000NOV!G21</f>
        <v>240000</v>
      </c>
      <c r="R21" s="7">
        <f>TONT20000DEC2015!I21+TONT20000JANV!G21+TONT20000FEV!G21+TONT20000MARS!G21+TONT20000AVRIL!G21+TONT20000MAI!G21+TONT20000JUIN!G21+TONT20000JUIL!G21+TONT20000AOUT!G21+TONT20000SEPT!G21+TONT20000OCT!G21+TONT20000NOV!H21</f>
        <v>36000</v>
      </c>
      <c r="S21" s="7">
        <f>TONT20000DEC2015!J21+TONT20000JANV!H21+TONT20000FEV!H21+TONT20000MARS!H21+TONT20000AVRIL!H21+TONT20000MAI!H21+TONT20000JUIN!H21+TONT20000JUIL!H21+TONT20000AOUT!H21+TONT20000SEPT!H21+TONT20000OCT!H21+TONT20000NOV!I21</f>
        <v>6000</v>
      </c>
      <c r="T21" s="7">
        <f>TONT20000DEC2015!K21+TONT20000JANV!I21+TONT20000FEV!I21+TONT20000MARS!I21+TONT20000AVRIL!I21+TONT20000MAI!I21+TONT20000JUIN!I21+TONT20000JUIL!I21+TONT20000AOUT!I21+TONT20000SEPT!I21+TONT20000OCT!I21+TONT20000NOV!J21</f>
        <v>12000</v>
      </c>
      <c r="U21" s="7">
        <f>TONT20000DEC2015!L21+TONT20000JANV!J21+TONT20000FEV!J21+TONT20000MARS!J21+TONT20000AVRIL!J21+TONT20000MAI!J21+TONT20000JUIN!J21+TONT20000JUIL!J21+TONT20000AOUT!J21+TONT20000SEPT!J21+TONT20000OCT!J21+TONT20000NOV!K21</f>
        <v>30000</v>
      </c>
      <c r="V21" s="7">
        <f>TONT20000DEC2015!M21+TONT20000JANV!K21+TONT20000FEV!K21+TONT20000MARS!K21+TONT20000AVRIL!K21+TONT20000MAI!K21+TONT20000JUIN!K21+TONT20000JUIL!K21+TONT20000AOUT!K21+TONT20000SEPT!K21+TONT20000OCT!K21+TONT20000NOV!L21</f>
        <v>0</v>
      </c>
      <c r="W21" s="7">
        <f>TONT20000DEC2015!N21+TONT20000JANV!L21+TONT20000FEV!L21+TONT20000MARS!L21+TONT20000AVRIL!L21+TONT20000MAI!L21+TONT20000JUIN!L21+TONT20000JUIL!L21+TONT20000AOUT!L21+TONT20000SEPT!L21+TONT20000OCT!L21+TONT20000NOV!M21</f>
        <v>156000</v>
      </c>
      <c r="X21" s="7">
        <f>TONT20000DEC2015!O21+TONT20000JANV!M21+TONT20000FEV!M21+TONT20000MARS!M21+TONT20000AVRIL!M21+TONT20000MAI!M21+TONT20000JUIN!M21+TONT20000JUIL!M21+TONT20000AOUT!M21+TONT20000SEPT!M21+TONT20000OCT!M21+TONT20000NOV!N21</f>
        <v>1000000</v>
      </c>
      <c r="Y21" s="7">
        <f>TONT20000DEC2015!P21+TONT20000JANV!N21+TONT20000FEV!N21+TONT20000MARS!N21+TONT20000AVRIL!N21+TONT20000MAI!N21+TONT20000JUIN!N21+TONT20000JUIL!N21+TONT20000AOUT!N21+TONT20000SEPT!N21+TONT20000OCT!N21+TONT20000NOV!O21</f>
        <v>120000</v>
      </c>
      <c r="Z21" s="7">
        <f>TONT20000DEC2015!Q21+TONT20000JANV!O21+TONT20000FEV!O21+TONT20000MARS!O21+TONT20000AVRIL!O21+TONT20000MAI!O21+TONT20000JUIN!O21+TONT20000JUIL!O21+TONT20000AOUT!O21+TONT20000SEPT!O21+TONT20000OCT!O21+TONT20000NOV!P21</f>
        <v>0</v>
      </c>
      <c r="AA21" s="7">
        <f>TONT20000DEC2015!R21+TONT20000JANV!P21+TONT20000FEV!P21+TONT20000MARS!P21+TONT20000AVRIL!P21+TONT20000MAI!P21+TONT20000JUIN!P21+TONT20000JUIL!P21+TONT20000AOUT!P21+TONT20000SEPT!P21+TONT20000OCT!P21+TONT20000NOV!Q21</f>
        <v>0</v>
      </c>
      <c r="AB21" s="7">
        <f>TONT20000DEC2015!S21+TONT20000JANV!Q21+TONT20000FEV!Q21+TONT20000MARS!Q21+TONT20000AVRIL!Q21+TONT20000MAI!Q21+TONT20000JUIN!Q21+TONT20000JUIL!Q21+TONT20000AOUT!Q21+TONT20000SEPT!Q21+TONT20000OCT!Q21+TONT20000NOV!R21</f>
        <v>0</v>
      </c>
      <c r="AC21" s="7">
        <f>TONT20000DEC2015!T21+TONT20000JANV!R21+TONT20000FEV!R21+TONT20000MARS!R21+TONT20000AVRIL!R21+TONT20000MAI!R21+TONT20000JUIN!R21+TONT20000JUIL!R21+TONT20000AOUT!R21+TONT20000SEPT!R21+TONT20000OCT!R21+TONT20000NOV!S21</f>
        <v>0</v>
      </c>
      <c r="AD21" s="2"/>
    </row>
    <row r="22" spans="1:30" ht="12.75" customHeight="1" x14ac:dyDescent="0.25">
      <c r="A22" s="1" t="s">
        <v>27</v>
      </c>
      <c r="B22" s="1" t="str">
        <f>VLOOKUP(A22,LISTADHERENT!A$5:H$52,2,0)</f>
        <v>KOUAMOU MOISE</v>
      </c>
      <c r="C22" s="6">
        <v>390000</v>
      </c>
      <c r="D22" s="6">
        <v>2099</v>
      </c>
      <c r="E22" s="6">
        <f t="shared" si="2"/>
        <v>3048</v>
      </c>
      <c r="F22" s="6">
        <f t="shared" si="0"/>
        <v>428099</v>
      </c>
      <c r="G22" s="6">
        <f>INT(TONT20000DEC2015!E22+TONT20000JANV!C22+TONT20000FEV!C22+TONT20000MARS!C22+TONT20000AVRIL!C22+TONT20000MAI!C22+TONT20000JUIN!C22+TONT20000JUIL!C22+TONT20000AOUT!C22+TONT20000SEPT!C22+TONT20000OCT!C22+TONT20000NOV!C22)</f>
        <v>44949</v>
      </c>
      <c r="H22" s="6">
        <f>TONT20000NOV!E22</f>
        <v>473048.50805201381</v>
      </c>
      <c r="I22" s="6">
        <f t="shared" si="1"/>
        <v>83048</v>
      </c>
      <c r="J22" s="6">
        <f t="shared" si="3"/>
        <v>80000</v>
      </c>
      <c r="K22" s="6">
        <f t="shared" si="4"/>
        <v>3048</v>
      </c>
      <c r="L22" s="6">
        <v>0</v>
      </c>
      <c r="M22" s="6">
        <v>30000</v>
      </c>
      <c r="N22" s="6"/>
      <c r="O22" s="6">
        <v>50000</v>
      </c>
      <c r="P22" s="6">
        <f t="shared" si="5"/>
        <v>0</v>
      </c>
      <c r="Q22" s="7">
        <f>TONT20000DEC2015!H22+TONT20000JANV!F22+TONT20000FEV!F22+TONT20000MARS!F22+TONT20000AVRIL!F22+TONT20000MAI!F22+TONT20000JUIN!F22+TONT20000JUIL!F22+TONT20000AOUT!F22+TONT20000SEPT!F22+TONT20000OCT!F22+TONT20000NOV!G22</f>
        <v>240000</v>
      </c>
      <c r="R22" s="7">
        <f>TONT20000DEC2015!I22+TONT20000JANV!G22+TONT20000FEV!G22+TONT20000MARS!G22+TONT20000AVRIL!G22+TONT20000MAI!G22+TONT20000JUIN!G22+TONT20000JUIL!G22+TONT20000AOUT!G22+TONT20000SEPT!G22+TONT20000OCT!G22+TONT20000NOV!H22</f>
        <v>36000</v>
      </c>
      <c r="S22" s="7">
        <f>TONT20000DEC2015!J22+TONT20000JANV!H22+TONT20000FEV!H22+TONT20000MARS!H22+TONT20000AVRIL!H22+TONT20000MAI!H22+TONT20000JUIN!H22+TONT20000JUIL!H22+TONT20000AOUT!H22+TONT20000SEPT!H22+TONT20000OCT!H22+TONT20000NOV!I22</f>
        <v>6000</v>
      </c>
      <c r="T22" s="7">
        <f>TONT20000DEC2015!K22+TONT20000JANV!I22+TONT20000FEV!I22+TONT20000MARS!I22+TONT20000AVRIL!I22+TONT20000MAI!I22+TONT20000JUIN!I22+TONT20000JUIL!I22+TONT20000AOUT!I22+TONT20000SEPT!I22+TONT20000OCT!I22+TONT20000NOV!J22</f>
        <v>12000</v>
      </c>
      <c r="U22" s="7">
        <f>TONT20000DEC2015!L22+TONT20000JANV!J22+TONT20000FEV!J22+TONT20000MARS!J22+TONT20000AVRIL!J22+TONT20000MAI!J22+TONT20000JUIN!J22+TONT20000JUIL!J22+TONT20000AOUT!J22+TONT20000SEPT!J22+TONT20000OCT!J22+TONT20000NOV!K22</f>
        <v>30000</v>
      </c>
      <c r="V22" s="7">
        <f>TONT20000DEC2015!M22+TONT20000JANV!K22+TONT20000FEV!K22+TONT20000MARS!K22+TONT20000AVRIL!K22+TONT20000MAI!K22+TONT20000JUIN!K22+TONT20000JUIL!K22+TONT20000AOUT!K22+TONT20000SEPT!K22+TONT20000OCT!K22+TONT20000NOV!L22</f>
        <v>0</v>
      </c>
      <c r="W22" s="7">
        <f>TONT20000DEC2015!N22+TONT20000JANV!L22+TONT20000FEV!L22+TONT20000MARS!L22+TONT20000AVRIL!L22+TONT20000MAI!L22+TONT20000JUIN!L22+TONT20000JUIL!L22+TONT20000AOUT!L22+TONT20000SEPT!L22+TONT20000OCT!L22+TONT20000NOV!M22</f>
        <v>156000</v>
      </c>
      <c r="X22" s="7">
        <f>TONT20000DEC2015!O22+TONT20000JANV!M22+TONT20000FEV!M22+TONT20000MARS!M22+TONT20000AVRIL!M22+TONT20000MAI!M22+TONT20000JUIN!M22+TONT20000JUIL!M22+TONT20000AOUT!M22+TONT20000SEPT!M22+TONT20000OCT!M22+TONT20000NOV!N22</f>
        <v>860000</v>
      </c>
      <c r="Y22" s="7">
        <f>TONT20000DEC2015!P22+TONT20000JANV!N22+TONT20000FEV!N22+TONT20000MARS!N22+TONT20000AVRIL!N22+TONT20000MAI!N22+TONT20000JUIN!N22+TONT20000JUIL!N22+TONT20000AOUT!N22+TONT20000SEPT!N22+TONT20000OCT!N22+TONT20000NOV!O22</f>
        <v>97800</v>
      </c>
      <c r="Z22" s="7">
        <f>TONT20000DEC2015!Q22+TONT20000JANV!O22+TONT20000FEV!O22+TONT20000MARS!O22+TONT20000AVRIL!O22+TONT20000MAI!O22+TONT20000JUIN!O22+TONT20000JUIL!O22+TONT20000AOUT!O22+TONT20000SEPT!O22+TONT20000OCT!O22+TONT20000NOV!P22</f>
        <v>0</v>
      </c>
      <c r="AA22" s="7">
        <f>TONT20000DEC2015!R22+TONT20000JANV!P22+TONT20000FEV!P22+TONT20000MARS!P22+TONT20000AVRIL!P22+TONT20000MAI!P22+TONT20000JUIN!P22+TONT20000JUIL!P22+TONT20000AOUT!P22+TONT20000SEPT!P22+TONT20000OCT!P22+TONT20000NOV!Q22</f>
        <v>0</v>
      </c>
      <c r="AB22" s="7">
        <f>TONT20000DEC2015!S22+TONT20000JANV!Q22+TONT20000FEV!Q22+TONT20000MARS!Q22+TONT20000AVRIL!Q22+TONT20000MAI!Q22+TONT20000JUIN!Q22+TONT20000JUIL!Q22+TONT20000AOUT!Q22+TONT20000SEPT!Q22+TONT20000OCT!Q22+TONT20000NOV!R22</f>
        <v>0</v>
      </c>
      <c r="AC22" s="7">
        <f>TONT20000DEC2015!T22+TONT20000JANV!R22+TONT20000FEV!R22+TONT20000MARS!R22+TONT20000AVRIL!R22+TONT20000MAI!R22+TONT20000JUIN!R22+TONT20000JUIL!R22+TONT20000AOUT!R22+TONT20000SEPT!R22+TONT20000OCT!R22+TONT20000NOV!S22</f>
        <v>0</v>
      </c>
      <c r="AD22" s="2"/>
    </row>
    <row r="23" spans="1:30" x14ac:dyDescent="0.25">
      <c r="A23" s="1" t="s">
        <v>28</v>
      </c>
      <c r="B23" s="1" t="str">
        <f>VLOOKUP(A23,LISTADHERENT!A$5:H$52,2,0)</f>
        <v>KOUAMOU VICTOR PEGUY</v>
      </c>
      <c r="C23" s="6">
        <f>VLOOKUP(A23,FONDSDECAISSE!A$5:C$52,3,0)</f>
        <v>390000</v>
      </c>
      <c r="D23" s="6">
        <v>36629</v>
      </c>
      <c r="E23" s="6">
        <f t="shared" si="2"/>
        <v>2686</v>
      </c>
      <c r="F23" s="6">
        <f t="shared" si="0"/>
        <v>461629</v>
      </c>
      <c r="G23" s="6">
        <f>INT(TONT20000DEC2015!E23+TONT20000JANV!C23+TONT20000FEV!C23+TONT20000MARS!C23+TONT20000AVRIL!C23+TONT20000MAI!C23+TONT20000JUIN!C23+TONT20000JUIL!C23+TONT20000AOUT!C23+TONT20000SEPT!C23+TONT20000OCT!C23+TONT20000NOV!C23)</f>
        <v>52057</v>
      </c>
      <c r="H23" s="6">
        <f>TONT20000NOV!E23</f>
        <v>513686.78429989645</v>
      </c>
      <c r="I23" s="6">
        <f t="shared" si="1"/>
        <v>123686</v>
      </c>
      <c r="J23" s="6">
        <f t="shared" si="3"/>
        <v>80000</v>
      </c>
      <c r="K23" s="6">
        <f t="shared" si="4"/>
        <v>43686</v>
      </c>
      <c r="L23" s="6">
        <v>41000</v>
      </c>
      <c r="M23" s="6">
        <v>30000</v>
      </c>
      <c r="N23" s="6"/>
      <c r="O23" s="6">
        <v>50000</v>
      </c>
      <c r="P23" s="6">
        <f t="shared" si="5"/>
        <v>0</v>
      </c>
      <c r="Q23" s="7">
        <f>TONT20000DEC2015!H23+TONT20000JANV!F23+TONT20000FEV!F23+TONT20000MARS!F23+TONT20000AVRIL!F23+TONT20000MAI!F23+TONT20000JUIN!F23+TONT20000JUIL!F23+TONT20000AOUT!F23+TONT20000SEPT!F23+TONT20000OCT!F23+TONT20000NOV!G23</f>
        <v>239000</v>
      </c>
      <c r="R23" s="7">
        <f>TONT20000DEC2015!I23+TONT20000JANV!G23+TONT20000FEV!G23+TONT20000MARS!G23+TONT20000AVRIL!G23+TONT20000MAI!G23+TONT20000JUIN!G23+TONT20000JUIL!G23+TONT20000AOUT!G23+TONT20000SEPT!G23+TONT20000OCT!G23+TONT20000NOV!H23</f>
        <v>35000</v>
      </c>
      <c r="S23" s="7">
        <f>TONT20000DEC2015!J23+TONT20000JANV!H23+TONT20000FEV!H23+TONT20000MARS!H23+TONT20000AVRIL!H23+TONT20000MAI!H23+TONT20000JUIN!H23+TONT20000JUIL!H23+TONT20000AOUT!H23+TONT20000SEPT!H23+TONT20000OCT!H23+TONT20000NOV!I23</f>
        <v>6000</v>
      </c>
      <c r="T23" s="7">
        <f>TONT20000DEC2015!K23+TONT20000JANV!I23+TONT20000FEV!I23+TONT20000MARS!I23+TONT20000AVRIL!I23+TONT20000MAI!I23+TONT20000JUIN!I23+TONT20000JUIL!I23+TONT20000AOUT!I23+TONT20000SEPT!I23+TONT20000OCT!I23+TONT20000NOV!J23</f>
        <v>12000</v>
      </c>
      <c r="U23" s="7">
        <f>TONT20000DEC2015!L23+TONT20000JANV!J23+TONT20000FEV!J23+TONT20000MARS!J23+TONT20000AVRIL!J23+TONT20000MAI!J23+TONT20000JUIN!J23+TONT20000JUIL!J23+TONT20000AOUT!J23+TONT20000SEPT!J23+TONT20000OCT!J23+TONT20000NOV!K23</f>
        <v>30000</v>
      </c>
      <c r="V23" s="7">
        <f>TONT20000DEC2015!M23+TONT20000JANV!K23+TONT20000FEV!K23+TONT20000MARS!K23+TONT20000AVRIL!K23+TONT20000MAI!K23+TONT20000JUIN!K23+TONT20000JUIL!K23+TONT20000AOUT!K23+TONT20000SEPT!K23+TONT20000OCT!K23+TONT20000NOV!L23</f>
        <v>0</v>
      </c>
      <c r="W23" s="7">
        <f>TONT20000DEC2015!N23+TONT20000JANV!L23+TONT20000FEV!L23+TONT20000MARS!L23+TONT20000AVRIL!L23+TONT20000MAI!L23+TONT20000JUIN!L23+TONT20000JUIL!L23+TONT20000AOUT!L23+TONT20000SEPT!L23+TONT20000OCT!L23+TONT20000NOV!M23</f>
        <v>156000</v>
      </c>
      <c r="X23" s="7">
        <f>TONT20000DEC2015!O23+TONT20000JANV!M23+TONT20000FEV!M23+TONT20000MARS!M23+TONT20000AVRIL!M23+TONT20000MAI!M23+TONT20000JUIN!M23+TONT20000JUIL!M23+TONT20000AOUT!M23+TONT20000SEPT!M23+TONT20000OCT!M23+TONT20000NOV!N23</f>
        <v>1800000</v>
      </c>
      <c r="Y23" s="7">
        <f>TONT20000DEC2015!P23+TONT20000JANV!N23+TONT20000FEV!N23+TONT20000MARS!N23+TONT20000AVRIL!N23+TONT20000MAI!N23+TONT20000JUIN!N23+TONT20000JUIL!N23+TONT20000AOUT!N23+TONT20000SEPT!N23+TONT20000OCT!N23+TONT20000NOV!O23</f>
        <v>128000</v>
      </c>
      <c r="Z23" s="7">
        <f>TONT20000DEC2015!Q23+TONT20000JANV!O23+TONT20000FEV!O23+TONT20000MARS!O23+TONT20000AVRIL!O23+TONT20000MAI!O23+TONT20000JUIN!O23+TONT20000JUIL!O23+TONT20000AOUT!O23+TONT20000SEPT!O23+TONT20000OCT!O23+TONT20000NOV!P23</f>
        <v>1000000</v>
      </c>
      <c r="AA23" s="7">
        <f>TONT20000DEC2015!R23+TONT20000JANV!P23+TONT20000FEV!P23+TONT20000MARS!P23+TONT20000AVRIL!P23+TONT20000MAI!P23+TONT20000JUIN!P23+TONT20000JUIL!P23+TONT20000AOUT!P23+TONT20000SEPT!P23+TONT20000OCT!P23+TONT20000NOV!Q23</f>
        <v>0</v>
      </c>
      <c r="AB23" s="7">
        <f>TONT20000DEC2015!S23+TONT20000JANV!Q23+TONT20000FEV!Q23+TONT20000MARS!Q23+TONT20000AVRIL!Q23+TONT20000MAI!Q23+TONT20000JUIN!Q23+TONT20000JUIL!Q23+TONT20000AOUT!Q23+TONT20000SEPT!Q23+TONT20000OCT!Q23+TONT20000NOV!R23</f>
        <v>0</v>
      </c>
      <c r="AC23" s="7">
        <f>TONT20000DEC2015!T23+TONT20000JANV!R23+TONT20000FEV!R23+TONT20000MARS!R23+TONT20000AVRIL!R23+TONT20000MAI!R23+TONT20000JUIN!R23+TONT20000JUIL!R23+TONT20000AOUT!R23+TONT20000SEPT!R23+TONT20000OCT!R23+TONT20000NOV!S23</f>
        <v>0</v>
      </c>
      <c r="AD23" s="2"/>
    </row>
    <row r="24" spans="1:30" x14ac:dyDescent="0.25">
      <c r="A24" s="1" t="s">
        <v>29</v>
      </c>
      <c r="B24" s="1" t="str">
        <f>VLOOKUP(A24,LISTADHERENT!A$5:H$52,2,0)</f>
        <v>KOUATCHO MESSACK</v>
      </c>
      <c r="C24" s="6">
        <f>VLOOKUP(A24,FONDSDECAISSE!A$5:C$52,3,0)</f>
        <v>390000</v>
      </c>
      <c r="D24" s="6">
        <v>0</v>
      </c>
      <c r="E24" s="6">
        <f t="shared" si="2"/>
        <v>3818</v>
      </c>
      <c r="F24" s="6">
        <f t="shared" si="0"/>
        <v>426000</v>
      </c>
      <c r="G24" s="6">
        <f>INT(TONT20000DEC2015!E24+TONT20000JANV!C24+TONT20000FEV!C24+TONT20000MARS!C24+TONT20000AVRIL!C24+TONT20000MAI!C24+TONT20000JUIN!C24+TONT20000JUIL!C24+TONT20000AOUT!C24+TONT20000SEPT!C24+TONT20000OCT!C24+TONT20000NOV!C24)</f>
        <v>47818</v>
      </c>
      <c r="H24" s="6">
        <f>TONT20000NOV!E24</f>
        <v>473818.64290016744</v>
      </c>
      <c r="I24" s="6">
        <f t="shared" si="1"/>
        <v>83818</v>
      </c>
      <c r="J24" s="6">
        <f t="shared" si="3"/>
        <v>80000</v>
      </c>
      <c r="K24" s="6">
        <f t="shared" si="4"/>
        <v>3818</v>
      </c>
      <c r="L24" s="6">
        <v>0</v>
      </c>
      <c r="M24" s="6">
        <v>30000</v>
      </c>
      <c r="N24" s="6"/>
      <c r="O24" s="6">
        <v>50000</v>
      </c>
      <c r="P24" s="6">
        <f t="shared" si="5"/>
        <v>0</v>
      </c>
      <c r="Q24" s="7">
        <f>TONT20000DEC2015!H24+TONT20000JANV!F24+TONT20000FEV!F24+TONT20000MARS!F24+TONT20000AVRIL!F24+TONT20000MAI!F24+TONT20000JUIN!F24+TONT20000JUIL!F24+TONT20000AOUT!F24+TONT20000SEPT!F24+TONT20000OCT!F24+TONT20000NOV!G24</f>
        <v>240000</v>
      </c>
      <c r="R24" s="7">
        <f>TONT20000DEC2015!I24+TONT20000JANV!G24+TONT20000FEV!G24+TONT20000MARS!G24+TONT20000AVRIL!G24+TONT20000MAI!G24+TONT20000JUIN!G24+TONT20000JUIL!G24+TONT20000AOUT!G24+TONT20000SEPT!G24+TONT20000OCT!G24+TONT20000NOV!H24</f>
        <v>36000</v>
      </c>
      <c r="S24" s="7">
        <f>TONT20000DEC2015!J24+TONT20000JANV!H24+TONT20000FEV!H24+TONT20000MARS!H24+TONT20000AVRIL!H24+TONT20000MAI!H24+TONT20000JUIN!H24+TONT20000JUIL!H24+TONT20000AOUT!H24+TONT20000SEPT!H24+TONT20000OCT!H24+TONT20000NOV!I24</f>
        <v>6000</v>
      </c>
      <c r="T24" s="7">
        <f>TONT20000DEC2015!K24+TONT20000JANV!I24+TONT20000FEV!I24+TONT20000MARS!I24+TONT20000AVRIL!I24+TONT20000MAI!I24+TONT20000JUIN!I24+TONT20000JUIL!I24+TONT20000AOUT!I24+TONT20000SEPT!I24+TONT20000OCT!I24+TONT20000NOV!J24</f>
        <v>12000</v>
      </c>
      <c r="U24" s="7">
        <f>TONT20000DEC2015!L24+TONT20000JANV!J24+TONT20000FEV!J24+TONT20000MARS!J24+TONT20000AVRIL!J24+TONT20000MAI!J24+TONT20000JUIN!J24+TONT20000JUIL!J24+TONT20000AOUT!J24+TONT20000SEPT!J24+TONT20000OCT!J24+TONT20000NOV!K24</f>
        <v>30000</v>
      </c>
      <c r="V24" s="7">
        <f>TONT20000DEC2015!M24+TONT20000JANV!K24+TONT20000FEV!K24+TONT20000MARS!K24+TONT20000AVRIL!K24+TONT20000MAI!K24+TONT20000JUIN!K24+TONT20000JUIL!K24+TONT20000AOUT!K24+TONT20000SEPT!K24+TONT20000OCT!K24+TONT20000NOV!L24</f>
        <v>0</v>
      </c>
      <c r="W24" s="7">
        <f>TONT20000DEC2015!N24+TONT20000JANV!L24+TONT20000FEV!L24+TONT20000MARS!L24+TONT20000AVRIL!L24+TONT20000MAI!L24+TONT20000JUIN!L24+TONT20000JUIL!L24+TONT20000AOUT!L24+TONT20000SEPT!L24+TONT20000OCT!L24+TONT20000NOV!M24</f>
        <v>156000</v>
      </c>
      <c r="X24" s="7">
        <f>TONT20000DEC2015!O24+TONT20000JANV!M24+TONT20000FEV!M24+TONT20000MARS!M24+TONT20000AVRIL!M24+TONT20000MAI!M24+TONT20000JUIN!M24+TONT20000JUIL!M24+TONT20000AOUT!M24+TONT20000SEPT!M24+TONT20000OCT!M24+TONT20000NOV!N24</f>
        <v>1600000</v>
      </c>
      <c r="Y24" s="7">
        <f>TONT20000DEC2015!P24+TONT20000JANV!N24+TONT20000FEV!N24+TONT20000MARS!N24+TONT20000AVRIL!N24+TONT20000MAI!N24+TONT20000JUIN!N24+TONT20000JUIL!N24+TONT20000AOUT!N24+TONT20000SEPT!N24+TONT20000OCT!N24+TONT20000NOV!O24</f>
        <v>192000</v>
      </c>
      <c r="Z24" s="7">
        <f>TONT20000DEC2015!Q24+TONT20000JANV!O24+TONT20000FEV!O24+TONT20000MARS!O24+TONT20000AVRIL!O24+TONT20000MAI!O24+TONT20000JUIN!O24+TONT20000JUIL!O24+TONT20000AOUT!O24+TONT20000SEPT!O24+TONT20000OCT!O24+TONT20000NOV!P24</f>
        <v>0</v>
      </c>
      <c r="AA24" s="7">
        <f>TONT20000DEC2015!R24+TONT20000JANV!P24+TONT20000FEV!P24+TONT20000MARS!P24+TONT20000AVRIL!P24+TONT20000MAI!P24+TONT20000JUIN!P24+TONT20000JUIL!P24+TONT20000AOUT!P24+TONT20000SEPT!P24+TONT20000OCT!P24+TONT20000NOV!Q24</f>
        <v>0</v>
      </c>
      <c r="AB24" s="7">
        <f>TONT20000DEC2015!S24+TONT20000JANV!Q24+TONT20000FEV!Q24+TONT20000MARS!Q24+TONT20000AVRIL!Q24+TONT20000MAI!Q24+TONT20000JUIN!Q24+TONT20000JUIL!Q24+TONT20000AOUT!Q24+TONT20000SEPT!Q24+TONT20000OCT!Q24+TONT20000NOV!R24</f>
        <v>0</v>
      </c>
      <c r="AC24" s="7">
        <f>TONT20000DEC2015!T24+TONT20000JANV!R24+TONT20000FEV!R24+TONT20000MARS!R24+TONT20000AVRIL!R24+TONT20000MAI!R24+TONT20000JUIN!R24+TONT20000JUIL!R24+TONT20000AOUT!R24+TONT20000SEPT!R24+TONT20000OCT!R24+TONT20000NOV!S24</f>
        <v>0</v>
      </c>
      <c r="AD24" s="2"/>
    </row>
    <row r="25" spans="1:30" x14ac:dyDescent="0.25">
      <c r="A25" s="1" t="s">
        <v>30</v>
      </c>
      <c r="B25" s="1" t="str">
        <f>VLOOKUP(A25,LISTADHERENT!A$5:H$52,2,0)</f>
        <v>LOWE JEAN</v>
      </c>
      <c r="C25" s="6">
        <f>VLOOKUP(A25,FONDSDECAISSE!A$5:C$52,3,0)</f>
        <v>390000</v>
      </c>
      <c r="D25" s="6">
        <v>4331</v>
      </c>
      <c r="E25" s="6">
        <f t="shared" si="2"/>
        <v>2652</v>
      </c>
      <c r="F25" s="6">
        <f t="shared" si="0"/>
        <v>430331</v>
      </c>
      <c r="G25" s="6">
        <f>INT(TONT20000DEC2015!E25+TONT20000JANV!C25+TONT20000FEV!C25+TONT20000MARS!C25+TONT20000AVRIL!C25+TONT20000MAI!C25+TONT20000JUIN!C25+TONT20000JUIL!C25+TONT20000AOUT!C25+TONT20000SEPT!C25+TONT20000OCT!C25+TONT20000NOV!C25)</f>
        <v>48321</v>
      </c>
      <c r="H25" s="6">
        <f>TONT20000NOV!E25</f>
        <v>478652.6881903637</v>
      </c>
      <c r="I25" s="6">
        <f t="shared" si="1"/>
        <v>88652</v>
      </c>
      <c r="J25" s="6">
        <f t="shared" si="3"/>
        <v>80000</v>
      </c>
      <c r="K25" s="6">
        <f t="shared" si="4"/>
        <v>8652</v>
      </c>
      <c r="L25" s="6">
        <v>6000</v>
      </c>
      <c r="M25" s="6">
        <v>30000</v>
      </c>
      <c r="N25" s="6"/>
      <c r="O25" s="6">
        <v>50000</v>
      </c>
      <c r="P25" s="6">
        <f t="shared" si="5"/>
        <v>0</v>
      </c>
      <c r="Q25" s="7">
        <f>TONT20000DEC2015!H25+TONT20000JANV!F25+TONT20000FEV!F25+TONT20000MARS!F25+TONT20000AVRIL!F25+TONT20000MAI!F25+TONT20000JUIN!F25+TONT20000JUIL!F25+TONT20000AOUT!F25+TONT20000SEPT!F25+TONT20000OCT!F25+TONT20000NOV!G25</f>
        <v>240000</v>
      </c>
      <c r="R25" s="7">
        <f>TONT20000DEC2015!I25+TONT20000JANV!G25+TONT20000FEV!G25+TONT20000MARS!G25+TONT20000AVRIL!G25+TONT20000MAI!G25+TONT20000JUIN!G25+TONT20000JUIL!G25+TONT20000AOUT!G25+TONT20000SEPT!G25+TONT20000OCT!G25+TONT20000NOV!H25</f>
        <v>36000</v>
      </c>
      <c r="S25" s="7">
        <f>TONT20000DEC2015!J25+TONT20000JANV!H25+TONT20000FEV!H25+TONT20000MARS!H25+TONT20000AVRIL!H25+TONT20000MAI!H25+TONT20000JUIN!H25+TONT20000JUIL!H25+TONT20000AOUT!H25+TONT20000SEPT!H25+TONT20000OCT!H25+TONT20000NOV!I25</f>
        <v>6000</v>
      </c>
      <c r="T25" s="7">
        <f>TONT20000DEC2015!K25+TONT20000JANV!I25+TONT20000FEV!I25+TONT20000MARS!I25+TONT20000AVRIL!I25+TONT20000MAI!I25+TONT20000JUIN!I25+TONT20000JUIL!I25+TONT20000AOUT!I25+TONT20000SEPT!I25+TONT20000OCT!I25+TONT20000NOV!J25</f>
        <v>12000</v>
      </c>
      <c r="U25" s="7">
        <f>TONT20000DEC2015!L25+TONT20000JANV!J25+TONT20000FEV!J25+TONT20000MARS!J25+TONT20000AVRIL!J25+TONT20000MAI!J25+TONT20000JUIN!J25+TONT20000JUIL!J25+TONT20000AOUT!J25+TONT20000SEPT!J25+TONT20000OCT!J25+TONT20000NOV!K25</f>
        <v>30000</v>
      </c>
      <c r="V25" s="7">
        <f>TONT20000DEC2015!M25+TONT20000JANV!K25+TONT20000FEV!K25+TONT20000MARS!K25+TONT20000AVRIL!K25+TONT20000MAI!K25+TONT20000JUIN!K25+TONT20000JUIL!K25+TONT20000AOUT!K25+TONT20000SEPT!K25+TONT20000OCT!K25+TONT20000NOV!L25</f>
        <v>0</v>
      </c>
      <c r="W25" s="7">
        <f>TONT20000DEC2015!N25+TONT20000JANV!L25+TONT20000FEV!L25+TONT20000MARS!L25+TONT20000AVRIL!L25+TONT20000MAI!L25+TONT20000JUIN!L25+TONT20000JUIL!L25+TONT20000AOUT!L25+TONT20000SEPT!L25+TONT20000OCT!L25+TONT20000NOV!M25</f>
        <v>156000</v>
      </c>
      <c r="X25" s="7">
        <f>TONT20000DEC2015!O25+TONT20000JANV!M25+TONT20000FEV!M25+TONT20000MARS!M25+TONT20000AVRIL!M25+TONT20000MAI!M25+TONT20000JUIN!M25+TONT20000JUIL!M25+TONT20000AOUT!M25+TONT20000SEPT!M25+TONT20000OCT!M25+TONT20000NOV!N25</f>
        <v>240000</v>
      </c>
      <c r="Y25" s="7">
        <f>TONT20000DEC2015!P25+TONT20000JANV!N25+TONT20000FEV!N25+TONT20000MARS!N25+TONT20000AVRIL!N25+TONT20000MAI!N25+TONT20000JUIN!N25+TONT20000JUIL!N25+TONT20000AOUT!N25+TONT20000SEPT!N25+TONT20000OCT!N25+TONT20000NOV!O25</f>
        <v>7200</v>
      </c>
      <c r="Z25" s="7">
        <f>TONT20000DEC2015!Q25+TONT20000JANV!O25+TONT20000FEV!O25+TONT20000MARS!O25+TONT20000AVRIL!O25+TONT20000MAI!O25+TONT20000JUIN!O25+TONT20000JUIL!O25+TONT20000AOUT!O25+TONT20000SEPT!O25+TONT20000OCT!O25+TONT20000NOV!P25</f>
        <v>160000</v>
      </c>
      <c r="AA25" s="7">
        <f>TONT20000DEC2015!R25+TONT20000JANV!P25+TONT20000FEV!P25+TONT20000MARS!P25+TONT20000AVRIL!P25+TONT20000MAI!P25+TONT20000JUIN!P25+TONT20000JUIL!P25+TONT20000AOUT!P25+TONT20000SEPT!P25+TONT20000OCT!P25+TONT20000NOV!Q25</f>
        <v>0</v>
      </c>
      <c r="AB25" s="7">
        <f>TONT20000DEC2015!S25+TONT20000JANV!Q25+TONT20000FEV!Q25+TONT20000MARS!Q25+TONT20000AVRIL!Q25+TONT20000MAI!Q25+TONT20000JUIN!Q25+TONT20000JUIL!Q25+TONT20000AOUT!Q25+TONT20000SEPT!Q25+TONT20000OCT!Q25+TONT20000NOV!R25</f>
        <v>0</v>
      </c>
      <c r="AC25" s="7">
        <f>TONT20000DEC2015!T25+TONT20000JANV!R25+TONT20000FEV!R25+TONT20000MARS!R25+TONT20000AVRIL!R25+TONT20000MAI!R25+TONT20000JUIN!R25+TONT20000JUIL!R25+TONT20000AOUT!R25+TONT20000SEPT!R25+TONT20000OCT!R25+TONT20000NOV!S25</f>
        <v>0</v>
      </c>
      <c r="AD25" s="2"/>
    </row>
    <row r="26" spans="1:30" x14ac:dyDescent="0.25">
      <c r="A26" s="1" t="s">
        <v>31</v>
      </c>
      <c r="B26" s="1" t="str">
        <f>VLOOKUP(A26,LISTADHERENT!A$5:H$52,2,0)</f>
        <v>NANKAM APPOLINAIRE</v>
      </c>
      <c r="C26" s="6">
        <f>VLOOKUP(A26,FONDSDECAISSE!A$5:C$52,3,0)</f>
        <v>390000</v>
      </c>
      <c r="D26" s="6">
        <v>4411</v>
      </c>
      <c r="E26" s="6">
        <f t="shared" si="2"/>
        <v>2741</v>
      </c>
      <c r="F26" s="6">
        <f t="shared" si="0"/>
        <v>430411</v>
      </c>
      <c r="G26" s="6">
        <f>INT(TONT20000DEC2015!E26+TONT20000JANV!C26+TONT20000FEV!C26+TONT20000MARS!C26+TONT20000AVRIL!C26+TONT20000MAI!C26+TONT20000JUIN!C26+TONT20000JUIL!C26+TONT20000AOUT!C26+TONT20000SEPT!C26+TONT20000OCT!C26+TONT20000NOV!C26)</f>
        <v>48330</v>
      </c>
      <c r="H26" s="6">
        <f>TONT20000NOV!E26</f>
        <v>478741.98018371756</v>
      </c>
      <c r="I26" s="6">
        <f t="shared" si="1"/>
        <v>88741</v>
      </c>
      <c r="J26" s="6">
        <f t="shared" si="3"/>
        <v>80000</v>
      </c>
      <c r="K26" s="6">
        <f t="shared" si="4"/>
        <v>8741</v>
      </c>
      <c r="L26" s="6">
        <v>6000</v>
      </c>
      <c r="M26" s="6">
        <v>30000</v>
      </c>
      <c r="N26" s="6"/>
      <c r="O26" s="6">
        <v>50000</v>
      </c>
      <c r="P26" s="6">
        <f t="shared" si="5"/>
        <v>0</v>
      </c>
      <c r="Q26" s="7">
        <f>TONT20000DEC2015!H26+TONT20000JANV!F26+TONT20000FEV!F26+TONT20000MARS!F26+TONT20000AVRIL!F26+TONT20000MAI!F26+TONT20000JUIN!F26+TONT20000JUIL!F26+TONT20000AOUT!F26+TONT20000SEPT!F26+TONT20000OCT!F26+TONT20000NOV!G26</f>
        <v>240000</v>
      </c>
      <c r="R26" s="7">
        <f>TONT20000DEC2015!I26+TONT20000JANV!G26+TONT20000FEV!G26+TONT20000MARS!G26+TONT20000AVRIL!G26+TONT20000MAI!G26+TONT20000JUIN!G26+TONT20000JUIL!G26+TONT20000AOUT!G26+TONT20000SEPT!G26+TONT20000OCT!G26+TONT20000NOV!H26</f>
        <v>36000</v>
      </c>
      <c r="S26" s="7">
        <f>TONT20000DEC2015!J26+TONT20000JANV!H26+TONT20000FEV!H26+TONT20000MARS!H26+TONT20000AVRIL!H26+TONT20000MAI!H26+TONT20000JUIN!H26+TONT20000JUIL!H26+TONT20000AOUT!H26+TONT20000SEPT!H26+TONT20000OCT!H26+TONT20000NOV!I26</f>
        <v>6000</v>
      </c>
      <c r="T26" s="7">
        <f>TONT20000DEC2015!K26+TONT20000JANV!I26+TONT20000FEV!I26+TONT20000MARS!I26+TONT20000AVRIL!I26+TONT20000MAI!I26+TONT20000JUIN!I26+TONT20000JUIL!I26+TONT20000AOUT!I26+TONT20000SEPT!I26+TONT20000OCT!I26+TONT20000NOV!J26</f>
        <v>12000</v>
      </c>
      <c r="U26" s="7">
        <f>TONT20000DEC2015!L26+TONT20000JANV!J26+TONT20000FEV!J26+TONT20000MARS!J26+TONT20000AVRIL!J26+TONT20000MAI!J26+TONT20000JUIN!J26+TONT20000JUIL!J26+TONT20000AOUT!J26+TONT20000SEPT!J26+TONT20000OCT!J26+TONT20000NOV!K26</f>
        <v>30000</v>
      </c>
      <c r="V26" s="7">
        <f>TONT20000DEC2015!M26+TONT20000JANV!K26+TONT20000FEV!K26+TONT20000MARS!K26+TONT20000AVRIL!K26+TONT20000MAI!K26+TONT20000JUIN!K26+TONT20000JUIL!K26+TONT20000AOUT!K26+TONT20000SEPT!K26+TONT20000OCT!K26+TONT20000NOV!L26</f>
        <v>0</v>
      </c>
      <c r="W26" s="7">
        <f>TONT20000DEC2015!N26+TONT20000JANV!L26+TONT20000FEV!L26+TONT20000MARS!L26+TONT20000AVRIL!L26+TONT20000MAI!L26+TONT20000JUIN!L26+TONT20000JUIL!L26+TONT20000AOUT!L26+TONT20000SEPT!L26+TONT20000OCT!L26+TONT20000NOV!M26</f>
        <v>156000</v>
      </c>
      <c r="X26" s="7">
        <f>TONT20000DEC2015!O26+TONT20000JANV!M26+TONT20000FEV!M26+TONT20000MARS!M26+TONT20000AVRIL!M26+TONT20000MAI!M26+TONT20000JUIN!M26+TONT20000JUIL!M26+TONT20000AOUT!M26+TONT20000SEPT!M26+TONT20000OCT!M26+TONT20000NOV!N26</f>
        <v>1000000</v>
      </c>
      <c r="Y26" s="7">
        <f>TONT20000DEC2015!P26+TONT20000JANV!N26+TONT20000FEV!N26+TONT20000MARS!N26+TONT20000AVRIL!N26+TONT20000MAI!N26+TONT20000JUIN!N26+TONT20000JUIL!N26+TONT20000AOUT!N26+TONT20000SEPT!N26+TONT20000OCT!N26+TONT20000NOV!O26</f>
        <v>120000</v>
      </c>
      <c r="Z26" s="7">
        <f>TONT20000DEC2015!Q26+TONT20000JANV!O26+TONT20000FEV!O26+TONT20000MARS!O26+TONT20000AVRIL!O26+TONT20000MAI!O26+TONT20000JUIN!O26+TONT20000JUIL!O26+TONT20000AOUT!O26+TONT20000SEPT!O26+TONT20000OCT!O26+TONT20000NOV!P26</f>
        <v>0</v>
      </c>
      <c r="AA26" s="7">
        <f>TONT20000DEC2015!R26+TONT20000JANV!P26+TONT20000FEV!P26+TONT20000MARS!P26+TONT20000AVRIL!P26+TONT20000MAI!P26+TONT20000JUIN!P26+TONT20000JUIL!P26+TONT20000AOUT!P26+TONT20000SEPT!P26+TONT20000OCT!P26+TONT20000NOV!Q26</f>
        <v>0</v>
      </c>
      <c r="AB26" s="7">
        <f>TONT20000DEC2015!S26+TONT20000JANV!Q26+TONT20000FEV!Q26+TONT20000MARS!Q26+TONT20000AVRIL!Q26+TONT20000MAI!Q26+TONT20000JUIN!Q26+TONT20000JUIL!Q26+TONT20000AOUT!Q26+TONT20000SEPT!Q26+TONT20000OCT!Q26+TONT20000NOV!R26</f>
        <v>0</v>
      </c>
      <c r="AC26" s="7">
        <f>TONT20000DEC2015!T26+TONT20000JANV!R26+TONT20000FEV!R26+TONT20000MARS!R26+TONT20000AVRIL!R26+TONT20000MAI!R26+TONT20000JUIN!R26+TONT20000JUIL!R26+TONT20000AOUT!R26+TONT20000SEPT!R26+TONT20000OCT!R26+TONT20000NOV!S26</f>
        <v>0</v>
      </c>
      <c r="AD26" s="2"/>
    </row>
    <row r="27" spans="1:30" x14ac:dyDescent="0.25">
      <c r="A27" s="1" t="s">
        <v>32</v>
      </c>
      <c r="B27" s="1" t="str">
        <f>VLOOKUP(A27,LISTADHERENT!A$5:H$52,2,0)</f>
        <v>NDJOMO ETIENNE</v>
      </c>
      <c r="C27" s="6">
        <f>VLOOKUP(A27,FONDSDECAISSE!A$5:C$52,3,0)</f>
        <v>390000</v>
      </c>
      <c r="D27" s="6">
        <v>2060</v>
      </c>
      <c r="E27" s="6">
        <f t="shared" si="2"/>
        <v>2818</v>
      </c>
      <c r="F27" s="6">
        <f t="shared" si="0"/>
        <v>488060</v>
      </c>
      <c r="G27" s="6">
        <f>INT(TONT20000DEC2015!E27+TONT20000JANV!C27+TONT20000FEV!C27+TONT20000MARS!C27+TONT20000AVRIL!C27+TONT20000MAI!C27+TONT20000JUIN!C27+TONT20000JUIL!C27+TONT20000AOUT!C27+TONT20000SEPT!C27+TONT20000OCT!C27+TONT20000NOV!C27)</f>
        <v>52258</v>
      </c>
      <c r="H27" s="6">
        <f>TONT20000NOV!E27</f>
        <v>540318.20389561309</v>
      </c>
      <c r="I27" s="6">
        <f t="shared" si="1"/>
        <v>150318</v>
      </c>
      <c r="J27" s="6">
        <f t="shared" si="3"/>
        <v>80000</v>
      </c>
      <c r="K27" s="6">
        <f t="shared" si="4"/>
        <v>70318</v>
      </c>
      <c r="L27" s="6">
        <v>67500</v>
      </c>
      <c r="M27" s="6">
        <v>30000</v>
      </c>
      <c r="N27" s="6"/>
      <c r="O27" s="6">
        <v>50000</v>
      </c>
      <c r="P27" s="6">
        <f t="shared" si="5"/>
        <v>0</v>
      </c>
      <c r="Q27" s="7">
        <f>TONT20000DEC2015!H27+TONT20000JANV!F27+TONT20000FEV!F27+TONT20000MARS!F27+TONT20000AVRIL!F27+TONT20000MAI!F27+TONT20000JUIN!F27+TONT20000JUIL!F27+TONT20000AOUT!F27+TONT20000SEPT!F27+TONT20000OCT!F27+TONT20000NOV!G27</f>
        <v>300000</v>
      </c>
      <c r="R27" s="7">
        <f>TONT20000DEC2015!I27+TONT20000JANV!G27+TONT20000FEV!G27+TONT20000MARS!G27+TONT20000AVRIL!G27+TONT20000MAI!G27+TONT20000JUIN!G27+TONT20000JUIL!G27+TONT20000AOUT!G27+TONT20000SEPT!G27+TONT20000OCT!G27+TONT20000NOV!H27</f>
        <v>96000</v>
      </c>
      <c r="S27" s="7">
        <f>TONT20000DEC2015!J27+TONT20000JANV!H27+TONT20000FEV!H27+TONT20000MARS!H27+TONT20000AVRIL!H27+TONT20000MAI!H27+TONT20000JUIN!H27+TONT20000JUIL!H27+TONT20000AOUT!H27+TONT20000SEPT!H27+TONT20000OCT!H27+TONT20000NOV!I27</f>
        <v>6000</v>
      </c>
      <c r="T27" s="7">
        <f>TONT20000DEC2015!K27+TONT20000JANV!I27+TONT20000FEV!I27+TONT20000MARS!I27+TONT20000AVRIL!I27+TONT20000MAI!I27+TONT20000JUIN!I27+TONT20000JUIL!I27+TONT20000AOUT!I27+TONT20000SEPT!I27+TONT20000OCT!I27+TONT20000NOV!J27</f>
        <v>12000</v>
      </c>
      <c r="U27" s="7">
        <f>TONT20000DEC2015!L27+TONT20000JANV!J27+TONT20000FEV!J27+TONT20000MARS!J27+TONT20000AVRIL!J27+TONT20000MAI!J27+TONT20000JUIN!J27+TONT20000JUIL!J27+TONT20000AOUT!J27+TONT20000SEPT!J27+TONT20000OCT!J27+TONT20000NOV!K27</f>
        <v>30000</v>
      </c>
      <c r="V27" s="7">
        <f>TONT20000DEC2015!M27+TONT20000JANV!K27+TONT20000FEV!K27+TONT20000MARS!K27+TONT20000AVRIL!K27+TONT20000MAI!K27+TONT20000JUIN!K27+TONT20000JUIL!K27+TONT20000AOUT!K27+TONT20000SEPT!K27+TONT20000OCT!K27+TONT20000NOV!L27</f>
        <v>0</v>
      </c>
      <c r="W27" s="7">
        <f>TONT20000DEC2015!N27+TONT20000JANV!L27+TONT20000FEV!L27+TONT20000MARS!L27+TONT20000AVRIL!L27+TONT20000MAI!L27+TONT20000JUIN!L27+TONT20000JUIL!L27+TONT20000AOUT!L27+TONT20000SEPT!L27+TONT20000OCT!L27+TONT20000NOV!M27</f>
        <v>156000</v>
      </c>
      <c r="X27" s="7">
        <f>TONT20000DEC2015!O27+TONT20000JANV!M27+TONT20000FEV!M27+TONT20000MARS!M27+TONT20000AVRIL!M27+TONT20000MAI!M27+TONT20000JUIN!M27+TONT20000JUIL!M27+TONT20000AOUT!M27+TONT20000SEPT!M27+TONT20000OCT!M27+TONT20000NOV!N27</f>
        <v>1600000</v>
      </c>
      <c r="Y27" s="7">
        <f>TONT20000DEC2015!P27+TONT20000JANV!N27+TONT20000FEV!N27+TONT20000MARS!N27+TONT20000AVRIL!N27+TONT20000MAI!N27+TONT20000JUIN!N27+TONT20000JUIL!N27+TONT20000AOUT!N27+TONT20000SEPT!N27+TONT20000OCT!N27+TONT20000NOV!O27</f>
        <v>48000</v>
      </c>
      <c r="Z27" s="7">
        <f>TONT20000DEC2015!Q27+TONT20000JANV!O27+TONT20000FEV!O27+TONT20000MARS!O27+TONT20000AVRIL!O27+TONT20000MAI!O27+TONT20000JUIN!O27+TONT20000JUIL!O27+TONT20000AOUT!O27+TONT20000SEPT!O27+TONT20000OCT!O27+TONT20000NOV!P27</f>
        <v>1200000</v>
      </c>
      <c r="AA27" s="7">
        <f>TONT20000DEC2015!R27+TONT20000JANV!P27+TONT20000FEV!P27+TONT20000MARS!P27+TONT20000AVRIL!P27+TONT20000MAI!P27+TONT20000JUIN!P27+TONT20000JUIL!P27+TONT20000AOUT!P27+TONT20000SEPT!P27+TONT20000OCT!P27+TONT20000NOV!Q27</f>
        <v>0</v>
      </c>
      <c r="AB27" s="7">
        <f>TONT20000DEC2015!S27+TONT20000JANV!Q27+TONT20000FEV!Q27+TONT20000MARS!Q27+TONT20000AVRIL!Q27+TONT20000MAI!Q27+TONT20000JUIN!Q27+TONT20000JUIL!Q27+TONT20000AOUT!Q27+TONT20000SEPT!Q27+TONT20000OCT!Q27+TONT20000NOV!R27</f>
        <v>0</v>
      </c>
      <c r="AC27" s="7">
        <f>TONT20000DEC2015!T27+TONT20000JANV!R27+TONT20000FEV!R27+TONT20000MARS!R27+TONT20000AVRIL!R27+TONT20000MAI!R27+TONT20000JUIN!R27+TONT20000JUIL!R27+TONT20000AOUT!R27+TONT20000SEPT!R27+TONT20000OCT!R27+TONT20000NOV!S27</f>
        <v>0</v>
      </c>
      <c r="AD27" s="2"/>
    </row>
    <row r="28" spans="1:30" ht="0.75" customHeight="1" x14ac:dyDescent="0.25">
      <c r="A28" s="1" t="s">
        <v>33</v>
      </c>
      <c r="B28" s="1" t="str">
        <f>VLOOKUP(A28,LISTADHERENT!A$5:H$52,2,0)</f>
        <v>NDOMBOU JEAN CLAUDE</v>
      </c>
      <c r="C28" s="6">
        <f>VLOOKUP(A28,FONDSDECAISSE!A$5:C$52,3,0)</f>
        <v>0</v>
      </c>
      <c r="D28" s="6">
        <v>0</v>
      </c>
      <c r="E28" s="6">
        <f t="shared" si="2"/>
        <v>0</v>
      </c>
      <c r="F28" s="6">
        <f t="shared" si="0"/>
        <v>0</v>
      </c>
      <c r="G28" s="6">
        <f>INT(TONT20000DEC2015!E28+TONT20000JANV!C28+TONT20000FEV!C28+TONT20000MARS!C28+TONT20000AVRIL!C28+TONT20000MAI!C28+TONT20000JUIN!C28+TONT20000JUIL!C28+TONT20000AOUT!C28+TONT20000SEPT!C28+TONT20000OCT!C28+TONT20000NOV!C28)</f>
        <v>0</v>
      </c>
      <c r="H28" s="6">
        <f>TONT20000NOV!E28</f>
        <v>0</v>
      </c>
      <c r="I28" s="6">
        <f t="shared" si="1"/>
        <v>0</v>
      </c>
      <c r="J28" s="6">
        <f t="shared" si="3"/>
        <v>0</v>
      </c>
      <c r="K28" s="6">
        <f t="shared" si="4"/>
        <v>0</v>
      </c>
      <c r="L28" s="6"/>
      <c r="M28" s="6"/>
      <c r="N28" s="6"/>
      <c r="O28" s="6"/>
      <c r="P28" s="6"/>
      <c r="Q28" s="7">
        <f>TONT20000DEC2015!H28+TONT20000JANV!F28+TONT20000FEV!F28+TONT20000MARS!F28+TONT20000AVRIL!F28+TONT20000MAI!F28+TONT20000JUIN!F28+TONT20000JUIL!F28+TONT20000AOUT!F28+TONT20000SEPT!F28+TONT20000OCT!F28+TONT20000NOV!G28</f>
        <v>0</v>
      </c>
      <c r="R28" s="7">
        <f>TONT20000DEC2015!I28+TONT20000JANV!G28+TONT20000FEV!G28+TONT20000MARS!G28+TONT20000AVRIL!G28+TONT20000MAI!G28+TONT20000JUIN!G28+TONT20000JUIL!G28+TONT20000AOUT!G28+TONT20000SEPT!G28+TONT20000OCT!G28+TONT20000NOV!H28</f>
        <v>0</v>
      </c>
      <c r="S28" s="7">
        <f>TONT20000DEC2015!J28+TONT20000JANV!H28+TONT20000FEV!H28+TONT20000MARS!H28+TONT20000AVRIL!H28+TONT20000MAI!H28+TONT20000JUIN!H28+TONT20000JUIL!H28+TONT20000AOUT!H28+TONT20000SEPT!H28+TONT20000OCT!H28+TONT20000NOV!I28</f>
        <v>0</v>
      </c>
      <c r="T28" s="7">
        <f>TONT20000DEC2015!K28+TONT20000JANV!I28+TONT20000FEV!I28+TONT20000MARS!I28+TONT20000AVRIL!I28+TONT20000MAI!I28+TONT20000JUIN!I28+TONT20000JUIL!I28+TONT20000AOUT!I28+TONT20000SEPT!I28+TONT20000OCT!I28+TONT20000NOV!J28</f>
        <v>0</v>
      </c>
      <c r="U28" s="7">
        <f>TONT20000DEC2015!L28+TONT20000JANV!J28+TONT20000FEV!J28+TONT20000MARS!J28+TONT20000AVRIL!J28+TONT20000MAI!J28+TONT20000JUIN!J28+TONT20000JUIL!J28+TONT20000AOUT!J28+TONT20000SEPT!J28+TONT20000OCT!J28+TONT20000NOV!K28</f>
        <v>0</v>
      </c>
      <c r="V28" s="7">
        <f>TONT20000DEC2015!M28+TONT20000JANV!K28+TONT20000FEV!K28+TONT20000MARS!K28+TONT20000AVRIL!K28+TONT20000MAI!K28+TONT20000JUIN!K28+TONT20000JUIL!K28+TONT20000AOUT!K28+TONT20000SEPT!K28+TONT20000OCT!K28+TONT20000NOV!L28</f>
        <v>0</v>
      </c>
      <c r="W28" s="7">
        <f>TONT20000DEC2015!N28+TONT20000JANV!L28+TONT20000FEV!L28+TONT20000MARS!L28+TONT20000AVRIL!L28+TONT20000MAI!L28+TONT20000JUIN!L28+TONT20000JUIL!L28+TONT20000AOUT!L28+TONT20000SEPT!L28+TONT20000OCT!L28+TONT20000NOV!M28</f>
        <v>0</v>
      </c>
      <c r="X28" s="7">
        <f>TONT20000DEC2015!O28+TONT20000JANV!M28+TONT20000FEV!M28+TONT20000MARS!M28+TONT20000AVRIL!M28+TONT20000MAI!M28+TONT20000JUIN!M28+TONT20000JUIL!M28+TONT20000AOUT!M28+TONT20000SEPT!M28+TONT20000OCT!M28+TONT20000NOV!N28</f>
        <v>0</v>
      </c>
      <c r="Y28" s="7">
        <f>TONT20000DEC2015!P28+TONT20000JANV!N28+TONT20000FEV!N28+TONT20000MARS!N28+TONT20000AVRIL!N28+TONT20000MAI!N28+TONT20000JUIN!N28+TONT20000JUIL!N28+TONT20000AOUT!N28+TONT20000SEPT!N28+TONT20000OCT!N28+TONT20000NOV!O28</f>
        <v>0</v>
      </c>
      <c r="Z28" s="7">
        <f>TONT20000DEC2015!Q28+TONT20000JANV!O28+TONT20000FEV!O28+TONT20000MARS!O28+TONT20000AVRIL!O28+TONT20000MAI!O28+TONT20000JUIN!O28+TONT20000JUIL!O28+TONT20000AOUT!O28+TONT20000SEPT!O28+TONT20000OCT!O28+TONT20000NOV!P28</f>
        <v>0</v>
      </c>
      <c r="AA28" s="7">
        <f>TONT20000DEC2015!R28+TONT20000JANV!P28+TONT20000FEV!P28+TONT20000MARS!P28+TONT20000AVRIL!P28+TONT20000MAI!P28+TONT20000JUIN!P28+TONT20000JUIL!P28+TONT20000AOUT!P28+TONT20000SEPT!P28+TONT20000OCT!P28+TONT20000NOV!Q28</f>
        <v>0</v>
      </c>
      <c r="AB28" s="7">
        <f>TONT20000DEC2015!S28+TONT20000JANV!Q28+TONT20000FEV!Q28+TONT20000MARS!Q28+TONT20000AVRIL!Q28+TONT20000MAI!Q28+TONT20000JUIN!Q28+TONT20000JUIL!Q28+TONT20000AOUT!Q28+TONT20000SEPT!Q28+TONT20000OCT!Q28+TONT20000NOV!R28</f>
        <v>0</v>
      </c>
      <c r="AC28" s="7">
        <f>TONT20000DEC2015!T28+TONT20000JANV!R28+TONT20000FEV!R28+TONT20000MARS!R28+TONT20000AVRIL!R28+TONT20000MAI!R28+TONT20000JUIN!R28+TONT20000JUIL!R28+TONT20000AOUT!R28+TONT20000SEPT!R28+TONT20000OCT!R28+TONT20000NOV!S28</f>
        <v>0</v>
      </c>
      <c r="AD28" s="2"/>
    </row>
    <row r="29" spans="1:30" x14ac:dyDescent="0.25">
      <c r="A29" s="1" t="s">
        <v>34</v>
      </c>
      <c r="B29" s="1" t="str">
        <f>VLOOKUP(A29,LISTADHERENT!A$5:H$52,2,0)</f>
        <v>NGONDIEP CLAUDE</v>
      </c>
      <c r="C29" s="6">
        <f>VLOOKUP(A29,FONDSDECAISSE!A$5:C$52,3,0)</f>
        <v>390000</v>
      </c>
      <c r="D29" s="6">
        <v>179574</v>
      </c>
      <c r="E29" s="6">
        <f t="shared" si="2"/>
        <v>3250</v>
      </c>
      <c r="F29" s="6">
        <f t="shared" si="0"/>
        <v>605574</v>
      </c>
      <c r="G29" s="6">
        <f>INT(TONT20000DEC2015!E29+TONT20000JANV!C29+TONT20000FEV!C29+TONT20000MARS!C29+TONT20000AVRIL!C29+TONT20000MAI!C29+TONT20000JUIN!C29+TONT20000JUIL!C29+TONT20000AOUT!C29+TONT20000SEPT!C29+TONT20000OCT!C29+TONT20000NOV!C29)</f>
        <v>68676</v>
      </c>
      <c r="H29" s="6">
        <f>TONT20000NOV!E29</f>
        <v>674250.14808181231</v>
      </c>
      <c r="I29" s="6">
        <f t="shared" si="1"/>
        <v>284250</v>
      </c>
      <c r="J29" s="6">
        <f t="shared" si="3"/>
        <v>80000</v>
      </c>
      <c r="K29" s="6">
        <f t="shared" si="4"/>
        <v>204250</v>
      </c>
      <c r="L29" s="6">
        <v>201000</v>
      </c>
      <c r="M29" s="6">
        <v>30000</v>
      </c>
      <c r="N29" s="6"/>
      <c r="O29" s="6">
        <v>50000</v>
      </c>
      <c r="P29" s="6">
        <f t="shared" si="5"/>
        <v>0</v>
      </c>
      <c r="Q29" s="7">
        <f>TONT20000DEC2015!H29+TONT20000JANV!F29+TONT20000FEV!F29+TONT20000MARS!F29+TONT20000AVRIL!F29+TONT20000MAI!F29+TONT20000JUIN!F29+TONT20000JUIL!F29+TONT20000AOUT!F29+TONT20000SEPT!F29+TONT20000OCT!F29+TONT20000NOV!G29</f>
        <v>240000</v>
      </c>
      <c r="R29" s="7">
        <f>TONT20000DEC2015!I29+TONT20000JANV!G29+TONT20000FEV!G29+TONT20000MARS!G29+TONT20000AVRIL!G29+TONT20000MAI!G29+TONT20000JUIN!G29+TONT20000JUIL!G29+TONT20000AOUT!G29+TONT20000SEPT!G29+TONT20000OCT!G29+TONT20000NOV!H29</f>
        <v>36000</v>
      </c>
      <c r="S29" s="7">
        <f>TONT20000DEC2015!J29+TONT20000JANV!H29+TONT20000FEV!H29+TONT20000MARS!H29+TONT20000AVRIL!H29+TONT20000MAI!H29+TONT20000JUIN!H29+TONT20000JUIL!H29+TONT20000AOUT!H29+TONT20000SEPT!H29+TONT20000OCT!H29+TONT20000NOV!I29</f>
        <v>6000</v>
      </c>
      <c r="T29" s="7">
        <f>TONT20000DEC2015!K29+TONT20000JANV!I29+TONT20000FEV!I29+TONT20000MARS!I29+TONT20000AVRIL!I29+TONT20000MAI!I29+TONT20000JUIN!I29+TONT20000JUIL!I29+TONT20000AOUT!I29+TONT20000SEPT!I29+TONT20000OCT!I29+TONT20000NOV!J29</f>
        <v>12000</v>
      </c>
      <c r="U29" s="7">
        <f>TONT20000DEC2015!L29+TONT20000JANV!J29+TONT20000FEV!J29+TONT20000MARS!J29+TONT20000AVRIL!J29+TONT20000MAI!J29+TONT20000JUIN!J29+TONT20000JUIL!J29+TONT20000AOUT!J29+TONT20000SEPT!J29+TONT20000OCT!J29+TONT20000NOV!K29</f>
        <v>30000</v>
      </c>
      <c r="V29" s="7">
        <f>TONT20000DEC2015!M29+TONT20000JANV!K29+TONT20000FEV!K29+TONT20000MARS!K29+TONT20000AVRIL!K29+TONT20000MAI!K29+TONT20000JUIN!K29+TONT20000JUIL!K29+TONT20000AOUT!K29+TONT20000SEPT!K29+TONT20000OCT!K29+TONT20000NOV!L29</f>
        <v>0</v>
      </c>
      <c r="W29" s="7">
        <f>TONT20000DEC2015!N29+TONT20000JANV!L29+TONT20000FEV!L29+TONT20000MARS!L29+TONT20000AVRIL!L29+TONT20000MAI!L29+TONT20000JUIN!L29+TONT20000JUIL!L29+TONT20000AOUT!L29+TONT20000SEPT!L29+TONT20000OCT!L29+TONT20000NOV!M29</f>
        <v>156000</v>
      </c>
      <c r="X29" s="7">
        <f>TONT20000DEC2015!O29+TONT20000JANV!M29+TONT20000FEV!M29+TONT20000MARS!M29+TONT20000AVRIL!M29+TONT20000MAI!M29+TONT20000JUIN!M29+TONT20000JUIL!M29+TONT20000AOUT!M29+TONT20000SEPT!M29+TONT20000OCT!M29+TONT20000NOV!N29</f>
        <v>0</v>
      </c>
      <c r="Y29" s="7">
        <f>TONT20000DEC2015!P29+TONT20000JANV!N29+TONT20000FEV!N29+TONT20000MARS!N29+TONT20000AVRIL!N29+TONT20000MAI!N29+TONT20000JUIN!N29+TONT20000JUIL!N29+TONT20000AOUT!N29+TONT20000SEPT!N29+TONT20000OCT!N29+TONT20000NOV!O29</f>
        <v>0</v>
      </c>
      <c r="Z29" s="7">
        <f>TONT20000DEC2015!Q29+TONT20000JANV!O29+TONT20000FEV!O29+TONT20000MARS!O29+TONT20000AVRIL!O29+TONT20000MAI!O29+TONT20000JUIN!O29+TONT20000JUIL!O29+TONT20000AOUT!O29+TONT20000SEPT!O29+TONT20000OCT!O29+TONT20000NOV!P29</f>
        <v>0</v>
      </c>
      <c r="AA29" s="7">
        <f>TONT20000DEC2015!R29+TONT20000JANV!P29+TONT20000FEV!P29+TONT20000MARS!P29+TONT20000AVRIL!P29+TONT20000MAI!P29+TONT20000JUIN!P29+TONT20000JUIL!P29+TONT20000AOUT!P29+TONT20000SEPT!P29+TONT20000OCT!P29+TONT20000NOV!Q29</f>
        <v>0</v>
      </c>
      <c r="AB29" s="7">
        <f>TONT20000DEC2015!S29+TONT20000JANV!Q29+TONT20000FEV!Q29+TONT20000MARS!Q29+TONT20000AVRIL!Q29+TONT20000MAI!Q29+TONT20000JUIN!Q29+TONT20000JUIL!Q29+TONT20000AOUT!Q29+TONT20000SEPT!Q29+TONT20000OCT!Q29+TONT20000NOV!R29</f>
        <v>0</v>
      </c>
      <c r="AC29" s="7">
        <f>TONT20000DEC2015!T29+TONT20000JANV!R29+TONT20000FEV!R29+TONT20000MARS!R29+TONT20000AVRIL!R29+TONT20000MAI!R29+TONT20000JUIN!R29+TONT20000JUIL!R29+TONT20000AOUT!R29+TONT20000SEPT!R29+TONT20000OCT!R29+TONT20000NOV!S29</f>
        <v>0</v>
      </c>
      <c r="AD29" s="2"/>
    </row>
    <row r="30" spans="1:30" x14ac:dyDescent="0.25">
      <c r="A30" s="1" t="s">
        <v>35</v>
      </c>
      <c r="B30" s="1" t="str">
        <f>VLOOKUP(A30,LISTADHERENT!A$5:H$52,2,0)</f>
        <v>NGONGANG JEAN THEODORE</v>
      </c>
      <c r="C30" s="6">
        <f>VLOOKUP(A30,FONDSDECAISSE!A$5:C$52,3,0)</f>
        <v>0</v>
      </c>
      <c r="D30" s="6">
        <v>0</v>
      </c>
      <c r="E30" s="6">
        <f t="shared" si="2"/>
        <v>106</v>
      </c>
      <c r="F30" s="6">
        <f t="shared" si="0"/>
        <v>17782</v>
      </c>
      <c r="G30" s="6">
        <f>INT(TONT20000DEC2015!E30+TONT20000JANV!C30+TONT20000FEV!C30+TONT20000MARS!C30+TONT20000AVRIL!C30+TONT20000MAI!C30+TONT20000JUIN!C30+TONT20000JUIL!C30+TONT20000AOUT!C30+TONT20000SEPT!C30+TONT20000OCT!C30+TONT20000NOV!C30)</f>
        <v>2520</v>
      </c>
      <c r="H30" s="6">
        <f>TONT20000NOV!E30</f>
        <v>38520.175299949828</v>
      </c>
      <c r="I30" s="6">
        <f t="shared" si="1"/>
        <v>20302</v>
      </c>
      <c r="J30" s="6">
        <f t="shared" si="3"/>
        <v>20196</v>
      </c>
      <c r="K30" s="6">
        <f t="shared" si="4"/>
        <v>106</v>
      </c>
      <c r="L30" s="6">
        <v>0</v>
      </c>
      <c r="M30" s="6"/>
      <c r="N30" s="6"/>
      <c r="O30" s="6">
        <f>50000-29804</f>
        <v>20196</v>
      </c>
      <c r="P30" s="6">
        <f t="shared" si="5"/>
        <v>0</v>
      </c>
      <c r="Q30" s="7">
        <f>TONT20000DEC2015!H30+TONT20000JANV!F30+TONT20000FEV!F30+TONT20000MARS!F30+TONT20000AVRIL!F30+TONT20000MAI!F30+TONT20000JUIN!F30+TONT20000JUIL!F30+TONT20000AOUT!F30+TONT20000SEPT!F30+TONT20000OCT!F30+TONT20000NOV!G30</f>
        <v>240000</v>
      </c>
      <c r="R30" s="7">
        <f>TONT20000DEC2015!I30+TONT20000JANV!G30+TONT20000FEV!G30+TONT20000MARS!G30+TONT20000AVRIL!G30+TONT20000MAI!G30+TONT20000JUIN!G30+TONT20000JUIL!G30+TONT20000AOUT!G30+TONT20000SEPT!G30+TONT20000OCT!G30+TONT20000NOV!H30-18218</f>
        <v>17782</v>
      </c>
      <c r="S30" s="7">
        <f>TONT20000DEC2015!J30+TONT20000JANV!H30+TONT20000FEV!H30+TONT20000MARS!H30+TONT20000AVRIL!H30+TONT20000MAI!H30+TONT20000JUIN!H30+TONT20000JUIL!H30+TONT20000AOUT!H30+TONT20000SEPT!H30+TONT20000OCT!H30+TONT20000NOV!I30</f>
        <v>6000</v>
      </c>
      <c r="T30" s="7">
        <f>TONT20000DEC2015!K30+TONT20000JANV!I30+TONT20000FEV!I30+TONT20000MARS!I30+TONT20000AVRIL!I30+TONT20000MAI!I30+TONT20000JUIN!I30+TONT20000JUIL!I30+TONT20000AOUT!I30+TONT20000SEPT!I30+TONT20000OCT!I30+TONT20000NOV!J30</f>
        <v>12000</v>
      </c>
      <c r="U30" s="7">
        <f>TONT20000DEC2015!L30+TONT20000JANV!J30+TONT20000FEV!J30+TONT20000MARS!J30+TONT20000AVRIL!J30+TONT20000MAI!J30+TONT20000JUIN!J30+TONT20000JUIL!J30+TONT20000AOUT!J30+TONT20000SEPT!J30+TONT20000OCT!J30+TONT20000NOV!K30</f>
        <v>30000</v>
      </c>
      <c r="V30" s="7">
        <f>TONT20000DEC2015!M30+TONT20000JANV!K30+TONT20000FEV!K30+TONT20000MARS!K30+TONT20000AVRIL!K30+TONT20000MAI!K30+TONT20000JUIN!K30+TONT20000JUIL!K30+TONT20000AOUT!K30+TONT20000SEPT!K30+TONT20000OCT!K30+TONT20000NOV!L30</f>
        <v>0</v>
      </c>
      <c r="W30" s="7">
        <f>TONT20000DEC2015!N30+TONT20000JANV!L30+TONT20000FEV!L30+TONT20000MARS!L30+TONT20000AVRIL!L30+TONT20000MAI!L30+TONT20000JUIN!L30+TONT20000JUIL!L30+TONT20000AOUT!L30+TONT20000SEPT!L30+TONT20000OCT!L30+TONT20000NOV!M30</f>
        <v>156000</v>
      </c>
      <c r="X30" s="7">
        <f>TONT20000DEC2015!O30+TONT20000JANV!M30+TONT20000FEV!M30+TONT20000MARS!M30+TONT20000AVRIL!M30+TONT20000MAI!M30+TONT20000JUIN!M30+TONT20000JUIL!M30+TONT20000AOUT!M30+TONT20000SEPT!M30+TONT20000OCT!M30+TONT20000NOV!N30</f>
        <v>0</v>
      </c>
      <c r="Y30" s="7">
        <f>TONT20000DEC2015!P30+TONT20000JANV!N30+TONT20000FEV!N30+TONT20000MARS!N30+TONT20000AVRIL!N30+TONT20000MAI!N30+TONT20000JUIN!N30+TONT20000JUIL!N30+TONT20000AOUT!N30+TONT20000SEPT!N30+TONT20000OCT!N30+TONT20000NOV!O30</f>
        <v>0</v>
      </c>
      <c r="Z30" s="7">
        <f>TONT20000DEC2015!Q30+TONT20000JANV!O30+TONT20000FEV!O30+TONT20000MARS!O30+TONT20000AVRIL!O30+TONT20000MAI!O30+TONT20000JUIN!O30+TONT20000JUIL!O30+TONT20000AOUT!O30+TONT20000SEPT!O30+TONT20000OCT!O30+TONT20000NOV!P30</f>
        <v>0</v>
      </c>
      <c r="AA30" s="7">
        <f>TONT20000DEC2015!R30+TONT20000JANV!P30+TONT20000FEV!P30+TONT20000MARS!P30+TONT20000AVRIL!P30+TONT20000MAI!P30+TONT20000JUIN!P30+TONT20000JUIL!P30+TONT20000AOUT!P30+TONT20000SEPT!P30+TONT20000OCT!P30+TONT20000NOV!Q30</f>
        <v>0</v>
      </c>
      <c r="AB30" s="7">
        <f>TONT20000DEC2015!S30+TONT20000JANV!Q30+TONT20000FEV!Q30+TONT20000MARS!Q30+TONT20000AVRIL!Q30+TONT20000MAI!Q30+TONT20000JUIN!Q30+TONT20000JUIL!Q30+TONT20000AOUT!Q30+TONT20000SEPT!Q30+TONT20000OCT!Q30+TONT20000NOV!R30</f>
        <v>0</v>
      </c>
      <c r="AC30" s="7">
        <f>TONT20000DEC2015!T30+TONT20000JANV!R30+TONT20000FEV!R30+TONT20000MARS!R30+TONT20000AVRIL!R30+TONT20000MAI!R30+TONT20000JUIN!R30+TONT20000JUIL!R30+TONT20000AOUT!R30+TONT20000SEPT!R30+TONT20000OCT!R30+TONT20000NOV!S30</f>
        <v>0</v>
      </c>
      <c r="AD30" s="2"/>
    </row>
    <row r="31" spans="1:30" x14ac:dyDescent="0.25">
      <c r="A31" s="1" t="s">
        <v>36</v>
      </c>
      <c r="B31" s="1" t="str">
        <f>VLOOKUP(A31,LISTADHERENT!A$5:H$52,2,0)</f>
        <v>NGUIEMEGNI MATHIEU BLAISE</v>
      </c>
      <c r="C31" s="6">
        <v>390000</v>
      </c>
      <c r="D31" s="6">
        <v>0</v>
      </c>
      <c r="E31" s="6">
        <f t="shared" si="2"/>
        <v>565188</v>
      </c>
      <c r="F31" s="6">
        <f t="shared" si="0"/>
        <v>945945</v>
      </c>
      <c r="G31" s="6">
        <f>INT(TONT20000DEC2015!E31+TONT20000JANV!C31+TONT20000FEV!C31+TONT20000MARS!C31+TONT20000AVRIL!C31+TONT20000MAI!C31+TONT20000JUIN!C31+TONT20000JUIL!C31+TONT20000AOUT!C31+TONT20000SEPT!C31+TONT20000OCT!C31+TONT20000NOV!C31)</f>
        <v>39243</v>
      </c>
      <c r="H31" s="6">
        <f>TONT20000NOV!E31</f>
        <v>985188.08962026308</v>
      </c>
      <c r="I31" s="6">
        <f t="shared" si="1"/>
        <v>595188</v>
      </c>
      <c r="J31" s="6">
        <f t="shared" si="3"/>
        <v>30000</v>
      </c>
      <c r="K31" s="6">
        <f t="shared" si="4"/>
        <v>565188</v>
      </c>
      <c r="L31" s="6">
        <v>0</v>
      </c>
      <c r="M31" s="6">
        <v>30000</v>
      </c>
      <c r="N31" s="6"/>
      <c r="O31" s="6">
        <v>0</v>
      </c>
      <c r="P31" s="6">
        <f t="shared" si="5"/>
        <v>0</v>
      </c>
      <c r="Q31" s="7">
        <f>TONT20000DEC2015!H31+TONT20000JANV!F31+TONT20000FEV!F31+TONT20000MARS!F31+TONT20000AVRIL!F31+TONT20000MAI!F31+TONT20000JUIN!F31+TONT20000JUIL!F31+TONT20000AOUT!F31+TONT20000SEPT!F31+TONT20000OCT!F31+TONT20000NOV!G31</f>
        <v>860000</v>
      </c>
      <c r="R31" s="7">
        <f>TONT20000DEC2015!I31+TONT20000JANV!G31+TONT20000FEV!G31+TONT20000MARS!G31+TONT20000AVRIL!G31+TONT20000MAI!G31+TONT20000JUIN!G31+TONT20000JUIL!G31+TONT20000AOUT!G31+TONT20000SEPT!G31+TONT20000OCT!G31+TONT20000NOV!H31</f>
        <v>555945</v>
      </c>
      <c r="S31" s="7">
        <f>TONT20000DEC2015!J31+TONT20000JANV!H31+TONT20000FEV!H31+TONT20000MARS!H31+TONT20000AVRIL!H31+TONT20000MAI!H31+TONT20000JUIN!H31+TONT20000JUIL!H31+TONT20000AOUT!H31+TONT20000SEPT!H31+TONT20000OCT!H31+TONT20000NOV!I31</f>
        <v>6000</v>
      </c>
      <c r="T31" s="7">
        <f>TONT20000DEC2015!K31+TONT20000JANV!I31+TONT20000FEV!I31+TONT20000MARS!I31+TONT20000AVRIL!I31+TONT20000MAI!I31+TONT20000JUIN!I31+TONT20000JUIL!I31+TONT20000AOUT!I31+TONT20000SEPT!I31+TONT20000OCT!I31+TONT20000NOV!J31</f>
        <v>12000</v>
      </c>
      <c r="U31" s="7">
        <f>TONT20000DEC2015!L31+TONT20000JANV!J31+TONT20000FEV!J31+TONT20000MARS!J31+TONT20000AVRIL!J31+TONT20000MAI!J31+TONT20000JUIN!J31+TONT20000JUIL!J31+TONT20000AOUT!J31+TONT20000SEPT!J31+TONT20000OCT!J31+TONT20000NOV!K31</f>
        <v>30000</v>
      </c>
      <c r="V31" s="7">
        <f>TONT20000DEC2015!M31+TONT20000JANV!K31+TONT20000FEV!K31+TONT20000MARS!K31+TONT20000AVRIL!K31+TONT20000MAI!K31+TONT20000JUIN!K31+TONT20000JUIL!K31+TONT20000AOUT!K31+TONT20000SEPT!K31+TONT20000OCT!K31+TONT20000NOV!L31</f>
        <v>50000</v>
      </c>
      <c r="W31" s="7">
        <f>TONT20000DEC2015!N31+TONT20000JANV!L31+TONT20000FEV!L31+TONT20000MARS!L31+TONT20000AVRIL!L31+TONT20000MAI!L31+TONT20000JUIN!L31+TONT20000JUIL!L31+TONT20000AOUT!L31+TONT20000SEPT!L31+TONT20000OCT!L31+TONT20000NOV!M31</f>
        <v>156000</v>
      </c>
      <c r="X31" s="7">
        <f>TONT20000DEC2015!O31+TONT20000JANV!M31+TONT20000FEV!M31+TONT20000MARS!M31+TONT20000AVRIL!M31+TONT20000MAI!M31+TONT20000JUIN!M31+TONT20000JUIL!M31+TONT20000AOUT!M31+TONT20000SEPT!M31+TONT20000OCT!M31+TONT20000NOV!N31</f>
        <v>0</v>
      </c>
      <c r="Y31" s="7">
        <f>TONT20000DEC2015!P31+TONT20000JANV!N31+TONT20000FEV!N31+TONT20000MARS!N31+TONT20000AVRIL!N31+TONT20000MAI!N31+TONT20000JUIN!N31+TONT20000JUIL!N31+TONT20000AOUT!N31+TONT20000SEPT!N31+TONT20000OCT!N31+TONT20000NOV!O31</f>
        <v>0</v>
      </c>
      <c r="Z31" s="7">
        <f>TONT20000DEC2015!Q31+TONT20000JANV!O31+TONT20000FEV!O31+TONT20000MARS!O31+TONT20000AVRIL!O31+TONT20000MAI!O31+TONT20000JUIN!O31+TONT20000JUIL!O31+TONT20000AOUT!O31+TONT20000SEPT!O31+TONT20000OCT!O31+TONT20000NOV!P31</f>
        <v>0</v>
      </c>
      <c r="AA31" s="7">
        <f>TONT20000DEC2015!R31+TONT20000JANV!P31+TONT20000FEV!P31+TONT20000MARS!P31+TONT20000AVRIL!P31+TONT20000MAI!P31+TONT20000JUIN!P31+TONT20000JUIL!P31+TONT20000AOUT!P31+TONT20000SEPT!P31+TONT20000OCT!P31+TONT20000NOV!Q31</f>
        <v>0</v>
      </c>
      <c r="AB31" s="7">
        <f>TONT20000DEC2015!S31+TONT20000JANV!Q31+TONT20000FEV!Q31+TONT20000MARS!Q31+TONT20000AVRIL!Q31+TONT20000MAI!Q31+TONT20000JUIN!Q31+TONT20000JUIL!Q31+TONT20000AOUT!Q31+TONT20000SEPT!Q31+TONT20000OCT!Q31+TONT20000NOV!R31</f>
        <v>50055</v>
      </c>
      <c r="AC31" s="7">
        <f>TONT20000DEC2015!T31+TONT20000JANV!R31+TONT20000FEV!R31+TONT20000MARS!R31+TONT20000AVRIL!R31+TONT20000MAI!R31+TONT20000JUIN!R31+TONT20000JUIL!R31+TONT20000AOUT!R31+TONT20000SEPT!R31+TONT20000OCT!R31+TONT20000NOV!S31</f>
        <v>0</v>
      </c>
      <c r="AD31" s="2"/>
    </row>
    <row r="32" spans="1:30" x14ac:dyDescent="0.25">
      <c r="A32" s="1" t="s">
        <v>37</v>
      </c>
      <c r="B32" s="1" t="str">
        <f>VLOOKUP(A32,LISTADHERENT!A$5:H$52,2,0)</f>
        <v>NJEPDJIO MBOUKAM DELUXE</v>
      </c>
      <c r="C32" s="6">
        <f>VLOOKUP(A32,FONDSDECAISSE!A$5:C$52,3,0)</f>
        <v>390000</v>
      </c>
      <c r="D32" s="6">
        <v>1734</v>
      </c>
      <c r="E32" s="6">
        <f t="shared" si="2"/>
        <v>2773</v>
      </c>
      <c r="F32" s="6">
        <f t="shared" si="0"/>
        <v>443734</v>
      </c>
      <c r="G32" s="6">
        <f>INT(TONT20000DEC2015!E32+TONT20000JANV!C32+TONT20000FEV!C32+TONT20000MARS!C32+TONT20000AVRIL!C32+TONT20000MAI!C32+TONT20000JUIN!C32+TONT20000JUIL!C32+TONT20000AOUT!C32+TONT20000SEPT!C32+TONT20000OCT!C32+TONT20000NOV!C32)</f>
        <v>49539</v>
      </c>
      <c r="H32" s="6">
        <f>TONT20000NOV!E32</f>
        <v>493273.71322255593</v>
      </c>
      <c r="I32" s="6">
        <f t="shared" si="1"/>
        <v>103273</v>
      </c>
      <c r="J32" s="6">
        <f t="shared" si="3"/>
        <v>80000</v>
      </c>
      <c r="K32" s="6">
        <f t="shared" si="4"/>
        <v>23273</v>
      </c>
      <c r="L32" s="6">
        <v>20500</v>
      </c>
      <c r="M32" s="6">
        <v>30000</v>
      </c>
      <c r="N32" s="6"/>
      <c r="O32" s="6">
        <v>50000</v>
      </c>
      <c r="P32" s="6">
        <f t="shared" si="5"/>
        <v>0</v>
      </c>
      <c r="Q32" s="7">
        <f>TONT20000DEC2015!H32+TONT20000JANV!F32+TONT20000FEV!F32+TONT20000MARS!F32+TONT20000AVRIL!F32+TONT20000MAI!F32+TONT20000JUIN!F32+TONT20000JUIL!F32+TONT20000AOUT!F32+TONT20000SEPT!F32+TONT20000OCT!F32+TONT20000NOV!G32</f>
        <v>256000</v>
      </c>
      <c r="R32" s="7">
        <f>TONT20000DEC2015!I32+TONT20000JANV!G32+TONT20000FEV!G32+TONT20000MARS!G32+TONT20000AVRIL!G32+TONT20000MAI!G32+TONT20000JUIN!G32+TONT20000JUIL!G32+TONT20000AOUT!G32+TONT20000SEPT!G32+TONT20000OCT!G32+TONT20000NOV!H32</f>
        <v>52000</v>
      </c>
      <c r="S32" s="7">
        <f>TONT20000DEC2015!J32+TONT20000JANV!H32+TONT20000FEV!H32+TONT20000MARS!H32+TONT20000AVRIL!H32+TONT20000MAI!H32+TONT20000JUIN!H32+TONT20000JUIL!H32+TONT20000AOUT!H32+TONT20000SEPT!H32+TONT20000OCT!H32+TONT20000NOV!I32</f>
        <v>6000</v>
      </c>
      <c r="T32" s="7">
        <f>TONT20000DEC2015!K32+TONT20000JANV!I32+TONT20000FEV!I32+TONT20000MARS!I32+TONT20000AVRIL!I32+TONT20000MAI!I32+TONT20000JUIN!I32+TONT20000JUIL!I32+TONT20000AOUT!I32+TONT20000SEPT!I32+TONT20000OCT!I32+TONT20000NOV!J32</f>
        <v>12000</v>
      </c>
      <c r="U32" s="7">
        <f>TONT20000DEC2015!L32+TONT20000JANV!J32+TONT20000FEV!J32+TONT20000MARS!J32+TONT20000AVRIL!J32+TONT20000MAI!J32+TONT20000JUIN!J32+TONT20000JUIL!J32+TONT20000AOUT!J32+TONT20000SEPT!J32+TONT20000OCT!J32+TONT20000NOV!K32</f>
        <v>30000</v>
      </c>
      <c r="V32" s="7">
        <f>TONT20000DEC2015!M32+TONT20000JANV!K32+TONT20000FEV!K32+TONT20000MARS!K32+TONT20000AVRIL!K32+TONT20000MAI!K32+TONT20000JUIN!K32+TONT20000JUIL!K32+TONT20000AOUT!K32+TONT20000SEPT!K32+TONT20000OCT!K32+TONT20000NOV!L32</f>
        <v>0</v>
      </c>
      <c r="W32" s="7">
        <f>TONT20000DEC2015!N32+TONT20000JANV!L32+TONT20000FEV!L32+TONT20000MARS!L32+TONT20000AVRIL!L32+TONT20000MAI!L32+TONT20000JUIN!L32+TONT20000JUIL!L32+TONT20000AOUT!L32+TONT20000SEPT!L32+TONT20000OCT!L32+TONT20000NOV!M32</f>
        <v>156000</v>
      </c>
      <c r="X32" s="7">
        <f>TONT20000DEC2015!O32+TONT20000JANV!M32+TONT20000FEV!M32+TONT20000MARS!M32+TONT20000AVRIL!M32+TONT20000MAI!M32+TONT20000JUIN!M32+TONT20000JUIL!M32+TONT20000AOUT!M32+TONT20000SEPT!M32+TONT20000OCT!M32+TONT20000NOV!N32</f>
        <v>2000000</v>
      </c>
      <c r="Y32" s="7">
        <f>TONT20000DEC2015!P32+TONT20000JANV!N32+TONT20000FEV!N32+TONT20000MARS!N32+TONT20000AVRIL!N32+TONT20000MAI!N32+TONT20000JUIN!N32+TONT20000JUIL!N32+TONT20000AOUT!N32+TONT20000SEPT!N32+TONT20000OCT!N32+TONT20000NOV!O32</f>
        <v>150000</v>
      </c>
      <c r="Z32" s="7">
        <f>TONT20000DEC2015!Q32+TONT20000JANV!O32+TONT20000FEV!O32+TONT20000MARS!O32+TONT20000AVRIL!O32+TONT20000MAI!O32+TONT20000JUIN!O32+TONT20000JUIL!O32+TONT20000AOUT!O32+TONT20000SEPT!O32+TONT20000OCT!O32+TONT20000NOV!P32</f>
        <v>1000000</v>
      </c>
      <c r="AA32" s="7">
        <f>TONT20000DEC2015!R32+TONT20000JANV!P32+TONT20000FEV!P32+TONT20000MARS!P32+TONT20000AVRIL!P32+TONT20000MAI!P32+TONT20000JUIN!P32+TONT20000JUIL!P32+TONT20000AOUT!P32+TONT20000SEPT!P32+TONT20000OCT!P32+TONT20000NOV!Q32</f>
        <v>0</v>
      </c>
      <c r="AB32" s="7">
        <f>TONT20000DEC2015!S32+TONT20000JANV!Q32+TONT20000FEV!Q32+TONT20000MARS!Q32+TONT20000AVRIL!Q32+TONT20000MAI!Q32+TONT20000JUIN!Q32+TONT20000JUIL!Q32+TONT20000AOUT!Q32+TONT20000SEPT!Q32+TONT20000OCT!Q32+TONT20000NOV!R32</f>
        <v>0</v>
      </c>
      <c r="AC32" s="7">
        <f>TONT20000DEC2015!T32+TONT20000JANV!R32+TONT20000FEV!R32+TONT20000MARS!R32+TONT20000AVRIL!R32+TONT20000MAI!R32+TONT20000JUIN!R32+TONT20000JUIL!R32+TONT20000AOUT!R32+TONT20000SEPT!R32+TONT20000OCT!R32+TONT20000NOV!S32</f>
        <v>0</v>
      </c>
      <c r="AD32" s="2"/>
    </row>
    <row r="33" spans="1:30" x14ac:dyDescent="0.25">
      <c r="A33" s="1" t="s">
        <v>38</v>
      </c>
      <c r="B33" s="1" t="str">
        <f>VLOOKUP(A33,LISTADHERENT!A$5:H$52,2,0)</f>
        <v>NKAMGANG JUSTIN DEJOLIE</v>
      </c>
      <c r="C33" s="6">
        <v>372800</v>
      </c>
      <c r="D33" s="6">
        <v>0</v>
      </c>
      <c r="E33" s="6">
        <f t="shared" si="2"/>
        <v>14208</v>
      </c>
      <c r="F33" s="6">
        <f t="shared" si="0"/>
        <v>444800</v>
      </c>
      <c r="G33" s="6">
        <f>INT(TONT20000DEC2015!E33+TONT20000JANV!C33+TONT20000FEV!C33+TONT20000MARS!C33+TONT20000AVRIL!C33+TONT20000MAI!C33+TONT20000JUIN!C33+TONT20000JUIL!C33+TONT20000AOUT!C33+TONT20000SEPT!C33+TONT20000OCT!C33+TONT20000NOV!C33)</f>
        <v>22208</v>
      </c>
      <c r="H33" s="6">
        <f>TONT20000NOV!E33</f>
        <v>539008.01502058154</v>
      </c>
      <c r="I33" s="6">
        <f t="shared" si="1"/>
        <v>94208</v>
      </c>
      <c r="J33" s="6">
        <f t="shared" si="3"/>
        <v>80000</v>
      </c>
      <c r="K33" s="6">
        <f t="shared" si="4"/>
        <v>14208</v>
      </c>
      <c r="L33" s="6">
        <v>0</v>
      </c>
      <c r="M33" s="6">
        <v>30000</v>
      </c>
      <c r="N33" s="6"/>
      <c r="O33" s="6">
        <v>50000</v>
      </c>
      <c r="P33" s="6">
        <f t="shared" si="5"/>
        <v>0</v>
      </c>
      <c r="Q33" s="7">
        <f>TONT20000DEC2015!H33+TONT20000JANV!F33+TONT20000FEV!F33+TONT20000MARS!F33+TONT20000AVRIL!F33+TONT20000MAI!F33+TONT20000JUIN!F33+TONT20000JUIL!F33+TONT20000AOUT!F33+TONT20000SEPT!F33+TONT20000OCT!F33+TONT20000NOV!G33</f>
        <v>648800</v>
      </c>
      <c r="R33" s="7">
        <f>TONT20000DEC2015!I33+TONT20000JANV!G33+TONT20000FEV!G33+TONT20000MARS!G33+TONT20000AVRIL!G33+TONT20000MAI!G33+TONT20000JUIN!G33+TONT20000JUIL!G33+TONT20000AOUT!G33+TONT20000SEPT!G33+TONT20000OCT!G33+TONT20000NOV!H33-372800</f>
        <v>72000</v>
      </c>
      <c r="S33" s="7">
        <f>TONT20000DEC2015!J33+TONT20000JANV!H33+TONT20000FEV!H33+TONT20000MARS!H33+TONT20000AVRIL!H33+TONT20000MAI!H33+TONT20000JUIN!H33+TONT20000JUIL!H33+TONT20000AOUT!H33+TONT20000SEPT!H33+TONT20000OCT!H33+TONT20000NOV!I33</f>
        <v>6000</v>
      </c>
      <c r="T33" s="7">
        <f>TONT20000DEC2015!K33+TONT20000JANV!I33+TONT20000FEV!I33+TONT20000MARS!I33+TONT20000AVRIL!I33+TONT20000MAI!I33+TONT20000JUIN!I33+TONT20000JUIL!I33+TONT20000AOUT!I33+TONT20000SEPT!I33+TONT20000OCT!I33+TONT20000NOV!J33</f>
        <v>12000</v>
      </c>
      <c r="U33" s="7">
        <f>TONT20000DEC2015!L33+TONT20000JANV!J33+TONT20000FEV!J33+TONT20000MARS!J33+TONT20000AVRIL!J33+TONT20000MAI!J33+TONT20000JUIN!J33+TONT20000JUIL!J33+TONT20000AOUT!J33+TONT20000SEPT!J33+TONT20000OCT!J33+TONT20000NOV!K33</f>
        <v>30000</v>
      </c>
      <c r="V33" s="7">
        <f>TONT20000DEC2015!M33+TONT20000JANV!K33+TONT20000FEV!K33+TONT20000MARS!K33+TONT20000AVRIL!K33+TONT20000MAI!K33+TONT20000JUIN!K33+TONT20000JUIL!K33+TONT20000AOUT!K33+TONT20000SEPT!K33+TONT20000OCT!K33+TONT20000NOV!L33</f>
        <v>0</v>
      </c>
      <c r="W33" s="7">
        <f>TONT20000DEC2015!N33+TONT20000JANV!L33+TONT20000FEV!L33+TONT20000MARS!L33+TONT20000AVRIL!L33+TONT20000MAI!L33+TONT20000JUIN!L33+TONT20000JUIL!L33+TONT20000AOUT!L33+TONT20000SEPT!L33+TONT20000OCT!L33+TONT20000NOV!M33</f>
        <v>156000</v>
      </c>
      <c r="X33" s="7">
        <f>TONT20000DEC2015!O33+TONT20000JANV!M33+TONT20000FEV!M33+TONT20000MARS!M33+TONT20000AVRIL!M33+TONT20000MAI!M33+TONT20000JUIN!M33+TONT20000JUIL!M33+TONT20000AOUT!M33+TONT20000SEPT!M33+TONT20000OCT!M33+TONT20000NOV!N33</f>
        <v>1000000</v>
      </c>
      <c r="Y33" s="7">
        <f>TONT20000DEC2015!P33+TONT20000JANV!N33+TONT20000FEV!N33+TONT20000MARS!N33+TONT20000AVRIL!N33+TONT20000MAI!N33+TONT20000JUIN!N33+TONT20000JUIL!N33+TONT20000AOUT!N33+TONT20000SEPT!N33+TONT20000OCT!N33+TONT20000NOV!O33</f>
        <v>120000</v>
      </c>
      <c r="Z33" s="7">
        <f>TONT20000DEC2015!Q33+TONT20000JANV!O33+TONT20000FEV!O33+TONT20000MARS!O33+TONT20000AVRIL!O33+TONT20000MAI!O33+TONT20000JUIN!O33+TONT20000JUIL!O33+TONT20000AOUT!O33+TONT20000SEPT!O33+TONT20000OCT!O33+TONT20000NOV!P33</f>
        <v>0</v>
      </c>
      <c r="AA33" s="7">
        <f>TONT20000DEC2015!R33+TONT20000JANV!P33+TONT20000FEV!P33+TONT20000MARS!P33+TONT20000AVRIL!P33+TONT20000MAI!P33+TONT20000JUIN!P33+TONT20000JUIL!P33+TONT20000AOUT!P33+TONT20000SEPT!P33+TONT20000OCT!P33+TONT20000NOV!Q33</f>
        <v>0</v>
      </c>
      <c r="AB33" s="7">
        <f>TONT20000DEC2015!S33+TONT20000JANV!Q33+TONT20000FEV!Q33+TONT20000MARS!Q33+TONT20000AVRIL!Q33+TONT20000MAI!Q33+TONT20000JUIN!Q33+TONT20000JUIL!Q33+TONT20000AOUT!Q33+TONT20000SEPT!Q33+TONT20000OCT!Q33+TONT20000NOV!R33</f>
        <v>0</v>
      </c>
      <c r="AC33" s="7">
        <f>TONT20000DEC2015!T33+TONT20000JANV!R33+TONT20000FEV!R33+TONT20000MARS!R33+TONT20000AVRIL!R33+TONT20000MAI!R33+TONT20000JUIN!R33+TONT20000JUIL!R33+TONT20000AOUT!R33+TONT20000SEPT!R33+TONT20000OCT!R33+TONT20000NOV!S33</f>
        <v>0</v>
      </c>
      <c r="AD33" s="2"/>
    </row>
    <row r="34" spans="1:30" x14ac:dyDescent="0.25">
      <c r="A34" s="1" t="s">
        <v>39</v>
      </c>
      <c r="B34" s="1" t="str">
        <f>VLOOKUP(A34,LISTADHERENT!A$5:H$52,2,0)</f>
        <v>NKEPSEU DIEUDONNE</v>
      </c>
      <c r="C34" s="6">
        <f>VLOOKUP(A34,FONDSDECAISSE!A$5:C$52,3,0)</f>
        <v>390000</v>
      </c>
      <c r="D34" s="6">
        <v>8739</v>
      </c>
      <c r="E34" s="6">
        <f t="shared" si="2"/>
        <v>2772</v>
      </c>
      <c r="F34" s="6">
        <f t="shared" si="0"/>
        <v>494739</v>
      </c>
      <c r="G34" s="6">
        <f>INT(TONT20000DEC2015!E34+TONT20000JANV!C34+TONT20000FEV!C34+TONT20000MARS!C34+TONT20000AVRIL!C34+TONT20000MAI!C34+TONT20000JUIN!C34+TONT20000JUIL!C34+TONT20000AOUT!C34+TONT20000SEPT!C34+TONT20000OCT!C34+TONT20000NOV!C34)</f>
        <v>53033</v>
      </c>
      <c r="H34" s="6">
        <f>TONT20000NOV!E34</f>
        <v>547772.96919074608</v>
      </c>
      <c r="I34" s="6">
        <f t="shared" si="1"/>
        <v>157772</v>
      </c>
      <c r="J34" s="6">
        <f t="shared" si="3"/>
        <v>30000</v>
      </c>
      <c r="K34" s="6">
        <f t="shared" si="4"/>
        <v>127772</v>
      </c>
      <c r="L34" s="6">
        <v>125000</v>
      </c>
      <c r="M34" s="6">
        <v>30000</v>
      </c>
      <c r="N34" s="6"/>
      <c r="O34" s="6">
        <v>0</v>
      </c>
      <c r="P34" s="6">
        <f t="shared" si="5"/>
        <v>0</v>
      </c>
      <c r="Q34" s="7">
        <f>TONT20000DEC2015!H34+TONT20000JANV!F34+TONT20000FEV!F34+TONT20000MARS!F34+TONT20000AVRIL!F34+TONT20000MAI!F34+TONT20000JUIN!F34+TONT20000JUIL!F34+TONT20000AOUT!F34+TONT20000SEPT!F34+TONT20000OCT!F34+TONT20000NOV!G34</f>
        <v>350000</v>
      </c>
      <c r="R34" s="7">
        <f>TONT20000DEC2015!I34+TONT20000JANV!G34+TONT20000FEV!G34+TONT20000MARS!G34+TONT20000AVRIL!G34+TONT20000MAI!G34+TONT20000JUIN!G34+TONT20000JUIL!G34+TONT20000AOUT!G34+TONT20000SEPT!G34+TONT20000OCT!G34+TONT20000NOV!H34</f>
        <v>96000</v>
      </c>
      <c r="S34" s="7">
        <f>TONT20000DEC2015!J34+TONT20000JANV!H34+TONT20000FEV!H34+TONT20000MARS!H34+TONT20000AVRIL!H34+TONT20000MAI!H34+TONT20000JUIN!H34+TONT20000JUIL!H34+TONT20000AOUT!H34+TONT20000SEPT!H34+TONT20000OCT!H34+TONT20000NOV!I34</f>
        <v>6000</v>
      </c>
      <c r="T34" s="7">
        <f>TONT20000DEC2015!K34+TONT20000JANV!I34+TONT20000FEV!I34+TONT20000MARS!I34+TONT20000AVRIL!I34+TONT20000MAI!I34+TONT20000JUIN!I34+TONT20000JUIL!I34+TONT20000AOUT!I34+TONT20000SEPT!I34+TONT20000OCT!I34+TONT20000NOV!J34</f>
        <v>12000</v>
      </c>
      <c r="U34" s="7">
        <f>TONT20000DEC2015!L34+TONT20000JANV!J34+TONT20000FEV!J34+TONT20000MARS!J34+TONT20000AVRIL!J34+TONT20000MAI!J34+TONT20000JUIN!J34+TONT20000JUIL!J34+TONT20000AOUT!J34+TONT20000SEPT!J34+TONT20000OCT!J34+TONT20000NOV!K34</f>
        <v>30000</v>
      </c>
      <c r="V34" s="7">
        <f>TONT20000DEC2015!M34+TONT20000JANV!K34+TONT20000FEV!K34+TONT20000MARS!K34+TONT20000AVRIL!K34+TONT20000MAI!K34+TONT20000JUIN!K34+TONT20000JUIL!K34+TONT20000AOUT!K34+TONT20000SEPT!K34+TONT20000OCT!K34+TONT20000NOV!L34</f>
        <v>50000</v>
      </c>
      <c r="W34" s="7">
        <f>TONT20000DEC2015!N34+TONT20000JANV!L34+TONT20000FEV!L34+TONT20000MARS!L34+TONT20000AVRIL!L34+TONT20000MAI!L34+TONT20000JUIN!L34+TONT20000JUIL!L34+TONT20000AOUT!L34+TONT20000SEPT!L34+TONT20000OCT!L34+TONT20000NOV!M34</f>
        <v>156000</v>
      </c>
      <c r="X34" s="7">
        <f>TONT20000DEC2015!O34+TONT20000JANV!M34+TONT20000FEV!M34+TONT20000MARS!M34+TONT20000AVRIL!M34+TONT20000MAI!M34+TONT20000JUIN!M34+TONT20000JUIL!M34+TONT20000AOUT!M34+TONT20000SEPT!M34+TONT20000OCT!M34+TONT20000NOV!N34</f>
        <v>600000</v>
      </c>
      <c r="Y34" s="7">
        <f>TONT20000DEC2015!P34+TONT20000JANV!N34+TONT20000FEV!N34+TONT20000MARS!N34+TONT20000AVRIL!N34+TONT20000MAI!N34+TONT20000JUIN!N34+TONT20000JUIL!N34+TONT20000AOUT!N34+TONT20000SEPT!N34+TONT20000OCT!N34+TONT20000NOV!O34</f>
        <v>72000</v>
      </c>
      <c r="Z34" s="7">
        <f>TONT20000DEC2015!Q34+TONT20000JANV!O34+TONT20000FEV!O34+TONT20000MARS!O34+TONT20000AVRIL!O34+TONT20000MAI!O34+TONT20000JUIN!O34+TONT20000JUIL!O34+TONT20000AOUT!O34+TONT20000SEPT!O34+TONT20000OCT!O34+TONT20000NOV!P34</f>
        <v>0</v>
      </c>
      <c r="AA34" s="7">
        <f>TONT20000DEC2015!R34+TONT20000JANV!P34+TONT20000FEV!P34+TONT20000MARS!P34+TONT20000AVRIL!P34+TONT20000MAI!P34+TONT20000JUIN!P34+TONT20000JUIL!P34+TONT20000AOUT!P34+TONT20000SEPT!P34+TONT20000OCT!P34+TONT20000NOV!Q34</f>
        <v>0</v>
      </c>
      <c r="AB34" s="7">
        <f>TONT20000DEC2015!S34+TONT20000JANV!Q34+TONT20000FEV!Q34+TONT20000MARS!Q34+TONT20000AVRIL!Q34+TONT20000MAI!Q34+TONT20000JUIN!Q34+TONT20000JUIL!Q34+TONT20000AOUT!Q34+TONT20000SEPT!Q34+TONT20000OCT!Q34+TONT20000NOV!R34</f>
        <v>0</v>
      </c>
      <c r="AC34" s="7">
        <f>TONT20000DEC2015!T34+TONT20000JANV!R34+TONT20000FEV!R34+TONT20000MARS!R34+TONT20000AVRIL!R34+TONT20000MAI!R34+TONT20000JUIN!R34+TONT20000JUIL!R34+TONT20000AOUT!R34+TONT20000SEPT!R34+TONT20000OCT!R34+TONT20000NOV!S34</f>
        <v>0</v>
      </c>
      <c r="AD34" s="2"/>
    </row>
    <row r="35" spans="1:30" s="21" customFormat="1" x14ac:dyDescent="0.25">
      <c r="A35" s="19" t="s">
        <v>40</v>
      </c>
      <c r="B35" s="19" t="str">
        <f>VLOOKUP(A35,LISTADHERENT!A$5:H$52,2,0)</f>
        <v>NKEPSEU HENANG RENE</v>
      </c>
      <c r="C35" s="33"/>
      <c r="D35" s="33"/>
      <c r="E35" s="6">
        <f t="shared" si="2"/>
        <v>0</v>
      </c>
      <c r="F35" s="33"/>
      <c r="G35" s="6"/>
      <c r="H35" s="33"/>
      <c r="I35" s="33"/>
      <c r="J35" s="33"/>
      <c r="K35" s="33"/>
      <c r="L35" s="33"/>
      <c r="M35" s="33"/>
      <c r="N35" s="33"/>
      <c r="O35" s="33"/>
      <c r="P35" s="33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44"/>
    </row>
    <row r="36" spans="1:30" x14ac:dyDescent="0.25">
      <c r="A36" s="1" t="s">
        <v>41</v>
      </c>
      <c r="B36" s="1" t="str">
        <f>VLOOKUP(A36,LISTADHERENT!A$5:H$52,2,0)</f>
        <v>NTEPDIE TUEMAC MZ</v>
      </c>
      <c r="C36" s="6">
        <f>VLOOKUP(A36,FONDSDECAISSE!A$5:C$52,3,0)</f>
        <v>0</v>
      </c>
      <c r="D36" s="6">
        <v>0</v>
      </c>
      <c r="E36" s="6">
        <f t="shared" si="2"/>
        <v>-12105</v>
      </c>
      <c r="F36" s="6">
        <f t="shared" si="0"/>
        <v>15000</v>
      </c>
      <c r="G36" s="6">
        <f>INT(TONT20000DEC2015!E36+TONT20000JANV!C36+TONT20000FEV!C36+TONT20000MARS!C36+TONT20000AVRIL!C36+TONT20000MAI!C36+TONT20000JUIN!C36+TONT20000JUIL!C36+TONT20000AOUT!C36+TONT20000SEPT!C36+TONT20000OCT!C36+TONT20000NOV!C36)</f>
        <v>895</v>
      </c>
      <c r="H36" s="6">
        <f>TONT20000NOV!E36</f>
        <v>15895.449275630095</v>
      </c>
      <c r="I36" s="6">
        <f t="shared" si="1"/>
        <v>15895</v>
      </c>
      <c r="J36" s="6">
        <f t="shared" si="3"/>
        <v>28000</v>
      </c>
      <c r="K36" s="6">
        <f t="shared" si="4"/>
        <v>-12105</v>
      </c>
      <c r="L36" s="6">
        <v>0</v>
      </c>
      <c r="M36" s="6"/>
      <c r="N36" s="6"/>
      <c r="O36" s="6"/>
      <c r="P36" s="6">
        <f>48000-(S36+T36+U36)</f>
        <v>28000</v>
      </c>
      <c r="Q36" s="7">
        <f>TONT20000DEC2015!H36+TONT20000JANV!F36+TONT20000FEV!F36+TONT20000MARS!F36+TONT20000AVRIL!F36+TONT20000MAI!F36+TONT20000JUIN!F36+TONT20000JUIL!F36+TONT20000AOUT!F36+TONT20000SEPT!F36+TONT20000OCT!F36+TONT20000NOV!G36</f>
        <v>100000</v>
      </c>
      <c r="R36" s="7">
        <f>TONT20000DEC2015!I36+TONT20000JANV!G36+TONT20000FEV!G36+TONT20000MARS!G36+TONT20000AVRIL!G36+TONT20000MAI!G36+TONT20000JUIN!G36+TONT20000JUIL!G36+TONT20000AOUT!G36+TONT20000SEPT!G36+TONT20000OCT!G36+TONT20000NOV!H36</f>
        <v>15000</v>
      </c>
      <c r="S36" s="7">
        <f>TONT20000DEC2015!J36+TONT20000JANV!H36+TONT20000FEV!H36+TONT20000MARS!H36+TONT20000AVRIL!H36+TONT20000MAI!H36+TONT20000JUIN!H36+TONT20000JUIL!H36+TONT20000AOUT!H36+TONT20000SEPT!H36+TONT20000OCT!H36+TONT20000NOV!I36</f>
        <v>2500</v>
      </c>
      <c r="T36" s="7">
        <f>TONT20000DEC2015!K36+TONT20000JANV!I36+TONT20000FEV!I36+TONT20000MARS!I36+TONT20000AVRIL!I36+TONT20000MAI!I36+TONT20000JUIN!I36+TONT20000JUIL!I36+TONT20000AOUT!I36+TONT20000SEPT!I36+TONT20000OCT!I36+TONT20000NOV!J36</f>
        <v>5000</v>
      </c>
      <c r="U36" s="7">
        <f>TONT20000DEC2015!L36+TONT20000JANV!J36+TONT20000FEV!J36+TONT20000MARS!J36+TONT20000AVRIL!J36+TONT20000MAI!J36+TONT20000JUIN!J36+TONT20000JUIL!J36+TONT20000AOUT!J36+TONT20000SEPT!J36+TONT20000OCT!J36+TONT20000NOV!K36</f>
        <v>12500</v>
      </c>
      <c r="V36" s="7">
        <f>TONT20000DEC2015!M36+TONT20000JANV!K36+TONT20000FEV!K36+TONT20000MARS!K36+TONT20000AVRIL!K36+TONT20000MAI!K36+TONT20000JUIN!K36+TONT20000JUIL!K36+TONT20000AOUT!K36+TONT20000SEPT!K36+TONT20000OCT!K36+TONT20000NOV!L36</f>
        <v>0</v>
      </c>
      <c r="W36" s="7">
        <f>TONT20000DEC2015!N36+TONT20000JANV!L36+TONT20000FEV!L36+TONT20000MARS!L36+TONT20000AVRIL!L36+TONT20000MAI!L36+TONT20000JUIN!L36+TONT20000JUIL!L36+TONT20000AOUT!L36+TONT20000SEPT!L36+TONT20000OCT!L36+TONT20000NOV!M36</f>
        <v>65000</v>
      </c>
      <c r="X36" s="7">
        <f>TONT20000DEC2015!O36+TONT20000JANV!M36+TONT20000FEV!M36+TONT20000MARS!M36+TONT20000AVRIL!M36+TONT20000MAI!M36+TONT20000JUIN!M36+TONT20000JUIL!M36+TONT20000AOUT!M36+TONT20000SEPT!M36+TONT20000OCT!M36+TONT20000NOV!N36</f>
        <v>0</v>
      </c>
      <c r="Y36" s="7">
        <f>TONT20000DEC2015!P36+TONT20000JANV!N36+TONT20000FEV!N36+TONT20000MARS!N36+TONT20000AVRIL!N36+TONT20000MAI!N36+TONT20000JUIN!N36+TONT20000JUIL!N36+TONT20000AOUT!N36+TONT20000SEPT!N36+TONT20000OCT!N36+TONT20000NOV!O36</f>
        <v>0</v>
      </c>
      <c r="Z36" s="7">
        <f>TONT20000DEC2015!Q36+TONT20000JANV!O36+TONT20000FEV!O36+TONT20000MARS!O36+TONT20000AVRIL!O36+TONT20000MAI!O36+TONT20000JUIN!O36+TONT20000JUIL!O36+TONT20000AOUT!O36+TONT20000SEPT!O36+TONT20000OCT!O36+TONT20000NOV!P36</f>
        <v>0</v>
      </c>
      <c r="AA36" s="7">
        <f>TONT20000DEC2015!R36+TONT20000JANV!P36+TONT20000FEV!P36+TONT20000MARS!P36+TONT20000AVRIL!P36+TONT20000MAI!P36+TONT20000JUIN!P36+TONT20000JUIL!P36+TONT20000AOUT!P36+TONT20000SEPT!P36+TONT20000OCT!P36+TONT20000NOV!Q36</f>
        <v>0</v>
      </c>
      <c r="AB36" s="7">
        <f>TONT20000DEC2015!S36+TONT20000JANV!Q36+TONT20000FEV!Q36+TONT20000MARS!Q36+TONT20000AVRIL!Q36+TONT20000MAI!Q36+TONT20000JUIN!Q36+TONT20000JUIL!Q36+TONT20000AOUT!Q36+TONT20000SEPT!Q36+TONT20000OCT!Q36+TONT20000NOV!R36</f>
        <v>0</v>
      </c>
      <c r="AC36" s="7">
        <f>TONT20000DEC2015!T36+TONT20000JANV!R36+TONT20000FEV!R36+TONT20000MARS!R36+TONT20000AVRIL!R36+TONT20000MAI!R36+TONT20000JUIN!R36+TONT20000JUIL!R36+TONT20000AOUT!R36+TONT20000SEPT!R36+TONT20000OCT!R36+TONT20000NOV!S36</f>
        <v>0</v>
      </c>
      <c r="AD36" s="2"/>
    </row>
    <row r="37" spans="1:30" s="21" customFormat="1" x14ac:dyDescent="0.25">
      <c r="A37" s="19" t="s">
        <v>42</v>
      </c>
      <c r="B37" s="19" t="str">
        <f>VLOOKUP(A37,LISTADHERENT!A$5:H$52,2,0)</f>
        <v>NTOMBOU ADOLPHE</v>
      </c>
      <c r="C37" s="33"/>
      <c r="D37" s="33"/>
      <c r="E37" s="6">
        <f t="shared" si="2"/>
        <v>0</v>
      </c>
      <c r="F37" s="33"/>
      <c r="G37" s="6"/>
      <c r="H37" s="33"/>
      <c r="I37" s="6"/>
      <c r="J37" s="6"/>
      <c r="K37" s="6"/>
      <c r="L37" s="6"/>
      <c r="M37" s="33"/>
      <c r="N37" s="33"/>
      <c r="O37" s="33"/>
      <c r="P37" s="33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44"/>
    </row>
    <row r="38" spans="1:30" x14ac:dyDescent="0.25">
      <c r="A38" s="1" t="s">
        <v>43</v>
      </c>
      <c r="B38" s="1" t="str">
        <f>VLOOKUP(A38,LISTADHERENT!A$5:H$52,2,0)</f>
        <v>PATEGO NJOSSU GUSTAVE</v>
      </c>
      <c r="C38" s="6">
        <f>VLOOKUP(A38,FONDSDECAISSE!A$5:C$52,3,0)</f>
        <v>390000</v>
      </c>
      <c r="D38" s="6">
        <v>140</v>
      </c>
      <c r="E38" s="6">
        <f t="shared" si="2"/>
        <v>2474</v>
      </c>
      <c r="F38" s="6">
        <f t="shared" si="0"/>
        <v>426140</v>
      </c>
      <c r="G38" s="6">
        <f>INT(TONT20000DEC2015!E38+TONT20000JANV!C38+TONT20000FEV!C38+TONT20000MARS!C38+TONT20000AVRIL!C38+TONT20000MAI!C38+TONT20000JUIN!C38+TONT20000JUIL!C38+TONT20000AOUT!C38+TONT20000SEPT!C38+TONT20000OCT!C38+TONT20000NOV!C38)</f>
        <v>47834</v>
      </c>
      <c r="H38" s="6">
        <f>TONT20000NOV!E38</f>
        <v>473974.90388853668</v>
      </c>
      <c r="I38" s="6">
        <f t="shared" si="1"/>
        <v>83974</v>
      </c>
      <c r="J38" s="6">
        <f t="shared" si="3"/>
        <v>80000</v>
      </c>
      <c r="K38" s="6">
        <f t="shared" si="4"/>
        <v>3974</v>
      </c>
      <c r="L38" s="6">
        <v>1500</v>
      </c>
      <c r="M38" s="6">
        <v>30000</v>
      </c>
      <c r="N38" s="6"/>
      <c r="O38" s="6">
        <v>50000</v>
      </c>
      <c r="P38" s="6">
        <f t="shared" si="5"/>
        <v>0</v>
      </c>
      <c r="Q38" s="7">
        <f>TONT20000DEC2015!H38+TONT20000JANV!F38+TONT20000FEV!F38+TONT20000MARS!F38+TONT20000AVRIL!F38+TONT20000MAI!F38+TONT20000JUIN!F38+TONT20000JUIL!F38+TONT20000AOUT!F38+TONT20000SEPT!F38+TONT20000OCT!F38+TONT20000NOV!G38</f>
        <v>240000</v>
      </c>
      <c r="R38" s="7">
        <f>TONT20000DEC2015!I38+TONT20000JANV!G38+TONT20000FEV!G38+TONT20000MARS!G38+TONT20000AVRIL!G38+TONT20000MAI!G38+TONT20000JUIN!G38+TONT20000JUIL!G38+TONT20000AOUT!G38+TONT20000SEPT!G38+TONT20000OCT!G38+TONT20000NOV!H38</f>
        <v>36000</v>
      </c>
      <c r="S38" s="7">
        <f>TONT20000DEC2015!J38+TONT20000JANV!H38+TONT20000FEV!H38+TONT20000MARS!H38+TONT20000AVRIL!H38+TONT20000MAI!H38+TONT20000JUIN!H38+TONT20000JUIL!H38+TONT20000AOUT!H38+TONT20000SEPT!H38+TONT20000OCT!H38+TONT20000NOV!I38</f>
        <v>6000</v>
      </c>
      <c r="T38" s="7">
        <f>TONT20000DEC2015!K38+TONT20000JANV!I38+TONT20000FEV!I38+TONT20000MARS!I38+TONT20000AVRIL!I38+TONT20000MAI!I38+TONT20000JUIN!I38+TONT20000JUIL!I38+TONT20000AOUT!I38+TONT20000SEPT!I38+TONT20000OCT!I38+TONT20000NOV!J38</f>
        <v>12000</v>
      </c>
      <c r="U38" s="7">
        <f>TONT20000DEC2015!L38+TONT20000JANV!J38+TONT20000FEV!J38+TONT20000MARS!J38+TONT20000AVRIL!J38+TONT20000MAI!J38+TONT20000JUIN!J38+TONT20000JUIL!J38+TONT20000AOUT!J38+TONT20000SEPT!J38+TONT20000OCT!J38+TONT20000NOV!K38</f>
        <v>30000</v>
      </c>
      <c r="V38" s="7">
        <f>TONT20000DEC2015!M38+TONT20000JANV!K38+TONT20000FEV!K38+TONT20000MARS!K38+TONT20000AVRIL!K38+TONT20000MAI!K38+TONT20000JUIN!K38+TONT20000JUIL!K38+TONT20000AOUT!K38+TONT20000SEPT!K38+TONT20000OCT!K38+TONT20000NOV!L38</f>
        <v>0</v>
      </c>
      <c r="W38" s="7">
        <f>TONT20000DEC2015!N38+TONT20000JANV!L38+TONT20000FEV!L38+TONT20000MARS!L38+TONT20000AVRIL!L38+TONT20000MAI!L38+TONT20000JUIN!L38+TONT20000JUIL!L38+TONT20000AOUT!L38+TONT20000SEPT!L38+TONT20000OCT!L38+TONT20000NOV!M38</f>
        <v>156000</v>
      </c>
      <c r="X38" s="7">
        <f>TONT20000DEC2015!O38+TONT20000JANV!M38+TONT20000FEV!M38+TONT20000MARS!M38+TONT20000AVRIL!M38+TONT20000MAI!M38+TONT20000JUIN!M38+TONT20000JUIL!M38+TONT20000AOUT!M38+TONT20000SEPT!M38+TONT20000OCT!M38+TONT20000NOV!N38</f>
        <v>0</v>
      </c>
      <c r="Y38" s="7">
        <f>TONT20000DEC2015!P38+TONT20000JANV!N38+TONT20000FEV!N38+TONT20000MARS!N38+TONT20000AVRIL!N38+TONT20000MAI!N38+TONT20000JUIN!N38+TONT20000JUIL!N38+TONT20000AOUT!N38+TONT20000SEPT!N38+TONT20000OCT!N38+TONT20000NOV!O38</f>
        <v>0</v>
      </c>
      <c r="Z38" s="7">
        <f>TONT20000DEC2015!Q38+TONT20000JANV!O38+TONT20000FEV!O38+TONT20000MARS!O38+TONT20000AVRIL!O38+TONT20000MAI!O38+TONT20000JUIN!O38+TONT20000JUIL!O38+TONT20000AOUT!O38+TONT20000SEPT!O38+TONT20000OCT!O38+TONT20000NOV!P38</f>
        <v>0</v>
      </c>
      <c r="AA38" s="7">
        <f>TONT20000DEC2015!R38+TONT20000JANV!P38+TONT20000FEV!P38+TONT20000MARS!P38+TONT20000AVRIL!P38+TONT20000MAI!P38+TONT20000JUIN!P38+TONT20000JUIL!P38+TONT20000AOUT!P38+TONT20000SEPT!P38+TONT20000OCT!P38+TONT20000NOV!Q38</f>
        <v>0</v>
      </c>
      <c r="AB38" s="7">
        <f>TONT20000DEC2015!S38+TONT20000JANV!Q38+TONT20000FEV!Q38+TONT20000MARS!Q38+TONT20000AVRIL!Q38+TONT20000MAI!Q38+TONT20000JUIN!Q38+TONT20000JUIL!Q38+TONT20000AOUT!Q38+TONT20000SEPT!Q38+TONT20000OCT!Q38+TONT20000NOV!R38</f>
        <v>0</v>
      </c>
      <c r="AC38" s="7">
        <f>TONT20000DEC2015!T38+TONT20000JANV!R38+TONT20000FEV!R38+TONT20000MARS!R38+TONT20000AVRIL!R38+TONT20000MAI!R38+TONT20000JUIN!R38+TONT20000JUIL!R38+TONT20000AOUT!R38+TONT20000SEPT!R38+TONT20000OCT!R38+TONT20000NOV!S38</f>
        <v>0</v>
      </c>
      <c r="AD38" s="2"/>
    </row>
    <row r="39" spans="1:30" x14ac:dyDescent="0.25">
      <c r="A39" s="1" t="s">
        <v>44</v>
      </c>
      <c r="B39" s="1" t="str">
        <f>VLOOKUP(A39,LISTADHERENT!A$5:H$52,2,0)</f>
        <v>SEUNOU RICHELOT</v>
      </c>
      <c r="C39" s="6">
        <f>VLOOKUP(A39,FONDSDECAISSE!A$5:C$52,3,0)</f>
        <v>390000</v>
      </c>
      <c r="D39" s="6">
        <v>2632</v>
      </c>
      <c r="E39" s="6">
        <f t="shared" si="2"/>
        <v>6756</v>
      </c>
      <c r="F39" s="6">
        <f t="shared" si="0"/>
        <v>428632</v>
      </c>
      <c r="G39" s="6">
        <f>INT(TONT20000DEC2015!E39+TONT20000JANV!C39+TONT20000FEV!C39+TONT20000MARS!C39+TONT20000AVRIL!C39+TONT20000MAI!C39+TONT20000JUIN!C39+TONT20000JUIL!C39+TONT20000AOUT!C39+TONT20000SEPT!C39+TONT20000OCT!C39+TONT20000NOV!C39)</f>
        <v>48124</v>
      </c>
      <c r="H39" s="6">
        <f>TONT20000NOV!E39</f>
        <v>476756.34948151035</v>
      </c>
      <c r="I39" s="6">
        <f t="shared" si="1"/>
        <v>86756</v>
      </c>
      <c r="J39" s="6">
        <f t="shared" si="3"/>
        <v>80000</v>
      </c>
      <c r="K39" s="6">
        <f t="shared" si="4"/>
        <v>6756</v>
      </c>
      <c r="L39" s="6">
        <v>0</v>
      </c>
      <c r="M39" s="6">
        <v>30000</v>
      </c>
      <c r="N39" s="6"/>
      <c r="O39" s="6">
        <v>50000</v>
      </c>
      <c r="P39" s="6">
        <f t="shared" si="5"/>
        <v>0</v>
      </c>
      <c r="Q39" s="7">
        <f>TONT20000DEC2015!H39+TONT20000JANV!F39+TONT20000FEV!F39+TONT20000MARS!F39+TONT20000AVRIL!F39+TONT20000MAI!F39+TONT20000JUIN!F39+TONT20000JUIL!F39+TONT20000AOUT!F39+TONT20000SEPT!F39+TONT20000OCT!F39+TONT20000NOV!G39</f>
        <v>240000</v>
      </c>
      <c r="R39" s="7">
        <f>TONT20000DEC2015!I39+TONT20000JANV!G39+TONT20000FEV!G39+TONT20000MARS!G39+TONT20000AVRIL!G39+TONT20000MAI!G39+TONT20000JUIN!G39+TONT20000JUIL!G39+TONT20000AOUT!G39+TONT20000SEPT!G39+TONT20000OCT!G39+TONT20000NOV!H39</f>
        <v>36000</v>
      </c>
      <c r="S39" s="7">
        <f>TONT20000DEC2015!J39+TONT20000JANV!H39+TONT20000FEV!H39+TONT20000MARS!H39+TONT20000AVRIL!H39+TONT20000MAI!H39+TONT20000JUIN!H39+TONT20000JUIL!H39+TONT20000AOUT!H39+TONT20000SEPT!H39+TONT20000OCT!H39+TONT20000NOV!I39</f>
        <v>6000</v>
      </c>
      <c r="T39" s="7">
        <f>TONT20000DEC2015!K39+TONT20000JANV!I39+TONT20000FEV!I39+TONT20000MARS!I39+TONT20000AVRIL!I39+TONT20000MAI!I39+TONT20000JUIN!I39+TONT20000JUIL!I39+TONT20000AOUT!I39+TONT20000SEPT!I39+TONT20000OCT!I39+TONT20000NOV!J39</f>
        <v>12000</v>
      </c>
      <c r="U39" s="7">
        <f>TONT20000DEC2015!L39+TONT20000JANV!J39+TONT20000FEV!J39+TONT20000MARS!J39+TONT20000AVRIL!J39+TONT20000MAI!J39+TONT20000JUIN!J39+TONT20000JUIL!J39+TONT20000AOUT!J39+TONT20000SEPT!J39+TONT20000OCT!J39+TONT20000NOV!K39</f>
        <v>30000</v>
      </c>
      <c r="V39" s="7">
        <f>TONT20000DEC2015!M39+TONT20000JANV!K39+TONT20000FEV!K39+TONT20000MARS!K39+TONT20000AVRIL!K39+TONT20000MAI!K39+TONT20000JUIN!K39+TONT20000JUIL!K39+TONT20000AOUT!K39+TONT20000SEPT!K39+TONT20000OCT!K39+TONT20000NOV!L39</f>
        <v>0</v>
      </c>
      <c r="W39" s="7">
        <f>TONT20000DEC2015!N39+TONT20000JANV!L39+TONT20000FEV!L39+TONT20000MARS!L39+TONT20000AVRIL!L39+TONT20000MAI!L39+TONT20000JUIN!L39+TONT20000JUIL!L39+TONT20000AOUT!L39+TONT20000SEPT!L39+TONT20000OCT!L39+TONT20000NOV!M39</f>
        <v>156000</v>
      </c>
      <c r="X39" s="7">
        <f>TONT20000DEC2015!O39+TONT20000JANV!M39+TONT20000FEV!M39+TONT20000MARS!M39+TONT20000AVRIL!M39+TONT20000MAI!M39+TONT20000JUIN!M39+TONT20000JUIL!M39+TONT20000AOUT!M39+TONT20000SEPT!M39+TONT20000OCT!M39+TONT20000NOV!N39</f>
        <v>1000000</v>
      </c>
      <c r="Y39" s="7">
        <f>TONT20000DEC2015!P39+TONT20000JANV!N39+TONT20000FEV!N39+TONT20000MARS!N39+TONT20000AVRIL!N39+TONT20000MAI!N39+TONT20000JUIN!N39+TONT20000JUIL!N39+TONT20000AOUT!N39+TONT20000SEPT!N39+TONT20000OCT!N39+TONT20000NOV!O39</f>
        <v>120000</v>
      </c>
      <c r="Z39" s="7">
        <f>TONT20000DEC2015!Q39+TONT20000JANV!O39+TONT20000FEV!O39+TONT20000MARS!O39+TONT20000AVRIL!O39+TONT20000MAI!O39+TONT20000JUIN!O39+TONT20000JUIL!O39+TONT20000AOUT!O39+TONT20000SEPT!O39+TONT20000OCT!O39+TONT20000NOV!P39</f>
        <v>0</v>
      </c>
      <c r="AA39" s="7">
        <f>TONT20000DEC2015!R39+TONT20000JANV!P39+TONT20000FEV!P39+TONT20000MARS!P39+TONT20000AVRIL!P39+TONT20000MAI!P39+TONT20000JUIN!P39+TONT20000JUIL!P39+TONT20000AOUT!P39+TONT20000SEPT!P39+TONT20000OCT!P39+TONT20000NOV!Q39</f>
        <v>0</v>
      </c>
      <c r="AB39" s="7">
        <f>TONT20000DEC2015!S39+TONT20000JANV!Q39+TONT20000FEV!Q39+TONT20000MARS!Q39+TONT20000AVRIL!Q39+TONT20000MAI!Q39+TONT20000JUIN!Q39+TONT20000JUIL!Q39+TONT20000AOUT!Q39+TONT20000SEPT!Q39+TONT20000OCT!Q39+TONT20000NOV!R39</f>
        <v>0</v>
      </c>
      <c r="AC39" s="7">
        <f>TONT20000DEC2015!T39+TONT20000JANV!R39+TONT20000FEV!R39+TONT20000MARS!R39+TONT20000AVRIL!R39+TONT20000MAI!R39+TONT20000JUIN!R39+TONT20000JUIL!R39+TONT20000AOUT!R39+TONT20000SEPT!R39+TONT20000OCT!R39+TONT20000NOV!S39</f>
        <v>0</v>
      </c>
      <c r="AD39" s="2"/>
    </row>
    <row r="40" spans="1:30" x14ac:dyDescent="0.25">
      <c r="A40" s="1" t="s">
        <v>45</v>
      </c>
      <c r="B40" s="1" t="str">
        <f>VLOOKUP(A40,LISTADHERENT!A$5:H$52,2,0)</f>
        <v>SIME ABEL</v>
      </c>
      <c r="C40" s="6">
        <v>390000</v>
      </c>
      <c r="D40" s="6">
        <v>0</v>
      </c>
      <c r="E40" s="6">
        <f t="shared" si="2"/>
        <v>488</v>
      </c>
      <c r="F40" s="6">
        <f t="shared" si="0"/>
        <v>398873</v>
      </c>
      <c r="G40" s="6">
        <f>INT(TONT20000DEC2015!E40+TONT20000JANV!C40+TONT20000FEV!C40+TONT20000MARS!C40+TONT20000AVRIL!C40+TONT20000MAI!C40+TONT20000JUIN!C40+TONT20000JUIL!C40+TONT20000AOUT!C40+TONT20000SEPT!C40+TONT20000OCT!C40+TONT20000NOV!C40)</f>
        <v>15621</v>
      </c>
      <c r="H40" s="6">
        <f>TONT20000NOV!E40</f>
        <v>441621.34748316335</v>
      </c>
      <c r="I40" s="6">
        <f t="shared" si="1"/>
        <v>24494</v>
      </c>
      <c r="J40" s="6">
        <f t="shared" si="3"/>
        <v>24006</v>
      </c>
      <c r="K40" s="6">
        <f t="shared" si="4"/>
        <v>488</v>
      </c>
      <c r="L40" s="6">
        <v>0</v>
      </c>
      <c r="M40" s="6"/>
      <c r="N40" s="6"/>
      <c r="O40" s="6">
        <f>50000-25994</f>
        <v>24006</v>
      </c>
      <c r="P40" s="6">
        <f t="shared" si="5"/>
        <v>0</v>
      </c>
      <c r="Q40" s="7">
        <f>TONT20000DEC2015!H40+TONT20000JANV!F40+TONT20000FEV!F40+TONT20000MARS!F40+TONT20000AVRIL!F40+TONT20000MAI!F40+TONT20000JUIN!F40+TONT20000JUIL!F40+TONT20000AOUT!F40+TONT20000SEPT!F40+TONT20000OCT!F40+TONT20000NOV!G40</f>
        <v>240000</v>
      </c>
      <c r="R40" s="7">
        <f>TONT20000DEC2015!I40+TONT20000JANV!G40+TONT20000FEV!G40+TONT20000MARS!G40+TONT20000AVRIL!G40+TONT20000MAI!G40+TONT20000JUIN!G40+TONT20000JUIL!G40+TONT20000AOUT!G40+TONT20000SEPT!G40+TONT20000OCT!G40+TONT20000NOV!H40-27127</f>
        <v>8873</v>
      </c>
      <c r="S40" s="7">
        <f>TONT20000DEC2015!J40+TONT20000JANV!H40+TONT20000FEV!H40+TONT20000MARS!H40+TONT20000AVRIL!H40+TONT20000MAI!H40+TONT20000JUIN!H40+TONT20000JUIL!H40+TONT20000AOUT!H40+TONT20000SEPT!H40+TONT20000OCT!H40+TONT20000NOV!I40</f>
        <v>6000</v>
      </c>
      <c r="T40" s="7">
        <f>TONT20000DEC2015!K40+TONT20000JANV!I40+TONT20000FEV!I40+TONT20000MARS!I40+TONT20000AVRIL!I40+TONT20000MAI!I40+TONT20000JUIN!I40+TONT20000JUIL!I40+TONT20000AOUT!I40+TONT20000SEPT!I40+TONT20000OCT!I40+TONT20000NOV!J40</f>
        <v>12000</v>
      </c>
      <c r="U40" s="7">
        <f>TONT20000DEC2015!L40+TONT20000JANV!J40+TONT20000FEV!J40+TONT20000MARS!J40+TONT20000AVRIL!J40+TONT20000MAI!J40+TONT20000JUIN!J40+TONT20000JUIL!J40+TONT20000AOUT!J40+TONT20000SEPT!J40+TONT20000OCT!J40+TONT20000NOV!K40</f>
        <v>30000</v>
      </c>
      <c r="V40" s="7">
        <f>TONT20000DEC2015!M40+TONT20000JANV!K40+TONT20000FEV!K40+TONT20000MARS!K40+TONT20000AVRIL!K40+TONT20000MAI!K40+TONT20000JUIN!K40+TONT20000JUIL!K40+TONT20000AOUT!K40+TONT20000SEPT!K40+TONT20000OCT!K40+TONT20000NOV!L40</f>
        <v>0</v>
      </c>
      <c r="W40" s="7">
        <f>TONT20000DEC2015!N40+TONT20000JANV!L40+TONT20000FEV!L40+TONT20000MARS!L40+TONT20000AVRIL!L40+TONT20000MAI!L40+TONT20000JUIN!L40+TONT20000JUIL!L40+TONT20000AOUT!L40+TONT20000SEPT!L40+TONT20000OCT!L40+TONT20000NOV!M40</f>
        <v>156000</v>
      </c>
      <c r="X40" s="7">
        <f>TONT20000DEC2015!O40+TONT20000JANV!M40+TONT20000FEV!M40+TONT20000MARS!M40+TONT20000AVRIL!M40+TONT20000MAI!M40+TONT20000JUIN!M40+TONT20000JUIL!M40+TONT20000AOUT!M40+TONT20000SEPT!M40+TONT20000OCT!M40+TONT20000NOV!N40</f>
        <v>0</v>
      </c>
      <c r="Y40" s="7">
        <f>TONT20000DEC2015!P40+TONT20000JANV!N40+TONT20000FEV!N40+TONT20000MARS!N40+TONT20000AVRIL!N40+TONT20000MAI!N40+TONT20000JUIN!N40+TONT20000JUIL!N40+TONT20000AOUT!N40+TONT20000SEPT!N40+TONT20000OCT!N40+TONT20000NOV!O40</f>
        <v>0</v>
      </c>
      <c r="Z40" s="7">
        <f>TONT20000DEC2015!Q40+TONT20000JANV!O40+TONT20000FEV!O40+TONT20000MARS!O40+TONT20000AVRIL!O40+TONT20000MAI!O40+TONT20000JUIN!O40+TONT20000JUIL!O40+TONT20000AOUT!O40+TONT20000SEPT!O40+TONT20000OCT!O40+TONT20000NOV!P40</f>
        <v>0</v>
      </c>
      <c r="AA40" s="7">
        <f>TONT20000DEC2015!R40+TONT20000JANV!P40+TONT20000FEV!P40+TONT20000MARS!P40+TONT20000AVRIL!P40+TONT20000MAI!P40+TONT20000JUIN!P40+TONT20000JUIL!P40+TONT20000AOUT!P40+TONT20000SEPT!P40+TONT20000OCT!P40+TONT20000NOV!Q40</f>
        <v>0</v>
      </c>
      <c r="AB40" s="7">
        <f>TONT20000DEC2015!S40+TONT20000JANV!Q40+TONT20000FEV!Q40+TONT20000MARS!Q40+TONT20000AVRIL!Q40+TONT20000MAI!Q40+TONT20000JUIN!Q40+TONT20000JUIL!Q40+TONT20000AOUT!Q40+TONT20000SEPT!Q40+TONT20000OCT!Q40+TONT20000NOV!R40</f>
        <v>0</v>
      </c>
      <c r="AC40" s="7">
        <f>TONT20000DEC2015!T40+TONT20000JANV!R40+TONT20000FEV!R40+TONT20000MARS!R40+TONT20000AVRIL!R40+TONT20000MAI!R40+TONT20000JUIN!R40+TONT20000JUIL!R40+TONT20000AOUT!R40+TONT20000SEPT!R40+TONT20000OCT!R40+TONT20000NOV!S40</f>
        <v>0</v>
      </c>
      <c r="AD40" s="2"/>
    </row>
    <row r="41" spans="1:30" x14ac:dyDescent="0.25">
      <c r="A41" s="1" t="s">
        <v>46</v>
      </c>
      <c r="B41" s="1" t="str">
        <f>VLOOKUP(A41,LISTADHERENT!A$5:H$52,2,0)</f>
        <v>SIME FONGANG ERIC</v>
      </c>
      <c r="C41" s="6">
        <f>VLOOKUP(A41,FONDSDECAISSE!A$5:C$52,3,0)</f>
        <v>390000</v>
      </c>
      <c r="D41" s="6">
        <v>982</v>
      </c>
      <c r="E41" s="6">
        <f t="shared" si="2"/>
        <v>4914</v>
      </c>
      <c r="F41" s="6">
        <f t="shared" si="0"/>
        <v>426982</v>
      </c>
      <c r="G41" s="6">
        <f>INT(TONT20000DEC2015!E41+TONT20000JANV!C41+TONT20000FEV!C41+TONT20000MARS!C41+TONT20000AVRIL!C41+TONT20000MAI!C41+TONT20000JUIN!C41+TONT20000JUIL!C41+TONT20000AOUT!C41+TONT20000SEPT!C41+TONT20000OCT!C41+TONT20000NOV!C41)</f>
        <v>47932</v>
      </c>
      <c r="H41" s="6">
        <f>TONT20000NOV!E41</f>
        <v>474914.7021185864</v>
      </c>
      <c r="I41" s="6">
        <f t="shared" si="1"/>
        <v>84914</v>
      </c>
      <c r="J41" s="6">
        <f t="shared" si="3"/>
        <v>80000</v>
      </c>
      <c r="K41" s="6">
        <f t="shared" si="4"/>
        <v>4914</v>
      </c>
      <c r="L41" s="6">
        <v>0</v>
      </c>
      <c r="M41" s="6">
        <v>30000</v>
      </c>
      <c r="N41" s="6"/>
      <c r="O41" s="6">
        <v>50000</v>
      </c>
      <c r="P41" s="6">
        <f t="shared" si="5"/>
        <v>0</v>
      </c>
      <c r="Q41" s="7">
        <f>TONT20000DEC2015!H41+TONT20000JANV!F41+TONT20000FEV!F41+TONT20000MARS!F41+TONT20000AVRIL!F41+TONT20000MAI!F41+TONT20000JUIN!F41+TONT20000JUIL!F41+TONT20000AOUT!F41+TONT20000SEPT!F41+TONT20000OCT!F41+TONT20000NOV!G41</f>
        <v>240000</v>
      </c>
      <c r="R41" s="7">
        <f>TONT20000DEC2015!I41+TONT20000JANV!G41+TONT20000FEV!G41+TONT20000MARS!G41+TONT20000AVRIL!G41+TONT20000MAI!G41+TONT20000JUIN!G41+TONT20000JUIL!G41+TONT20000AOUT!G41+TONT20000SEPT!G41+TONT20000OCT!G41+TONT20000NOV!H41</f>
        <v>36000</v>
      </c>
      <c r="S41" s="7">
        <f>TONT20000DEC2015!J41+TONT20000JANV!H41+TONT20000FEV!H41+TONT20000MARS!H41+TONT20000AVRIL!H41+TONT20000MAI!H41+TONT20000JUIN!H41+TONT20000JUIL!H41+TONT20000AOUT!H41+TONT20000SEPT!H41+TONT20000OCT!H41+TONT20000NOV!I41</f>
        <v>6000</v>
      </c>
      <c r="T41" s="7">
        <f>TONT20000DEC2015!K41+TONT20000JANV!I41+TONT20000FEV!I41+TONT20000MARS!I41+TONT20000AVRIL!I41+TONT20000MAI!I41+TONT20000JUIN!I41+TONT20000JUIL!I41+TONT20000AOUT!I41+TONT20000SEPT!I41+TONT20000OCT!I41+TONT20000NOV!J41</f>
        <v>12000</v>
      </c>
      <c r="U41" s="7">
        <f>TONT20000DEC2015!L41+TONT20000JANV!J41+TONT20000FEV!J41+TONT20000MARS!J41+TONT20000AVRIL!J41+TONT20000MAI!J41+TONT20000JUIN!J41+TONT20000JUIL!J41+TONT20000AOUT!J41+TONT20000SEPT!J41+TONT20000OCT!J41+TONT20000NOV!K41</f>
        <v>30000</v>
      </c>
      <c r="V41" s="7">
        <f>TONT20000DEC2015!M41+TONT20000JANV!K41+TONT20000FEV!K41+TONT20000MARS!K41+TONT20000AVRIL!K41+TONT20000MAI!K41+TONT20000JUIN!K41+TONT20000JUIL!K41+TONT20000AOUT!K41+TONT20000SEPT!K41+TONT20000OCT!K41+TONT20000NOV!L41</f>
        <v>0</v>
      </c>
      <c r="W41" s="7">
        <f>TONT20000DEC2015!N41+TONT20000JANV!L41+TONT20000FEV!L41+TONT20000MARS!L41+TONT20000AVRIL!L41+TONT20000MAI!L41+TONT20000JUIN!L41+TONT20000JUIL!L41+TONT20000AOUT!L41+TONT20000SEPT!L41+TONT20000OCT!L41+TONT20000NOV!M41</f>
        <v>156000</v>
      </c>
      <c r="X41" s="7">
        <f>TONT20000DEC2015!O41+TONT20000JANV!M41+TONT20000FEV!M41+TONT20000MARS!M41+TONT20000AVRIL!M41+TONT20000MAI!M41+TONT20000JUIN!M41+TONT20000JUIL!M41+TONT20000AOUT!M41+TONT20000SEPT!M41+TONT20000OCT!M41+TONT20000NOV!N41</f>
        <v>1000000</v>
      </c>
      <c r="Y41" s="7">
        <f>TONT20000DEC2015!P41+TONT20000JANV!N41+TONT20000FEV!N41+TONT20000MARS!N41+TONT20000AVRIL!N41+TONT20000MAI!N41+TONT20000JUIN!N41+TONT20000JUIL!N41+TONT20000AOUT!N41+TONT20000SEPT!N41+TONT20000OCT!N41+TONT20000NOV!O41</f>
        <v>120000</v>
      </c>
      <c r="Z41" s="7">
        <f>TONT20000DEC2015!Q41+TONT20000JANV!O41+TONT20000FEV!O41+TONT20000MARS!O41+TONT20000AVRIL!O41+TONT20000MAI!O41+TONT20000JUIN!O41+TONT20000JUIL!O41+TONT20000AOUT!O41+TONT20000SEPT!O41+TONT20000OCT!O41+TONT20000NOV!P41</f>
        <v>0</v>
      </c>
      <c r="AA41" s="7">
        <f>TONT20000DEC2015!R41+TONT20000JANV!P41+TONT20000FEV!P41+TONT20000MARS!P41+TONT20000AVRIL!P41+TONT20000MAI!P41+TONT20000JUIN!P41+TONT20000JUIL!P41+TONT20000AOUT!P41+TONT20000SEPT!P41+TONT20000OCT!P41+TONT20000NOV!Q41</f>
        <v>0</v>
      </c>
      <c r="AB41" s="7">
        <f>TONT20000DEC2015!S41+TONT20000JANV!Q41+TONT20000FEV!Q41+TONT20000MARS!Q41+TONT20000AVRIL!Q41+TONT20000MAI!Q41+TONT20000JUIN!Q41+TONT20000JUIL!Q41+TONT20000AOUT!Q41+TONT20000SEPT!Q41+TONT20000OCT!Q41+TONT20000NOV!R41</f>
        <v>0</v>
      </c>
      <c r="AC41" s="7">
        <f>TONT20000DEC2015!T41+TONT20000JANV!R41+TONT20000FEV!R41+TONT20000MARS!R41+TONT20000AVRIL!R41+TONT20000MAI!R41+TONT20000JUIN!R41+TONT20000JUIL!R41+TONT20000AOUT!R41+TONT20000SEPT!R41+TONT20000OCT!R41+TONT20000NOV!S41</f>
        <v>0</v>
      </c>
      <c r="AD41" s="2"/>
    </row>
    <row r="42" spans="1:30" x14ac:dyDescent="0.25">
      <c r="A42" s="1" t="s">
        <v>47</v>
      </c>
      <c r="B42" s="1" t="str">
        <f>VLOOKUP(A42,LISTADHERENT!A$5:H$52,2,0)</f>
        <v>SIME MATHIEU</v>
      </c>
      <c r="C42" s="6">
        <f>VLOOKUP(A42,FONDSDECAISSE!A$5:C$52,3,0)</f>
        <v>390000</v>
      </c>
      <c r="D42" s="6">
        <v>636</v>
      </c>
      <c r="E42" s="6">
        <f t="shared" si="2"/>
        <v>4528</v>
      </c>
      <c r="F42" s="6">
        <f t="shared" si="0"/>
        <v>426636</v>
      </c>
      <c r="G42" s="6">
        <f>INT(TONT20000DEC2015!E42+TONT20000JANV!C42+TONT20000FEV!C42+TONT20000MARS!C42+TONT20000AVRIL!C42+TONT20000MAI!C42+TONT20000JUIN!C42+TONT20000JUIL!C42+TONT20000AOUT!C42+TONT20000SEPT!C42+TONT20000OCT!C42+TONT20000NOV!C42)</f>
        <v>47892</v>
      </c>
      <c r="H42" s="6">
        <f>TONT20000NOV!E42</f>
        <v>474528.51424733078</v>
      </c>
      <c r="I42" s="6">
        <f t="shared" si="1"/>
        <v>84528</v>
      </c>
      <c r="J42" s="6">
        <f t="shared" si="3"/>
        <v>80000</v>
      </c>
      <c r="K42" s="6">
        <f t="shared" si="4"/>
        <v>4528</v>
      </c>
      <c r="L42" s="6">
        <v>0</v>
      </c>
      <c r="M42" s="6">
        <v>30000</v>
      </c>
      <c r="N42" s="6"/>
      <c r="O42" s="6">
        <v>50000</v>
      </c>
      <c r="P42" s="6">
        <f t="shared" si="5"/>
        <v>0</v>
      </c>
      <c r="Q42" s="7">
        <f>TONT20000DEC2015!H42+TONT20000JANV!F42+TONT20000FEV!F42+TONT20000MARS!F42+TONT20000AVRIL!F42+TONT20000MAI!F42+TONT20000JUIN!F42+TONT20000JUIL!F42+TONT20000AOUT!F42+TONT20000SEPT!F42+TONT20000OCT!F42+TONT20000NOV!G42</f>
        <v>240000</v>
      </c>
      <c r="R42" s="7">
        <f>TONT20000DEC2015!I42+TONT20000JANV!G42+TONT20000FEV!G42+TONT20000MARS!G42+TONT20000AVRIL!G42+TONT20000MAI!G42+TONT20000JUIN!G42+TONT20000JUIL!G42+TONT20000AOUT!G42+TONT20000SEPT!G42+TONT20000OCT!G42+TONT20000NOV!H42</f>
        <v>36000</v>
      </c>
      <c r="S42" s="7">
        <f>TONT20000DEC2015!J42+TONT20000JANV!H42+TONT20000FEV!H42+TONT20000MARS!H42+TONT20000AVRIL!H42+TONT20000MAI!H42+TONT20000JUIN!H42+TONT20000JUIL!H42+TONT20000AOUT!H42+TONT20000SEPT!H42+TONT20000OCT!H42+TONT20000NOV!I42</f>
        <v>6000</v>
      </c>
      <c r="T42" s="7">
        <f>TONT20000DEC2015!K42+TONT20000JANV!I42+TONT20000FEV!I42+TONT20000MARS!I42+TONT20000AVRIL!I42+TONT20000MAI!I42+TONT20000JUIN!I42+TONT20000JUIL!I42+TONT20000AOUT!I42+TONT20000SEPT!I42+TONT20000OCT!I42+TONT20000NOV!J42</f>
        <v>12000</v>
      </c>
      <c r="U42" s="7">
        <f>TONT20000DEC2015!L42+TONT20000JANV!J42+TONT20000FEV!J42+TONT20000MARS!J42+TONT20000AVRIL!J42+TONT20000MAI!J42+TONT20000JUIN!J42+TONT20000JUIL!J42+TONT20000AOUT!J42+TONT20000SEPT!J42+TONT20000OCT!J42+TONT20000NOV!K42</f>
        <v>30000</v>
      </c>
      <c r="V42" s="7">
        <f>TONT20000DEC2015!M42+TONT20000JANV!K42+TONT20000FEV!K42+TONT20000MARS!K42+TONT20000AVRIL!K42+TONT20000MAI!K42+TONT20000JUIN!K42+TONT20000JUIL!K42+TONT20000AOUT!K42+TONT20000SEPT!K42+TONT20000OCT!K42+TONT20000NOV!L42</f>
        <v>0</v>
      </c>
      <c r="W42" s="7">
        <f>TONT20000DEC2015!N42+TONT20000JANV!L42+TONT20000FEV!L42+TONT20000MARS!L42+TONT20000AVRIL!L42+TONT20000MAI!L42+TONT20000JUIN!L42+TONT20000JUIL!L42+TONT20000AOUT!L42+TONT20000SEPT!L42+TONT20000OCT!L42+TONT20000NOV!M42</f>
        <v>156000</v>
      </c>
      <c r="X42" s="7">
        <f>TONT20000DEC2015!O42+TONT20000JANV!M42+TONT20000FEV!M42+TONT20000MARS!M42+TONT20000AVRIL!M42+TONT20000MAI!M42+TONT20000JUIN!M42+TONT20000JUIL!M42+TONT20000AOUT!M42+TONT20000SEPT!M42+TONT20000OCT!M42+TONT20000NOV!N42</f>
        <v>800000</v>
      </c>
      <c r="Y42" s="7">
        <f>TONT20000DEC2015!P42+TONT20000JANV!N42+TONT20000FEV!N42+TONT20000MARS!N42+TONT20000AVRIL!N42+TONT20000MAI!N42+TONT20000JUIN!N42+TONT20000JUIL!N42+TONT20000AOUT!N42+TONT20000SEPT!N42+TONT20000OCT!N42+TONT20000NOV!O42</f>
        <v>96000</v>
      </c>
      <c r="Z42" s="7">
        <f>TONT20000DEC2015!Q42+TONT20000JANV!O42+TONT20000FEV!O42+TONT20000MARS!O42+TONT20000AVRIL!O42+TONT20000MAI!O42+TONT20000JUIN!O42+TONT20000JUIL!O42+TONT20000AOUT!O42+TONT20000SEPT!O42+TONT20000OCT!O42+TONT20000NOV!P42</f>
        <v>0</v>
      </c>
      <c r="AA42" s="7">
        <f>TONT20000DEC2015!R42+TONT20000JANV!P42+TONT20000FEV!P42+TONT20000MARS!P42+TONT20000AVRIL!P42+TONT20000MAI!P42+TONT20000JUIN!P42+TONT20000JUIL!P42+TONT20000AOUT!P42+TONT20000SEPT!P42+TONT20000OCT!P42+TONT20000NOV!Q42</f>
        <v>0</v>
      </c>
      <c r="AB42" s="7">
        <f>TONT20000DEC2015!S42+TONT20000JANV!Q42+TONT20000FEV!Q42+TONT20000MARS!Q42+TONT20000AVRIL!Q42+TONT20000MAI!Q42+TONT20000JUIN!Q42+TONT20000JUIL!Q42+TONT20000AOUT!Q42+TONT20000SEPT!Q42+TONT20000OCT!Q42+TONT20000NOV!R42</f>
        <v>0</v>
      </c>
      <c r="AC42" s="7">
        <f>TONT20000DEC2015!T42+TONT20000JANV!R42+TONT20000FEV!R42+TONT20000MARS!R42+TONT20000AVRIL!R42+TONT20000MAI!R42+TONT20000JUIN!R42+TONT20000JUIL!R42+TONT20000AOUT!R42+TONT20000SEPT!R42+TONT20000OCT!R42+TONT20000NOV!S42</f>
        <v>0</v>
      </c>
      <c r="AD42" s="2"/>
    </row>
    <row r="43" spans="1:30" s="11" customFormat="1" x14ac:dyDescent="0.25">
      <c r="A43" s="34" t="s">
        <v>48</v>
      </c>
      <c r="B43" s="34" t="str">
        <f>VLOOKUP(A43,LISTADHERENT!A$5:H$52,2,0)</f>
        <v>SIME PIERRE</v>
      </c>
      <c r="C43" s="35">
        <f>VLOOKUP(A43,FONDSDECAISSE!A$5:C$52,3,0)</f>
        <v>390000</v>
      </c>
      <c r="D43" s="35">
        <v>146079</v>
      </c>
      <c r="E43" s="6">
        <f t="shared" si="2"/>
        <v>105975</v>
      </c>
      <c r="F43" s="35">
        <f t="shared" si="0"/>
        <v>1147306</v>
      </c>
      <c r="G43" s="6">
        <f>INT(TONT20000DEC2015!E43+TONT20000JANV!C43+TONT20000FEV!C43+TONT20000MARS!C43+TONT20000AVRIL!C43+TONT20000MAI!C43+TONT20000JUIN!C43+TONT20000JUIL!C43+TONT20000AOUT!C43+TONT20000SEPT!C43+TONT20000OCT!C43+TONT20000NOV!C43)</f>
        <v>121669</v>
      </c>
      <c r="H43" s="35">
        <f>TONT20000NOV!E43</f>
        <v>1268975.8529808545</v>
      </c>
      <c r="I43" s="6">
        <f t="shared" si="1"/>
        <v>878975</v>
      </c>
      <c r="J43" s="6">
        <f t="shared" si="3"/>
        <v>80000</v>
      </c>
      <c r="K43" s="6">
        <f t="shared" si="4"/>
        <v>798975</v>
      </c>
      <c r="L43" s="6">
        <v>693000</v>
      </c>
      <c r="M43" s="6">
        <v>30000</v>
      </c>
      <c r="N43" s="35"/>
      <c r="O43" s="35">
        <v>50000</v>
      </c>
      <c r="P43" s="35">
        <f t="shared" si="5"/>
        <v>0</v>
      </c>
      <c r="Q43" s="10">
        <f>TONT20000DEC2015!H43+TONT20000JANV!F43+TONT20000FEV!F43+TONT20000MARS!F43+TONT20000AVRIL!F43+TONT20000MAI!F43+TONT20000JUIN!F43+TONT20000JUIL!F43+TONT20000AOUT!F43+TONT20000SEPT!F43+TONT20000OCT!F43+TONT20000NOV!G43</f>
        <v>1130000</v>
      </c>
      <c r="R43" s="10">
        <f>TONT20000DEC2015!I43+TONT20000JANV!G43+TONT20000FEV!G43+TONT20000MARS!G43+TONT20000AVRIL!G43+TONT20000MAI!G43+TONT20000JUIN!G43+TONT20000JUIL!G43+TONT20000AOUT!G43+TONT20000SEPT!G43+TONT20000OCT!G43+TONT20000NOV!H43-854773+550000</f>
        <v>611227</v>
      </c>
      <c r="S43" s="10">
        <f>TONT20000DEC2015!J43+TONT20000JANV!H43+TONT20000FEV!H43+TONT20000MARS!H43+TONT20000AVRIL!H43+TONT20000MAI!H43+TONT20000JUIN!H43+TONT20000JUIL!H43+TONT20000AOUT!H43+TONT20000SEPT!H43+TONT20000OCT!H43+TONT20000NOV!I43</f>
        <v>6000</v>
      </c>
      <c r="T43" s="10">
        <f>TONT20000DEC2015!K43+TONT20000JANV!I43+TONT20000FEV!I43+TONT20000MARS!I43+TONT20000AVRIL!I43+TONT20000MAI!I43+TONT20000JUIN!I43+TONT20000JUIL!I43+TONT20000AOUT!I43+TONT20000SEPT!I43+TONT20000OCT!I43+TONT20000NOV!J43</f>
        <v>12000</v>
      </c>
      <c r="U43" s="10">
        <f>TONT20000DEC2015!L43+TONT20000JANV!J43+TONT20000FEV!J43+TONT20000MARS!J43+TONT20000AVRIL!J43+TONT20000MAI!J43+TONT20000JUIN!J43+TONT20000JUIL!J43+TONT20000AOUT!J43+TONT20000SEPT!J43+TONT20000OCT!J43+TONT20000NOV!K43</f>
        <v>30000</v>
      </c>
      <c r="V43" s="10">
        <f>TONT20000DEC2015!M43+TONT20000JANV!K43+TONT20000FEV!K43+TONT20000MARS!K43+TONT20000AVRIL!K43+TONT20000MAI!K43+TONT20000JUIN!K43+TONT20000JUIL!K43+TONT20000AOUT!K43+TONT20000SEPT!K43+TONT20000OCT!K43+TONT20000NOV!L43</f>
        <v>10000</v>
      </c>
      <c r="W43" s="10">
        <f>TONT20000DEC2015!N43+TONT20000JANV!L43+TONT20000FEV!L43+TONT20000MARS!L43+TONT20000AVRIL!L43+TONT20000MAI!L43+TONT20000JUIN!L43+TONT20000JUIL!L43+TONT20000AOUT!L43+TONT20000SEPT!L43+TONT20000OCT!L43+TONT20000NOV!M43</f>
        <v>156000</v>
      </c>
      <c r="X43" s="10">
        <f>TONT20000DEC2015!O43+TONT20000JANV!M43+TONT20000FEV!M43+TONT20000MARS!M43+TONT20000AVRIL!M43+TONT20000MAI!M43+TONT20000JUIN!M43+TONT20000JUIL!M43+TONT20000AOUT!M43+TONT20000SEPT!M43+TONT20000OCT!M43+TONT20000NOV!N43</f>
        <v>1110000</v>
      </c>
      <c r="Y43" s="10">
        <f>TONT20000DEC2015!P43+TONT20000JANV!N43+TONT20000FEV!N43+TONT20000MARS!N43+TONT20000AVRIL!N43+TONT20000MAI!N43+TONT20000JUIN!N43+TONT20000JUIL!N43+TONT20000AOUT!N43+TONT20000SEPT!N43+TONT20000OCT!N43+TONT20000NOV!O43</f>
        <v>84600</v>
      </c>
      <c r="Z43" s="10">
        <f>TONT20000DEC2015!Q43+TONT20000JANV!O43+TONT20000FEV!O43+TONT20000MARS!O43+TONT20000AVRIL!O43+TONT20000MAI!O43+TONT20000JUIN!O43+TONT20000JUIL!O43+TONT20000AOUT!O43+TONT20000SEPT!O43+TONT20000OCT!O43+TONT20000NOV!P43</f>
        <v>540000</v>
      </c>
      <c r="AA43" s="10">
        <f>TONT20000DEC2015!R43+TONT20000JANV!P43+TONT20000FEV!P43+TONT20000MARS!P43+TONT20000AVRIL!P43+TONT20000MAI!P43+TONT20000JUIN!P43+TONT20000JUIL!P43+TONT20000AOUT!P43+TONT20000SEPT!P43+TONT20000OCT!P43+TONT20000NOV!Q43</f>
        <v>0</v>
      </c>
      <c r="AB43" s="10">
        <f>TONT20000DEC2015!S43+TONT20000JANV!Q43+TONT20000FEV!Q43+TONT20000MARS!Q43+TONT20000AVRIL!Q43+TONT20000MAI!Q43+TONT20000JUIN!Q43+TONT20000JUIL!Q43+TONT20000AOUT!Q43+TONT20000SEPT!Q43+TONT20000OCT!Q43+TONT20000NOV!R43</f>
        <v>0</v>
      </c>
      <c r="AC43" s="10">
        <f>TONT20000DEC2015!T43+TONT20000JANV!R43+TONT20000FEV!R43+TONT20000MARS!R43+TONT20000AVRIL!R43+TONT20000MAI!R43+TONT20000JUIN!R43+TONT20000JUIL!R43+TONT20000AOUT!R43+TONT20000SEPT!R43+TONT20000OCT!R43+TONT20000NOV!S43</f>
        <v>0</v>
      </c>
      <c r="AD43" s="29"/>
    </row>
    <row r="44" spans="1:30" x14ac:dyDescent="0.25">
      <c r="A44" s="1" t="s">
        <v>49</v>
      </c>
      <c r="B44" s="1" t="str">
        <f>VLOOKUP(A44,LISTADHERENT!A$5:H$52,2,0)</f>
        <v>TAGNE NANGUEN MARTIN</v>
      </c>
      <c r="C44" s="6">
        <v>390000</v>
      </c>
      <c r="D44" s="6">
        <v>0</v>
      </c>
      <c r="E44" s="6">
        <f t="shared" si="2"/>
        <v>1621</v>
      </c>
      <c r="F44" s="6">
        <f t="shared" si="0"/>
        <v>426000</v>
      </c>
      <c r="G44" s="6">
        <f>INT(TONT20000DEC2015!E44+TONT20000JANV!C44+TONT20000FEV!C44+TONT20000MARS!C44+TONT20000AVRIL!C44+TONT20000MAI!C44+TONT20000JUIN!C44+TONT20000JUIL!C44+TONT20000AOUT!C44+TONT20000SEPT!C44+TONT20000OCT!C44+TONT20000NOV!C44)</f>
        <v>15621</v>
      </c>
      <c r="H44" s="6">
        <f>TONT20000NOV!E44</f>
        <v>441621.34748316335</v>
      </c>
      <c r="I44" s="6">
        <f t="shared" si="1"/>
        <v>51621</v>
      </c>
      <c r="J44" s="6">
        <f t="shared" si="3"/>
        <v>50000</v>
      </c>
      <c r="K44" s="6">
        <f t="shared" si="4"/>
        <v>1621</v>
      </c>
      <c r="L44" s="6">
        <v>0</v>
      </c>
      <c r="M44" s="6"/>
      <c r="N44" s="6"/>
      <c r="O44" s="6">
        <v>50000</v>
      </c>
      <c r="P44" s="6">
        <f t="shared" si="5"/>
        <v>0</v>
      </c>
      <c r="Q44" s="7">
        <f>TONT20000DEC2015!H44+TONT20000JANV!F44+TONT20000FEV!F44+TONT20000MARS!F44+TONT20000AVRIL!F44+TONT20000MAI!F44+TONT20000JUIN!F44+TONT20000JUIL!F44+TONT20000AOUT!F44+TONT20000SEPT!F44+TONT20000OCT!F44+TONT20000NOV!G44</f>
        <v>240000</v>
      </c>
      <c r="R44" s="7">
        <f>TONT20000DEC2015!I44+TONT20000JANV!G44+TONT20000FEV!G44+TONT20000MARS!G44+TONT20000AVRIL!G44+TONT20000MAI!G44+TONT20000JUIN!G44+TONT20000JUIL!G44+TONT20000AOUT!G44+TONT20000SEPT!G44+TONT20000OCT!G44+TONT20000NOV!H44</f>
        <v>36000</v>
      </c>
      <c r="S44" s="7">
        <f>TONT20000DEC2015!J44+TONT20000JANV!H44+TONT20000FEV!H44+TONT20000MARS!H44+TONT20000AVRIL!H44+TONT20000MAI!H44+TONT20000JUIN!H44+TONT20000JUIL!H44+TONT20000AOUT!H44+TONT20000SEPT!H44+TONT20000OCT!H44+TONT20000NOV!I44</f>
        <v>6000</v>
      </c>
      <c r="T44" s="7">
        <f>TONT20000DEC2015!K44+TONT20000JANV!I44+TONT20000FEV!I44+TONT20000MARS!I44+TONT20000AVRIL!I44+TONT20000MAI!I44+TONT20000JUIN!I44+TONT20000JUIL!I44+TONT20000AOUT!I44+TONT20000SEPT!I44+TONT20000OCT!I44+TONT20000NOV!J44</f>
        <v>12000</v>
      </c>
      <c r="U44" s="7">
        <f>TONT20000DEC2015!L44+TONT20000JANV!J44+TONT20000FEV!J44+TONT20000MARS!J44+TONT20000AVRIL!J44+TONT20000MAI!J44+TONT20000JUIN!J44+TONT20000JUIL!J44+TONT20000AOUT!J44+TONT20000SEPT!J44+TONT20000OCT!J44+TONT20000NOV!K44</f>
        <v>30000</v>
      </c>
      <c r="V44" s="7">
        <f>TONT20000DEC2015!M44+TONT20000JANV!K44+TONT20000FEV!K44+TONT20000MARS!K44+TONT20000AVRIL!K44+TONT20000MAI!K44+TONT20000JUIN!K44+TONT20000JUIL!K44+TONT20000AOUT!K44+TONT20000SEPT!K44+TONT20000OCT!K44+TONT20000NOV!L44</f>
        <v>0</v>
      </c>
      <c r="W44" s="7">
        <f>TONT20000DEC2015!N44+TONT20000JANV!L44+TONT20000FEV!L44+TONT20000MARS!L44+TONT20000AVRIL!L44+TONT20000MAI!L44+TONT20000JUIN!L44+TONT20000JUIL!L44+TONT20000AOUT!L44+TONT20000SEPT!L44+TONT20000OCT!L44+TONT20000NOV!M44</f>
        <v>156000</v>
      </c>
      <c r="X44" s="7">
        <f>TONT20000DEC2015!O44+TONT20000JANV!M44+TONT20000FEV!M44+TONT20000MARS!M44+TONT20000AVRIL!M44+TONT20000MAI!M44+TONT20000JUIN!M44+TONT20000JUIL!M44+TONT20000AOUT!M44+TONT20000SEPT!M44+TONT20000OCT!M44+TONT20000NOV!N44</f>
        <v>0</v>
      </c>
      <c r="Y44" s="7">
        <f>TONT20000DEC2015!P44+TONT20000JANV!N44+TONT20000FEV!N44+TONT20000MARS!N44+TONT20000AVRIL!N44+TONT20000MAI!N44+TONT20000JUIN!N44+TONT20000JUIL!N44+TONT20000AOUT!N44+TONT20000SEPT!N44+TONT20000OCT!N44+TONT20000NOV!O44</f>
        <v>0</v>
      </c>
      <c r="Z44" s="7">
        <f>TONT20000DEC2015!Q44+TONT20000JANV!O44+TONT20000FEV!O44+TONT20000MARS!O44+TONT20000AVRIL!O44+TONT20000MAI!O44+TONT20000JUIN!O44+TONT20000JUIL!O44+TONT20000AOUT!O44+TONT20000SEPT!O44+TONT20000OCT!O44+TONT20000NOV!P44</f>
        <v>0</v>
      </c>
      <c r="AA44" s="7">
        <f>TONT20000DEC2015!R44+TONT20000JANV!P44+TONT20000FEV!P44+TONT20000MARS!P44+TONT20000AVRIL!P44+TONT20000MAI!P44+TONT20000JUIN!P44+TONT20000JUIL!P44+TONT20000AOUT!P44+TONT20000SEPT!P44+TONT20000OCT!P44+TONT20000NOV!Q44</f>
        <v>0</v>
      </c>
      <c r="AB44" s="7">
        <f>TONT20000DEC2015!S44+TONT20000JANV!Q44+TONT20000FEV!Q44+TONT20000MARS!Q44+TONT20000AVRIL!Q44+TONT20000MAI!Q44+TONT20000JUIN!Q44+TONT20000JUIL!Q44+TONT20000AOUT!Q44+TONT20000SEPT!Q44+TONT20000OCT!Q44+TONT20000NOV!R44</f>
        <v>0</v>
      </c>
      <c r="AC44" s="7">
        <f>TONT20000DEC2015!T44+TONT20000JANV!R44+TONT20000FEV!R44+TONT20000MARS!R44+TONT20000AVRIL!R44+TONT20000MAI!R44+TONT20000JUIN!R44+TONT20000JUIL!R44+TONT20000AOUT!R44+TONT20000SEPT!R44+TONT20000OCT!R44+TONT20000NOV!S44</f>
        <v>0</v>
      </c>
      <c r="AD44" s="2"/>
    </row>
    <row r="45" spans="1:30" s="11" customFormat="1" x14ac:dyDescent="0.25">
      <c r="A45" s="34" t="s">
        <v>50</v>
      </c>
      <c r="B45" s="34" t="str">
        <f>VLOOKUP(A45,LISTADHERENT!A$5:H$52,2,0)</f>
        <v>TCHOUAMOU JEAN PAUL</v>
      </c>
      <c r="C45" s="35">
        <f>VLOOKUP(A45,FONDSDECAISSE!A$5:C$52,3,0)</f>
        <v>0</v>
      </c>
      <c r="D45" s="35">
        <v>0</v>
      </c>
      <c r="E45" s="6">
        <f t="shared" si="2"/>
        <v>106</v>
      </c>
      <c r="F45" s="35">
        <f t="shared" si="0"/>
        <v>12323</v>
      </c>
      <c r="G45" s="6">
        <f>INT(TONT20000DEC2015!E45+TONT20000JANV!C45+TONT20000FEV!C45+TONT20000MARS!C45+TONT20000AVRIL!C45+TONT20000MAI!C45+TONT20000JUIN!C45+TONT20000JUIL!C45+TONT20000AOUT!C45+TONT20000SEPT!C45+TONT20000OCT!C45+TONT20000NOV!C45)</f>
        <v>2520</v>
      </c>
      <c r="H45" s="35">
        <f>TONT20000NOV!E45</f>
        <v>38520.175299949828</v>
      </c>
      <c r="I45" s="35">
        <f t="shared" si="1"/>
        <v>14843</v>
      </c>
      <c r="J45" s="35">
        <f t="shared" si="3"/>
        <v>14737</v>
      </c>
      <c r="K45" s="35">
        <f t="shared" si="4"/>
        <v>106</v>
      </c>
      <c r="L45" s="35">
        <v>0</v>
      </c>
      <c r="M45" s="35"/>
      <c r="N45" s="35"/>
      <c r="O45" s="35">
        <f>50000-35263</f>
        <v>14737</v>
      </c>
      <c r="P45" s="35">
        <f t="shared" si="5"/>
        <v>0</v>
      </c>
      <c r="Q45" s="10">
        <f>TONT20000DEC2015!H45+TONT20000JANV!F45+TONT20000FEV!F45+TONT20000MARS!F45+TONT20000AVRIL!F45+TONT20000MAI!F45+TONT20000JUIN!F45+TONT20000JUIL!F45+TONT20000AOUT!F45+TONT20000SEPT!F45+TONT20000OCT!F45+TONT20000NOV!G45</f>
        <v>290000</v>
      </c>
      <c r="R45" s="10">
        <f>TONT20000DEC2015!I45+TONT20000JANV!G45+TONT20000FEV!G45+TONT20000MARS!G45+TONT20000AVRIL!G45+TONT20000MAI!G45+TONT20000JUIN!G45+TONT20000JUIL!G45+TONT20000AOUT!G45+TONT20000SEPT!G45+TONT20000OCT!G45+TONT20000NOV!H45-23677</f>
        <v>12323</v>
      </c>
      <c r="S45" s="10">
        <f>TONT20000DEC2015!J45+TONT20000JANV!H45+TONT20000FEV!H45+TONT20000MARS!H45+TONT20000AVRIL!H45+TONT20000MAI!H45+TONT20000JUIN!H45+TONT20000JUIL!H45+TONT20000AOUT!H45+TONT20000SEPT!H45+TONT20000OCT!H45+TONT20000NOV!I45</f>
        <v>6000</v>
      </c>
      <c r="T45" s="10">
        <f>TONT20000DEC2015!K45+TONT20000JANV!I45+TONT20000FEV!I45+TONT20000MARS!I45+TONT20000AVRIL!I45+TONT20000MAI!I45+TONT20000JUIN!I45+TONT20000JUIL!I45+TONT20000AOUT!I45+TONT20000SEPT!I45+TONT20000OCT!I45+TONT20000NOV!J45</f>
        <v>12000</v>
      </c>
      <c r="U45" s="10">
        <f>TONT20000DEC2015!L45+TONT20000JANV!J45+TONT20000FEV!J45+TONT20000MARS!J45+TONT20000AVRIL!J45+TONT20000MAI!J45+TONT20000JUIN!J45+TONT20000JUIL!J45+TONT20000AOUT!J45+TONT20000SEPT!J45+TONT20000OCT!J45+TONT20000NOV!K45</f>
        <v>30000</v>
      </c>
      <c r="V45" s="10">
        <f>TONT20000DEC2015!M45+TONT20000JANV!K45+TONT20000FEV!K45+TONT20000MARS!K45+TONT20000AVRIL!K45+TONT20000MAI!K45+TONT20000JUIN!K45+TONT20000JUIL!K45+TONT20000AOUT!K45+TONT20000SEPT!K45+TONT20000OCT!K45+TONT20000NOV!L45</f>
        <v>50000</v>
      </c>
      <c r="W45" s="10">
        <f>TONT20000DEC2015!N45+TONT20000JANV!L45+TONT20000FEV!L45+TONT20000MARS!L45+TONT20000AVRIL!L45+TONT20000MAI!L45+TONT20000JUIN!L45+TONT20000JUIL!L45+TONT20000AOUT!L45+TONT20000SEPT!L45+TONT20000OCT!L45+TONT20000NOV!M45</f>
        <v>156000</v>
      </c>
      <c r="X45" s="10">
        <f>TONT20000DEC2015!O45+TONT20000JANV!M45+TONT20000FEV!M45+TONT20000MARS!M45+TONT20000AVRIL!M45+TONT20000MAI!M45+TONT20000JUIN!M45+TONT20000JUIL!M45+TONT20000AOUT!M45+TONT20000SEPT!M45+TONT20000OCT!M45+TONT20000NOV!N45</f>
        <v>0</v>
      </c>
      <c r="Y45" s="10">
        <f>TONT20000DEC2015!P45+TONT20000JANV!N45+TONT20000FEV!N45+TONT20000MARS!N45+TONT20000AVRIL!N45+TONT20000MAI!N45+TONT20000JUIN!N45+TONT20000JUIL!N45+TONT20000AOUT!N45+TONT20000SEPT!N45+TONT20000OCT!N45+TONT20000NOV!O45</f>
        <v>0</v>
      </c>
      <c r="Z45" s="10">
        <f>TONT20000DEC2015!Q45+TONT20000JANV!O45+TONT20000FEV!O45+TONT20000MARS!O45+TONT20000AVRIL!O45+TONT20000MAI!O45+TONT20000JUIN!O45+TONT20000JUIL!O45+TONT20000AOUT!O45+TONT20000SEPT!O45+TONT20000OCT!O45+TONT20000NOV!P45</f>
        <v>0</v>
      </c>
      <c r="AA45" s="10">
        <f>TONT20000DEC2015!R45+TONT20000JANV!P45+TONT20000FEV!P45+TONT20000MARS!P45+TONT20000AVRIL!P45+TONT20000MAI!P45+TONT20000JUIN!P45+TONT20000JUIL!P45+TONT20000AOUT!P45+TONT20000SEPT!P45+TONT20000OCT!P45+TONT20000NOV!Q45</f>
        <v>0</v>
      </c>
      <c r="AB45" s="10">
        <f>TONT20000DEC2015!S45+TONT20000JANV!Q45+TONT20000FEV!Q45+TONT20000MARS!Q45+TONT20000AVRIL!Q45+TONT20000MAI!Q45+TONT20000JUIN!Q45+TONT20000JUIL!Q45+TONT20000AOUT!Q45+TONT20000SEPT!Q45+TONT20000OCT!Q45+TONT20000NOV!R45</f>
        <v>0</v>
      </c>
      <c r="AC45" s="10">
        <f>TONT20000DEC2015!T45+TONT20000JANV!R45+TONT20000FEV!R45+TONT20000MARS!R45+TONT20000AVRIL!R45+TONT20000MAI!R45+TONT20000JUIN!R45+TONT20000JUIL!R45+TONT20000AOUT!R45+TONT20000SEPT!R45+TONT20000OCT!R45+TONT20000NOV!S45</f>
        <v>0</v>
      </c>
      <c r="AD45" s="29"/>
    </row>
    <row r="46" spans="1:30" x14ac:dyDescent="0.25">
      <c r="A46" s="1" t="s">
        <v>51</v>
      </c>
      <c r="B46" s="1" t="str">
        <f>VLOOKUP(A46,LISTADHERENT!A$5:H$52,2,0)</f>
        <v>TCHOUAMOU MATHIEU</v>
      </c>
      <c r="C46" s="6">
        <f>VLOOKUP(A46,FONDSDECAISSE!A$5:C$52,3,0)</f>
        <v>390000</v>
      </c>
      <c r="D46" s="6">
        <v>3437</v>
      </c>
      <c r="E46" s="6">
        <f t="shared" si="2"/>
        <v>2654</v>
      </c>
      <c r="F46" s="6">
        <f t="shared" si="0"/>
        <v>429437</v>
      </c>
      <c r="G46" s="6">
        <f>INT(TONT20000DEC2015!E46+TONT20000JANV!C46+TONT20000FEV!C46+TONT20000MARS!C46+TONT20000AVRIL!C46+TONT20000MAI!C46+TONT20000JUIN!C46+TONT20000JUIL!C46+TONT20000AOUT!C46+TONT20000SEPT!C46+TONT20000OCT!C46+TONT20000NOV!C46)</f>
        <v>48217</v>
      </c>
      <c r="H46" s="6">
        <f>TONT20000NOV!E46</f>
        <v>477654.85016463388</v>
      </c>
      <c r="I46" s="6">
        <f t="shared" si="1"/>
        <v>87654</v>
      </c>
      <c r="J46" s="6">
        <f t="shared" si="3"/>
        <v>80000</v>
      </c>
      <c r="K46" s="6">
        <f t="shared" si="4"/>
        <v>7654</v>
      </c>
      <c r="L46" s="6">
        <v>5000</v>
      </c>
      <c r="M46" s="6">
        <v>30000</v>
      </c>
      <c r="N46" s="6"/>
      <c r="O46" s="6">
        <v>50000</v>
      </c>
      <c r="P46" s="6">
        <f t="shared" si="5"/>
        <v>0</v>
      </c>
      <c r="Q46" s="7">
        <f>TONT20000DEC2015!H46+TONT20000JANV!F46+TONT20000FEV!F46+TONT20000MARS!F46+TONT20000AVRIL!F46+TONT20000MAI!F46+TONT20000JUIN!F46+TONT20000JUIL!F46+TONT20000AOUT!F46+TONT20000SEPT!F46+TONT20000OCT!F46+TONT20000NOV!G46</f>
        <v>240000</v>
      </c>
      <c r="R46" s="7">
        <f>TONT20000DEC2015!I46+TONT20000JANV!G46+TONT20000FEV!G46+TONT20000MARS!G46+TONT20000AVRIL!G46+TONT20000MAI!G46+TONT20000JUIN!G46+TONT20000JUIL!G46+TONT20000AOUT!G46+TONT20000SEPT!G46+TONT20000OCT!G46+TONT20000NOV!H46</f>
        <v>36000</v>
      </c>
      <c r="S46" s="7">
        <f>TONT20000DEC2015!J46+TONT20000JANV!H46+TONT20000FEV!H46+TONT20000MARS!H46+TONT20000AVRIL!H46+TONT20000MAI!H46+TONT20000JUIN!H46+TONT20000JUIL!H46+TONT20000AOUT!H46+TONT20000SEPT!H46+TONT20000OCT!H46+TONT20000NOV!I46</f>
        <v>6000</v>
      </c>
      <c r="T46" s="7">
        <f>TONT20000DEC2015!K46+TONT20000JANV!I46+TONT20000FEV!I46+TONT20000MARS!I46+TONT20000AVRIL!I46+TONT20000MAI!I46+TONT20000JUIN!I46+TONT20000JUIL!I46+TONT20000AOUT!I46+TONT20000SEPT!I46+TONT20000OCT!I46+TONT20000NOV!J46</f>
        <v>12000</v>
      </c>
      <c r="U46" s="7">
        <f>TONT20000DEC2015!L46+TONT20000JANV!J46+TONT20000FEV!J46+TONT20000MARS!J46+TONT20000AVRIL!J46+TONT20000MAI!J46+TONT20000JUIN!J46+TONT20000JUIL!J46+TONT20000AOUT!J46+TONT20000SEPT!J46+TONT20000OCT!J46+TONT20000NOV!K46</f>
        <v>30000</v>
      </c>
      <c r="V46" s="7">
        <f>TONT20000DEC2015!M46+TONT20000JANV!K46+TONT20000FEV!K46+TONT20000MARS!K46+TONT20000AVRIL!K46+TONT20000MAI!K46+TONT20000JUIN!K46+TONT20000JUIL!K46+TONT20000AOUT!K46+TONT20000SEPT!K46+TONT20000OCT!K46+TONT20000NOV!L46</f>
        <v>0</v>
      </c>
      <c r="W46" s="7">
        <f>TONT20000DEC2015!N46+TONT20000JANV!L46+TONT20000FEV!L46+TONT20000MARS!L46+TONT20000AVRIL!L46+TONT20000MAI!L46+TONT20000JUIN!L46+TONT20000JUIL!L46+TONT20000AOUT!L46+TONT20000SEPT!L46+TONT20000OCT!L46+TONT20000NOV!M46</f>
        <v>156000</v>
      </c>
      <c r="X46" s="7">
        <f>TONT20000DEC2015!O46+TONT20000JANV!M46+TONT20000FEV!M46+TONT20000MARS!M46+TONT20000AVRIL!M46+TONT20000MAI!M46+TONT20000JUIN!M46+TONT20000JUIL!M46+TONT20000AOUT!M46+TONT20000SEPT!M46+TONT20000OCT!M46+TONT20000NOV!N46</f>
        <v>1500000</v>
      </c>
      <c r="Y46" s="7">
        <f>TONT20000DEC2015!P46+TONT20000JANV!N46+TONT20000FEV!N46+TONT20000MARS!N46+TONT20000AVRIL!N46+TONT20000MAI!N46+TONT20000JUIN!N46+TONT20000JUIL!N46+TONT20000AOUT!N46+TONT20000SEPT!N46+TONT20000OCT!N46+TONT20000NOV!O46</f>
        <v>45000</v>
      </c>
      <c r="Z46" s="7">
        <f>TONT20000DEC2015!Q46+TONT20000JANV!O46+TONT20000FEV!O46+TONT20000MARS!O46+TONT20000AVRIL!O46+TONT20000MAI!O46+TONT20000JUIN!O46+TONT20000JUIL!O46+TONT20000AOUT!O46+TONT20000SEPT!O46+TONT20000OCT!O46+TONT20000NOV!P46</f>
        <v>1000000</v>
      </c>
      <c r="AA46" s="7">
        <f>TONT20000DEC2015!R46+TONT20000JANV!P46+TONT20000FEV!P46+TONT20000MARS!P46+TONT20000AVRIL!P46+TONT20000MAI!P46+TONT20000JUIN!P46+TONT20000JUIL!P46+TONT20000AOUT!P46+TONT20000SEPT!P46+TONT20000OCT!P46+TONT20000NOV!Q46</f>
        <v>94825</v>
      </c>
      <c r="AB46" s="7">
        <f>TONT20000DEC2015!S46+TONT20000JANV!Q46+TONT20000FEV!Q46+TONT20000MARS!Q46+TONT20000AVRIL!Q46+TONT20000MAI!Q46+TONT20000JUIN!Q46+TONT20000JUIL!Q46+TONT20000AOUT!Q46+TONT20000SEPT!Q46+TONT20000OCT!Q46+TONT20000NOV!R46</f>
        <v>0</v>
      </c>
      <c r="AC46" s="7">
        <f>TONT20000DEC2015!T46+TONT20000JANV!R46+TONT20000FEV!R46+TONT20000MARS!R46+TONT20000AVRIL!R46+TONT20000MAI!R46+TONT20000JUIN!R46+TONT20000JUIL!R46+TONT20000AOUT!R46+TONT20000SEPT!R46+TONT20000OCT!R46+TONT20000NOV!S46</f>
        <v>0</v>
      </c>
      <c r="AD46" s="2"/>
    </row>
    <row r="47" spans="1:30" x14ac:dyDescent="0.25">
      <c r="A47" s="1" t="s">
        <v>52</v>
      </c>
      <c r="B47" s="1" t="str">
        <f>VLOOKUP(A47,LISTADHERENT!A$5:H$52,2,0)</f>
        <v>TCHOUANTE FRANCOIS</v>
      </c>
      <c r="C47" s="6">
        <v>325719</v>
      </c>
      <c r="D47" s="6">
        <v>4925</v>
      </c>
      <c r="E47" s="6">
        <f t="shared" si="2"/>
        <v>25832</v>
      </c>
      <c r="F47" s="6">
        <f t="shared" si="0"/>
        <v>393644</v>
      </c>
      <c r="G47" s="6">
        <f>INT(TONT20000DEC2015!E47+TONT20000JANV!C47+TONT20000FEV!C47+TONT20000MARS!C47+TONT20000AVRIL!C47+TONT20000MAI!C47+TONT20000JUIN!C47+TONT20000JUIL!C47+TONT20000AOUT!C47+TONT20000SEPT!C47+TONT20000OCT!C47+TONT20000NOV!C47)</f>
        <v>37907</v>
      </c>
      <c r="H47" s="6">
        <f>TONT20000NOV!E47</f>
        <v>431551.07044236845</v>
      </c>
      <c r="I47" s="6">
        <f t="shared" si="1"/>
        <v>105832</v>
      </c>
      <c r="J47" s="6">
        <f t="shared" si="3"/>
        <v>80000</v>
      </c>
      <c r="K47" s="6">
        <f t="shared" si="4"/>
        <v>25832</v>
      </c>
      <c r="L47" s="6">
        <v>0</v>
      </c>
      <c r="M47" s="6">
        <v>30000</v>
      </c>
      <c r="N47" s="6"/>
      <c r="O47" s="6">
        <v>50000</v>
      </c>
      <c r="P47" s="6">
        <f t="shared" si="5"/>
        <v>0</v>
      </c>
      <c r="Q47" s="7">
        <f>TONT20000DEC2015!H47+TONT20000JANV!F47+TONT20000FEV!F47+TONT20000MARS!F47+TONT20000AVRIL!F47+TONT20000MAI!F47+TONT20000JUIN!F47+TONT20000JUIL!F47+TONT20000AOUT!F47+TONT20000SEPT!F47+TONT20000OCT!F47+TONT20000NOV!G47</f>
        <v>267000</v>
      </c>
      <c r="R47" s="7">
        <f>TONT20000DEC2015!I47+TONT20000JANV!G47+TONT20000FEV!G47+TONT20000MARS!G47+TONT20000AVRIL!G47+TONT20000MAI!G47+TONT20000JUIN!G47+TONT20000JUIL!G47+TONT20000AOUT!G47+TONT20000SEPT!G47+TONT20000OCT!G47+TONT20000NOV!H47</f>
        <v>63000</v>
      </c>
      <c r="S47" s="7">
        <f>TONT20000DEC2015!J47+TONT20000JANV!H47+TONT20000FEV!H47+TONT20000MARS!H47+TONT20000AVRIL!H47+TONT20000MAI!H47+TONT20000JUIN!H47+TONT20000JUIL!H47+TONT20000AOUT!H47+TONT20000SEPT!H47+TONT20000OCT!H47+TONT20000NOV!I47</f>
        <v>6000</v>
      </c>
      <c r="T47" s="7">
        <f>TONT20000DEC2015!K47+TONT20000JANV!I47+TONT20000FEV!I47+TONT20000MARS!I47+TONT20000AVRIL!I47+TONT20000MAI!I47+TONT20000JUIN!I47+TONT20000JUIL!I47+TONT20000AOUT!I47+TONT20000SEPT!I47+TONT20000OCT!I47+TONT20000NOV!J47</f>
        <v>12000</v>
      </c>
      <c r="U47" s="7">
        <f>TONT20000DEC2015!L47+TONT20000JANV!J47+TONT20000FEV!J47+TONT20000MARS!J47+TONT20000AVRIL!J47+TONT20000MAI!J47+TONT20000JUIN!J47+TONT20000JUIL!J47+TONT20000AOUT!J47+TONT20000SEPT!J47+TONT20000OCT!J47+TONT20000NOV!K47</f>
        <v>30000</v>
      </c>
      <c r="V47" s="7">
        <f>TONT20000DEC2015!M47+TONT20000JANV!K47+TONT20000FEV!K47+TONT20000MARS!K47+TONT20000AVRIL!K47+TONT20000MAI!K47+TONT20000JUIN!K47+TONT20000JUIL!K47+TONT20000AOUT!K47+TONT20000SEPT!K47+TONT20000OCT!K47+TONT20000NOV!L47</f>
        <v>0</v>
      </c>
      <c r="W47" s="7">
        <f>TONT20000DEC2015!N47+TONT20000JANV!L47+TONT20000FEV!L47+TONT20000MARS!L47+TONT20000AVRIL!L47+TONT20000MAI!L47+TONT20000JUIN!L47+TONT20000JUIL!L47+TONT20000AOUT!L47+TONT20000SEPT!L47+TONT20000OCT!L47+TONT20000NOV!M47</f>
        <v>156000</v>
      </c>
      <c r="X47" s="7">
        <f>TONT20000DEC2015!O47+TONT20000JANV!M47+TONT20000FEV!M47+TONT20000MARS!M47+TONT20000AVRIL!M47+TONT20000MAI!M47+TONT20000JUIN!M47+TONT20000JUIL!M47+TONT20000AOUT!M47+TONT20000SEPT!M47+TONT20000OCT!M47+TONT20000NOV!N47</f>
        <v>1250000</v>
      </c>
      <c r="Y47" s="7">
        <f>TONT20000DEC2015!P47+TONT20000JANV!N47+TONT20000FEV!N47+TONT20000MARS!N47+TONT20000AVRIL!N47+TONT20000MAI!N47+TONT20000JUIN!N47+TONT20000JUIL!N47+TONT20000AOUT!N47+TONT20000SEPT!N47+TONT20000OCT!N47+TONT20000NOV!O47</f>
        <v>105000</v>
      </c>
      <c r="Z47" s="7">
        <f>TONT20000DEC2015!Q47+TONT20000JANV!O47+TONT20000FEV!O47+TONT20000MARS!O47+TONT20000AVRIL!O47+TONT20000MAI!O47+TONT20000JUIN!O47+TONT20000JUIL!O47+TONT20000AOUT!O47+TONT20000SEPT!O47+TONT20000OCT!O47+TONT20000NOV!P47</f>
        <v>0</v>
      </c>
      <c r="AA47" s="7">
        <f>TONT20000DEC2015!R47+TONT20000JANV!P47+TONT20000FEV!P47+TONT20000MARS!P47+TONT20000AVRIL!P47+TONT20000MAI!P47+TONT20000JUIN!P47+TONT20000JUIL!P47+TONT20000AOUT!P47+TONT20000SEPT!P47+TONT20000OCT!P47+TONT20000NOV!Q47</f>
        <v>0</v>
      </c>
      <c r="AB47" s="7">
        <f>TONT20000DEC2015!S47+TONT20000JANV!Q47+TONT20000FEV!Q47+TONT20000MARS!Q47+TONT20000AVRIL!Q47+TONT20000MAI!Q47+TONT20000JUIN!Q47+TONT20000JUIL!Q47+TONT20000AOUT!Q47+TONT20000SEPT!Q47+TONT20000OCT!Q47+TONT20000NOV!R47</f>
        <v>0</v>
      </c>
      <c r="AC47" s="7">
        <f>TONT20000DEC2015!T47+TONT20000JANV!R47+TONT20000FEV!R47+TONT20000MARS!R47+TONT20000AVRIL!R47+TONT20000MAI!R47+TONT20000JUIN!R47+TONT20000JUIL!R47+TONT20000AOUT!R47+TONT20000SEPT!R47+TONT20000OCT!R47+TONT20000NOV!S47</f>
        <v>0</v>
      </c>
      <c r="AD47" s="2"/>
    </row>
    <row r="48" spans="1:30" x14ac:dyDescent="0.25">
      <c r="A48" s="1" t="s">
        <v>53</v>
      </c>
      <c r="B48" s="1" t="str">
        <f>VLOOKUP(A48,LISTADHERENT!A$5:H$52,2,0)</f>
        <v>TCHOUTOU NANA CLAUDE</v>
      </c>
      <c r="C48" s="6">
        <f>VLOOKUP(A48,FONDSDECAISSE!A$5:C$52,3,0)</f>
        <v>0</v>
      </c>
      <c r="D48" s="6">
        <v>0</v>
      </c>
      <c r="E48" s="6">
        <f t="shared" si="2"/>
        <v>-437</v>
      </c>
      <c r="F48" s="6">
        <f t="shared" si="0"/>
        <v>14126</v>
      </c>
      <c r="G48" s="6">
        <f>INT(TONT20000DEC2015!E48+TONT20000JANV!C48+TONT20000FEV!C48+TONT20000MARS!C48+TONT20000AVRIL!C48+TONT20000MAI!C48+TONT20000JUIN!C48+TONT20000JUIL!C48+TONT20000AOUT!C48+TONT20000SEPT!C48+TONT20000OCT!C48+TONT20000NOV!C48)</f>
        <v>1437</v>
      </c>
      <c r="H48" s="6">
        <f>TONT20000NOV!E48</f>
        <v>25437.042836931963</v>
      </c>
      <c r="I48" s="6">
        <f t="shared" si="1"/>
        <v>15563</v>
      </c>
      <c r="J48" s="6">
        <f t="shared" si="3"/>
        <v>16000</v>
      </c>
      <c r="K48" s="6">
        <f t="shared" si="4"/>
        <v>-437</v>
      </c>
      <c r="L48" s="6">
        <v>0</v>
      </c>
      <c r="M48" s="6"/>
      <c r="N48" s="6"/>
      <c r="O48" s="6"/>
      <c r="P48" s="6">
        <f t="shared" si="5"/>
        <v>16000</v>
      </c>
      <c r="Q48" s="7">
        <f>TONT20000DEC2015!H48+TONT20000JANV!F48+TONT20000FEV!F48+TONT20000MARS!F48+TONT20000AVRIL!F48+TONT20000MAI!F48+TONT20000JUIN!F48+TONT20000JUIL!F48+TONT20000AOUT!F48+TONT20000SEPT!F48+TONT20000OCT!F48+TONT20000NOV!G48</f>
        <v>160000</v>
      </c>
      <c r="R48" s="7">
        <f>TONT20000DEC2015!I48+TONT20000JANV!G48+TONT20000FEV!G48+TONT20000MARS!G48+TONT20000AVRIL!G48+TONT20000MAI!G48+TONT20000JUIN!G48+TONT20000JUIL!G48+TONT20000AOUT!G48+TONT20000SEPT!G48+TONT20000OCT!G48+TONT20000NOV!H48-9874</f>
        <v>14126</v>
      </c>
      <c r="S48" s="7">
        <f>TONT20000DEC2015!J48+TONT20000JANV!H48+TONT20000FEV!H48+TONT20000MARS!H48+TONT20000AVRIL!H48+TONT20000MAI!H48+TONT20000JUIN!H48+TONT20000JUIL!H48+TONT20000AOUT!H48+TONT20000SEPT!H48+TONT20000OCT!H48+TONT20000NOV!I48</f>
        <v>4000</v>
      </c>
      <c r="T48" s="7">
        <f>TONT20000DEC2015!K48+TONT20000JANV!I48+TONT20000FEV!I48+TONT20000MARS!I48+TONT20000AVRIL!I48+TONT20000MAI!I48+TONT20000JUIN!I48+TONT20000JUIL!I48+TONT20000AOUT!I48+TONT20000SEPT!I48+TONT20000OCT!I48+TONT20000NOV!J48</f>
        <v>8000</v>
      </c>
      <c r="U48" s="7">
        <f>TONT20000DEC2015!L48+TONT20000JANV!J48+TONT20000FEV!J48+TONT20000MARS!J48+TONT20000AVRIL!J48+TONT20000MAI!J48+TONT20000JUIN!J48+TONT20000JUIL!J48+TONT20000AOUT!J48+TONT20000SEPT!J48+TONT20000OCT!J48+TONT20000NOV!K48</f>
        <v>20000</v>
      </c>
      <c r="V48" s="7">
        <f>TONT20000DEC2015!M48+TONT20000JANV!K48+TONT20000FEV!K48+TONT20000MARS!K48+TONT20000AVRIL!K48+TONT20000MAI!K48+TONT20000JUIN!K48+TONT20000JUIL!K48+TONT20000AOUT!K48+TONT20000SEPT!K48+TONT20000OCT!K48+TONT20000NOV!L48</f>
        <v>0</v>
      </c>
      <c r="W48" s="7">
        <f>TONT20000DEC2015!N48+TONT20000JANV!L48+TONT20000FEV!L48+TONT20000MARS!L48+TONT20000AVRIL!L48+TONT20000MAI!L48+TONT20000JUIN!L48+TONT20000JUIL!L48+TONT20000AOUT!L48+TONT20000SEPT!L48+TONT20000OCT!L48+TONT20000NOV!M48</f>
        <v>104000</v>
      </c>
      <c r="X48" s="7">
        <f>TONT20000DEC2015!O48+TONT20000JANV!M48+TONT20000FEV!M48+TONT20000MARS!M48+TONT20000AVRIL!M48+TONT20000MAI!M48+TONT20000JUIN!M48+TONT20000JUIL!M48+TONT20000AOUT!M48+TONT20000SEPT!M48+TONT20000OCT!M48+TONT20000NOV!N48</f>
        <v>0</v>
      </c>
      <c r="Y48" s="7">
        <f>TONT20000DEC2015!P48+TONT20000JANV!N48+TONT20000FEV!N48+TONT20000MARS!N48+TONT20000AVRIL!N48+TONT20000MAI!N48+TONT20000JUIN!N48+TONT20000JUIL!N48+TONT20000AOUT!N48+TONT20000SEPT!N48+TONT20000OCT!N48+TONT20000NOV!O48</f>
        <v>0</v>
      </c>
      <c r="Z48" s="7">
        <f>TONT20000DEC2015!Q48+TONT20000JANV!O48+TONT20000FEV!O48+TONT20000MARS!O48+TONT20000AVRIL!O48+TONT20000MAI!O48+TONT20000JUIN!O48+TONT20000JUIL!O48+TONT20000AOUT!O48+TONT20000SEPT!O48+TONT20000OCT!O48+TONT20000NOV!P48</f>
        <v>0</v>
      </c>
      <c r="AA48" s="7">
        <f>TONT20000DEC2015!R48+TONT20000JANV!P48+TONT20000FEV!P48+TONT20000MARS!P48+TONT20000AVRIL!P48+TONT20000MAI!P48+TONT20000JUIN!P48+TONT20000JUIL!P48+TONT20000AOUT!P48+TONT20000SEPT!P48+TONT20000OCT!P48+TONT20000NOV!Q48</f>
        <v>0</v>
      </c>
      <c r="AB48" s="7">
        <f>TONT20000DEC2015!S48+TONT20000JANV!Q48+TONT20000FEV!Q48+TONT20000MARS!Q48+TONT20000AVRIL!Q48+TONT20000MAI!Q48+TONT20000JUIN!Q48+TONT20000JUIL!Q48+TONT20000AOUT!Q48+TONT20000SEPT!Q48+TONT20000OCT!Q48+TONT20000NOV!R48</f>
        <v>0</v>
      </c>
      <c r="AC48" s="7">
        <f>TONT20000DEC2015!T48+TONT20000JANV!R48+TONT20000FEV!R48+TONT20000MARS!R48+TONT20000AVRIL!R48+TONT20000MAI!R48+TONT20000JUIN!R48+TONT20000JUIL!R48+TONT20000AOUT!R48+TONT20000SEPT!R48+TONT20000OCT!R48+TONT20000NOV!S48</f>
        <v>0</v>
      </c>
      <c r="AD48" s="2"/>
    </row>
    <row r="49" spans="1:30" x14ac:dyDescent="0.25">
      <c r="A49" s="1" t="s">
        <v>54</v>
      </c>
      <c r="B49" s="1" t="str">
        <f>VLOOKUP(A49,LISTADHERENT!A$5:H$52,2,0)</f>
        <v>TIEYAM ERNEST</v>
      </c>
      <c r="C49" s="6">
        <f>VLOOKUP(A49,FONDSDECAISSE!A$5:C$52,3,0)</f>
        <v>390000</v>
      </c>
      <c r="D49" s="6">
        <v>804</v>
      </c>
      <c r="E49" s="6">
        <f t="shared" si="2"/>
        <v>2593</v>
      </c>
      <c r="F49" s="6">
        <f t="shared" si="0"/>
        <v>426804</v>
      </c>
      <c r="G49" s="6">
        <f>INT(TONT20000DEC2015!E49+TONT20000JANV!C49+TONT20000FEV!C49+TONT20000MARS!C49+TONT20000AVRIL!C49+TONT20000MAI!C49+TONT20000JUIN!C49+TONT20000JUIL!C49+TONT20000AOUT!C49+TONT20000SEPT!C49+TONT20000OCT!C49+TONT20000NOV!C49)</f>
        <v>47789</v>
      </c>
      <c r="H49" s="6">
        <f>TONT20000NOV!E49</f>
        <v>474593.28926784825</v>
      </c>
      <c r="I49" s="6">
        <f t="shared" si="1"/>
        <v>84593</v>
      </c>
      <c r="J49" s="6">
        <f t="shared" si="3"/>
        <v>80000</v>
      </c>
      <c r="K49" s="6">
        <f t="shared" si="4"/>
        <v>4593</v>
      </c>
      <c r="L49" s="6">
        <v>2000</v>
      </c>
      <c r="M49" s="6">
        <v>30000</v>
      </c>
      <c r="N49" s="6"/>
      <c r="O49" s="6">
        <v>50000</v>
      </c>
      <c r="P49" s="6">
        <f t="shared" si="5"/>
        <v>0</v>
      </c>
      <c r="Q49" s="7">
        <f>TONT20000DEC2015!H49+TONT20000JANV!F49+TONT20000FEV!F49+TONT20000MARS!F49+TONT20000AVRIL!F49+TONT20000MAI!F49+TONT20000JUIN!F49+TONT20000JUIL!F49+TONT20000AOUT!F49+TONT20000SEPT!F49+TONT20000OCT!F49+TONT20000NOV!G49</f>
        <v>240000</v>
      </c>
      <c r="R49" s="7">
        <f>TONT20000DEC2015!I49+TONT20000JANV!G49+TONT20000FEV!G49+TONT20000MARS!G49+TONT20000AVRIL!G49+TONT20000MAI!G49+TONT20000JUIN!G49+TONT20000JUIL!G49+TONT20000AOUT!G49+TONT20000SEPT!G49+TONT20000OCT!G49+TONT20000NOV!H49</f>
        <v>36000</v>
      </c>
      <c r="S49" s="7">
        <f>TONT20000DEC2015!J49+TONT20000JANV!H49+TONT20000FEV!H49+TONT20000MARS!H49+TONT20000AVRIL!H49+TONT20000MAI!H49+TONT20000JUIN!H49+TONT20000JUIL!H49+TONT20000AOUT!H49+TONT20000SEPT!H49+TONT20000OCT!H49+TONT20000NOV!I49</f>
        <v>6000</v>
      </c>
      <c r="T49" s="7">
        <f>TONT20000DEC2015!K49+TONT20000JANV!I49+TONT20000FEV!I49+TONT20000MARS!I49+TONT20000AVRIL!I49+TONT20000MAI!I49+TONT20000JUIN!I49+TONT20000JUIL!I49+TONT20000AOUT!I49+TONT20000SEPT!I49+TONT20000OCT!I49+TONT20000NOV!J49</f>
        <v>12000</v>
      </c>
      <c r="U49" s="7">
        <f>TONT20000DEC2015!L49+TONT20000JANV!J49+TONT20000FEV!J49+TONT20000MARS!J49+TONT20000AVRIL!J49+TONT20000MAI!J49+TONT20000JUIN!J49+TONT20000JUIL!J49+TONT20000AOUT!J49+TONT20000SEPT!J49+TONT20000OCT!J49+TONT20000NOV!K49</f>
        <v>30000</v>
      </c>
      <c r="V49" s="7">
        <f>TONT20000DEC2015!M49+TONT20000JANV!K49+TONT20000FEV!K49+TONT20000MARS!K49+TONT20000AVRIL!K49+TONT20000MAI!K49+TONT20000JUIN!K49+TONT20000JUIL!K49+TONT20000AOUT!K49+TONT20000SEPT!K49+TONT20000OCT!K49+TONT20000NOV!L49</f>
        <v>0</v>
      </c>
      <c r="W49" s="7">
        <f>TONT20000DEC2015!N49+TONT20000JANV!L49+TONT20000FEV!L49+TONT20000MARS!L49+TONT20000AVRIL!L49+TONT20000MAI!L49+TONT20000JUIN!L49+TONT20000JUIL!L49+TONT20000AOUT!L49+TONT20000SEPT!L49+TONT20000OCT!L49+TONT20000NOV!M49</f>
        <v>156000</v>
      </c>
      <c r="X49" s="7">
        <f>TONT20000DEC2015!O49+TONT20000JANV!M49+TONT20000FEV!M49+TONT20000MARS!M49+TONT20000AVRIL!M49+TONT20000MAI!M49+TONT20000JUIN!M49+TONT20000JUIL!M49+TONT20000AOUT!M49+TONT20000SEPT!M49+TONT20000OCT!M49+TONT20000NOV!N49</f>
        <v>1000000</v>
      </c>
      <c r="Y49" s="7">
        <f>TONT20000DEC2015!P49+TONT20000JANV!N49+TONT20000FEV!N49+TONT20000MARS!N49+TONT20000AVRIL!N49+TONT20000MAI!N49+TONT20000JUIN!N49+TONT20000JUIL!N49+TONT20000AOUT!N49+TONT20000SEPT!N49+TONT20000OCT!N49+TONT20000NOV!O49</f>
        <v>120000</v>
      </c>
      <c r="Z49" s="7">
        <f>TONT20000DEC2015!Q49+TONT20000JANV!O49+TONT20000FEV!O49+TONT20000MARS!O49+TONT20000AVRIL!O49+TONT20000MAI!O49+TONT20000JUIN!O49+TONT20000JUIL!O49+TONT20000AOUT!O49+TONT20000SEPT!O49+TONT20000OCT!O49+TONT20000NOV!P49</f>
        <v>0</v>
      </c>
      <c r="AA49" s="7">
        <f>TONT20000DEC2015!R49+TONT20000JANV!P49+TONT20000FEV!P49+TONT20000MARS!P49+TONT20000AVRIL!P49+TONT20000MAI!P49+TONT20000JUIN!P49+TONT20000JUIL!P49+TONT20000AOUT!P49+TONT20000SEPT!P49+TONT20000OCT!P49+TONT20000NOV!Q49</f>
        <v>0</v>
      </c>
      <c r="AB49" s="7">
        <f>TONT20000DEC2015!S49+TONT20000JANV!Q49+TONT20000FEV!Q49+TONT20000MARS!Q49+TONT20000AVRIL!Q49+TONT20000MAI!Q49+TONT20000JUIN!Q49+TONT20000JUIL!Q49+TONT20000AOUT!Q49+TONT20000SEPT!Q49+TONT20000OCT!Q49+TONT20000NOV!R49</f>
        <v>0</v>
      </c>
      <c r="AC49" s="7">
        <f>TONT20000DEC2015!T49+TONT20000JANV!R49+TONT20000FEV!R49+TONT20000MARS!R49+TONT20000AVRIL!R49+TONT20000MAI!R49+TONT20000JUIN!R49+TONT20000JUIL!R49+TONT20000AOUT!R49+TONT20000SEPT!R49+TONT20000OCT!R49+TONT20000NOV!S49</f>
        <v>0</v>
      </c>
      <c r="AD49" s="2"/>
    </row>
    <row r="50" spans="1:30" x14ac:dyDescent="0.25">
      <c r="A50" s="1" t="s">
        <v>55</v>
      </c>
      <c r="B50" s="1" t="str">
        <f>VLOOKUP(A50,LISTADHERENT!A$5:H$52,2,0)</f>
        <v>TUGMA PIERRE LOTI</v>
      </c>
      <c r="C50" s="6">
        <f>VLOOKUP(A50,FONDSDECAISSE!A$5:C$52,3,0)</f>
        <v>390000</v>
      </c>
      <c r="D50" s="6">
        <v>17636</v>
      </c>
      <c r="E50" s="6">
        <f t="shared" si="2"/>
        <v>2503</v>
      </c>
      <c r="F50" s="6">
        <f t="shared" si="0"/>
        <v>443636</v>
      </c>
      <c r="G50" s="6">
        <f>INT(TONT20000DEC2015!E50+TONT20000JANV!C50+TONT20000FEV!C50+TONT20000MARS!C50+TONT20000AVRIL!C50+TONT20000MAI!C50+TONT20000JUIN!C50+TONT20000JUIL!C50+TONT20000AOUT!C50+TONT20000SEPT!C50+TONT20000OCT!C50+TONT20000NOV!C50)</f>
        <v>49867</v>
      </c>
      <c r="H50" s="6">
        <f>TONT20000NOV!E50</f>
        <v>493503.06283503259</v>
      </c>
      <c r="I50" s="6">
        <f t="shared" si="1"/>
        <v>103503</v>
      </c>
      <c r="J50" s="6">
        <f t="shared" si="3"/>
        <v>80000</v>
      </c>
      <c r="K50" s="6">
        <f t="shared" si="4"/>
        <v>23503</v>
      </c>
      <c r="L50" s="6">
        <v>21000</v>
      </c>
      <c r="M50" s="6">
        <v>30000</v>
      </c>
      <c r="N50" s="6"/>
      <c r="O50" s="6">
        <v>50000</v>
      </c>
      <c r="P50" s="6">
        <f t="shared" si="5"/>
        <v>0</v>
      </c>
      <c r="Q50" s="7">
        <f>TONT20000DEC2015!H50+TONT20000JANV!F50+TONT20000FEV!F50+TONT20000MARS!F50+TONT20000AVRIL!F50+TONT20000MAI!F50+TONT20000JUIN!F50+TONT20000JUIL!F50+TONT20000AOUT!F50+TONT20000SEPT!F50+TONT20000OCT!F50+TONT20000NOV!G50</f>
        <v>240000</v>
      </c>
      <c r="R50" s="7">
        <f>TONT20000DEC2015!I50+TONT20000JANV!G50+TONT20000FEV!G50+TONT20000MARS!G50+TONT20000AVRIL!G50+TONT20000MAI!G50+TONT20000JUIN!G50+TONT20000JUIL!G50+TONT20000AOUT!G50+TONT20000SEPT!G50+TONT20000OCT!G50+TONT20000NOV!H50</f>
        <v>36000</v>
      </c>
      <c r="S50" s="7">
        <f>TONT20000DEC2015!J50+TONT20000JANV!H50+TONT20000FEV!H50+TONT20000MARS!H50+TONT20000AVRIL!H50+TONT20000MAI!H50+TONT20000JUIN!H50+TONT20000JUIL!H50+TONT20000AOUT!H50+TONT20000SEPT!H50+TONT20000OCT!H50+TONT20000NOV!I50</f>
        <v>6000</v>
      </c>
      <c r="T50" s="7">
        <f>TONT20000DEC2015!K50+TONT20000JANV!I50+TONT20000FEV!I50+TONT20000MARS!I50+TONT20000AVRIL!I50+TONT20000MAI!I50+TONT20000JUIN!I50+TONT20000JUIL!I50+TONT20000AOUT!I50+TONT20000SEPT!I50+TONT20000OCT!I50+TONT20000NOV!J50</f>
        <v>12000</v>
      </c>
      <c r="U50" s="7">
        <f>TONT20000DEC2015!L50+TONT20000JANV!J50+TONT20000FEV!J50+TONT20000MARS!J50+TONT20000AVRIL!J50+TONT20000MAI!J50+TONT20000JUIN!J50+TONT20000JUIL!J50+TONT20000AOUT!J50+TONT20000SEPT!J50+TONT20000OCT!J50+TONT20000NOV!K50</f>
        <v>30000</v>
      </c>
      <c r="V50" s="7">
        <f>TONT20000DEC2015!M50+TONT20000JANV!K50+TONT20000FEV!K50+TONT20000MARS!K50+TONT20000AVRIL!K50+TONT20000MAI!K50+TONT20000JUIN!K50+TONT20000JUIL!K50+TONT20000AOUT!K50+TONT20000SEPT!K50+TONT20000OCT!K50+TONT20000NOV!L50</f>
        <v>0</v>
      </c>
      <c r="W50" s="7">
        <f>TONT20000DEC2015!N50+TONT20000JANV!L50+TONT20000FEV!L50+TONT20000MARS!L50+TONT20000AVRIL!L50+TONT20000MAI!L50+TONT20000JUIN!L50+TONT20000JUIL!L50+TONT20000AOUT!L50+TONT20000SEPT!L50+TONT20000OCT!L50+TONT20000NOV!M50</f>
        <v>156000</v>
      </c>
      <c r="X50" s="7">
        <f>TONT20000DEC2015!O50+TONT20000JANV!M50+TONT20000FEV!M50+TONT20000MARS!M50+TONT20000AVRIL!M50+TONT20000MAI!M50+TONT20000JUIN!M50+TONT20000JUIL!M50+TONT20000AOUT!M50+TONT20000SEPT!M50+TONT20000OCT!M50+TONT20000NOV!N50</f>
        <v>0</v>
      </c>
      <c r="Y50" s="7">
        <f>TONT20000DEC2015!P50+TONT20000JANV!N50+TONT20000FEV!N50+TONT20000MARS!N50+TONT20000AVRIL!N50+TONT20000MAI!N50+TONT20000JUIN!N50+TONT20000JUIL!N50+TONT20000AOUT!N50+TONT20000SEPT!N50+TONT20000OCT!N50+TONT20000NOV!O50</f>
        <v>0</v>
      </c>
      <c r="Z50" s="7">
        <f>TONT20000DEC2015!Q50+TONT20000JANV!O50+TONT20000FEV!O50+TONT20000MARS!O50+TONT20000AVRIL!O50+TONT20000MAI!O50+TONT20000JUIN!O50+TONT20000JUIL!O50+TONT20000AOUT!O50+TONT20000SEPT!O50+TONT20000OCT!O50+TONT20000NOV!P50</f>
        <v>0</v>
      </c>
      <c r="AA50" s="7">
        <f>TONT20000DEC2015!R50+TONT20000JANV!P50+TONT20000FEV!P50+TONT20000MARS!P50+TONT20000AVRIL!P50+TONT20000MAI!P50+TONT20000JUIN!P50+TONT20000JUIL!P50+TONT20000AOUT!P50+TONT20000SEPT!P50+TONT20000OCT!P50+TONT20000NOV!Q50</f>
        <v>0</v>
      </c>
      <c r="AB50" s="7">
        <f>TONT20000DEC2015!S50+TONT20000JANV!Q50+TONT20000FEV!Q50+TONT20000MARS!Q50+TONT20000AVRIL!Q50+TONT20000MAI!Q50+TONT20000JUIN!Q50+TONT20000JUIL!Q50+TONT20000AOUT!Q50+TONT20000SEPT!Q50+TONT20000OCT!Q50+TONT20000NOV!R50</f>
        <v>0</v>
      </c>
      <c r="AC50" s="7">
        <f>TONT20000DEC2015!T50+TONT20000JANV!R50+TONT20000FEV!R50+TONT20000MARS!R50+TONT20000AVRIL!R50+TONT20000MAI!R50+TONT20000JUIN!R50+TONT20000JUIL!R50+TONT20000AOUT!R50+TONT20000SEPT!R50+TONT20000OCT!R50+TONT20000NOV!S50</f>
        <v>0</v>
      </c>
      <c r="AD50" s="2"/>
    </row>
    <row r="51" spans="1:30" x14ac:dyDescent="0.25">
      <c r="A51" s="1" t="s">
        <v>66</v>
      </c>
      <c r="B51" s="1" t="str">
        <f>VLOOKUP(A51,LISTADHERENT!A$5:H$52,2,0)</f>
        <v>YEPMOU JEAN JACQUES</v>
      </c>
      <c r="C51" s="6">
        <f>VLOOKUP(A51,FONDSDECAISSE!A$5:C$52,3,0)</f>
        <v>390000</v>
      </c>
      <c r="D51" s="6">
        <v>421237</v>
      </c>
      <c r="E51" s="6">
        <f t="shared" si="2"/>
        <v>393982</v>
      </c>
      <c r="F51" s="6">
        <f t="shared" si="0"/>
        <v>847237</v>
      </c>
      <c r="G51" s="6">
        <f>INT(TONT20000DEC2015!E51+TONT20000JANV!C51+TONT20000FEV!C51+TONT20000MARS!C51+TONT20000AVRIL!C51+TONT20000MAI!C51+TONT20000JUIN!C51+TONT20000JUIL!C51+TONT20000AOUT!C51+TONT20000SEPT!C51+TONT20000OCT!C51+TONT20000NOV!C51)</f>
        <v>96745</v>
      </c>
      <c r="H51" s="6">
        <f>TONT20000NOV!E51</f>
        <v>943982.28545532853</v>
      </c>
      <c r="I51" s="6">
        <f t="shared" si="1"/>
        <v>553982</v>
      </c>
      <c r="J51" s="6">
        <f t="shared" si="3"/>
        <v>80000</v>
      </c>
      <c r="K51" s="6">
        <f t="shared" si="4"/>
        <v>473982</v>
      </c>
      <c r="L51" s="6">
        <v>80000</v>
      </c>
      <c r="M51" s="6">
        <v>30000</v>
      </c>
      <c r="N51" s="6"/>
      <c r="O51" s="6">
        <v>50000</v>
      </c>
      <c r="P51" s="6">
        <f t="shared" si="5"/>
        <v>0</v>
      </c>
      <c r="Q51" s="7">
        <f>TONT20000DEC2015!H51+TONT20000JANV!F51+TONT20000FEV!F51+TONT20000MARS!F51+TONT20000AVRIL!F51+TONT20000MAI!F51+TONT20000JUIN!F51+TONT20000JUIL!F51+TONT20000AOUT!F51+TONT20000SEPT!F51+TONT20000OCT!F51+TONT20000NOV!G51</f>
        <v>240000</v>
      </c>
      <c r="R51" s="7">
        <f>TONT20000DEC2015!I51+TONT20000JANV!G51+TONT20000FEV!G51+TONT20000MARS!G51+TONT20000AVRIL!G51+TONT20000MAI!G51+TONT20000JUIN!G51+TONT20000JUIL!G51+TONT20000AOUT!G51+TONT20000SEPT!G51+TONT20000OCT!G51+TONT20000NOV!H51</f>
        <v>36000</v>
      </c>
      <c r="S51" s="7">
        <f>TONT20000DEC2015!J51+TONT20000JANV!H51+TONT20000FEV!H51+TONT20000MARS!H51+TONT20000AVRIL!H51+TONT20000MAI!H51+TONT20000JUIN!H51+TONT20000JUIL!H51+TONT20000AOUT!H51+TONT20000SEPT!H51+TONT20000OCT!H51+TONT20000NOV!I51</f>
        <v>6000</v>
      </c>
      <c r="T51" s="7">
        <f>TONT20000DEC2015!K51+TONT20000JANV!I51+TONT20000FEV!I51+TONT20000MARS!I51+TONT20000AVRIL!I51+TONT20000MAI!I51+TONT20000JUIN!I51+TONT20000JUIL!I51+TONT20000AOUT!I51+TONT20000SEPT!I51+TONT20000OCT!I51+TONT20000NOV!J51</f>
        <v>12000</v>
      </c>
      <c r="U51" s="7">
        <f>TONT20000DEC2015!L51+TONT20000JANV!J51+TONT20000FEV!J51+TONT20000MARS!J51+TONT20000AVRIL!J51+TONT20000MAI!J51+TONT20000JUIN!J51+TONT20000JUIL!J51+TONT20000AOUT!J51+TONT20000SEPT!J51+TONT20000OCT!J51+TONT20000NOV!K51</f>
        <v>30000</v>
      </c>
      <c r="V51" s="7">
        <f>TONT20000DEC2015!M51+TONT20000JANV!K51+TONT20000FEV!K51+TONT20000MARS!K51+TONT20000AVRIL!K51+TONT20000MAI!K51+TONT20000JUIN!K51+TONT20000JUIL!K51+TONT20000AOUT!K51+TONT20000SEPT!K51+TONT20000OCT!K51+TONT20000NOV!L51</f>
        <v>0</v>
      </c>
      <c r="W51" s="7">
        <f>TONT20000DEC2015!N51+TONT20000JANV!L51+TONT20000FEV!L51+TONT20000MARS!L51+TONT20000AVRIL!L51+TONT20000MAI!L51+TONT20000JUIN!L51+TONT20000JUIL!L51+TONT20000AOUT!L51+TONT20000SEPT!L51+TONT20000OCT!L51+TONT20000NOV!M51</f>
        <v>156000</v>
      </c>
      <c r="X51" s="7">
        <f>TONT20000DEC2015!O51+TONT20000JANV!M51+TONT20000FEV!M51+TONT20000MARS!M51+TONT20000AVRIL!M51+TONT20000MAI!M51+TONT20000JUIN!M51+TONT20000JUIL!M51+TONT20000AOUT!M51+TONT20000SEPT!M51+TONT20000OCT!M51+TONT20000NOV!N51</f>
        <v>0</v>
      </c>
      <c r="Y51" s="7">
        <f>TONT20000DEC2015!P51+TONT20000JANV!N51+TONT20000FEV!N51+TONT20000MARS!N51+TONT20000AVRIL!N51+TONT20000MAI!N51+TONT20000JUIN!N51+TONT20000JUIL!N51+TONT20000AOUT!N51+TONT20000SEPT!N51+TONT20000OCT!N51+TONT20000NOV!O51</f>
        <v>0</v>
      </c>
      <c r="Z51" s="7">
        <f>TONT20000DEC2015!Q51+TONT20000JANV!O51+TONT20000FEV!O51+TONT20000MARS!O51+TONT20000AVRIL!O51+TONT20000MAI!O51+TONT20000JUIN!O51+TONT20000JUIL!O51+TONT20000AOUT!O51+TONT20000SEPT!O51+TONT20000OCT!O51+TONT20000NOV!P51</f>
        <v>0</v>
      </c>
      <c r="AA51" s="7">
        <f>TONT20000DEC2015!R51+TONT20000JANV!P51+TONT20000FEV!P51+TONT20000MARS!P51+TONT20000AVRIL!P51+TONT20000MAI!P51+TONT20000JUIN!P51+TONT20000JUIL!P51+TONT20000AOUT!P51+TONT20000SEPT!P51+TONT20000OCT!P51+TONT20000NOV!Q51</f>
        <v>0</v>
      </c>
      <c r="AB51" s="7">
        <f>TONT20000DEC2015!S51+TONT20000JANV!Q51+TONT20000FEV!Q51+TONT20000MARS!Q51+TONT20000AVRIL!Q51+TONT20000MAI!Q51+TONT20000JUIN!Q51+TONT20000JUIL!Q51+TONT20000AOUT!Q51+TONT20000SEPT!Q51+TONT20000OCT!Q51+TONT20000NOV!R51</f>
        <v>0</v>
      </c>
      <c r="AC51" s="7">
        <f>TONT20000DEC2015!T51+TONT20000JANV!R51+TONT20000FEV!R51+TONT20000MARS!R51+TONT20000AVRIL!R51+TONT20000MAI!R51+TONT20000JUIN!R51+TONT20000JUIL!R51+TONT20000AOUT!R51+TONT20000SEPT!R51+TONT20000OCT!R51+TONT20000NOV!S51</f>
        <v>0</v>
      </c>
      <c r="AD51" s="2"/>
    </row>
    <row r="52" spans="1:30" x14ac:dyDescent="0.25">
      <c r="A52" s="1" t="s">
        <v>178</v>
      </c>
      <c r="B52" s="1" t="str">
        <f>VLOOKUP(A52,LISTADHERENT!A$5:H$52,2,0)</f>
        <v>YOUMBI EMMANUEL</v>
      </c>
      <c r="C52" s="6">
        <f>VLOOKUP(A52,FONDSDECAISSE!A$5:C$52,3,0)</f>
        <v>390000</v>
      </c>
      <c r="D52" s="6">
        <v>1003279</v>
      </c>
      <c r="E52" s="6">
        <f t="shared" si="2"/>
        <v>883628</v>
      </c>
      <c r="F52" s="6">
        <f t="shared" si="0"/>
        <v>1429279</v>
      </c>
      <c r="G52" s="6">
        <f>INT(TONT20000DEC2015!E52+TONT20000JANV!C52+TONT20000FEV!C52+TONT20000MARS!C52+TONT20000AVRIL!C52+TONT20000MAI!C52+TONT20000JUIN!C52+TONT20000JUIL!C52+TONT20000AOUT!C52+TONT20000SEPT!C52+TONT20000OCT!C52+TONT20000NOV!C52)</f>
        <v>164349</v>
      </c>
      <c r="H52" s="6">
        <f>TONT20000NOV!E52</f>
        <v>1593628.4154013947</v>
      </c>
      <c r="I52" s="6">
        <f t="shared" si="1"/>
        <v>1203628</v>
      </c>
      <c r="J52" s="6">
        <f t="shared" si="3"/>
        <v>80000</v>
      </c>
      <c r="K52" s="6">
        <f t="shared" si="4"/>
        <v>1123628</v>
      </c>
      <c r="L52" s="6">
        <v>240000</v>
      </c>
      <c r="M52" s="6">
        <v>30000</v>
      </c>
      <c r="N52" s="6"/>
      <c r="O52" s="6">
        <v>50000</v>
      </c>
      <c r="P52" s="6">
        <f t="shared" si="5"/>
        <v>0</v>
      </c>
      <c r="Q52" s="7">
        <f>TONT20000DEC2015!H52+TONT20000JANV!F52+TONT20000FEV!F52+TONT20000MARS!F52+TONT20000AVRIL!F52+TONT20000MAI!F52+TONT20000JUIN!F52+TONT20000JUIL!F52+TONT20000AOUT!F52+TONT20000SEPT!F52+TONT20000OCT!F52+TONT20000NOV!G52</f>
        <v>240000</v>
      </c>
      <c r="R52" s="7">
        <f>TONT20000DEC2015!I52+TONT20000JANV!G52+TONT20000FEV!G52+TONT20000MARS!G52+TONT20000AVRIL!G52+TONT20000MAI!G52+TONT20000JUIN!G52+TONT20000JUIL!G52+TONT20000AOUT!G52+TONT20000SEPT!G52+TONT20000OCT!G52+TONT20000NOV!H52</f>
        <v>36000</v>
      </c>
      <c r="S52" s="7">
        <f>TONT20000DEC2015!J52+TONT20000JANV!H52+TONT20000FEV!H52+TONT20000MARS!H52+TONT20000AVRIL!H52+TONT20000MAI!H52+TONT20000JUIN!H52+TONT20000JUIL!H52+TONT20000AOUT!H52+TONT20000SEPT!H52+TONT20000OCT!H52+TONT20000NOV!I52</f>
        <v>6000</v>
      </c>
      <c r="T52" s="7">
        <f>TONT20000DEC2015!K52+TONT20000JANV!I52+TONT20000FEV!I52+TONT20000MARS!I52+TONT20000AVRIL!I52+TONT20000MAI!I52+TONT20000JUIN!I52+TONT20000JUIL!I52+TONT20000AOUT!I52+TONT20000SEPT!I52+TONT20000OCT!I52+TONT20000NOV!J52</f>
        <v>12000</v>
      </c>
      <c r="U52" s="7">
        <f>TONT20000DEC2015!L52+TONT20000JANV!J52+TONT20000FEV!J52+TONT20000MARS!J52+TONT20000AVRIL!J52+TONT20000MAI!J52+TONT20000JUIN!J52+TONT20000JUIL!J52+TONT20000AOUT!J52+TONT20000SEPT!J52+TONT20000OCT!J52+TONT20000NOV!K52</f>
        <v>30000</v>
      </c>
      <c r="V52" s="7">
        <f>TONT20000DEC2015!M52+TONT20000JANV!K52+TONT20000FEV!K52+TONT20000MARS!K52+TONT20000AVRIL!K52+TONT20000MAI!K52+TONT20000JUIN!K52+TONT20000JUIL!K52+TONT20000AOUT!K52+TONT20000SEPT!K52+TONT20000OCT!K52+TONT20000NOV!L52</f>
        <v>0</v>
      </c>
      <c r="W52" s="7">
        <f>TONT20000DEC2015!N52+TONT20000JANV!L52+TONT20000FEV!L52+TONT20000MARS!L52+TONT20000AVRIL!L52+TONT20000MAI!L52+TONT20000JUIN!L52+TONT20000JUIL!L52+TONT20000AOUT!L52+TONT20000SEPT!L52+TONT20000OCT!L52+TONT20000NOV!M52</f>
        <v>156000</v>
      </c>
      <c r="X52" s="7">
        <f>TONT20000DEC2015!O52+TONT20000JANV!M52+TONT20000FEV!M52+TONT20000MARS!M52+TONT20000AVRIL!M52+TONT20000MAI!M52+TONT20000JUIN!M52+TONT20000JUIL!M52+TONT20000AOUT!M52+TONT20000SEPT!M52+TONT20000OCT!M52+TONT20000NOV!N52</f>
        <v>0</v>
      </c>
      <c r="Y52" s="7">
        <f>TONT20000DEC2015!P52+TONT20000JANV!N52+TONT20000FEV!N52+TONT20000MARS!N52+TONT20000AVRIL!N52+TONT20000MAI!N52+TONT20000JUIN!N52+TONT20000JUIL!N52+TONT20000AOUT!N52+TONT20000SEPT!N52+TONT20000OCT!N52+TONT20000NOV!O52</f>
        <v>0</v>
      </c>
      <c r="Z52" s="7">
        <f>TONT20000DEC2015!Q52+TONT20000JANV!O52+TONT20000FEV!O52+TONT20000MARS!O52+TONT20000AVRIL!O52+TONT20000MAI!O52+TONT20000JUIN!O52+TONT20000JUIL!O52+TONT20000AOUT!O52+TONT20000SEPT!O52+TONT20000OCT!O52+TONT20000NOV!P52</f>
        <v>0</v>
      </c>
      <c r="AA52" s="7">
        <f>TONT20000DEC2015!R52+TONT20000JANV!P52+TONT20000FEV!P52+TONT20000MARS!P52+TONT20000AVRIL!P52+TONT20000MAI!P52+TONT20000JUIN!P52+TONT20000JUIL!P52+TONT20000AOUT!P52+TONT20000SEPT!P52+TONT20000OCT!P52+TONT20000NOV!Q52</f>
        <v>0</v>
      </c>
      <c r="AB52" s="7">
        <f>TONT20000DEC2015!S52+TONT20000JANV!Q52+TONT20000FEV!Q52+TONT20000MARS!Q52+TONT20000AVRIL!Q52+TONT20000MAI!Q52+TONT20000JUIN!Q52+TONT20000JUIL!Q52+TONT20000AOUT!Q52+TONT20000SEPT!Q52+TONT20000OCT!Q52+TONT20000NOV!R52</f>
        <v>0</v>
      </c>
      <c r="AC52" s="7">
        <f>TONT20000DEC2015!T52+TONT20000JANV!R52+TONT20000FEV!R52+TONT20000MARS!R52+TONT20000AVRIL!R52+TONT20000MAI!R52+TONT20000JUIN!R52+TONT20000JUIL!R52+TONT20000AOUT!R52+TONT20000SEPT!R52+TONT20000OCT!R52+TONT20000NOV!S52</f>
        <v>0</v>
      </c>
      <c r="AD52" s="2"/>
    </row>
    <row r="53" spans="1:30" x14ac:dyDescent="0.25">
      <c r="A53" s="1"/>
      <c r="B53" s="1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2"/>
    </row>
    <row r="54" spans="1:30" ht="18" x14ac:dyDescent="0.25">
      <c r="A54" s="8" t="s">
        <v>56</v>
      </c>
      <c r="B54" s="8"/>
      <c r="C54" s="9">
        <f t="shared" ref="C54:AC54" si="6">SUM(C5:C53)</f>
        <v>14398519</v>
      </c>
      <c r="D54" s="9">
        <f t="shared" si="6"/>
        <v>3525236</v>
      </c>
      <c r="E54" s="9">
        <f t="shared" si="6"/>
        <v>3604685</v>
      </c>
      <c r="F54" s="9">
        <f t="shared" si="6"/>
        <v>21744896</v>
      </c>
      <c r="G54" s="9">
        <f t="shared" si="6"/>
        <v>2230668</v>
      </c>
      <c r="H54" s="9">
        <f t="shared" si="6"/>
        <v>24115469.967073526</v>
      </c>
      <c r="I54" s="9">
        <f t="shared" si="6"/>
        <v>9577045</v>
      </c>
      <c r="J54" s="9">
        <f t="shared" si="6"/>
        <v>2829860</v>
      </c>
      <c r="K54" s="9">
        <f t="shared" si="6"/>
        <v>6747185</v>
      </c>
      <c r="L54" s="9">
        <f t="shared" si="6"/>
        <v>3142500</v>
      </c>
      <c r="M54" s="9">
        <f t="shared" si="6"/>
        <v>1050000</v>
      </c>
      <c r="N54" s="9">
        <f t="shared" si="6"/>
        <v>0</v>
      </c>
      <c r="O54" s="9">
        <f t="shared" si="6"/>
        <v>1719860</v>
      </c>
      <c r="P54" s="9">
        <f t="shared" si="6"/>
        <v>60000</v>
      </c>
      <c r="Q54" s="9">
        <f t="shared" si="6"/>
        <v>13438360</v>
      </c>
      <c r="R54" s="9">
        <f t="shared" si="6"/>
        <v>3821141</v>
      </c>
      <c r="S54" s="9">
        <f t="shared" si="6"/>
        <v>250500</v>
      </c>
      <c r="T54" s="9">
        <f t="shared" si="6"/>
        <v>501000</v>
      </c>
      <c r="U54" s="9">
        <f t="shared" si="6"/>
        <v>1252500</v>
      </c>
      <c r="V54" s="9">
        <f t="shared" si="6"/>
        <v>235000</v>
      </c>
      <c r="W54" s="9">
        <f t="shared" si="6"/>
        <v>6513000</v>
      </c>
      <c r="X54" s="9">
        <f t="shared" si="6"/>
        <v>25710000</v>
      </c>
      <c r="Y54" s="9">
        <f t="shared" si="6"/>
        <v>2282100</v>
      </c>
      <c r="Z54" s="9">
        <f t="shared" si="6"/>
        <v>6900000</v>
      </c>
      <c r="AA54" s="9">
        <f t="shared" si="6"/>
        <v>94825</v>
      </c>
      <c r="AB54" s="9">
        <f t="shared" si="6"/>
        <v>98495</v>
      </c>
      <c r="AC54" s="9">
        <f t="shared" si="6"/>
        <v>0</v>
      </c>
      <c r="AD54" s="2"/>
    </row>
    <row r="55" spans="1:30" s="38" customFormat="1" ht="18" x14ac:dyDescent="0.25">
      <c r="A55" s="37" t="s">
        <v>213</v>
      </c>
      <c r="C55" s="39"/>
      <c r="K55" s="40">
        <f>K5+K6+K7+K8+K9+K10+K12+K13+K14+K15+K17+K18+K19+K20+K21+K22+K23+K24+K25+K26+K27+K29+K30+K31+K32+K33+K34+K38+K39+K40+K41+K42+K43+K44+K45+K46+K47+K49+K50+K51+K52</f>
        <v>6770025</v>
      </c>
      <c r="L55" s="40"/>
      <c r="Q55" s="39"/>
      <c r="S55" s="41"/>
      <c r="T55" s="39"/>
      <c r="U55" s="39"/>
      <c r="V55" s="39"/>
      <c r="AB55" s="40"/>
      <c r="AC55" s="39"/>
    </row>
    <row r="56" spans="1:30" ht="18" x14ac:dyDescent="0.25">
      <c r="K56" s="42">
        <f>K16+K36+K48</f>
        <v>-22840</v>
      </c>
      <c r="L56" s="42"/>
    </row>
    <row r="57" spans="1:30" ht="18" x14ac:dyDescent="0.25">
      <c r="B57" s="9" t="s">
        <v>193</v>
      </c>
      <c r="H57" s="9">
        <f>F58+F59+F60</f>
        <v>9577045</v>
      </c>
      <c r="I57" s="9"/>
      <c r="J57" s="9"/>
    </row>
    <row r="58" spans="1:30" ht="15.75" x14ac:dyDescent="0.25">
      <c r="D58" s="32" t="s">
        <v>183</v>
      </c>
      <c r="E58" s="32"/>
      <c r="F58" s="31">
        <f>D54</f>
        <v>3525236</v>
      </c>
      <c r="K58" t="s">
        <v>221</v>
      </c>
      <c r="L58" s="2">
        <v>8000000</v>
      </c>
    </row>
    <row r="59" spans="1:30" ht="15.75" x14ac:dyDescent="0.25">
      <c r="D59" s="32" t="s">
        <v>195</v>
      </c>
      <c r="E59" s="32"/>
      <c r="F59" s="31">
        <f>+G54</f>
        <v>2230668</v>
      </c>
      <c r="K59" t="s">
        <v>222</v>
      </c>
      <c r="L59" s="2">
        <f>L54</f>
        <v>3142500</v>
      </c>
    </row>
    <row r="60" spans="1:30" ht="15.75" x14ac:dyDescent="0.25">
      <c r="D60" s="32" t="s">
        <v>218</v>
      </c>
      <c r="E60" s="32"/>
      <c r="F60" s="31">
        <f>R54</f>
        <v>3821141</v>
      </c>
      <c r="K60" t="s">
        <v>62</v>
      </c>
      <c r="L60" s="2">
        <v>914500</v>
      </c>
    </row>
    <row r="61" spans="1:30" ht="15.75" x14ac:dyDescent="0.25">
      <c r="D61" s="32"/>
      <c r="E61" s="32"/>
      <c r="F61" s="31"/>
      <c r="K61" t="s">
        <v>224</v>
      </c>
      <c r="L61" s="2">
        <v>9000</v>
      </c>
    </row>
    <row r="62" spans="1:30" ht="18" x14ac:dyDescent="0.25">
      <c r="B62" s="9" t="s">
        <v>193</v>
      </c>
      <c r="G62" s="9">
        <f>K55</f>
        <v>6770025</v>
      </c>
      <c r="H62" s="9"/>
      <c r="L62" s="2"/>
    </row>
    <row r="63" spans="1:30" ht="18" x14ac:dyDescent="0.25">
      <c r="B63" s="9" t="s">
        <v>220</v>
      </c>
      <c r="G63" s="9">
        <f>L54</f>
        <v>3142500</v>
      </c>
      <c r="H63" s="9"/>
      <c r="K63" t="s">
        <v>223</v>
      </c>
      <c r="L63" s="2">
        <f>L58-L59-L60-L61</f>
        <v>3934000</v>
      </c>
    </row>
    <row r="64" spans="1:30" ht="18" x14ac:dyDescent="0.25">
      <c r="B64" s="9" t="s">
        <v>210</v>
      </c>
      <c r="G64" s="9">
        <f>O54</f>
        <v>1719860</v>
      </c>
      <c r="H64" s="9"/>
      <c r="L64" s="2">
        <f>L63-3934000</f>
        <v>0</v>
      </c>
    </row>
    <row r="65" spans="2:10" ht="18" x14ac:dyDescent="0.25">
      <c r="B65" s="9" t="s">
        <v>212</v>
      </c>
      <c r="G65" s="9">
        <f>M54</f>
        <v>1050000</v>
      </c>
      <c r="H65" s="9"/>
    </row>
    <row r="66" spans="2:10" ht="18" x14ac:dyDescent="0.25">
      <c r="B66" s="9" t="s">
        <v>196</v>
      </c>
      <c r="G66" s="9">
        <f>P54</f>
        <v>60000</v>
      </c>
      <c r="H66" s="9"/>
    </row>
    <row r="67" spans="2:10" ht="18" x14ac:dyDescent="0.25">
      <c r="B67" s="9" t="s">
        <v>184</v>
      </c>
      <c r="G67" s="9">
        <f>N54</f>
        <v>0</v>
      </c>
      <c r="H67" s="9"/>
    </row>
    <row r="69" spans="2:10" ht="18" x14ac:dyDescent="0.25">
      <c r="B69" s="9" t="s">
        <v>56</v>
      </c>
      <c r="H69" s="9">
        <f>G62+G64+G65+G66+G67</f>
        <v>9599885</v>
      </c>
      <c r="I69" s="9"/>
      <c r="J69" s="9"/>
    </row>
    <row r="71" spans="2:10" ht="18" x14ac:dyDescent="0.25">
      <c r="B71" s="9" t="s">
        <v>214</v>
      </c>
      <c r="H71" s="42">
        <f>H57-H69</f>
        <v>-22840</v>
      </c>
      <c r="I71" s="42"/>
      <c r="J71" s="42"/>
    </row>
  </sheetData>
  <autoFilter ref="A4:AD50"/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4"/>
  <sheetViews>
    <sheetView workbookViewId="0">
      <pane xSplit="3" ySplit="4" topLeftCell="D23" activePane="bottomRight" state="frozen"/>
      <selection pane="topRight" activeCell="D1" sqref="D1"/>
      <selection pane="bottomLeft" activeCell="A5" sqref="A5"/>
      <selection pane="bottomRight" activeCell="K33" sqref="K33"/>
    </sheetView>
  </sheetViews>
  <sheetFormatPr baseColWidth="10" defaultRowHeight="15" x14ac:dyDescent="0.25"/>
  <cols>
    <col min="1" max="1" width="13.85546875" bestFit="1" customWidth="1"/>
    <col min="2" max="2" width="29.5703125" bestFit="1" customWidth="1"/>
    <col min="3" max="3" width="16.5703125" bestFit="1" customWidth="1"/>
    <col min="12" max="12" width="12.42578125" bestFit="1" customWidth="1"/>
  </cols>
  <sheetData>
    <row r="1" spans="1:14" x14ac:dyDescent="0.25">
      <c r="A1" s="1" t="s">
        <v>0</v>
      </c>
      <c r="B1" s="1" t="s">
        <v>1</v>
      </c>
    </row>
    <row r="2" spans="1:14" x14ac:dyDescent="0.25">
      <c r="A2" s="1" t="s">
        <v>2</v>
      </c>
      <c r="B2" s="1" t="s">
        <v>3</v>
      </c>
    </row>
    <row r="3" spans="1:14" x14ac:dyDescent="0.25">
      <c r="A3" s="1" t="s">
        <v>4</v>
      </c>
      <c r="B3" s="1" t="s">
        <v>5</v>
      </c>
    </row>
    <row r="4" spans="1:14" x14ac:dyDescent="0.25">
      <c r="A4" s="1" t="s">
        <v>6</v>
      </c>
      <c r="B4" s="1" t="s">
        <v>7</v>
      </c>
      <c r="C4" s="1" t="s">
        <v>211</v>
      </c>
      <c r="D4" s="1" t="s">
        <v>198</v>
      </c>
      <c r="E4" s="1" t="s">
        <v>199</v>
      </c>
      <c r="F4" s="1" t="s">
        <v>200</v>
      </c>
      <c r="G4" s="1" t="s">
        <v>201</v>
      </c>
      <c r="H4" s="1" t="s">
        <v>202</v>
      </c>
      <c r="I4" s="1" t="s">
        <v>203</v>
      </c>
      <c r="J4" s="1" t="s">
        <v>204</v>
      </c>
      <c r="K4" s="1" t="s">
        <v>205</v>
      </c>
      <c r="L4" s="1" t="s">
        <v>206</v>
      </c>
      <c r="M4" s="1" t="s">
        <v>207</v>
      </c>
      <c r="N4" s="1" t="s">
        <v>208</v>
      </c>
    </row>
    <row r="5" spans="1:14" x14ac:dyDescent="0.25">
      <c r="A5" s="1" t="s">
        <v>185</v>
      </c>
      <c r="B5" s="1" t="str">
        <f>VLOOKUP(A5,LISTADHERENT!A$5:H$52,2,0)</f>
        <v>ASELBY</v>
      </c>
      <c r="C5" s="1">
        <v>0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</row>
    <row r="6" spans="1:14" x14ac:dyDescent="0.25">
      <c r="A6" s="1" t="s">
        <v>11</v>
      </c>
      <c r="B6" s="1" t="str">
        <f>VLOOKUP(A6,LISTADHERENT!A$5:H$52,2,0)</f>
        <v>BAKOP ACHILLE</v>
      </c>
      <c r="C6" s="6">
        <v>390000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</row>
    <row r="7" spans="1:14" x14ac:dyDescent="0.25">
      <c r="A7" s="1" t="s">
        <v>12</v>
      </c>
      <c r="B7" s="1" t="str">
        <f>VLOOKUP(A7,LISTADHERENT!A$5:H$52,2,0)</f>
        <v>BOUTCHOUANG WILLIAM</v>
      </c>
      <c r="C7" s="6">
        <v>390000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</row>
    <row r="8" spans="1:14" x14ac:dyDescent="0.25">
      <c r="A8" s="1" t="s">
        <v>13</v>
      </c>
      <c r="B8" s="1" t="str">
        <f>VLOOKUP(A8,LISTADHERENT!A$5:H$52,2,0)</f>
        <v>CHINGUE FABRICE</v>
      </c>
      <c r="C8" s="6">
        <v>390000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</row>
    <row r="9" spans="1:14" x14ac:dyDescent="0.25">
      <c r="A9" s="1" t="s">
        <v>14</v>
      </c>
      <c r="B9" s="1" t="str">
        <f>VLOOKUP(A9,LISTADHERENT!A$5:H$52,2,0)</f>
        <v xml:space="preserve">DJOMO JEAN PAUL </v>
      </c>
      <c r="C9" s="6">
        <v>390000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</row>
    <row r="10" spans="1:14" x14ac:dyDescent="0.25">
      <c r="A10" s="1" t="s">
        <v>15</v>
      </c>
      <c r="B10" s="1" t="str">
        <f>VLOOKUP(A10,LISTADHERENT!A$5:H$52,2,0)</f>
        <v>DJOUKWE GUY</v>
      </c>
      <c r="C10" s="6">
        <v>390000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</row>
    <row r="11" spans="1:14" s="21" customFormat="1" x14ac:dyDescent="0.25">
      <c r="A11" s="19" t="s">
        <v>16</v>
      </c>
      <c r="B11" s="19" t="str">
        <f>VLOOKUP(A11,LISTADHERENT!A$5:H$52,2,0)</f>
        <v>DJOSSEU JOSUE</v>
      </c>
      <c r="C11" s="33">
        <v>0</v>
      </c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</row>
    <row r="12" spans="1:14" x14ac:dyDescent="0.25">
      <c r="A12" s="1" t="s">
        <v>17</v>
      </c>
      <c r="B12" s="1" t="str">
        <f>VLOOKUP(A12,LISTADHERENT!A$5:H$52,2,0)</f>
        <v>DJOUNKEP SAMUEL</v>
      </c>
      <c r="C12" s="6">
        <v>390000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</row>
    <row r="13" spans="1:14" x14ac:dyDescent="0.25">
      <c r="A13" s="1" t="s">
        <v>18</v>
      </c>
      <c r="B13" s="1" t="str">
        <f>VLOOKUP(A13,LISTADHERENT!A$5:H$52,2,0)</f>
        <v>DJUOMBESSY ANTOINE</v>
      </c>
      <c r="C13" s="6">
        <f>390000-70866</f>
        <v>319134</v>
      </c>
      <c r="D13" s="6"/>
      <c r="E13" s="6"/>
      <c r="F13" s="6"/>
      <c r="G13" s="6"/>
      <c r="H13" s="6"/>
      <c r="I13" s="6"/>
      <c r="J13" s="6"/>
      <c r="K13" s="6"/>
      <c r="L13" s="6">
        <v>390000</v>
      </c>
      <c r="M13" s="6"/>
      <c r="N13" s="6"/>
    </row>
    <row r="14" spans="1:14" x14ac:dyDescent="0.25">
      <c r="A14" s="1" t="s">
        <v>19</v>
      </c>
      <c r="B14" s="1" t="str">
        <f>VLOOKUP(A14,LISTADHERENT!A$5:H$52,2,0)</f>
        <v>DONHOU DAVID</v>
      </c>
      <c r="C14" s="6">
        <v>390000</v>
      </c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</row>
    <row r="15" spans="1:14" x14ac:dyDescent="0.25">
      <c r="A15" s="1" t="s">
        <v>20</v>
      </c>
      <c r="B15" s="1" t="str">
        <f>VLOOKUP(A15,LISTADHERENT!A$5:H$52,2,0)</f>
        <v>FOTSO THOMAS</v>
      </c>
      <c r="C15" s="6">
        <v>390000</v>
      </c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</row>
    <row r="16" spans="1:14" x14ac:dyDescent="0.25">
      <c r="A16" s="1" t="s">
        <v>21</v>
      </c>
      <c r="B16" s="1" t="str">
        <f>VLOOKUP(A16,LISTADHERENT!A$5:H$52,2,0)</f>
        <v>HENGUE PAUL OMER</v>
      </c>
      <c r="C16" s="6">
        <v>390000</v>
      </c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</row>
    <row r="17" spans="1:14" x14ac:dyDescent="0.25">
      <c r="A17" s="1" t="s">
        <v>22</v>
      </c>
      <c r="B17" s="1" t="str">
        <f>VLOOKUP(A17,LISTADHERENT!A$5:H$52,2,0)</f>
        <v>HODIEP JULES</v>
      </c>
      <c r="C17" s="6">
        <v>0</v>
      </c>
      <c r="D17" s="6"/>
      <c r="E17" s="6"/>
      <c r="F17" s="6"/>
      <c r="G17" s="6"/>
      <c r="H17" s="6"/>
      <c r="I17" s="6">
        <v>50000</v>
      </c>
      <c r="J17" s="6"/>
      <c r="K17" s="6"/>
      <c r="L17" s="6"/>
      <c r="M17" s="6"/>
      <c r="N17" s="6"/>
    </row>
    <row r="18" spans="1:14" x14ac:dyDescent="0.25">
      <c r="A18" s="1" t="s">
        <v>23</v>
      </c>
      <c r="B18" s="1" t="str">
        <f>VLOOKUP(A18,LISTADHERENT!A$5:H$52,2,0)</f>
        <v>HOTCHO BENJAMIN</v>
      </c>
      <c r="C18" s="6">
        <v>390000</v>
      </c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</row>
    <row r="19" spans="1:14" x14ac:dyDescent="0.25">
      <c r="A19" s="1" t="s">
        <v>24</v>
      </c>
      <c r="B19" s="1" t="str">
        <f>VLOOKUP(A19,LISTADHERENT!A$5:H$52,2,0)</f>
        <v>KEPHE DAVID</v>
      </c>
      <c r="C19" s="6">
        <v>0</v>
      </c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</row>
    <row r="20" spans="1:14" x14ac:dyDescent="0.25">
      <c r="A20" s="1" t="s">
        <v>25</v>
      </c>
      <c r="B20" s="1" t="str">
        <f>VLOOKUP(A20,LISTADHERENT!A$5:H$52,2,0)</f>
        <v>KEPSEU FRANCIS</v>
      </c>
      <c r="C20" s="6">
        <v>390000</v>
      </c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</row>
    <row r="21" spans="1:14" x14ac:dyDescent="0.25">
      <c r="A21" s="1" t="s">
        <v>26</v>
      </c>
      <c r="B21" s="1" t="str">
        <f>VLOOKUP(A21,LISTADHERENT!A$5:H$52,2,0)</f>
        <v>KOUAMOU EMMANUEL</v>
      </c>
      <c r="C21" s="6">
        <v>390000</v>
      </c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</row>
    <row r="22" spans="1:14" x14ac:dyDescent="0.25">
      <c r="A22" s="1" t="s">
        <v>27</v>
      </c>
      <c r="B22" s="1" t="str">
        <f>VLOOKUP(A22,LISTADHERENT!A$5:H$52,2,0)</f>
        <v>KOUAMOU MOISE</v>
      </c>
      <c r="C22" s="6">
        <f>390000-75000</f>
        <v>315000</v>
      </c>
      <c r="D22" s="6"/>
      <c r="E22" s="6"/>
      <c r="F22" s="6"/>
      <c r="G22" s="6"/>
      <c r="H22" s="6"/>
      <c r="I22" s="6">
        <v>390000</v>
      </c>
      <c r="J22" s="6"/>
      <c r="K22" s="6"/>
      <c r="L22" s="6"/>
      <c r="M22" s="6"/>
      <c r="N22" s="6"/>
    </row>
    <row r="23" spans="1:14" x14ac:dyDescent="0.25">
      <c r="A23" s="1" t="s">
        <v>28</v>
      </c>
      <c r="B23" s="1" t="str">
        <f>VLOOKUP(A23,LISTADHERENT!A$5:H$52,2,0)</f>
        <v>KOUAMOU VICTOR PEGUY</v>
      </c>
      <c r="C23" s="6">
        <v>390000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</row>
    <row r="24" spans="1:14" x14ac:dyDescent="0.25">
      <c r="A24" s="1" t="s">
        <v>29</v>
      </c>
      <c r="B24" s="1" t="str">
        <f>VLOOKUP(A24,LISTADHERENT!A$5:H$52,2,0)</f>
        <v>KOUATCHO MESSACK</v>
      </c>
      <c r="C24" s="6">
        <v>390000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</row>
    <row r="25" spans="1:14" x14ac:dyDescent="0.25">
      <c r="A25" s="1" t="s">
        <v>30</v>
      </c>
      <c r="B25" s="1" t="str">
        <f>VLOOKUP(A25,LISTADHERENT!A$5:H$52,2,0)</f>
        <v>LOWE JEAN</v>
      </c>
      <c r="C25" s="6">
        <v>390000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</row>
    <row r="26" spans="1:14" x14ac:dyDescent="0.25">
      <c r="A26" s="1" t="s">
        <v>31</v>
      </c>
      <c r="B26" s="1" t="str">
        <f>VLOOKUP(A26,LISTADHERENT!A$5:H$52,2,0)</f>
        <v>NANKAM APPOLINAIRE</v>
      </c>
      <c r="C26" s="6">
        <v>390000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</row>
    <row r="27" spans="1:14" x14ac:dyDescent="0.25">
      <c r="A27" s="1" t="s">
        <v>32</v>
      </c>
      <c r="B27" s="1" t="str">
        <f>VLOOKUP(A27,LISTADHERENT!A$5:H$52,2,0)</f>
        <v>NDJOMO ETIENNE</v>
      </c>
      <c r="C27" s="6">
        <v>390000</v>
      </c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</row>
    <row r="28" spans="1:14" s="21" customFormat="1" x14ac:dyDescent="0.25">
      <c r="A28" s="19" t="s">
        <v>33</v>
      </c>
      <c r="B28" s="19" t="str">
        <f>VLOOKUP(A28,LISTADHERENT!A$5:H$52,2,0)</f>
        <v>NDOMBOU JEAN CLAUDE</v>
      </c>
      <c r="C28" s="33">
        <v>0</v>
      </c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</row>
    <row r="29" spans="1:14" x14ac:dyDescent="0.25">
      <c r="A29" s="1" t="s">
        <v>34</v>
      </c>
      <c r="B29" s="1" t="str">
        <f>VLOOKUP(A29,LISTADHERENT!A$5:H$52,2,0)</f>
        <v>NGONDIEP CLAUDE</v>
      </c>
      <c r="C29" s="6">
        <v>390000</v>
      </c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</row>
    <row r="30" spans="1:14" x14ac:dyDescent="0.25">
      <c r="A30" s="1" t="s">
        <v>35</v>
      </c>
      <c r="B30" s="1" t="str">
        <f>VLOOKUP(A30,LISTADHERENT!A$5:H$52,2,0)</f>
        <v>NGONGANG JEAN THEODORE</v>
      </c>
      <c r="C30" s="6">
        <v>0</v>
      </c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</row>
    <row r="31" spans="1:14" x14ac:dyDescent="0.25">
      <c r="A31" s="1" t="s">
        <v>36</v>
      </c>
      <c r="B31" s="1" t="str">
        <f>VLOOKUP(A31,LISTADHERENT!A$5:H$52,2,0)</f>
        <v>NGUIEMEGNI MATHIEU BLAISE</v>
      </c>
      <c r="C31" s="6">
        <f>390000-375111</f>
        <v>14889</v>
      </c>
      <c r="D31" s="6"/>
      <c r="E31" s="6"/>
      <c r="F31" s="6"/>
      <c r="G31" s="6"/>
      <c r="H31" s="6"/>
      <c r="I31" s="6"/>
      <c r="J31" s="6"/>
      <c r="K31" s="6"/>
      <c r="L31" s="6">
        <v>390000</v>
      </c>
      <c r="M31" s="6"/>
      <c r="N31" s="6"/>
    </row>
    <row r="32" spans="1:14" x14ac:dyDescent="0.25">
      <c r="A32" s="1" t="s">
        <v>37</v>
      </c>
      <c r="B32" s="1" t="str">
        <f>VLOOKUP(A32,LISTADHERENT!A$5:H$52,2,0)</f>
        <v>NJEPDJIO MBOUKAM DELUXE</v>
      </c>
      <c r="C32" s="6">
        <v>390000</v>
      </c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</row>
    <row r="33" spans="1:14" x14ac:dyDescent="0.25">
      <c r="A33" s="1" t="s">
        <v>38</v>
      </c>
      <c r="B33" s="1" t="str">
        <f>VLOOKUP(A33,LISTADHERENT!A$5:H$52,2,0)</f>
        <v>NKAMGANG JUSTIN DEJOLIE</v>
      </c>
      <c r="C33" s="6">
        <v>0</v>
      </c>
      <c r="D33" s="6"/>
      <c r="E33" s="6"/>
      <c r="F33" s="6"/>
      <c r="G33" s="6"/>
      <c r="H33" s="6"/>
      <c r="I33" s="6"/>
      <c r="J33" s="6"/>
      <c r="K33" s="6">
        <v>372800</v>
      </c>
      <c r="L33" s="6"/>
      <c r="M33" s="6"/>
      <c r="N33" s="6"/>
    </row>
    <row r="34" spans="1:14" x14ac:dyDescent="0.25">
      <c r="A34" s="1" t="s">
        <v>39</v>
      </c>
      <c r="B34" s="1" t="str">
        <f>VLOOKUP(A34,LISTADHERENT!A$5:H$52,2,0)</f>
        <v>NKEPSEU DIEUDONNE</v>
      </c>
      <c r="C34" s="6">
        <v>390000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</row>
    <row r="35" spans="1:14" x14ac:dyDescent="0.25">
      <c r="A35" s="1" t="s">
        <v>40</v>
      </c>
      <c r="B35" s="1" t="str">
        <f>VLOOKUP(A35,LISTADHERENT!A$5:H$52,2,0)</f>
        <v>NKEPSEU HENANG RENE</v>
      </c>
      <c r="C35" s="6">
        <v>390000</v>
      </c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</row>
    <row r="36" spans="1:14" x14ac:dyDescent="0.25">
      <c r="A36" s="1" t="s">
        <v>41</v>
      </c>
      <c r="B36" s="1" t="str">
        <f>VLOOKUP(A36,LISTADHERENT!A$5:H$52,2,0)</f>
        <v>NTEPDIE TUEMAC MZ</v>
      </c>
      <c r="C36" s="6">
        <v>0</v>
      </c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</row>
    <row r="37" spans="1:14" s="21" customFormat="1" x14ac:dyDescent="0.25">
      <c r="A37" s="19" t="s">
        <v>42</v>
      </c>
      <c r="B37" s="19" t="str">
        <f>VLOOKUP(A37,LISTADHERENT!A$5:H$52,2,0)</f>
        <v>NTOMBOU ADOLPHE</v>
      </c>
      <c r="C37" s="33">
        <v>0</v>
      </c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</row>
    <row r="38" spans="1:14" x14ac:dyDescent="0.25">
      <c r="A38" s="1" t="s">
        <v>43</v>
      </c>
      <c r="B38" s="1" t="str">
        <f>VLOOKUP(A38,LISTADHERENT!A$5:H$52,2,0)</f>
        <v>PATEGO NJOSSU GUSTAVE</v>
      </c>
      <c r="C38" s="6">
        <v>390000</v>
      </c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</row>
    <row r="39" spans="1:14" x14ac:dyDescent="0.25">
      <c r="A39" s="1" t="s">
        <v>44</v>
      </c>
      <c r="B39" s="1" t="str">
        <f>VLOOKUP(A39,LISTADHERENT!A$5:H$52,2,0)</f>
        <v>SEUNOU RICHELOT</v>
      </c>
      <c r="C39" s="6">
        <v>390000</v>
      </c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</row>
    <row r="40" spans="1:14" x14ac:dyDescent="0.25">
      <c r="A40" s="1" t="s">
        <v>45</v>
      </c>
      <c r="B40" s="1" t="str">
        <f>VLOOKUP(A40,LISTADHERENT!A$5:H$52,2,0)</f>
        <v>SIME ABEL</v>
      </c>
      <c r="C40" s="6">
        <v>0</v>
      </c>
      <c r="D40" s="6"/>
      <c r="E40" s="6"/>
      <c r="F40" s="6"/>
      <c r="G40" s="6"/>
      <c r="H40" s="6"/>
      <c r="I40" s="6"/>
      <c r="J40" s="6"/>
      <c r="K40" s="6"/>
      <c r="L40" s="6">
        <v>390000</v>
      </c>
      <c r="M40" s="6"/>
      <c r="N40" s="6"/>
    </row>
    <row r="41" spans="1:14" x14ac:dyDescent="0.25">
      <c r="A41" s="1" t="s">
        <v>46</v>
      </c>
      <c r="B41" s="1" t="str">
        <f>VLOOKUP(A41,LISTADHERENT!A$5:H$52,2,0)</f>
        <v>SIME FONGANG ERIC</v>
      </c>
      <c r="C41" s="6">
        <v>390000</v>
      </c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</row>
    <row r="42" spans="1:14" x14ac:dyDescent="0.25">
      <c r="A42" s="1" t="s">
        <v>47</v>
      </c>
      <c r="B42" s="1" t="str">
        <f>VLOOKUP(A42,LISTADHERENT!A$5:H$52,2,0)</f>
        <v>SIME MATHIEU</v>
      </c>
      <c r="C42" s="6">
        <v>390000</v>
      </c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</row>
    <row r="43" spans="1:14" x14ac:dyDescent="0.25">
      <c r="A43" s="1" t="s">
        <v>48</v>
      </c>
      <c r="B43" s="1" t="str">
        <f>VLOOKUP(A43,LISTADHERENT!A$5:H$52,2,0)</f>
        <v>SIME PIERRE</v>
      </c>
      <c r="C43" s="6">
        <v>390000</v>
      </c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</row>
    <row r="44" spans="1:14" x14ac:dyDescent="0.25">
      <c r="A44" s="1" t="s">
        <v>49</v>
      </c>
      <c r="B44" s="1" t="str">
        <f>VLOOKUP(A44,LISTADHERENT!A$5:H$52,2,0)</f>
        <v>TAGNE NANGUEN MARTIN</v>
      </c>
      <c r="C44" s="6">
        <v>0</v>
      </c>
      <c r="D44" s="6"/>
      <c r="E44" s="6"/>
      <c r="F44" s="6"/>
      <c r="G44" s="6"/>
      <c r="H44" s="6"/>
      <c r="I44" s="6"/>
      <c r="J44" s="6"/>
      <c r="K44" s="6"/>
      <c r="L44" s="6">
        <v>390000</v>
      </c>
      <c r="M44" s="6"/>
      <c r="N44" s="6"/>
    </row>
    <row r="45" spans="1:14" x14ac:dyDescent="0.25">
      <c r="A45" s="1" t="s">
        <v>50</v>
      </c>
      <c r="B45" s="1" t="str">
        <f>VLOOKUP(A45,LISTADHERENT!A$5:H$52,2,0)</f>
        <v>TCHOUAMOU JEAN PAUL</v>
      </c>
      <c r="C45" s="6">
        <v>0</v>
      </c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</row>
    <row r="46" spans="1:14" x14ac:dyDescent="0.25">
      <c r="A46" s="1" t="s">
        <v>51</v>
      </c>
      <c r="B46" s="1" t="str">
        <f>VLOOKUP(A46,LISTADHERENT!A$5:H$52,2,0)</f>
        <v>TCHOUAMOU MATHIEU</v>
      </c>
      <c r="C46" s="6">
        <v>390000</v>
      </c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</row>
    <row r="47" spans="1:14" x14ac:dyDescent="0.25">
      <c r="A47" s="1" t="s">
        <v>52</v>
      </c>
      <c r="B47" s="1" t="str">
        <f>VLOOKUP(A47,LISTADHERENT!A$5:H$52,2,0)</f>
        <v>TCHOUANTE FRANCOIS</v>
      </c>
      <c r="C47" s="6">
        <f>390000-132881</f>
        <v>257119</v>
      </c>
      <c r="D47" s="6"/>
      <c r="E47" s="6"/>
      <c r="F47" s="6"/>
      <c r="G47" s="6"/>
      <c r="H47" s="6"/>
      <c r="I47" s="6"/>
      <c r="J47" s="6"/>
      <c r="K47" s="6">
        <f>C47+48100+20500</f>
        <v>325719</v>
      </c>
      <c r="L47" s="6"/>
      <c r="M47" s="6"/>
      <c r="N47" s="6"/>
    </row>
    <row r="48" spans="1:14" x14ac:dyDescent="0.25">
      <c r="A48" s="1" t="s">
        <v>53</v>
      </c>
      <c r="B48" s="1" t="str">
        <f>VLOOKUP(A48,LISTADHERENT!A$5:H$52,2,0)</f>
        <v>TCHOUTOU NANA CLAUDE</v>
      </c>
      <c r="C48" s="6">
        <v>0</v>
      </c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</row>
    <row r="49" spans="1:14" x14ac:dyDescent="0.25">
      <c r="A49" s="1" t="s">
        <v>54</v>
      </c>
      <c r="B49" s="1" t="str">
        <f>VLOOKUP(A49,LISTADHERENT!A$5:H$52,2,0)</f>
        <v>TIEYAM ERNEST</v>
      </c>
      <c r="C49" s="6">
        <v>390000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</row>
    <row r="50" spans="1:14" x14ac:dyDescent="0.25">
      <c r="A50" s="1" t="s">
        <v>55</v>
      </c>
      <c r="B50" s="1" t="str">
        <f>VLOOKUP(A50,LISTADHERENT!A$5:H$52,2,0)</f>
        <v>TUGMA PIERRE LOTI</v>
      </c>
      <c r="C50" s="6">
        <v>390000</v>
      </c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</row>
    <row r="51" spans="1:14" x14ac:dyDescent="0.25">
      <c r="A51" s="1" t="s">
        <v>66</v>
      </c>
      <c r="B51" s="1" t="str">
        <f>VLOOKUP(A51,LISTADHERENT!A$5:H$52,2,0)</f>
        <v>YEPMOU JEAN JACQUES</v>
      </c>
      <c r="C51" s="6">
        <v>390000</v>
      </c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</row>
    <row r="52" spans="1:14" x14ac:dyDescent="0.25">
      <c r="A52" s="1" t="s">
        <v>178</v>
      </c>
      <c r="B52" s="1" t="str">
        <f>VLOOKUP(A52,LISTADHERENT!A$5:H$52,2,0)</f>
        <v>YOUMBI EMMANUEL</v>
      </c>
      <c r="C52" s="6">
        <v>390000</v>
      </c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</row>
    <row r="53" spans="1:14" x14ac:dyDescent="0.25">
      <c r="A53" s="1"/>
      <c r="B53" s="1"/>
    </row>
    <row r="54" spans="1:14" ht="18" x14ac:dyDescent="0.25">
      <c r="A54" s="8" t="s">
        <v>56</v>
      </c>
      <c r="B54" s="8"/>
      <c r="C54" s="9">
        <f>SUM(C6:C53)</f>
        <v>12996142</v>
      </c>
      <c r="D54" s="9">
        <f t="shared" ref="D54:N54" si="0">SUM(D6:D53)</f>
        <v>0</v>
      </c>
      <c r="E54" s="9">
        <f t="shared" si="0"/>
        <v>0</v>
      </c>
      <c r="F54" s="9">
        <f t="shared" si="0"/>
        <v>0</v>
      </c>
      <c r="G54" s="9">
        <f t="shared" si="0"/>
        <v>0</v>
      </c>
      <c r="H54" s="9">
        <f t="shared" si="0"/>
        <v>0</v>
      </c>
      <c r="I54" s="9">
        <f t="shared" si="0"/>
        <v>440000</v>
      </c>
      <c r="J54" s="9">
        <f t="shared" si="0"/>
        <v>0</v>
      </c>
      <c r="K54" s="9">
        <f t="shared" si="0"/>
        <v>698519</v>
      </c>
      <c r="L54" s="9">
        <f t="shared" si="0"/>
        <v>1560000</v>
      </c>
      <c r="M54" s="9">
        <f t="shared" si="0"/>
        <v>0</v>
      </c>
      <c r="N54" s="9">
        <f t="shared" si="0"/>
        <v>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6"/>
  <sheetViews>
    <sheetView workbookViewId="0">
      <pane xSplit="2" ySplit="4" topLeftCell="C14" activePane="bottomRight" state="frozen"/>
      <selection activeCell="B22" sqref="B22"/>
      <selection pane="topRight" activeCell="B22" sqref="B22"/>
      <selection pane="bottomLeft" activeCell="B22" sqref="B22"/>
      <selection pane="bottomRight" activeCell="A33" sqref="A33:XFD3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20.28515625" bestFit="1" customWidth="1"/>
    <col min="4" max="4" width="18.7109375" bestFit="1" customWidth="1"/>
    <col min="5" max="5" width="16.140625" customWidth="1"/>
    <col min="6" max="6" width="16.85546875" bestFit="1" customWidth="1"/>
    <col min="7" max="7" width="13" bestFit="1" customWidth="1"/>
    <col min="8" max="8" width="15" style="2" bestFit="1" customWidth="1"/>
    <col min="9" max="9" width="15" bestFit="1" customWidth="1"/>
    <col min="10" max="10" width="17.5703125" style="4" bestFit="1" customWidth="1"/>
    <col min="11" max="11" width="15.7109375" style="2" customWidth="1"/>
    <col min="12" max="12" width="12.42578125" style="2" customWidth="1"/>
    <col min="13" max="13" width="9.7109375" style="2" customWidth="1"/>
    <col min="14" max="14" width="18.140625" customWidth="1"/>
    <col min="15" max="15" width="15" bestFit="1" customWidth="1"/>
    <col min="16" max="16" width="12.5703125" bestFit="1" customWidth="1"/>
    <col min="17" max="17" width="18.140625" customWidth="1"/>
  </cols>
  <sheetData>
    <row r="1" spans="1:20" x14ac:dyDescent="0.25">
      <c r="A1" s="1" t="s">
        <v>0</v>
      </c>
      <c r="B1" s="1" t="s">
        <v>1</v>
      </c>
      <c r="C1" s="1"/>
      <c r="D1" s="1"/>
      <c r="E1" s="1"/>
      <c r="F1" s="1"/>
      <c r="G1" s="1"/>
    </row>
    <row r="2" spans="1:20" x14ac:dyDescent="0.25">
      <c r="A2" s="1" t="s">
        <v>2</v>
      </c>
      <c r="B2" s="1" t="s">
        <v>3</v>
      </c>
      <c r="C2" s="1"/>
      <c r="D2" s="1"/>
      <c r="E2" s="1"/>
      <c r="F2" s="1"/>
      <c r="G2" s="1"/>
    </row>
    <row r="3" spans="1:20" x14ac:dyDescent="0.25">
      <c r="A3" s="1" t="s">
        <v>4</v>
      </c>
      <c r="B3" s="1" t="s">
        <v>5</v>
      </c>
      <c r="C3" s="1"/>
      <c r="D3" s="1"/>
      <c r="E3" s="1"/>
      <c r="F3" s="1"/>
      <c r="G3" s="1"/>
    </row>
    <row r="4" spans="1:20" ht="29.25" x14ac:dyDescent="0.25">
      <c r="A4" s="1" t="s">
        <v>6</v>
      </c>
      <c r="B4" s="1" t="s">
        <v>7</v>
      </c>
      <c r="C4" s="6" t="s">
        <v>188</v>
      </c>
      <c r="D4" s="1" t="s">
        <v>183</v>
      </c>
      <c r="E4" s="5" t="s">
        <v>186</v>
      </c>
      <c r="F4" s="5" t="s">
        <v>187</v>
      </c>
      <c r="G4" s="1" t="s">
        <v>184</v>
      </c>
      <c r="H4" s="5" t="s">
        <v>65</v>
      </c>
      <c r="I4" s="1" t="s">
        <v>57</v>
      </c>
      <c r="J4" s="5" t="s">
        <v>58</v>
      </c>
      <c r="K4" s="5" t="s">
        <v>59</v>
      </c>
      <c r="L4" s="5" t="s">
        <v>60</v>
      </c>
      <c r="M4" s="5" t="s">
        <v>61</v>
      </c>
      <c r="N4" s="5" t="s">
        <v>62</v>
      </c>
      <c r="O4" s="5" t="s">
        <v>63</v>
      </c>
      <c r="P4" s="5" t="s">
        <v>64</v>
      </c>
      <c r="Q4" s="5" t="s">
        <v>8</v>
      </c>
      <c r="R4" s="5" t="s">
        <v>182</v>
      </c>
      <c r="S4" s="5" t="s">
        <v>181</v>
      </c>
    </row>
    <row r="5" spans="1:20" x14ac:dyDescent="0.25">
      <c r="A5" s="1" t="s">
        <v>185</v>
      </c>
      <c r="B5" s="1" t="str">
        <f>VLOOKUP(A5,LISTADHERENT!A$5:H$52,2,0)</f>
        <v>ASELBY</v>
      </c>
      <c r="C5" s="6">
        <f>VLOOKUP(A5,FONDSDECAISSE!A$5:C$52,3,0)</f>
        <v>0</v>
      </c>
      <c r="D5" s="6">
        <v>318145</v>
      </c>
      <c r="E5" s="6">
        <f t="shared" ref="E5:E52" si="0">$P$56/$F$56*F5</f>
        <v>1799.2102095459891</v>
      </c>
      <c r="F5" s="6">
        <f>RECAPTONT20000!C5+RECAPTONT20000!D5+TONT20000DEC2015!I5</f>
        <v>318145</v>
      </c>
      <c r="G5" s="6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2"/>
    </row>
    <row r="6" spans="1:20" x14ac:dyDescent="0.25">
      <c r="A6" s="1" t="s">
        <v>11</v>
      </c>
      <c r="B6" s="1" t="str">
        <f>VLOOKUP(A6,LISTADHERENT!A$5:H$52,2,0)</f>
        <v>BAKOP ACHILLE</v>
      </c>
      <c r="C6" s="6">
        <f>VLOOKUP(A6,FONDSDECAISSE!A$5:C$52,3,0)</f>
        <v>390000</v>
      </c>
      <c r="D6" s="6">
        <v>33536</v>
      </c>
      <c r="E6" s="6">
        <f t="shared" si="0"/>
        <v>2412.1954641402754</v>
      </c>
      <c r="F6" s="6">
        <f>RECAPTONT20000!C6+RECAPTONT20000!D6+TONT20000DEC2015!I6</f>
        <v>426536</v>
      </c>
      <c r="G6" s="6"/>
      <c r="H6" s="7">
        <f>I6+J6+K6+L6+M7+N7</f>
        <v>20000</v>
      </c>
      <c r="I6" s="7">
        <v>3000</v>
      </c>
      <c r="J6" s="7">
        <v>500</v>
      </c>
      <c r="K6" s="7">
        <v>1000</v>
      </c>
      <c r="L6" s="7">
        <v>2500</v>
      </c>
      <c r="M6" s="7"/>
      <c r="N6" s="7">
        <v>13000</v>
      </c>
      <c r="O6" s="7"/>
      <c r="P6" s="7">
        <f>IF(O6&lt;=500000,(O6*1*3/100),(O6*12/100))</f>
        <v>0</v>
      </c>
      <c r="Q6" s="2"/>
      <c r="R6" s="2"/>
      <c r="S6" s="2"/>
    </row>
    <row r="7" spans="1:20" x14ac:dyDescent="0.25">
      <c r="A7" s="1" t="s">
        <v>12</v>
      </c>
      <c r="B7" s="1" t="str">
        <f>VLOOKUP(A7,LISTADHERENT!A$5:H$51,2)</f>
        <v>BOUTCHOUANG WILLIAM</v>
      </c>
      <c r="C7" s="6">
        <f>VLOOKUP(A7,FONDSDECAISSE!A$5:C$52,3,0)</f>
        <v>390000</v>
      </c>
      <c r="D7" s="6">
        <v>1704</v>
      </c>
      <c r="E7" s="6">
        <f t="shared" si="0"/>
        <v>2232.1754751721387</v>
      </c>
      <c r="F7" s="6">
        <f>RECAPTONT20000!C7+RECAPTONT20000!D7+TONT20000DEC2015!I7</f>
        <v>394704</v>
      </c>
      <c r="G7" s="6"/>
      <c r="H7" s="7">
        <f>I7+J7+K7+L7+M8+N8</f>
        <v>20000</v>
      </c>
      <c r="I7" s="7">
        <v>3000</v>
      </c>
      <c r="J7" s="7">
        <v>500</v>
      </c>
      <c r="K7" s="7">
        <v>1000</v>
      </c>
      <c r="L7" s="7">
        <v>2500</v>
      </c>
      <c r="M7" s="7"/>
      <c r="N7" s="7">
        <v>13000</v>
      </c>
      <c r="O7" s="7"/>
      <c r="P7" s="7">
        <f t="shared" ref="P7:P54" si="1">IF(O7&lt;=500000,(O7*1*3/100),(O7*12/100))</f>
        <v>0</v>
      </c>
      <c r="Q7" s="2"/>
      <c r="R7" s="2"/>
      <c r="S7" s="2"/>
    </row>
    <row r="8" spans="1:20" x14ac:dyDescent="0.25">
      <c r="A8" s="1" t="s">
        <v>13</v>
      </c>
      <c r="B8" s="1" t="str">
        <f>VLOOKUP(A8,LISTADHERENT!A$5:H$51,2)</f>
        <v>CHINGUE FABRICE</v>
      </c>
      <c r="C8" s="6">
        <f>VLOOKUP(A8,FONDSDECAISSE!A$5:C$52,3,0)</f>
        <v>390000</v>
      </c>
      <c r="D8" s="6">
        <v>1842</v>
      </c>
      <c r="E8" s="6">
        <f t="shared" si="0"/>
        <v>2232.9559086503241</v>
      </c>
      <c r="F8" s="6">
        <f>RECAPTONT20000!C8+RECAPTONT20000!D8+TONT20000DEC2015!I8</f>
        <v>394842</v>
      </c>
      <c r="G8" s="6"/>
      <c r="H8" s="7">
        <f t="shared" ref="H8:H49" si="2">I8+J8+K8+L8+M8+N8</f>
        <v>20000</v>
      </c>
      <c r="I8" s="7">
        <v>3000</v>
      </c>
      <c r="J8" s="7">
        <v>500</v>
      </c>
      <c r="K8" s="7">
        <v>1000</v>
      </c>
      <c r="L8" s="7">
        <v>2500</v>
      </c>
      <c r="M8" s="7"/>
      <c r="N8" s="7">
        <v>13000</v>
      </c>
      <c r="O8" s="2"/>
      <c r="P8" s="7">
        <f t="shared" si="1"/>
        <v>0</v>
      </c>
      <c r="Q8" s="2"/>
      <c r="R8" s="2"/>
      <c r="S8" s="2"/>
    </row>
    <row r="9" spans="1:20" x14ac:dyDescent="0.25">
      <c r="A9" s="1" t="s">
        <v>14</v>
      </c>
      <c r="B9" s="1" t="str">
        <f>VLOOKUP(A9,LISTADHERENT!A$5:H$51,2)</f>
        <v xml:space="preserve">DJOMO JEAN PAUL </v>
      </c>
      <c r="C9" s="6">
        <f>VLOOKUP(A9,FONDSDECAISSE!A$5:C$52,3,0)</f>
        <v>390000</v>
      </c>
      <c r="D9" s="6">
        <v>8156</v>
      </c>
      <c r="E9" s="6">
        <f t="shared" si="0"/>
        <v>2268.6635679348433</v>
      </c>
      <c r="F9" s="6">
        <f>RECAPTONT20000!C9+RECAPTONT20000!D9+TONT20000DEC2015!I9</f>
        <v>401156</v>
      </c>
      <c r="G9" s="6"/>
      <c r="H9" s="7">
        <f t="shared" si="2"/>
        <v>20000</v>
      </c>
      <c r="I9" s="7">
        <v>3000</v>
      </c>
      <c r="J9" s="7">
        <v>500</v>
      </c>
      <c r="K9" s="7">
        <v>1000</v>
      </c>
      <c r="L9" s="7">
        <v>2500</v>
      </c>
      <c r="M9" s="7"/>
      <c r="N9" s="7">
        <v>13000</v>
      </c>
      <c r="O9" s="2"/>
      <c r="P9" s="7">
        <f t="shared" si="1"/>
        <v>0</v>
      </c>
      <c r="Q9" s="2"/>
      <c r="R9" s="2"/>
      <c r="S9" s="2"/>
    </row>
    <row r="10" spans="1:20" x14ac:dyDescent="0.25">
      <c r="A10" s="1" t="s">
        <v>15</v>
      </c>
      <c r="B10" s="1" t="str">
        <f>VLOOKUP(A10,LISTADHERENT!A$5:H$51,2)</f>
        <v>DJOUKWE GUY</v>
      </c>
      <c r="C10" s="6">
        <f>VLOOKUP(A10,FONDSDECAISSE!A$5:C$52,3,0)</f>
        <v>390000</v>
      </c>
      <c r="D10" s="6">
        <v>5905</v>
      </c>
      <c r="E10" s="6">
        <f t="shared" si="0"/>
        <v>2284.2100290329022</v>
      </c>
      <c r="F10" s="6">
        <f>RECAPTONT20000!C10+RECAPTONT20000!D10+TONT20000DEC2015!I10</f>
        <v>403905</v>
      </c>
      <c r="G10" s="6"/>
      <c r="H10" s="7">
        <f t="shared" si="2"/>
        <v>25000</v>
      </c>
      <c r="I10" s="7">
        <v>8000</v>
      </c>
      <c r="J10" s="7">
        <v>500</v>
      </c>
      <c r="K10" s="7">
        <v>1000</v>
      </c>
      <c r="L10" s="7">
        <v>2500</v>
      </c>
      <c r="M10" s="7"/>
      <c r="N10" s="7">
        <v>13000</v>
      </c>
      <c r="O10" s="2"/>
      <c r="P10" s="7">
        <f t="shared" si="1"/>
        <v>0</v>
      </c>
      <c r="Q10" s="2"/>
      <c r="R10" s="2"/>
      <c r="S10" s="2"/>
    </row>
    <row r="11" spans="1:20" x14ac:dyDescent="0.25">
      <c r="A11" s="1" t="s">
        <v>16</v>
      </c>
      <c r="B11" s="1" t="str">
        <f>VLOOKUP(A11,LISTADHERENT!A$5:H$51,2)</f>
        <v>DJOSSEU JOSUE</v>
      </c>
      <c r="C11" s="6">
        <f>VLOOKUP(A11,FONDSDECAISSE!A$5:C$52,3,0)</f>
        <v>0</v>
      </c>
      <c r="D11" s="6">
        <v>0</v>
      </c>
      <c r="E11" s="6">
        <f t="shared" si="0"/>
        <v>28.276575296578432</v>
      </c>
      <c r="F11" s="6">
        <f>RECAPTONT20000!C11+RECAPTONT20000!D11+TONT20000DEC2015!I11</f>
        <v>5000</v>
      </c>
      <c r="G11" s="6"/>
      <c r="H11" s="7">
        <f t="shared" si="2"/>
        <v>22000</v>
      </c>
      <c r="I11" s="7">
        <v>5000</v>
      </c>
      <c r="J11" s="7">
        <v>500</v>
      </c>
      <c r="K11" s="7">
        <v>1000</v>
      </c>
      <c r="L11" s="7">
        <v>2500</v>
      </c>
      <c r="M11" s="7"/>
      <c r="N11" s="7">
        <v>13000</v>
      </c>
      <c r="O11" s="2"/>
      <c r="P11" s="7">
        <f t="shared" si="1"/>
        <v>0</v>
      </c>
      <c r="Q11" s="2"/>
      <c r="R11" s="2"/>
      <c r="S11" s="2"/>
    </row>
    <row r="12" spans="1:20" x14ac:dyDescent="0.25">
      <c r="A12" s="1" t="s">
        <v>17</v>
      </c>
      <c r="B12" s="1" t="str">
        <f>VLOOKUP(A12,LISTADHERENT!A$5:H$51,2)</f>
        <v>DJOUNKEP SAMUEL</v>
      </c>
      <c r="C12" s="6">
        <f>VLOOKUP(A12,FONDSDECAISSE!A$5:C$52,3,0)</f>
        <v>390000</v>
      </c>
      <c r="D12" s="6">
        <v>1055294</v>
      </c>
      <c r="E12" s="6">
        <f t="shared" si="0"/>
        <v>7796.3551323069523</v>
      </c>
      <c r="F12" s="6">
        <f>RECAPTONT20000!C12+RECAPTONT20000!D12+TONT20000DEC2015!I12</f>
        <v>1378589</v>
      </c>
      <c r="G12" s="6"/>
      <c r="H12" s="7">
        <f t="shared" si="2"/>
        <v>20000</v>
      </c>
      <c r="I12" s="7">
        <v>3000</v>
      </c>
      <c r="J12" s="7">
        <v>500</v>
      </c>
      <c r="K12" s="7">
        <v>1000</v>
      </c>
      <c r="L12" s="7">
        <v>2500</v>
      </c>
      <c r="M12" s="7"/>
      <c r="N12" s="7">
        <v>13000</v>
      </c>
      <c r="O12" s="2"/>
      <c r="P12" s="7">
        <f t="shared" si="1"/>
        <v>0</v>
      </c>
      <c r="Q12" s="2"/>
      <c r="R12" s="2"/>
      <c r="S12" s="2"/>
    </row>
    <row r="13" spans="1:20" x14ac:dyDescent="0.25">
      <c r="A13" s="1" t="s">
        <v>18</v>
      </c>
      <c r="B13" s="1" t="str">
        <f>VLOOKUP(A13,LISTADHERENT!A$5:H$51,2)</f>
        <v>DJUOMBESSY ANTOINE</v>
      </c>
      <c r="C13" s="6">
        <f>VLOOKUP(A13,FONDSDECAISSE!A$5:C$52,3,0)</f>
        <v>319134</v>
      </c>
      <c r="D13" s="6">
        <v>0</v>
      </c>
      <c r="E13" s="6">
        <f t="shared" si="0"/>
        <v>1821.7692613175993</v>
      </c>
      <c r="F13" s="6">
        <f>RECAPTONT20000!C13+RECAPTONT20000!D13+TONT20000DEC2015!I13</f>
        <v>322134</v>
      </c>
      <c r="G13" s="6"/>
      <c r="H13" s="7">
        <f t="shared" si="2"/>
        <v>20000</v>
      </c>
      <c r="I13" s="7">
        <v>3000</v>
      </c>
      <c r="J13" s="7">
        <v>500</v>
      </c>
      <c r="K13" s="7">
        <v>1000</v>
      </c>
      <c r="L13" s="7">
        <v>2500</v>
      </c>
      <c r="M13" s="7"/>
      <c r="N13" s="7">
        <v>13000</v>
      </c>
      <c r="O13" s="2"/>
      <c r="P13" s="7">
        <f t="shared" si="1"/>
        <v>0</v>
      </c>
      <c r="Q13" s="2"/>
      <c r="R13" s="2"/>
      <c r="S13" s="2"/>
    </row>
    <row r="14" spans="1:20" x14ac:dyDescent="0.25">
      <c r="A14" s="1" t="s">
        <v>19</v>
      </c>
      <c r="B14" s="1" t="str">
        <f>VLOOKUP(A14,LISTADHERENT!A$5:H$51,2)</f>
        <v>DONHOU DAVID</v>
      </c>
      <c r="C14" s="6">
        <f>VLOOKUP(A14,FONDSDECAISSE!A$5:C$52,3,0)</f>
        <v>390000</v>
      </c>
      <c r="D14" s="6">
        <v>44734</v>
      </c>
      <c r="E14" s="6">
        <f t="shared" si="0"/>
        <v>2475.5236821744925</v>
      </c>
      <c r="F14" s="6">
        <f>RECAPTONT20000!C14+RECAPTONT20000!D14+TONT20000DEC2015!I14</f>
        <v>437734</v>
      </c>
      <c r="G14" s="6"/>
      <c r="H14" s="7">
        <f t="shared" si="2"/>
        <v>20000</v>
      </c>
      <c r="I14" s="7">
        <v>3000</v>
      </c>
      <c r="J14" s="7">
        <v>500</v>
      </c>
      <c r="K14" s="7">
        <v>1000</v>
      </c>
      <c r="L14" s="7">
        <v>2500</v>
      </c>
      <c r="M14" s="7"/>
      <c r="N14" s="7">
        <v>13000</v>
      </c>
      <c r="O14" s="2"/>
      <c r="P14" s="7">
        <f t="shared" si="1"/>
        <v>0</v>
      </c>
      <c r="Q14" s="2"/>
      <c r="R14" s="2"/>
      <c r="S14" s="2"/>
    </row>
    <row r="15" spans="1:20" x14ac:dyDescent="0.25">
      <c r="A15" s="1" t="s">
        <v>20</v>
      </c>
      <c r="B15" s="1" t="str">
        <f>VLOOKUP(A15,LISTADHERENT!A$5:H$51,2)</f>
        <v>FOTSO THOMAS</v>
      </c>
      <c r="C15" s="6">
        <f>VLOOKUP(A15,FONDSDECAISSE!A$5:C$52,3,0)</f>
        <v>390000</v>
      </c>
      <c r="D15" s="6">
        <v>3318</v>
      </c>
      <c r="E15" s="6">
        <f t="shared" si="0"/>
        <v>2241.303153677874</v>
      </c>
      <c r="F15" s="6">
        <f>RECAPTONT20000!C15+RECAPTONT20000!D15+TONT20000DEC2015!I15</f>
        <v>396318</v>
      </c>
      <c r="G15" s="6"/>
      <c r="H15" s="7">
        <f t="shared" si="2"/>
        <v>20000</v>
      </c>
      <c r="I15" s="7">
        <v>3000</v>
      </c>
      <c r="J15" s="7">
        <v>500</v>
      </c>
      <c r="K15" s="7">
        <v>1000</v>
      </c>
      <c r="L15" s="7">
        <v>2500</v>
      </c>
      <c r="M15" s="7"/>
      <c r="N15" s="7">
        <v>13000</v>
      </c>
      <c r="O15" s="2"/>
      <c r="P15" s="7">
        <f t="shared" si="1"/>
        <v>0</v>
      </c>
      <c r="Q15" s="2"/>
      <c r="R15" s="2"/>
      <c r="S15" s="2"/>
    </row>
    <row r="16" spans="1:20" x14ac:dyDescent="0.25">
      <c r="A16" s="1" t="s">
        <v>21</v>
      </c>
      <c r="B16" s="1" t="str">
        <f>VLOOKUP(A16,LISTADHERENT!A$5:H$51,2)</f>
        <v>HENGUE PAUL OMER</v>
      </c>
      <c r="C16" s="6">
        <f>VLOOKUP(A16,FONDSDECAISSE!A$5:C$52,3,0)</f>
        <v>390000</v>
      </c>
      <c r="D16" s="6"/>
      <c r="E16" s="6">
        <f t="shared" si="0"/>
        <v>2222.5388183110645</v>
      </c>
      <c r="F16" s="6">
        <f>RECAPTONT20000!C16+RECAPTONT20000!D16+TONT20000DEC2015!I16</f>
        <v>393000</v>
      </c>
      <c r="G16" s="6"/>
      <c r="H16" s="7">
        <f t="shared" si="2"/>
        <v>20000</v>
      </c>
      <c r="I16" s="7">
        <v>3000</v>
      </c>
      <c r="J16" s="7">
        <v>500</v>
      </c>
      <c r="K16" s="7">
        <v>1000</v>
      </c>
      <c r="L16" s="7">
        <v>2500</v>
      </c>
      <c r="M16" s="7"/>
      <c r="N16" s="7">
        <v>13000</v>
      </c>
      <c r="O16" s="2"/>
      <c r="P16" s="7">
        <f t="shared" si="1"/>
        <v>0</v>
      </c>
      <c r="Q16" s="2"/>
      <c r="R16" s="2"/>
      <c r="S16" s="2"/>
    </row>
    <row r="17" spans="1:19" x14ac:dyDescent="0.25">
      <c r="A17" s="1" t="s">
        <v>22</v>
      </c>
      <c r="B17" s="1" t="str">
        <f>VLOOKUP(A17,LISTADHERENT!A$5:H$51,2)</f>
        <v>HODIEP JULES</v>
      </c>
      <c r="C17" s="6">
        <f>VLOOKUP(A17,FONDSDECAISSE!A$5:C$52,3,0)</f>
        <v>0</v>
      </c>
      <c r="D17" s="6">
        <v>0</v>
      </c>
      <c r="E17" s="6">
        <f t="shared" si="0"/>
        <v>16.965945177947059</v>
      </c>
      <c r="F17" s="6">
        <f>RECAPTONT20000!C17+RECAPTONT20000!D17+TONT20000DEC2015!I17</f>
        <v>3000</v>
      </c>
      <c r="G17" s="6"/>
      <c r="H17" s="7">
        <f t="shared" si="2"/>
        <v>20000</v>
      </c>
      <c r="I17" s="7">
        <v>3000</v>
      </c>
      <c r="J17" s="7">
        <v>500</v>
      </c>
      <c r="K17" s="7">
        <v>1000</v>
      </c>
      <c r="L17" s="7">
        <v>2500</v>
      </c>
      <c r="M17" s="7"/>
      <c r="N17" s="7">
        <v>13000</v>
      </c>
      <c r="O17" s="2"/>
      <c r="P17" s="7">
        <f t="shared" si="1"/>
        <v>0</v>
      </c>
      <c r="Q17" s="2"/>
      <c r="R17" s="2"/>
      <c r="S17" s="2"/>
    </row>
    <row r="18" spans="1:19" x14ac:dyDescent="0.25">
      <c r="A18" s="1" t="s">
        <v>23</v>
      </c>
      <c r="B18" s="1" t="str">
        <f>VLOOKUP(A18,LISTADHERENT!A$5:H$51,2)</f>
        <v>HOTCHO BENJAMIN</v>
      </c>
      <c r="C18" s="6">
        <f>VLOOKUP(A18,FONDSDECAISSE!A$5:C$52,3,0)</f>
        <v>390000</v>
      </c>
      <c r="D18" s="6">
        <v>8723</v>
      </c>
      <c r="E18" s="6">
        <f t="shared" si="0"/>
        <v>2271.8701315734752</v>
      </c>
      <c r="F18" s="6">
        <f>RECAPTONT20000!C18+RECAPTONT20000!D18+TONT20000DEC2015!I18</f>
        <v>401723</v>
      </c>
      <c r="G18" s="6"/>
      <c r="H18" s="7">
        <f t="shared" si="2"/>
        <v>20000</v>
      </c>
      <c r="I18" s="7">
        <v>3000</v>
      </c>
      <c r="J18" s="7">
        <v>500</v>
      </c>
      <c r="K18" s="7">
        <v>1000</v>
      </c>
      <c r="L18" s="7">
        <v>2500</v>
      </c>
      <c r="M18" s="7"/>
      <c r="N18" s="7">
        <v>13000</v>
      </c>
      <c r="O18" s="2"/>
      <c r="P18" s="7">
        <f t="shared" si="1"/>
        <v>0</v>
      </c>
      <c r="Q18" s="2"/>
      <c r="R18" s="2"/>
      <c r="S18" s="2"/>
    </row>
    <row r="19" spans="1:19" x14ac:dyDescent="0.25">
      <c r="A19" s="1" t="s">
        <v>24</v>
      </c>
      <c r="B19" s="1" t="str">
        <f>VLOOKUP(A19,LISTADHERENT!A$5:H$51,2)</f>
        <v>KEPHE DAVID</v>
      </c>
      <c r="C19" s="6">
        <f>VLOOKUP(A19,FONDSDECAISSE!A$5:C$52,3,0)</f>
        <v>0</v>
      </c>
      <c r="D19" s="6">
        <v>12795</v>
      </c>
      <c r="E19" s="6">
        <f t="shared" si="0"/>
        <v>89.325701361891262</v>
      </c>
      <c r="F19" s="6">
        <f>RECAPTONT20000!C19+RECAPTONT20000!D19+TONT20000DEC2015!I19</f>
        <v>15795</v>
      </c>
      <c r="G19" s="6"/>
      <c r="H19" s="7">
        <f t="shared" si="2"/>
        <v>20000</v>
      </c>
      <c r="I19" s="7">
        <v>3000</v>
      </c>
      <c r="J19" s="7">
        <v>500</v>
      </c>
      <c r="K19" s="7">
        <v>1000</v>
      </c>
      <c r="L19" s="7">
        <v>2500</v>
      </c>
      <c r="M19" s="7"/>
      <c r="N19" s="7">
        <v>13000</v>
      </c>
      <c r="O19" s="2"/>
      <c r="P19" s="7">
        <f t="shared" si="1"/>
        <v>0</v>
      </c>
      <c r="Q19" s="2"/>
      <c r="R19" s="2"/>
      <c r="S19" s="2"/>
    </row>
    <row r="20" spans="1:19" x14ac:dyDescent="0.25">
      <c r="A20" s="1" t="s">
        <v>25</v>
      </c>
      <c r="B20" s="1" t="str">
        <f>VLOOKUP(A20,LISTADHERENT!A$5:H$51,2)</f>
        <v>KEPSEU FRANCIS</v>
      </c>
      <c r="C20" s="6">
        <f>VLOOKUP(A20,FONDSDECAISSE!A$5:C$52,3,0)</f>
        <v>390000</v>
      </c>
      <c r="D20" s="6">
        <v>186997</v>
      </c>
      <c r="E20" s="6">
        <f t="shared" si="0"/>
        <v>3297.0317136358672</v>
      </c>
      <c r="F20" s="6">
        <f>RECAPTONT20000!C20+RECAPTONT20000!D20+TONT20000DEC2015!I20</f>
        <v>582997</v>
      </c>
      <c r="G20" s="6"/>
      <c r="H20" s="7">
        <f t="shared" si="2"/>
        <v>23000</v>
      </c>
      <c r="I20" s="7">
        <v>6000</v>
      </c>
      <c r="J20" s="7">
        <v>500</v>
      </c>
      <c r="K20" s="7">
        <v>1000</v>
      </c>
      <c r="L20" s="7">
        <v>2500</v>
      </c>
      <c r="M20" s="7"/>
      <c r="N20" s="7">
        <v>13000</v>
      </c>
      <c r="O20" s="2"/>
      <c r="P20" s="7">
        <f t="shared" si="1"/>
        <v>0</v>
      </c>
      <c r="Q20" s="2"/>
      <c r="R20" s="2"/>
      <c r="S20" s="2"/>
    </row>
    <row r="21" spans="1:19" x14ac:dyDescent="0.25">
      <c r="A21" s="1" t="s">
        <v>26</v>
      </c>
      <c r="B21" s="1" t="str">
        <f>VLOOKUP(A21,LISTADHERENT!A$5:H$51,2)</f>
        <v>KOUAMOU EMMANUEL</v>
      </c>
      <c r="C21" s="6">
        <f>VLOOKUP(A21,FONDSDECAISSE!A$5:C$52,3,0)</f>
        <v>390000</v>
      </c>
      <c r="D21" s="6">
        <v>2723</v>
      </c>
      <c r="E21" s="6">
        <f t="shared" si="0"/>
        <v>2237.9382412175814</v>
      </c>
      <c r="F21" s="6">
        <f>RECAPTONT20000!C21+RECAPTONT20000!D21+TONT20000DEC2015!I21</f>
        <v>395723</v>
      </c>
      <c r="G21" s="6"/>
      <c r="H21" s="7">
        <f t="shared" si="2"/>
        <v>20000</v>
      </c>
      <c r="I21" s="7">
        <v>3000</v>
      </c>
      <c r="J21" s="7">
        <v>500</v>
      </c>
      <c r="K21" s="7">
        <v>1000</v>
      </c>
      <c r="L21" s="7">
        <v>2500</v>
      </c>
      <c r="M21" s="7"/>
      <c r="N21" s="7">
        <v>13000</v>
      </c>
      <c r="O21" s="2"/>
      <c r="P21" s="7">
        <f t="shared" si="1"/>
        <v>0</v>
      </c>
      <c r="Q21" s="2"/>
      <c r="R21" s="2"/>
      <c r="S21" s="2"/>
    </row>
    <row r="22" spans="1:19" x14ac:dyDescent="0.25">
      <c r="A22" s="1" t="s">
        <v>27</v>
      </c>
      <c r="B22" s="1" t="str">
        <f>VLOOKUP(A22,LISTADHERENT!A$5:H$51,2)</f>
        <v>KOUAMOU MOISE</v>
      </c>
      <c r="C22" s="6">
        <f>VLOOKUP(A22,FONDSDECAISSE!A$5:C$52,3,0)</f>
        <v>315000</v>
      </c>
      <c r="D22" s="6">
        <v>2099</v>
      </c>
      <c r="E22" s="6">
        <f t="shared" si="0"/>
        <v>1810.2606951718919</v>
      </c>
      <c r="F22" s="6">
        <f>RECAPTONT20000!C22+RECAPTONT20000!D22+TONT20000DEC2015!I22</f>
        <v>320099</v>
      </c>
      <c r="G22" s="6"/>
      <c r="H22" s="7">
        <f t="shared" si="2"/>
        <v>20000</v>
      </c>
      <c r="I22" s="7">
        <v>3000</v>
      </c>
      <c r="J22" s="7">
        <v>500</v>
      </c>
      <c r="K22" s="7">
        <v>1000</v>
      </c>
      <c r="L22" s="7">
        <v>2500</v>
      </c>
      <c r="M22" s="7"/>
      <c r="N22" s="7">
        <v>13000</v>
      </c>
      <c r="O22" s="2"/>
      <c r="P22" s="7">
        <f t="shared" si="1"/>
        <v>0</v>
      </c>
      <c r="Q22" s="2"/>
      <c r="R22" s="2"/>
      <c r="S22" s="2"/>
    </row>
    <row r="23" spans="1:19" x14ac:dyDescent="0.25">
      <c r="A23" s="1" t="s">
        <v>28</v>
      </c>
      <c r="B23" s="1" t="str">
        <f>VLOOKUP(A23,LISTADHERENT!A$5:H$51,2)</f>
        <v>KOUAMOU VICTOR PEGUY</v>
      </c>
      <c r="C23" s="6">
        <f>VLOOKUP(A23,FONDSDECAISSE!A$5:C$52,3,0)</f>
        <v>390000</v>
      </c>
      <c r="D23" s="6">
        <v>36629</v>
      </c>
      <c r="E23" s="6">
        <f t="shared" si="0"/>
        <v>2429.6873536187391</v>
      </c>
      <c r="F23" s="6">
        <f>RECAPTONT20000!C23+RECAPTONT20000!D23+TONT20000DEC2015!I23</f>
        <v>429629</v>
      </c>
      <c r="G23" s="6"/>
      <c r="H23" s="7">
        <f t="shared" si="2"/>
        <v>20000</v>
      </c>
      <c r="I23" s="7">
        <v>3000</v>
      </c>
      <c r="J23" s="7">
        <v>500</v>
      </c>
      <c r="K23" s="7">
        <v>1000</v>
      </c>
      <c r="L23" s="7">
        <v>2500</v>
      </c>
      <c r="M23" s="7"/>
      <c r="N23" s="7">
        <v>13000</v>
      </c>
      <c r="O23" s="2"/>
      <c r="P23" s="7">
        <f t="shared" si="1"/>
        <v>0</v>
      </c>
      <c r="Q23" s="2"/>
      <c r="R23" s="2"/>
      <c r="S23" s="2"/>
    </row>
    <row r="24" spans="1:19" x14ac:dyDescent="0.25">
      <c r="A24" s="1" t="s">
        <v>29</v>
      </c>
      <c r="B24" s="1" t="str">
        <f>VLOOKUP(A24,LISTADHERENT!A$5:H$51,2)</f>
        <v>KOUATCHO MESSACK</v>
      </c>
      <c r="C24" s="6">
        <f>VLOOKUP(A24,FONDSDECAISSE!A$5:C$52,3,0)</f>
        <v>390000</v>
      </c>
      <c r="D24" s="6">
        <v>0</v>
      </c>
      <c r="E24" s="6">
        <f t="shared" si="0"/>
        <v>2222.5388183110645</v>
      </c>
      <c r="F24" s="6">
        <f>RECAPTONT20000!C24+RECAPTONT20000!D24+TONT20000DEC2015!I24</f>
        <v>393000</v>
      </c>
      <c r="G24" s="6"/>
      <c r="H24" s="7">
        <f t="shared" si="2"/>
        <v>20000</v>
      </c>
      <c r="I24" s="7">
        <v>3000</v>
      </c>
      <c r="J24" s="7">
        <v>500</v>
      </c>
      <c r="K24" s="7">
        <v>1000</v>
      </c>
      <c r="L24" s="7">
        <v>2500</v>
      </c>
      <c r="M24" s="7"/>
      <c r="N24" s="7">
        <v>13000</v>
      </c>
      <c r="O24" s="7">
        <v>600000</v>
      </c>
      <c r="P24" s="7">
        <f t="shared" si="1"/>
        <v>72000</v>
      </c>
      <c r="Q24" s="2"/>
      <c r="R24" s="2"/>
      <c r="S24" s="2"/>
    </row>
    <row r="25" spans="1:19" x14ac:dyDescent="0.25">
      <c r="A25" s="1" t="s">
        <v>30</v>
      </c>
      <c r="B25" s="1" t="str">
        <f>VLOOKUP(A25,LISTADHERENT!A$5:H$51,2)</f>
        <v>LOWE JEAN</v>
      </c>
      <c r="C25" s="6">
        <f>VLOOKUP(A25,FONDSDECAISSE!A$5:C$52,3,0)</f>
        <v>390000</v>
      </c>
      <c r="D25" s="6">
        <v>4331</v>
      </c>
      <c r="E25" s="6">
        <f t="shared" si="0"/>
        <v>2247.031987832961</v>
      </c>
      <c r="F25" s="6">
        <f>RECAPTONT20000!C25+RECAPTONT20000!D25+TONT20000DEC2015!I25</f>
        <v>397331</v>
      </c>
      <c r="G25" s="6"/>
      <c r="H25" s="7">
        <f t="shared" si="2"/>
        <v>20000</v>
      </c>
      <c r="I25" s="7">
        <v>3000</v>
      </c>
      <c r="J25" s="7">
        <v>500</v>
      </c>
      <c r="K25" s="7">
        <v>1000</v>
      </c>
      <c r="L25" s="7">
        <v>2500</v>
      </c>
      <c r="M25" s="7"/>
      <c r="N25" s="7">
        <v>13000</v>
      </c>
      <c r="O25" s="2"/>
      <c r="P25" s="7">
        <f t="shared" si="1"/>
        <v>0</v>
      </c>
      <c r="Q25" s="2"/>
      <c r="R25" s="2"/>
      <c r="S25" s="2"/>
    </row>
    <row r="26" spans="1:19" x14ac:dyDescent="0.25">
      <c r="A26" s="1" t="s">
        <v>31</v>
      </c>
      <c r="B26" s="1" t="str">
        <f>VLOOKUP(A26,LISTADHERENT!A$5:H$51,2)</f>
        <v>NANKAM APPOLINAIRE</v>
      </c>
      <c r="C26" s="6">
        <f>VLOOKUP(A26,FONDSDECAISSE!A$5:C$52,3,0)</f>
        <v>390000</v>
      </c>
      <c r="D26" s="6">
        <v>4411</v>
      </c>
      <c r="E26" s="6">
        <f t="shared" si="0"/>
        <v>2247.484413037706</v>
      </c>
      <c r="F26" s="6">
        <f>RECAPTONT20000!C26+RECAPTONT20000!D26+TONT20000DEC2015!I26</f>
        <v>397411</v>
      </c>
      <c r="G26" s="6"/>
      <c r="H26" s="7">
        <f t="shared" si="2"/>
        <v>20000</v>
      </c>
      <c r="I26" s="7">
        <v>3000</v>
      </c>
      <c r="J26" s="7">
        <v>500</v>
      </c>
      <c r="K26" s="7">
        <v>1000</v>
      </c>
      <c r="L26" s="7">
        <v>2500</v>
      </c>
      <c r="M26" s="7"/>
      <c r="N26" s="7">
        <v>13000</v>
      </c>
      <c r="O26" s="2"/>
      <c r="P26" s="7">
        <f t="shared" si="1"/>
        <v>0</v>
      </c>
      <c r="Q26" s="2"/>
      <c r="R26" s="2"/>
      <c r="S26" s="2"/>
    </row>
    <row r="27" spans="1:19" x14ac:dyDescent="0.25">
      <c r="A27" s="1" t="s">
        <v>32</v>
      </c>
      <c r="B27" s="1" t="str">
        <f>VLOOKUP(A27,LISTADHERENT!A$5:H$51,2)</f>
        <v>NDJOMO ETIENNE</v>
      </c>
      <c r="C27" s="6">
        <f>VLOOKUP(A27,FONDSDECAISSE!A$5:C$52,3,0)</f>
        <v>390000</v>
      </c>
      <c r="D27" s="6">
        <v>2060</v>
      </c>
      <c r="E27" s="6">
        <f t="shared" si="0"/>
        <v>2262.4653426298332</v>
      </c>
      <c r="F27" s="6">
        <f>RECAPTONT20000!C27+RECAPTONT20000!D27+TONT20000DEC2015!I27</f>
        <v>400060</v>
      </c>
      <c r="G27" s="6"/>
      <c r="H27" s="7">
        <f t="shared" si="2"/>
        <v>25000</v>
      </c>
      <c r="I27" s="7">
        <v>8000</v>
      </c>
      <c r="J27" s="7">
        <v>500</v>
      </c>
      <c r="K27" s="7">
        <v>1000</v>
      </c>
      <c r="L27" s="7">
        <v>2500</v>
      </c>
      <c r="M27" s="7"/>
      <c r="N27" s="7">
        <v>13000</v>
      </c>
      <c r="O27" s="7">
        <v>400000</v>
      </c>
      <c r="P27" s="7">
        <f t="shared" si="1"/>
        <v>12000</v>
      </c>
      <c r="Q27" s="2"/>
      <c r="R27" s="2"/>
      <c r="S27" s="2"/>
    </row>
    <row r="28" spans="1:19" x14ac:dyDescent="0.25">
      <c r="A28" s="1" t="s">
        <v>33</v>
      </c>
      <c r="B28" s="1" t="str">
        <f>VLOOKUP(A28,LISTADHERENT!A$5:H$51,2)</f>
        <v>NDOMBOU JEAN CLAUDE</v>
      </c>
      <c r="C28" s="6">
        <f>VLOOKUP(A28,FONDSDECAISSE!A$5:C$52,3,0)</f>
        <v>0</v>
      </c>
      <c r="D28" s="6">
        <v>0</v>
      </c>
      <c r="E28" s="6">
        <f t="shared" si="0"/>
        <v>0</v>
      </c>
      <c r="F28" s="6">
        <f>RECAPTONT20000!C28+RECAPTONT20000!D28+TONT20000DEC2015!I28</f>
        <v>0</v>
      </c>
      <c r="G28" s="6"/>
      <c r="H28" s="7">
        <f t="shared" si="2"/>
        <v>0</v>
      </c>
      <c r="I28" s="7"/>
      <c r="J28" s="7"/>
      <c r="K28" s="7"/>
      <c r="L28" s="7"/>
      <c r="M28" s="7"/>
      <c r="N28" s="7"/>
      <c r="O28" s="2"/>
      <c r="P28" s="7">
        <f t="shared" si="1"/>
        <v>0</v>
      </c>
      <c r="Q28" s="2"/>
      <c r="R28" s="2"/>
      <c r="S28" s="2"/>
    </row>
    <row r="29" spans="1:19" x14ac:dyDescent="0.25">
      <c r="A29" s="1" t="s">
        <v>34</v>
      </c>
      <c r="B29" s="1" t="str">
        <f>VLOOKUP(A29,LISTADHERENT!A$5:H$51,2)</f>
        <v>NGONDIEP CLAUDE</v>
      </c>
      <c r="C29" s="6">
        <f>VLOOKUP(A29,FONDSDECAISSE!A$5:C$52,3,0)</f>
        <v>390000</v>
      </c>
      <c r="D29" s="6">
        <v>179574</v>
      </c>
      <c r="E29" s="6">
        <f t="shared" si="0"/>
        <v>3238.0863647726196</v>
      </c>
      <c r="F29" s="6">
        <f>RECAPTONT20000!C29+RECAPTONT20000!D29+TONT20000DEC2015!I29</f>
        <v>572574</v>
      </c>
      <c r="G29" s="6"/>
      <c r="H29" s="7">
        <f t="shared" si="2"/>
        <v>20000</v>
      </c>
      <c r="I29" s="7">
        <v>3000</v>
      </c>
      <c r="J29" s="7">
        <v>500</v>
      </c>
      <c r="K29" s="7">
        <v>1000</v>
      </c>
      <c r="L29" s="7">
        <v>2500</v>
      </c>
      <c r="M29" s="7"/>
      <c r="N29" s="7">
        <v>13000</v>
      </c>
      <c r="O29" s="2"/>
      <c r="P29" s="7">
        <f t="shared" si="1"/>
        <v>0</v>
      </c>
      <c r="Q29" s="2"/>
      <c r="R29" s="2"/>
      <c r="S29" s="2"/>
    </row>
    <row r="30" spans="1:19" x14ac:dyDescent="0.25">
      <c r="A30" s="1" t="s">
        <v>35</v>
      </c>
      <c r="B30" s="1" t="str">
        <f>VLOOKUP(A30,LISTADHERENT!A$5:H$51,2)</f>
        <v>NGONGANG JEAN THEODORE</v>
      </c>
      <c r="C30" s="6">
        <f>VLOOKUP(A30,FONDSDECAISSE!A$5:C$52,3,0)</f>
        <v>0</v>
      </c>
      <c r="D30" s="6">
        <v>0</v>
      </c>
      <c r="E30" s="6">
        <f t="shared" si="0"/>
        <v>16.965945177947059</v>
      </c>
      <c r="F30" s="6">
        <f>RECAPTONT20000!C30+RECAPTONT20000!D30+TONT20000DEC2015!I30</f>
        <v>3000</v>
      </c>
      <c r="G30" s="6"/>
      <c r="H30" s="7">
        <f t="shared" si="2"/>
        <v>20000</v>
      </c>
      <c r="I30" s="7">
        <v>3000</v>
      </c>
      <c r="J30" s="7">
        <v>500</v>
      </c>
      <c r="K30" s="7">
        <v>1000</v>
      </c>
      <c r="L30" s="7">
        <v>2500</v>
      </c>
      <c r="M30" s="7"/>
      <c r="N30" s="7">
        <v>13000</v>
      </c>
      <c r="O30" s="2"/>
      <c r="P30" s="7">
        <f t="shared" si="1"/>
        <v>0</v>
      </c>
      <c r="Q30" s="2"/>
      <c r="R30" s="2"/>
      <c r="S30" s="2"/>
    </row>
    <row r="31" spans="1:19" x14ac:dyDescent="0.25">
      <c r="A31" s="1" t="s">
        <v>36</v>
      </c>
      <c r="B31" s="1" t="str">
        <f>VLOOKUP(A31,LISTADHERENT!A$5:H$51,2)</f>
        <v>NGUIEMEGNI MATHIEU BLAISE</v>
      </c>
      <c r="C31" s="6">
        <f>VLOOKUP(A31,FONDSDECAISSE!A$5:C$52,3,0)</f>
        <v>14889</v>
      </c>
      <c r="D31" s="6">
        <v>0</v>
      </c>
      <c r="E31" s="6">
        <f t="shared" si="0"/>
        <v>101.16793109609831</v>
      </c>
      <c r="F31" s="6">
        <f>RECAPTONT20000!C31+RECAPTONT20000!D31+TONT20000DEC2015!I31</f>
        <v>17889</v>
      </c>
      <c r="G31" s="6"/>
      <c r="H31" s="7">
        <f t="shared" si="2"/>
        <v>20000</v>
      </c>
      <c r="I31" s="7">
        <v>3000</v>
      </c>
      <c r="J31" s="7">
        <v>500</v>
      </c>
      <c r="K31" s="7">
        <v>1000</v>
      </c>
      <c r="L31" s="7">
        <v>2500</v>
      </c>
      <c r="M31" s="7"/>
      <c r="N31" s="7">
        <v>13000</v>
      </c>
      <c r="O31" s="2"/>
      <c r="P31" s="7">
        <f t="shared" si="1"/>
        <v>0</v>
      </c>
      <c r="Q31" s="2"/>
      <c r="R31" s="2"/>
      <c r="S31" s="2"/>
    </row>
    <row r="32" spans="1:19" x14ac:dyDescent="0.25">
      <c r="A32" s="1" t="s">
        <v>37</v>
      </c>
      <c r="B32" s="1" t="str">
        <f>VLOOKUP(A32,LISTADHERENT!A$5:H$51,2)</f>
        <v>NJEPDJIO MBOUKAM DELUXE</v>
      </c>
      <c r="C32" s="6">
        <f>VLOOKUP(A32,FONDSDECAISSE!A$5:C$52,3,0)</f>
        <v>390000</v>
      </c>
      <c r="D32" s="6">
        <v>1734</v>
      </c>
      <c r="E32" s="6">
        <f t="shared" si="0"/>
        <v>2243.6557647425493</v>
      </c>
      <c r="F32" s="6">
        <f>RECAPTONT20000!C32+RECAPTONT20000!D32+TONT20000DEC2015!I32</f>
        <v>396734</v>
      </c>
      <c r="G32" s="6"/>
      <c r="H32" s="7">
        <f t="shared" si="2"/>
        <v>22000</v>
      </c>
      <c r="I32" s="7">
        <v>5000</v>
      </c>
      <c r="J32" s="7">
        <v>500</v>
      </c>
      <c r="K32" s="7">
        <v>1000</v>
      </c>
      <c r="L32" s="7">
        <v>2500</v>
      </c>
      <c r="M32" s="7"/>
      <c r="N32" s="7">
        <v>13000</v>
      </c>
      <c r="O32" s="2"/>
      <c r="P32" s="7">
        <f t="shared" si="1"/>
        <v>0</v>
      </c>
      <c r="Q32" s="2"/>
      <c r="R32" s="2"/>
      <c r="S32" s="2"/>
    </row>
    <row r="33" spans="1:19" x14ac:dyDescent="0.25">
      <c r="A33" s="1" t="s">
        <v>38</v>
      </c>
      <c r="B33" s="1" t="str">
        <f>VLOOKUP(A33,LISTADHERENT!A$5:H$51,2)</f>
        <v>NKAMGANG JUSTIN DEJOLIE</v>
      </c>
      <c r="C33" s="6">
        <f>VLOOKUP(A33,FONDSDECAISSE!A$5:C$52,3,0)</f>
        <v>0</v>
      </c>
      <c r="D33" s="6">
        <v>0</v>
      </c>
      <c r="E33" s="6">
        <f t="shared" si="0"/>
        <v>33.931890355894119</v>
      </c>
      <c r="F33" s="6">
        <f>RECAPTONT20000!C33+RECAPTONT20000!D33+TONT20000DEC2015!I33</f>
        <v>6000</v>
      </c>
      <c r="G33" s="6"/>
      <c r="H33" s="10">
        <f t="shared" si="2"/>
        <v>23000</v>
      </c>
      <c r="I33" s="7">
        <v>6000</v>
      </c>
      <c r="J33" s="7">
        <v>500</v>
      </c>
      <c r="K33" s="7">
        <v>1000</v>
      </c>
      <c r="L33" s="7">
        <v>2500</v>
      </c>
      <c r="M33" s="7"/>
      <c r="N33" s="7">
        <v>13000</v>
      </c>
      <c r="O33" s="29"/>
      <c r="P33" s="7">
        <f t="shared" si="1"/>
        <v>0</v>
      </c>
      <c r="Q33" s="29"/>
      <c r="R33" s="2"/>
      <c r="S33" s="2"/>
    </row>
    <row r="34" spans="1:19" s="11" customFormat="1" x14ac:dyDescent="0.25">
      <c r="A34" s="1" t="s">
        <v>39</v>
      </c>
      <c r="B34" s="1" t="str">
        <f>VLOOKUP(A34,LISTADHERENT!A$5:H$51,2)</f>
        <v>NKEPSEU DIEUDONNE</v>
      </c>
      <c r="C34" s="6">
        <f>VLOOKUP(A34,FONDSDECAISSE!A$5:C$52,3,0)</f>
        <v>390000</v>
      </c>
      <c r="D34" s="6">
        <v>8739</v>
      </c>
      <c r="E34" s="6">
        <f t="shared" si="0"/>
        <v>2300.2371919110028</v>
      </c>
      <c r="F34" s="6">
        <f>RECAPTONT20000!C34+RECAPTONT20000!D34+TONT20000DEC2015!I34</f>
        <v>406739</v>
      </c>
      <c r="G34" s="6"/>
      <c r="H34" s="7">
        <f t="shared" si="2"/>
        <v>25000</v>
      </c>
      <c r="I34" s="7">
        <v>8000</v>
      </c>
      <c r="J34" s="7">
        <v>500</v>
      </c>
      <c r="K34" s="7">
        <v>1000</v>
      </c>
      <c r="L34" s="7">
        <v>2500</v>
      </c>
      <c r="M34" s="7"/>
      <c r="N34" s="7">
        <v>13000</v>
      </c>
      <c r="O34" s="2"/>
      <c r="P34" s="7">
        <f t="shared" si="1"/>
        <v>0</v>
      </c>
      <c r="Q34" s="2"/>
      <c r="R34" s="29"/>
      <c r="S34" s="29"/>
    </row>
    <row r="35" spans="1:19" x14ac:dyDescent="0.25">
      <c r="A35" s="1" t="s">
        <v>40</v>
      </c>
      <c r="B35" s="1" t="str">
        <f>VLOOKUP(A35,LISTADHERENT!A$5:H$51,2)</f>
        <v>NKEPSEU HENANG RENE</v>
      </c>
      <c r="C35" s="6">
        <f>VLOOKUP(A35,FONDSDECAISSE!A$5:C$52,3,0)</f>
        <v>390000</v>
      </c>
      <c r="D35" s="6">
        <v>7983</v>
      </c>
      <c r="E35" s="6">
        <f t="shared" si="0"/>
        <v>2267.6851984295818</v>
      </c>
      <c r="F35" s="6">
        <f>RECAPTONT20000!C35+RECAPTONT20000!D35+TONT20000DEC2015!I35</f>
        <v>400983</v>
      </c>
      <c r="G35" s="6"/>
      <c r="H35" s="7">
        <f t="shared" si="2"/>
        <v>20000</v>
      </c>
      <c r="I35" s="7">
        <v>3000</v>
      </c>
      <c r="J35" s="7">
        <v>500</v>
      </c>
      <c r="K35" s="7">
        <v>1000</v>
      </c>
      <c r="L35" s="7">
        <v>2500</v>
      </c>
      <c r="M35" s="7"/>
      <c r="N35" s="7">
        <v>13000</v>
      </c>
      <c r="O35" s="2"/>
      <c r="P35" s="7">
        <f t="shared" si="1"/>
        <v>0</v>
      </c>
      <c r="Q35" s="2"/>
      <c r="R35" s="2"/>
      <c r="S35" s="2"/>
    </row>
    <row r="36" spans="1:19" x14ac:dyDescent="0.25">
      <c r="A36" s="1" t="s">
        <v>41</v>
      </c>
      <c r="B36" s="1" t="str">
        <f>VLOOKUP(A36,LISTADHERENT!A$5:H$51,2)</f>
        <v>NTEPDIE TUEMAC MZ</v>
      </c>
      <c r="C36" s="6">
        <f>VLOOKUP(A36,FONDSDECAISSE!A$5:C$52,3,0)</f>
        <v>0</v>
      </c>
      <c r="D36" s="6">
        <v>0</v>
      </c>
      <c r="E36" s="6">
        <f t="shared" si="0"/>
        <v>16.965945177947059</v>
      </c>
      <c r="F36" s="6">
        <f>RECAPTONT20000!C36+RECAPTONT20000!D36+TONT20000DEC2015!I36</f>
        <v>3000</v>
      </c>
      <c r="G36" s="6"/>
      <c r="H36" s="7">
        <f t="shared" si="2"/>
        <v>20000</v>
      </c>
      <c r="I36" s="7">
        <v>3000</v>
      </c>
      <c r="J36" s="7">
        <v>500</v>
      </c>
      <c r="K36" s="7">
        <v>1000</v>
      </c>
      <c r="L36" s="7">
        <v>2500</v>
      </c>
      <c r="M36" s="7"/>
      <c r="N36" s="7">
        <v>13000</v>
      </c>
      <c r="O36" s="2"/>
      <c r="P36" s="7">
        <f t="shared" si="1"/>
        <v>0</v>
      </c>
      <c r="Q36" s="2"/>
      <c r="R36" s="2"/>
      <c r="S36" s="2"/>
    </row>
    <row r="37" spans="1:19" x14ac:dyDescent="0.25">
      <c r="A37" s="1" t="s">
        <v>42</v>
      </c>
      <c r="B37" s="1" t="str">
        <f>VLOOKUP(A37,LISTADHERENT!A$5:H$51,2)</f>
        <v>NTOMBOU ADOLPHE</v>
      </c>
      <c r="C37" s="6">
        <f>VLOOKUP(A37,FONDSDECAISSE!A$5:C$52,3,0)</f>
        <v>0</v>
      </c>
      <c r="D37" s="6">
        <v>0</v>
      </c>
      <c r="E37" s="6">
        <f t="shared" si="0"/>
        <v>16.965945177947059</v>
      </c>
      <c r="F37" s="6">
        <f>RECAPTONT20000!C37+RECAPTONT20000!D37+TONT20000DEC2015!I37</f>
        <v>3000</v>
      </c>
      <c r="G37" s="6"/>
      <c r="H37" s="7">
        <f t="shared" si="2"/>
        <v>20000</v>
      </c>
      <c r="I37" s="7">
        <v>3000</v>
      </c>
      <c r="J37" s="7">
        <v>500</v>
      </c>
      <c r="K37" s="7">
        <v>1000</v>
      </c>
      <c r="L37" s="7">
        <v>2500</v>
      </c>
      <c r="M37" s="7"/>
      <c r="N37" s="7">
        <v>13000</v>
      </c>
      <c r="O37" s="2"/>
      <c r="P37" s="7">
        <f t="shared" si="1"/>
        <v>0</v>
      </c>
      <c r="Q37" s="2"/>
      <c r="R37" s="2"/>
      <c r="S37" s="2"/>
    </row>
    <row r="38" spans="1:19" x14ac:dyDescent="0.25">
      <c r="A38" s="1" t="s">
        <v>43</v>
      </c>
      <c r="B38" s="1" t="str">
        <f>VLOOKUP(A38,LISTADHERENT!A$5:H$51,2)</f>
        <v>PATEGO NJOSSU GUSTAVE</v>
      </c>
      <c r="C38" s="6">
        <f>VLOOKUP(A38,FONDSDECAISSE!A$5:C$52,3,0)</f>
        <v>390000</v>
      </c>
      <c r="D38" s="6">
        <v>140</v>
      </c>
      <c r="E38" s="6">
        <f t="shared" si="0"/>
        <v>2223.330562419369</v>
      </c>
      <c r="F38" s="6">
        <f>RECAPTONT20000!C38+RECAPTONT20000!D38+TONT20000DEC2015!I38</f>
        <v>393140</v>
      </c>
      <c r="G38" s="6"/>
      <c r="H38" s="7">
        <f t="shared" si="2"/>
        <v>20000</v>
      </c>
      <c r="I38" s="7">
        <v>3000</v>
      </c>
      <c r="J38" s="7">
        <v>500</v>
      </c>
      <c r="K38" s="7">
        <v>1000</v>
      </c>
      <c r="L38" s="7">
        <v>2500</v>
      </c>
      <c r="M38" s="7"/>
      <c r="N38" s="7">
        <v>13000</v>
      </c>
      <c r="O38" s="2"/>
      <c r="P38" s="7">
        <f t="shared" si="1"/>
        <v>0</v>
      </c>
      <c r="Q38" s="2"/>
      <c r="R38" s="2"/>
      <c r="S38" s="2"/>
    </row>
    <row r="39" spans="1:19" x14ac:dyDescent="0.25">
      <c r="A39" s="1" t="s">
        <v>44</v>
      </c>
      <c r="B39" s="1" t="str">
        <f>VLOOKUP(A39,LISTADHERENT!A$5:H$51,2)</f>
        <v>SEUNOU RICHELOT</v>
      </c>
      <c r="C39" s="6">
        <f>VLOOKUP(A39,FONDSDECAISSE!A$5:C$52,3,0)</f>
        <v>390000</v>
      </c>
      <c r="D39" s="6">
        <v>2632</v>
      </c>
      <c r="E39" s="6">
        <f t="shared" si="0"/>
        <v>2237.4236075471836</v>
      </c>
      <c r="F39" s="6">
        <f>RECAPTONT20000!C39+RECAPTONT20000!D39+TONT20000DEC2015!I39</f>
        <v>395632</v>
      </c>
      <c r="G39" s="6"/>
      <c r="H39" s="7">
        <f t="shared" si="2"/>
        <v>20000</v>
      </c>
      <c r="I39" s="7">
        <v>3000</v>
      </c>
      <c r="J39" s="7">
        <v>500</v>
      </c>
      <c r="K39" s="7">
        <v>1000</v>
      </c>
      <c r="L39" s="7">
        <v>2500</v>
      </c>
      <c r="M39" s="7"/>
      <c r="N39" s="7">
        <v>13000</v>
      </c>
      <c r="O39" s="2"/>
      <c r="P39" s="7">
        <f t="shared" si="1"/>
        <v>0</v>
      </c>
      <c r="Q39" s="2"/>
      <c r="R39" s="2"/>
      <c r="S39" s="2"/>
    </row>
    <row r="40" spans="1:19" x14ac:dyDescent="0.25">
      <c r="A40" s="1" t="s">
        <v>45</v>
      </c>
      <c r="B40" s="1" t="str">
        <f>VLOOKUP(A40,LISTADHERENT!A$5:H$51,2)</f>
        <v>SIME ABEL</v>
      </c>
      <c r="C40" s="6">
        <f>VLOOKUP(A40,FONDSDECAISSE!A$5:C$52,3,0)</f>
        <v>0</v>
      </c>
      <c r="D40" s="6">
        <v>0</v>
      </c>
      <c r="E40" s="6">
        <f t="shared" si="0"/>
        <v>16.965945177947059</v>
      </c>
      <c r="F40" s="6">
        <f>RECAPTONT20000!C40+RECAPTONT20000!D40+TONT20000DEC2015!I40</f>
        <v>3000</v>
      </c>
      <c r="G40" s="6"/>
      <c r="H40" s="7">
        <f t="shared" si="2"/>
        <v>20000</v>
      </c>
      <c r="I40" s="7">
        <v>3000</v>
      </c>
      <c r="J40" s="7">
        <v>500</v>
      </c>
      <c r="K40" s="7">
        <v>1000</v>
      </c>
      <c r="L40" s="7">
        <v>2500</v>
      </c>
      <c r="M40" s="7"/>
      <c r="N40" s="7">
        <v>13000</v>
      </c>
      <c r="O40" s="2"/>
      <c r="P40" s="7">
        <f t="shared" si="1"/>
        <v>0</v>
      </c>
      <c r="Q40" s="2"/>
      <c r="R40" s="2"/>
      <c r="S40" s="2"/>
    </row>
    <row r="41" spans="1:19" x14ac:dyDescent="0.25">
      <c r="A41" s="1" t="s">
        <v>46</v>
      </c>
      <c r="B41" s="1" t="str">
        <f>VLOOKUP(A41,LISTADHERENT!A$5:H$51,2)</f>
        <v>SIME FONGANG ERIC</v>
      </c>
      <c r="C41" s="6">
        <f>VLOOKUP(A41,FONDSDECAISSE!A$5:C$52,3,0)</f>
        <v>390000</v>
      </c>
      <c r="D41" s="6">
        <v>982</v>
      </c>
      <c r="E41" s="6">
        <f t="shared" si="0"/>
        <v>2228.0923376993128</v>
      </c>
      <c r="F41" s="6">
        <f>RECAPTONT20000!C41+RECAPTONT20000!D41+TONT20000DEC2015!I41</f>
        <v>393982</v>
      </c>
      <c r="G41" s="6"/>
      <c r="H41" s="7">
        <f t="shared" si="2"/>
        <v>20000</v>
      </c>
      <c r="I41" s="7">
        <v>3000</v>
      </c>
      <c r="J41" s="7">
        <v>500</v>
      </c>
      <c r="K41" s="7">
        <v>1000</v>
      </c>
      <c r="L41" s="7">
        <v>2500</v>
      </c>
      <c r="M41" s="7"/>
      <c r="N41" s="7">
        <v>13000</v>
      </c>
      <c r="O41" s="2"/>
      <c r="P41" s="7">
        <f t="shared" si="1"/>
        <v>0</v>
      </c>
      <c r="Q41" s="2"/>
      <c r="R41" s="2"/>
      <c r="S41" s="2"/>
    </row>
    <row r="42" spans="1:19" x14ac:dyDescent="0.25">
      <c r="A42" s="1" t="s">
        <v>47</v>
      </c>
      <c r="B42" s="1" t="str">
        <f>VLOOKUP(A42,LISTADHERENT!A$5:H$51,2)</f>
        <v>SIME MATHIEU</v>
      </c>
      <c r="C42" s="6">
        <f>VLOOKUP(A42,FONDSDECAISSE!A$5:C$52,3,0)</f>
        <v>390000</v>
      </c>
      <c r="D42" s="6">
        <v>636</v>
      </c>
      <c r="E42" s="6">
        <f t="shared" si="0"/>
        <v>2226.1355986887893</v>
      </c>
      <c r="F42" s="6">
        <f>RECAPTONT20000!C42+RECAPTONT20000!D42+TONT20000DEC2015!I42</f>
        <v>393636</v>
      </c>
      <c r="G42" s="6"/>
      <c r="H42" s="7">
        <f t="shared" si="2"/>
        <v>20000</v>
      </c>
      <c r="I42" s="7">
        <v>3000</v>
      </c>
      <c r="J42" s="7">
        <v>500</v>
      </c>
      <c r="K42" s="7">
        <v>1000</v>
      </c>
      <c r="L42" s="7">
        <v>2500</v>
      </c>
      <c r="M42" s="7"/>
      <c r="N42" s="7">
        <v>13000</v>
      </c>
      <c r="O42" s="2"/>
      <c r="P42" s="7">
        <f t="shared" si="1"/>
        <v>0</v>
      </c>
      <c r="Q42" s="2"/>
      <c r="R42" s="2"/>
      <c r="S42" s="2"/>
    </row>
    <row r="43" spans="1:19" x14ac:dyDescent="0.25">
      <c r="A43" s="1" t="s">
        <v>48</v>
      </c>
      <c r="B43" s="1" t="str">
        <f>VLOOKUP(A43,LISTADHERENT!A$5:H$51,2)</f>
        <v>SIME PIERRE</v>
      </c>
      <c r="C43" s="6">
        <f>VLOOKUP(A43,FONDSDECAISSE!A$5:C$52,3,0)</f>
        <v>390000</v>
      </c>
      <c r="D43" s="6">
        <v>146079</v>
      </c>
      <c r="E43" s="6">
        <f t="shared" si="0"/>
        <v>8025.3388390586442</v>
      </c>
      <c r="F43" s="6">
        <f>RECAPTONT20000!C43+RECAPTONT20000!D43+TONT20000DEC2015!I43</f>
        <v>1419079</v>
      </c>
      <c r="G43" s="6"/>
      <c r="H43" s="7">
        <f t="shared" si="2"/>
        <v>900000</v>
      </c>
      <c r="I43" s="7">
        <v>883000</v>
      </c>
      <c r="J43" s="7">
        <v>500</v>
      </c>
      <c r="K43" s="7">
        <v>1000</v>
      </c>
      <c r="L43" s="7">
        <v>2500</v>
      </c>
      <c r="M43" s="7"/>
      <c r="N43" s="7">
        <v>13000</v>
      </c>
      <c r="O43" s="2"/>
      <c r="P43" s="7">
        <f t="shared" si="1"/>
        <v>0</v>
      </c>
      <c r="Q43" s="2"/>
      <c r="R43" s="2"/>
      <c r="S43" s="2"/>
    </row>
    <row r="44" spans="1:19" x14ac:dyDescent="0.25">
      <c r="A44" s="1" t="s">
        <v>49</v>
      </c>
      <c r="B44" s="1" t="str">
        <f>VLOOKUP(A44,LISTADHERENT!A$5:H$51,2)</f>
        <v>TAGNE NANGUEN MARTIN</v>
      </c>
      <c r="C44" s="6">
        <f>VLOOKUP(A44,FONDSDECAISSE!A$5:C$52,3,0)</f>
        <v>0</v>
      </c>
      <c r="D44" s="6">
        <v>0</v>
      </c>
      <c r="E44" s="6">
        <f t="shared" si="0"/>
        <v>16.965945177947059</v>
      </c>
      <c r="F44" s="6">
        <f>RECAPTONT20000!C44+RECAPTONT20000!D44+TONT20000DEC2015!I44</f>
        <v>3000</v>
      </c>
      <c r="G44" s="6"/>
      <c r="H44" s="7">
        <f t="shared" si="2"/>
        <v>20000</v>
      </c>
      <c r="I44" s="7">
        <v>3000</v>
      </c>
      <c r="J44" s="7">
        <v>500</v>
      </c>
      <c r="K44" s="7">
        <v>1000</v>
      </c>
      <c r="L44" s="7">
        <v>2500</v>
      </c>
      <c r="M44" s="7"/>
      <c r="N44" s="7">
        <v>13000</v>
      </c>
      <c r="O44" s="2"/>
      <c r="P44" s="7">
        <f t="shared" si="1"/>
        <v>0</v>
      </c>
      <c r="Q44" s="2"/>
      <c r="R44" s="2"/>
      <c r="S44" s="2"/>
    </row>
    <row r="45" spans="1:19" x14ac:dyDescent="0.25">
      <c r="A45" s="1" t="s">
        <v>50</v>
      </c>
      <c r="B45" s="1" t="str">
        <f>VLOOKUP(A45,LISTADHERENT!A$5:H$51,2)</f>
        <v>TCHOUAMOU JEAN PAUL</v>
      </c>
      <c r="C45" s="6">
        <f>VLOOKUP(A45,FONDSDECAISSE!A$5:C$52,3,0)</f>
        <v>0</v>
      </c>
      <c r="D45" s="6">
        <v>0</v>
      </c>
      <c r="E45" s="6">
        <f t="shared" si="0"/>
        <v>16.965945177947059</v>
      </c>
      <c r="F45" s="6">
        <f>RECAPTONT20000!C45+RECAPTONT20000!D45+TONT20000DEC2015!I45</f>
        <v>3000</v>
      </c>
      <c r="G45" s="6"/>
      <c r="H45" s="7">
        <f t="shared" si="2"/>
        <v>20000</v>
      </c>
      <c r="I45" s="7">
        <v>3000</v>
      </c>
      <c r="J45" s="7">
        <v>500</v>
      </c>
      <c r="K45" s="7">
        <v>1000</v>
      </c>
      <c r="L45" s="7">
        <v>2500</v>
      </c>
      <c r="M45" s="7"/>
      <c r="N45" s="7">
        <v>13000</v>
      </c>
      <c r="O45" s="2"/>
      <c r="P45" s="7">
        <f t="shared" si="1"/>
        <v>0</v>
      </c>
      <c r="Q45" s="2"/>
      <c r="R45" s="2"/>
      <c r="S45" s="2"/>
    </row>
    <row r="46" spans="1:19" x14ac:dyDescent="0.25">
      <c r="A46" s="1" t="s">
        <v>51</v>
      </c>
      <c r="B46" s="1" t="str">
        <f>VLOOKUP(A46,LISTADHERENT!A$5:H$51,2)</f>
        <v>TCHOUAMOU MATHIEU</v>
      </c>
      <c r="C46" s="6">
        <f>VLOOKUP(A46,FONDSDECAISSE!A$5:C$52,3,0)</f>
        <v>390000</v>
      </c>
      <c r="D46" s="6">
        <v>3437</v>
      </c>
      <c r="E46" s="6">
        <f t="shared" si="0"/>
        <v>2241.9761361699325</v>
      </c>
      <c r="F46" s="6">
        <f>RECAPTONT20000!C46+RECAPTONT20000!D46+TONT20000DEC2015!I46</f>
        <v>396437</v>
      </c>
      <c r="G46" s="6"/>
      <c r="H46" s="7">
        <f t="shared" si="2"/>
        <v>20000</v>
      </c>
      <c r="I46" s="7">
        <v>3000</v>
      </c>
      <c r="J46" s="7">
        <v>500</v>
      </c>
      <c r="K46" s="7">
        <v>1000</v>
      </c>
      <c r="L46" s="7">
        <v>2500</v>
      </c>
      <c r="M46" s="7"/>
      <c r="N46" s="7">
        <v>13000</v>
      </c>
      <c r="O46" s="7">
        <v>500000</v>
      </c>
      <c r="P46" s="7">
        <f t="shared" si="1"/>
        <v>15000</v>
      </c>
      <c r="Q46" s="2"/>
      <c r="R46" s="2"/>
      <c r="S46" s="2"/>
    </row>
    <row r="47" spans="1:19" x14ac:dyDescent="0.25">
      <c r="A47" s="1" t="s">
        <v>52</v>
      </c>
      <c r="B47" s="1" t="str">
        <f>VLOOKUP(A47,LISTADHERENT!A$5:H$51,2)</f>
        <v>TCHOUANTE FRANCOIS</v>
      </c>
      <c r="C47" s="6">
        <f>VLOOKUP(A47,FONDSDECAISSE!A$5:C$52,3,0)</f>
        <v>257119</v>
      </c>
      <c r="D47" s="6">
        <v>4925</v>
      </c>
      <c r="E47" s="6">
        <f t="shared" si="0"/>
        <v>1515.8732697592138</v>
      </c>
      <c r="F47" s="6">
        <f>RECAPTONT20000!C47+RECAPTONT20000!D47+TONT20000DEC2015!I47</f>
        <v>268044</v>
      </c>
      <c r="G47" s="6"/>
      <c r="H47" s="7">
        <f t="shared" si="2"/>
        <v>23000</v>
      </c>
      <c r="I47" s="7">
        <v>6000</v>
      </c>
      <c r="J47" s="7">
        <v>500</v>
      </c>
      <c r="K47" s="7">
        <v>1000</v>
      </c>
      <c r="L47" s="7">
        <v>2500</v>
      </c>
      <c r="M47" s="7"/>
      <c r="N47" s="7">
        <v>13000</v>
      </c>
      <c r="O47" s="2"/>
      <c r="P47" s="7">
        <f t="shared" si="1"/>
        <v>0</v>
      </c>
      <c r="Q47" s="2"/>
      <c r="R47" s="2"/>
      <c r="S47" s="2"/>
    </row>
    <row r="48" spans="1:19" x14ac:dyDescent="0.25">
      <c r="A48" s="1" t="s">
        <v>53</v>
      </c>
      <c r="B48" s="1" t="str">
        <f>VLOOKUP(A48,LISTADHERENT!A$5:H$51,2)</f>
        <v>TCHOUTOU NANA CLAUDE</v>
      </c>
      <c r="C48" s="6">
        <f>VLOOKUP(A48,FONDSDECAISSE!A$5:C$52,3,0)</f>
        <v>0</v>
      </c>
      <c r="D48" s="6">
        <v>0</v>
      </c>
      <c r="E48" s="6">
        <f t="shared" si="0"/>
        <v>16.965945177947059</v>
      </c>
      <c r="F48" s="6">
        <f>RECAPTONT20000!C48+RECAPTONT20000!D48+TONT20000DEC2015!I48</f>
        <v>3000</v>
      </c>
      <c r="G48" s="6"/>
      <c r="H48" s="7">
        <f t="shared" si="2"/>
        <v>20000</v>
      </c>
      <c r="I48" s="7">
        <v>3000</v>
      </c>
      <c r="J48" s="7">
        <v>500</v>
      </c>
      <c r="K48" s="7">
        <v>1000</v>
      </c>
      <c r="L48" s="7">
        <v>2500</v>
      </c>
      <c r="M48" s="7"/>
      <c r="N48" s="7">
        <v>13000</v>
      </c>
      <c r="O48" s="2"/>
      <c r="P48" s="7">
        <f t="shared" si="1"/>
        <v>0</v>
      </c>
      <c r="Q48" s="2"/>
      <c r="R48" s="2"/>
      <c r="S48" s="2"/>
    </row>
    <row r="49" spans="1:19" x14ac:dyDescent="0.25">
      <c r="A49" s="1" t="s">
        <v>54</v>
      </c>
      <c r="B49" s="1" t="str">
        <f>VLOOKUP(A49,LISTADHERENT!A$5:H$51,2)</f>
        <v>TIEYAM ERNEST</v>
      </c>
      <c r="C49" s="6">
        <f>VLOOKUP(A49,FONDSDECAISSE!A$5:C$52,3,0)</f>
        <v>390000</v>
      </c>
      <c r="D49" s="6">
        <v>804</v>
      </c>
      <c r="E49" s="6">
        <f t="shared" si="0"/>
        <v>2227.0856916187545</v>
      </c>
      <c r="F49" s="6">
        <f>RECAPTONT20000!C49+RECAPTONT20000!D49+TONT20000DEC2015!I49</f>
        <v>393804</v>
      </c>
      <c r="G49" s="6"/>
      <c r="H49" s="7">
        <f t="shared" si="2"/>
        <v>20000</v>
      </c>
      <c r="I49" s="7">
        <v>3000</v>
      </c>
      <c r="J49" s="7">
        <v>500</v>
      </c>
      <c r="K49" s="7">
        <v>1000</v>
      </c>
      <c r="L49" s="7">
        <v>2500</v>
      </c>
      <c r="M49" s="7"/>
      <c r="N49" s="7">
        <v>13000</v>
      </c>
      <c r="O49" s="2"/>
      <c r="P49" s="7">
        <f t="shared" si="1"/>
        <v>0</v>
      </c>
      <c r="Q49" s="2"/>
      <c r="R49" s="2"/>
      <c r="S49" s="2"/>
    </row>
    <row r="50" spans="1:19" x14ac:dyDescent="0.25">
      <c r="A50" s="1" t="s">
        <v>55</v>
      </c>
      <c r="B50" s="1" t="str">
        <f>VLOOKUP(A50,LISTADHERENT!A$5:H$51,2)</f>
        <v>TUGMA PIERRE LOTI</v>
      </c>
      <c r="C50" s="6">
        <f>VLOOKUP(A50,FONDSDECAISSE!A$5:C$52,3,0)</f>
        <v>390000</v>
      </c>
      <c r="D50" s="6">
        <v>17636</v>
      </c>
      <c r="E50" s="6">
        <f t="shared" si="0"/>
        <v>2322.2759546971561</v>
      </c>
      <c r="F50" s="6">
        <f>RECAPTONT20000!C50+RECAPTONT20000!D50+TONT20000DEC2015!I50</f>
        <v>410636</v>
      </c>
      <c r="G50" s="6"/>
      <c r="H50" s="7">
        <f t="shared" ref="H50:H51" si="3">I50+J50+K50+L50+M50+N50</f>
        <v>20000</v>
      </c>
      <c r="I50" s="7">
        <v>3000</v>
      </c>
      <c r="J50" s="7">
        <v>500</v>
      </c>
      <c r="K50" s="7">
        <v>1000</v>
      </c>
      <c r="L50" s="7">
        <v>2500</v>
      </c>
      <c r="M50" s="7"/>
      <c r="N50" s="7">
        <v>13000</v>
      </c>
      <c r="O50" s="2"/>
      <c r="P50" s="7">
        <f t="shared" si="1"/>
        <v>0</v>
      </c>
      <c r="Q50" s="2"/>
      <c r="R50" s="2"/>
      <c r="S50" s="2"/>
    </row>
    <row r="51" spans="1:19" ht="18" x14ac:dyDescent="0.25">
      <c r="A51" s="1" t="s">
        <v>66</v>
      </c>
      <c r="B51" s="1" t="str">
        <f>VLOOKUP(A51,LISTADHERENT!A$5:H$51,2)</f>
        <v>YEPMOU JEAN JACQUES</v>
      </c>
      <c r="C51" s="6">
        <f>VLOOKUP(A51,FONDSDECAISSE!A$5:C$52,3,0)</f>
        <v>390000</v>
      </c>
      <c r="D51" s="6">
        <v>421237</v>
      </c>
      <c r="E51" s="6">
        <f t="shared" si="0"/>
        <v>4604.7667679520264</v>
      </c>
      <c r="F51" s="6">
        <f>RECAPTONT20000!C51+RECAPTONT20000!D51+TONT20000DEC2015!I51</f>
        <v>814237</v>
      </c>
      <c r="G51" s="6"/>
      <c r="H51" s="7">
        <f t="shared" si="3"/>
        <v>20000</v>
      </c>
      <c r="I51" s="7">
        <v>3000</v>
      </c>
      <c r="J51" s="7">
        <v>500</v>
      </c>
      <c r="K51" s="7">
        <v>1000</v>
      </c>
      <c r="L51" s="7">
        <v>2500</v>
      </c>
      <c r="M51" s="7"/>
      <c r="N51" s="7">
        <v>13000</v>
      </c>
      <c r="O51" s="9"/>
      <c r="P51" s="7">
        <f t="shared" si="1"/>
        <v>0</v>
      </c>
      <c r="Q51" s="9"/>
      <c r="R51" s="2"/>
      <c r="S51" s="2"/>
    </row>
    <row r="52" spans="1:19" x14ac:dyDescent="0.25">
      <c r="A52" s="1" t="s">
        <v>178</v>
      </c>
      <c r="B52" s="1" t="str">
        <f>VLOOKUP(A52,LISTADHERENT!A$5:H$51,2)</f>
        <v>YOUMBI EMMANUEL</v>
      </c>
      <c r="C52" s="6">
        <f>VLOOKUP(A52,FONDSDECAISSE!A$5:C$52,3,0)</f>
        <v>390000</v>
      </c>
      <c r="D52" s="6">
        <v>1003279</v>
      </c>
      <c r="E52" s="6">
        <f t="shared" si="0"/>
        <v>7896.397655706247</v>
      </c>
      <c r="F52" s="6">
        <f>RECAPTONT20000!C52+RECAPTONT20000!D52+TONT20000DEC2015!I52</f>
        <v>1396279</v>
      </c>
      <c r="G52" s="6"/>
      <c r="H52" s="7">
        <f t="shared" ref="H52" si="4">I52+J52+K52+L52+M52+N52</f>
        <v>20000</v>
      </c>
      <c r="I52" s="7">
        <v>3000</v>
      </c>
      <c r="J52" s="7">
        <v>500</v>
      </c>
      <c r="K52" s="7">
        <v>1000</v>
      </c>
      <c r="L52" s="7">
        <v>2500</v>
      </c>
      <c r="N52" s="7">
        <v>13000</v>
      </c>
      <c r="O52" s="2"/>
      <c r="P52" s="7">
        <f t="shared" si="1"/>
        <v>0</v>
      </c>
      <c r="Q52" s="2"/>
      <c r="R52" s="2"/>
      <c r="S52" s="2"/>
    </row>
    <row r="53" spans="1:19" x14ac:dyDescent="0.25">
      <c r="A53" s="1"/>
      <c r="B53" s="1"/>
      <c r="C53" s="6"/>
      <c r="D53" s="6"/>
      <c r="E53" s="6"/>
      <c r="F53" s="6"/>
      <c r="G53" s="6"/>
      <c r="H53" s="7"/>
      <c r="I53" s="7"/>
      <c r="J53" s="7"/>
      <c r="K53" s="7"/>
      <c r="L53" s="7"/>
      <c r="N53" s="7"/>
      <c r="O53" s="2"/>
      <c r="P53" s="7"/>
      <c r="Q53" s="2"/>
      <c r="R53" s="2"/>
      <c r="S53" s="2"/>
    </row>
    <row r="54" spans="1:19" x14ac:dyDescent="0.25">
      <c r="A54" s="1"/>
      <c r="B54" s="1" t="s">
        <v>180</v>
      </c>
      <c r="C54" s="6"/>
      <c r="D54" s="6"/>
      <c r="E54" s="6"/>
      <c r="F54" s="6"/>
      <c r="G54" s="6"/>
      <c r="I54" s="2"/>
      <c r="J54" s="30"/>
      <c r="N54" s="7">
        <v>104000</v>
      </c>
      <c r="O54" s="2"/>
      <c r="P54" s="7">
        <f t="shared" si="1"/>
        <v>0</v>
      </c>
      <c r="Q54" s="2"/>
      <c r="R54" s="2"/>
      <c r="S54" s="2"/>
    </row>
    <row r="55" spans="1:19" x14ac:dyDescent="0.25">
      <c r="A55" s="1"/>
      <c r="B55" s="1"/>
      <c r="C55" s="1"/>
      <c r="D55" s="1"/>
      <c r="E55" s="1"/>
      <c r="F55" s="1"/>
      <c r="G55" s="1"/>
      <c r="N55" s="7"/>
    </row>
    <row r="56" spans="1:19" ht="18" x14ac:dyDescent="0.25">
      <c r="A56" s="1" t="s">
        <v>56</v>
      </c>
      <c r="B56" s="1"/>
      <c r="C56" s="9">
        <f>SUM(C5:C52)</f>
        <v>12996142</v>
      </c>
      <c r="D56" s="9">
        <f t="shared" ref="D56:R56" si="5">SUM(D5:D52)</f>
        <v>3533219</v>
      </c>
      <c r="E56" s="9">
        <f t="shared" si="5"/>
        <v>98999.999999999971</v>
      </c>
      <c r="F56" s="9">
        <f t="shared" si="5"/>
        <v>17505656</v>
      </c>
      <c r="G56" s="9">
        <f t="shared" si="5"/>
        <v>0</v>
      </c>
      <c r="H56" s="9">
        <f t="shared" si="5"/>
        <v>1828000</v>
      </c>
      <c r="I56" s="9">
        <f t="shared" si="5"/>
        <v>1046000</v>
      </c>
      <c r="J56" s="9">
        <f t="shared" si="5"/>
        <v>23000</v>
      </c>
      <c r="K56" s="9">
        <f t="shared" si="5"/>
        <v>46000</v>
      </c>
      <c r="L56" s="9">
        <f t="shared" si="5"/>
        <v>115000</v>
      </c>
      <c r="M56" s="9">
        <f t="shared" si="5"/>
        <v>0</v>
      </c>
      <c r="N56" s="9">
        <f t="shared" si="5"/>
        <v>598000</v>
      </c>
      <c r="O56" s="9">
        <f t="shared" si="5"/>
        <v>1500000</v>
      </c>
      <c r="P56" s="9">
        <f t="shared" si="5"/>
        <v>99000</v>
      </c>
      <c r="Q56" s="9">
        <f t="shared" si="5"/>
        <v>0</v>
      </c>
      <c r="R56" s="9">
        <f t="shared" si="5"/>
        <v>0</v>
      </c>
    </row>
  </sheetData>
  <autoFilter ref="A4:Q49">
    <sortState ref="A5:L48">
      <sortCondition ref="B5:B48"/>
    </sortState>
  </autoFilter>
  <sortState ref="A5:L49">
    <sortCondition ref="B5:B49"/>
  </sortState>
  <dataValidations count="1">
    <dataValidation type="list" allowBlank="1" showInputMessage="1" showErrorMessage="1" promptTitle="Saissisez le mode de VERSEMENT" sqref="J6:J53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pane xSplit="2" ySplit="4" topLeftCell="C29" activePane="bottomRight" state="frozen"/>
      <selection activeCell="B22" sqref="B22"/>
      <selection pane="topRight" activeCell="B22" sqref="B22"/>
      <selection pane="bottomLeft" activeCell="B22" sqref="B22"/>
      <selection pane="bottomRight" activeCell="A33" sqref="A33:XFD3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5" width="29.5703125" customWidth="1"/>
    <col min="6" max="6" width="13" style="2" customWidth="1"/>
    <col min="7" max="7" width="12.5703125" bestFit="1" customWidth="1"/>
    <col min="8" max="8" width="17.5703125" style="3" bestFit="1" customWidth="1"/>
    <col min="9" max="9" width="15.7109375" style="2" customWidth="1"/>
    <col min="10" max="10" width="14.7109375" style="2" customWidth="1"/>
    <col min="11" max="11" width="18.140625" style="2" bestFit="1" customWidth="1"/>
    <col min="12" max="12" width="18.140625" customWidth="1"/>
    <col min="13" max="13" width="15" bestFit="1" customWidth="1"/>
    <col min="14" max="14" width="12.5703125" bestFit="1" customWidth="1"/>
    <col min="15" max="15" width="18.140625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</row>
    <row r="2" spans="1:18" x14ac:dyDescent="0.25">
      <c r="A2" s="1" t="s">
        <v>2</v>
      </c>
      <c r="B2" s="1" t="s">
        <v>3</v>
      </c>
      <c r="C2" s="1"/>
      <c r="D2" s="1"/>
      <c r="E2" s="1"/>
    </row>
    <row r="3" spans="1:18" x14ac:dyDescent="0.25">
      <c r="A3" s="1" t="s">
        <v>4</v>
      </c>
      <c r="B3" s="1" t="s">
        <v>5</v>
      </c>
      <c r="C3" s="1"/>
      <c r="D3" s="1"/>
      <c r="E3" s="1"/>
    </row>
    <row r="4" spans="1:18" ht="29.25" x14ac:dyDescent="0.25">
      <c r="A4" s="1" t="s">
        <v>6</v>
      </c>
      <c r="B4" s="1" t="s">
        <v>7</v>
      </c>
      <c r="C4" s="5" t="s">
        <v>186</v>
      </c>
      <c r="D4" s="5" t="s">
        <v>187</v>
      </c>
      <c r="E4" s="1" t="s">
        <v>184</v>
      </c>
      <c r="F4" s="5" t="s">
        <v>65</v>
      </c>
      <c r="G4" s="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8</v>
      </c>
      <c r="P4" s="5" t="s">
        <v>182</v>
      </c>
      <c r="Q4" s="5" t="s">
        <v>181</v>
      </c>
    </row>
    <row r="5" spans="1:18" x14ac:dyDescent="0.25">
      <c r="A5" s="1" t="s">
        <v>185</v>
      </c>
      <c r="B5" s="1" t="str">
        <f>VLOOKUP(A5,LISTADHERENT!A$5:H$52,2,0)</f>
        <v>ASELBY</v>
      </c>
      <c r="C5" s="6">
        <f>$N$56/$D$56*D5</f>
        <v>3347.8158611404015</v>
      </c>
      <c r="D5" s="6">
        <f>TONT20000DEC2015!F5+TONT20000DEC2015!E5+TONT20000JANV!G5</f>
        <v>319944.21020954597</v>
      </c>
      <c r="E5" s="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</row>
    <row r="6" spans="1:18" x14ac:dyDescent="0.25">
      <c r="A6" s="1" t="s">
        <v>11</v>
      </c>
      <c r="B6" s="1" t="str">
        <f>VLOOKUP(A6,LISTADHERENT!A$5:H$52,2,0)</f>
        <v>BAKOP ACHILLE</v>
      </c>
      <c r="C6" s="6">
        <f t="shared" ref="C6:C52" si="0">$N$56/$D$56*D6</f>
        <v>4519.7974328671799</v>
      </c>
      <c r="D6" s="6">
        <f>TONT20000DEC2015!F6+TONT20000DEC2015!E6+TONT20000JANV!G6</f>
        <v>431948.19546414027</v>
      </c>
      <c r="E6" s="1"/>
      <c r="F6" s="7">
        <f t="shared" ref="F6" si="1">G6+H6+I6+J6+K6+L6</f>
        <v>20000</v>
      </c>
      <c r="G6" s="7">
        <v>3000</v>
      </c>
      <c r="H6" s="7">
        <v>500</v>
      </c>
      <c r="I6" s="7">
        <v>1000</v>
      </c>
      <c r="J6" s="7">
        <v>2500</v>
      </c>
      <c r="K6" s="7"/>
      <c r="L6" s="7">
        <v>13000</v>
      </c>
      <c r="M6" s="7"/>
      <c r="N6" s="7">
        <f>IF(M6&lt;=500000,(M6*1*3/100),(M6*12/100))</f>
        <v>0</v>
      </c>
    </row>
    <row r="7" spans="1:18" x14ac:dyDescent="0.25">
      <c r="A7" s="1" t="s">
        <v>12</v>
      </c>
      <c r="B7" s="1" t="str">
        <f>VLOOKUP(A7,LISTADHERENT!A$5:H$51,2)</f>
        <v>BOUTCHOUANG WILLIAM</v>
      </c>
      <c r="C7" s="6">
        <f t="shared" si="0"/>
        <v>4184.8316955718537</v>
      </c>
      <c r="D7" s="6">
        <f>TONT20000DEC2015!F7+TONT20000DEC2015!E7+TONT20000JANV!G7</f>
        <v>399936.17547517212</v>
      </c>
      <c r="E7" s="1"/>
      <c r="F7" s="7">
        <f t="shared" ref="F7:F51" si="2">G7+H7+I7+J7+K7+L7</f>
        <v>20000</v>
      </c>
      <c r="G7" s="7">
        <v>3000</v>
      </c>
      <c r="H7" s="7">
        <v>500</v>
      </c>
      <c r="I7" s="7">
        <v>1000</v>
      </c>
      <c r="J7" s="7">
        <v>2500</v>
      </c>
      <c r="K7" s="7"/>
      <c r="L7" s="7">
        <v>13000</v>
      </c>
      <c r="M7" s="7"/>
      <c r="N7" s="7">
        <f t="shared" ref="N7:N54" si="3">IF(M7&lt;=500000,(M7*1*3/100),(M7*12/100))</f>
        <v>0</v>
      </c>
    </row>
    <row r="8" spans="1:18" x14ac:dyDescent="0.25">
      <c r="A8" s="1" t="s">
        <v>13</v>
      </c>
      <c r="B8" s="1" t="str">
        <f>VLOOKUP(A8,LISTADHERENT!A$5:H$51,2)</f>
        <v>CHINGUE FABRICE</v>
      </c>
      <c r="C8" s="6">
        <f t="shared" si="0"/>
        <v>4186.283859172845</v>
      </c>
      <c r="D8" s="6">
        <f>TONT20000DEC2015!F8+TONT20000DEC2015!E8+TONT20000JANV!G8</f>
        <v>400074.9559086503</v>
      </c>
      <c r="E8" s="1"/>
      <c r="F8" s="7">
        <f t="shared" si="2"/>
        <v>20000</v>
      </c>
      <c r="G8" s="7">
        <v>3000</v>
      </c>
      <c r="H8" s="7">
        <v>500</v>
      </c>
      <c r="I8" s="7">
        <v>1000</v>
      </c>
      <c r="J8" s="7">
        <v>2500</v>
      </c>
      <c r="K8" s="7"/>
      <c r="L8" s="7">
        <v>13000</v>
      </c>
      <c r="M8" s="7">
        <v>1000000</v>
      </c>
      <c r="N8" s="7">
        <f>IF(M8&lt;=500000,(M8*1*3/100),(M8*12/100))/2</f>
        <v>60000</v>
      </c>
    </row>
    <row r="9" spans="1:18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4252.7256053805195</v>
      </c>
      <c r="D9" s="6">
        <f>TONT20000DEC2015!F9+TONT20000DEC2015!E9+TONT20000JANV!G9</f>
        <v>406424.66356793483</v>
      </c>
      <c r="E9" s="1"/>
      <c r="F9" s="7">
        <f t="shared" si="2"/>
        <v>20000</v>
      </c>
      <c r="G9" s="7">
        <v>3000</v>
      </c>
      <c r="H9" s="7">
        <v>500</v>
      </c>
      <c r="I9" s="7">
        <v>1000</v>
      </c>
      <c r="J9" s="7">
        <v>2500</v>
      </c>
      <c r="K9" s="7"/>
      <c r="L9" s="7">
        <v>13000</v>
      </c>
      <c r="N9" s="7">
        <f t="shared" si="3"/>
        <v>0</v>
      </c>
    </row>
    <row r="10" spans="1:18" x14ac:dyDescent="0.25">
      <c r="A10" s="1" t="s">
        <v>15</v>
      </c>
      <c r="B10" s="1" t="str">
        <f>VLOOKUP(A10,LISTADHERENT!A$5:H$51,2)</f>
        <v>DJOUKWE GUY</v>
      </c>
      <c r="C10" s="6">
        <f t="shared" si="0"/>
        <v>4281.6531252292525</v>
      </c>
      <c r="D10" s="6">
        <f>TONT20000DEC2015!F10+TONT20000DEC2015!E10+TONT20000JANV!G10</f>
        <v>409189.2100290329</v>
      </c>
      <c r="E10" s="1"/>
      <c r="F10" s="7">
        <f t="shared" si="2"/>
        <v>20000</v>
      </c>
      <c r="G10" s="7">
        <v>3000</v>
      </c>
      <c r="H10" s="7">
        <v>500</v>
      </c>
      <c r="I10" s="7">
        <v>1000</v>
      </c>
      <c r="J10" s="7">
        <v>2500</v>
      </c>
      <c r="K10" s="7"/>
      <c r="L10" s="7">
        <v>13000</v>
      </c>
      <c r="N10" s="7">
        <f t="shared" si="3"/>
        <v>0</v>
      </c>
    </row>
    <row r="11" spans="1:18" x14ac:dyDescent="0.25">
      <c r="A11" s="1" t="s">
        <v>16</v>
      </c>
      <c r="B11" s="1" t="str">
        <f>VLOOKUP(A11,LISTADHERENT!A$5:H$51,2)</f>
        <v>DJOSSEU JOSUE</v>
      </c>
      <c r="C11" s="6">
        <f t="shared" si="0"/>
        <v>52.614623224322273</v>
      </c>
      <c r="D11" s="6">
        <f>TONT20000DEC2015!F11+TONT20000DEC2015!E11+TONT20000JANV!G11</f>
        <v>5028.2765752965788</v>
      </c>
      <c r="E11" s="1"/>
      <c r="F11" s="7">
        <f t="shared" si="2"/>
        <v>0</v>
      </c>
      <c r="G11" s="7"/>
      <c r="H11" s="7"/>
      <c r="I11" s="7"/>
      <c r="J11" s="7"/>
      <c r="K11" s="7"/>
      <c r="L11" s="7"/>
      <c r="N11" s="7">
        <f t="shared" si="3"/>
        <v>0</v>
      </c>
    </row>
    <row r="12" spans="1:18" x14ac:dyDescent="0.25">
      <c r="A12" s="1" t="s">
        <v>17</v>
      </c>
      <c r="B12" s="1" t="str">
        <f>VLOOKUP(A12,LISTADHERENT!A$5:H$51,2)</f>
        <v>DJOUNKEP SAMUEL</v>
      </c>
      <c r="C12" s="6">
        <f t="shared" si="0"/>
        <v>14747.454386752817</v>
      </c>
      <c r="D12" s="6">
        <f>TONT20000DEC2015!F12+TONT20000DEC2015!E12+TONT20000JANV!G12</f>
        <v>1409385.3551323069</v>
      </c>
      <c r="E12" s="1"/>
      <c r="F12" s="7">
        <f t="shared" si="2"/>
        <v>40000</v>
      </c>
      <c r="G12" s="7">
        <v>23000</v>
      </c>
      <c r="H12" s="7">
        <v>500</v>
      </c>
      <c r="I12" s="7">
        <v>1000</v>
      </c>
      <c r="J12" s="7">
        <v>2500</v>
      </c>
      <c r="K12" s="7"/>
      <c r="L12" s="7">
        <v>13000</v>
      </c>
      <c r="N12" s="7">
        <f t="shared" si="3"/>
        <v>0</v>
      </c>
    </row>
    <row r="13" spans="1:18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3421.1830540940409</v>
      </c>
      <c r="D13" s="6">
        <f>TONT20000DEC2015!F13+TONT20000DEC2015!E13+TONT20000JANV!G13</f>
        <v>326955.76926131762</v>
      </c>
      <c r="E13" s="1"/>
      <c r="F13" s="7">
        <f t="shared" si="2"/>
        <v>20000</v>
      </c>
      <c r="G13" s="7">
        <v>3000</v>
      </c>
      <c r="H13" s="7">
        <v>500</v>
      </c>
      <c r="I13" s="7">
        <v>1000</v>
      </c>
      <c r="J13" s="7">
        <v>2500</v>
      </c>
      <c r="K13" s="7"/>
      <c r="L13" s="7">
        <v>13000</v>
      </c>
      <c r="N13" s="7">
        <f t="shared" si="3"/>
        <v>0</v>
      </c>
    </row>
    <row r="14" spans="1:18" x14ac:dyDescent="0.25">
      <c r="A14" s="1" t="s">
        <v>19</v>
      </c>
      <c r="B14" s="1" t="str">
        <f>VLOOKUP(A14,LISTADHERENT!A$5:H$51,2)</f>
        <v>DONHOU DAVID</v>
      </c>
      <c r="C14" s="6">
        <f t="shared" si="0"/>
        <v>4637.6331430403716</v>
      </c>
      <c r="D14" s="6">
        <f>TONT20000DEC2015!F14+TONT20000DEC2015!E14+TONT20000JANV!G14</f>
        <v>443209.52368217451</v>
      </c>
      <c r="E14" s="1"/>
      <c r="F14" s="7">
        <f t="shared" si="2"/>
        <v>20000</v>
      </c>
      <c r="G14" s="7">
        <v>3000</v>
      </c>
      <c r="H14" s="7">
        <v>500</v>
      </c>
      <c r="I14" s="7">
        <v>1000</v>
      </c>
      <c r="J14" s="7">
        <v>2500</v>
      </c>
      <c r="K14" s="7"/>
      <c r="L14" s="7">
        <v>13000</v>
      </c>
      <c r="N14" s="7">
        <f t="shared" si="3"/>
        <v>0</v>
      </c>
    </row>
    <row r="15" spans="1:18" x14ac:dyDescent="0.25">
      <c r="A15" s="1" t="s">
        <v>20</v>
      </c>
      <c r="B15" s="1" t="str">
        <f>VLOOKUP(A15,LISTADHERENT!A$5:H$51,2)</f>
        <v>FOTSO THOMAS</v>
      </c>
      <c r="C15" s="6">
        <f t="shared" si="0"/>
        <v>4201.815695948666</v>
      </c>
      <c r="D15" s="6">
        <f>TONT20000DEC2015!F15+TONT20000DEC2015!E15+TONT20000JANV!G15</f>
        <v>401559.3031536779</v>
      </c>
      <c r="E15" s="1"/>
      <c r="F15" s="7">
        <f t="shared" si="2"/>
        <v>20000</v>
      </c>
      <c r="G15" s="7">
        <v>3000</v>
      </c>
      <c r="H15" s="7">
        <v>500</v>
      </c>
      <c r="I15" s="7">
        <v>1000</v>
      </c>
      <c r="J15" s="7">
        <v>2500</v>
      </c>
      <c r="K15" s="7"/>
      <c r="L15" s="7">
        <v>13000</v>
      </c>
      <c r="N15" s="7">
        <f t="shared" si="3"/>
        <v>0</v>
      </c>
    </row>
    <row r="16" spans="1:18" x14ac:dyDescent="0.25">
      <c r="A16" s="1" t="s">
        <v>21</v>
      </c>
      <c r="B16" s="1" t="str">
        <f>VLOOKUP(A16,LISTADHERENT!A$5:H$51,2)</f>
        <v>HENGUE PAUL OMER</v>
      </c>
      <c r="C16" s="6">
        <f t="shared" si="0"/>
        <v>4166.9006319770051</v>
      </c>
      <c r="D16" s="6">
        <f>TONT20000DEC2015!F16+TONT20000DEC2015!E16+TONT20000JANV!G16</f>
        <v>398222.53881831106</v>
      </c>
      <c r="E16" s="1"/>
      <c r="F16" s="7">
        <f t="shared" si="2"/>
        <v>20000</v>
      </c>
      <c r="G16" s="7">
        <v>3000</v>
      </c>
      <c r="H16" s="7">
        <v>500</v>
      </c>
      <c r="I16" s="7">
        <v>1000</v>
      </c>
      <c r="J16" s="7">
        <v>2500</v>
      </c>
      <c r="K16" s="7"/>
      <c r="L16" s="7">
        <v>13000</v>
      </c>
      <c r="N16" s="7">
        <f t="shared" si="3"/>
        <v>0</v>
      </c>
    </row>
    <row r="17" spans="1:14" x14ac:dyDescent="0.25">
      <c r="A17" s="1" t="s">
        <v>22</v>
      </c>
      <c r="B17" s="1" t="str">
        <f>VLOOKUP(A17,LISTADHERENT!A$5:H$51,2)</f>
        <v>HODIEP JULES</v>
      </c>
      <c r="C17" s="6">
        <f t="shared" si="0"/>
        <v>62.960020479868533</v>
      </c>
      <c r="D17" s="6">
        <f>TONT20000DEC2015!F17+TONT20000DEC2015!E17+TONT20000JANV!G17</f>
        <v>6016.9659451779471</v>
      </c>
      <c r="E17" s="1"/>
      <c r="F17" s="7">
        <f t="shared" si="2"/>
        <v>20000</v>
      </c>
      <c r="G17" s="7">
        <v>3000</v>
      </c>
      <c r="H17" s="7">
        <v>500</v>
      </c>
      <c r="I17" s="7">
        <v>1000</v>
      </c>
      <c r="J17" s="7">
        <v>2500</v>
      </c>
      <c r="K17" s="7"/>
      <c r="L17" s="7">
        <v>13000</v>
      </c>
      <c r="N17" s="7">
        <f t="shared" si="3"/>
        <v>0</v>
      </c>
    </row>
    <row r="18" spans="1:14" x14ac:dyDescent="0.25">
      <c r="A18" s="1" t="s">
        <v>23</v>
      </c>
      <c r="B18" s="1" t="str">
        <f>VLOOKUP(A18,LISTADHERENT!A$5:H$51,2)</f>
        <v>HOTCHO BENJAMIN</v>
      </c>
      <c r="C18" s="6">
        <f t="shared" si="0"/>
        <v>4258.692103654158</v>
      </c>
      <c r="D18" s="6">
        <f>TONT20000DEC2015!F18+TONT20000DEC2015!E18+TONT20000JANV!G18</f>
        <v>406994.87013157347</v>
      </c>
      <c r="E18" s="1"/>
      <c r="F18" s="7">
        <f t="shared" si="2"/>
        <v>20000</v>
      </c>
      <c r="G18" s="7">
        <v>3000</v>
      </c>
      <c r="H18" s="7">
        <v>500</v>
      </c>
      <c r="I18" s="7">
        <v>1000</v>
      </c>
      <c r="J18" s="7">
        <v>2500</v>
      </c>
      <c r="K18" s="7"/>
      <c r="L18" s="7">
        <v>13000</v>
      </c>
      <c r="N18" s="7">
        <f t="shared" si="3"/>
        <v>0</v>
      </c>
    </row>
    <row r="19" spans="1:14" x14ac:dyDescent="0.25">
      <c r="A19" s="1" t="s">
        <v>24</v>
      </c>
      <c r="B19" s="1" t="str">
        <f>VLOOKUP(A19,LISTADHERENT!A$5:H$51,2)</f>
        <v>KEPHE DAVID</v>
      </c>
      <c r="C19" s="6">
        <f t="shared" si="0"/>
        <v>197.60084131090923</v>
      </c>
      <c r="D19" s="6">
        <f>TONT20000DEC2015!F19+TONT20000DEC2015!E19+TONT20000JANV!G19</f>
        <v>18884.325701361893</v>
      </c>
      <c r="E19" s="1"/>
      <c r="F19" s="7">
        <f t="shared" si="2"/>
        <v>20000</v>
      </c>
      <c r="G19" s="7">
        <v>3000</v>
      </c>
      <c r="H19" s="7">
        <v>500</v>
      </c>
      <c r="I19" s="7">
        <v>1000</v>
      </c>
      <c r="J19" s="7">
        <v>2500</v>
      </c>
      <c r="K19" s="7"/>
      <c r="L19" s="7">
        <v>13000</v>
      </c>
      <c r="N19" s="7">
        <f t="shared" si="3"/>
        <v>0</v>
      </c>
    </row>
    <row r="20" spans="1:14" x14ac:dyDescent="0.25">
      <c r="A20" s="1" t="s">
        <v>25</v>
      </c>
      <c r="B20" s="1" t="str">
        <f>VLOOKUP(A20,LISTADHERENT!A$5:H$51,2)</f>
        <v>KEPSEU FRANCIS</v>
      </c>
      <c r="C20" s="6">
        <f t="shared" si="0"/>
        <v>6197.6159922725919</v>
      </c>
      <c r="D20" s="6">
        <f>TONT20000DEC2015!F20+TONT20000DEC2015!E20+TONT20000JANV!G20</f>
        <v>592294.03171363589</v>
      </c>
      <c r="E20" s="1"/>
      <c r="F20" s="7">
        <f t="shared" si="2"/>
        <v>23000</v>
      </c>
      <c r="G20" s="7">
        <v>6000</v>
      </c>
      <c r="H20" s="7">
        <v>500</v>
      </c>
      <c r="I20" s="7">
        <v>1000</v>
      </c>
      <c r="J20" s="7">
        <v>2500</v>
      </c>
      <c r="K20" s="7"/>
      <c r="L20" s="7">
        <v>13000</v>
      </c>
      <c r="N20" s="7">
        <f t="shared" si="3"/>
        <v>0</v>
      </c>
    </row>
    <row r="21" spans="1:14" x14ac:dyDescent="0.25">
      <c r="A21" s="1" t="s">
        <v>26</v>
      </c>
      <c r="B21" s="1" t="str">
        <f>VLOOKUP(A21,LISTADHERENT!A$5:H$51,2)</f>
        <v>KOUAMOU EMMANUEL</v>
      </c>
      <c r="C21" s="6">
        <f t="shared" si="0"/>
        <v>4195.5545557849709</v>
      </c>
      <c r="D21" s="6">
        <f>TONT20000DEC2015!F21+TONT20000DEC2015!E21+TONT20000JANV!G21</f>
        <v>400960.93824121758</v>
      </c>
      <c r="E21" s="1"/>
      <c r="F21" s="7">
        <f t="shared" si="2"/>
        <v>20000</v>
      </c>
      <c r="G21" s="7">
        <v>3000</v>
      </c>
      <c r="H21" s="7">
        <v>500</v>
      </c>
      <c r="I21" s="7">
        <v>1000</v>
      </c>
      <c r="J21" s="7">
        <v>2500</v>
      </c>
      <c r="K21" s="7"/>
      <c r="L21" s="7">
        <v>13000</v>
      </c>
      <c r="N21" s="7">
        <f t="shared" si="3"/>
        <v>0</v>
      </c>
    </row>
    <row r="22" spans="1:14" x14ac:dyDescent="0.25">
      <c r="A22" s="1" t="s">
        <v>27</v>
      </c>
      <c r="B22" s="1" t="str">
        <f>VLOOKUP(A22,LISTADHERENT!A$5:H$51,2)</f>
        <v>KOUAMOU MOISE</v>
      </c>
      <c r="C22" s="6">
        <f t="shared" si="0"/>
        <v>3399.7689024417418</v>
      </c>
      <c r="D22" s="6">
        <f>TONT20000DEC2015!F22+TONT20000DEC2015!E22+TONT20000JANV!G22</f>
        <v>324909.26069517189</v>
      </c>
      <c r="E22" s="1"/>
      <c r="F22" s="7">
        <f t="shared" si="2"/>
        <v>20000</v>
      </c>
      <c r="G22" s="7">
        <v>3000</v>
      </c>
      <c r="H22" s="7">
        <v>500</v>
      </c>
      <c r="I22" s="7">
        <v>1000</v>
      </c>
      <c r="J22" s="7">
        <v>2500</v>
      </c>
      <c r="K22" s="7"/>
      <c r="L22" s="7">
        <v>13000</v>
      </c>
      <c r="N22" s="7">
        <f t="shared" si="3"/>
        <v>0</v>
      </c>
    </row>
    <row r="23" spans="1:14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4552.3448387937451</v>
      </c>
      <c r="D23" s="6">
        <f>TONT20000DEC2015!F23+TONT20000DEC2015!E23+TONT20000JANV!G23</f>
        <v>435058.68735361873</v>
      </c>
      <c r="E23" s="1"/>
      <c r="F23" s="7">
        <f t="shared" si="2"/>
        <v>20000</v>
      </c>
      <c r="G23" s="7">
        <v>3000</v>
      </c>
      <c r="H23" s="7">
        <v>500</v>
      </c>
      <c r="I23" s="7">
        <v>1000</v>
      </c>
      <c r="J23" s="7">
        <v>2500</v>
      </c>
      <c r="K23" s="7"/>
      <c r="L23" s="7">
        <v>13000</v>
      </c>
      <c r="N23" s="7">
        <f t="shared" si="3"/>
        <v>0</v>
      </c>
    </row>
    <row r="24" spans="1:14" x14ac:dyDescent="0.25">
      <c r="A24" s="1" t="s">
        <v>29</v>
      </c>
      <c r="B24" s="1" t="str">
        <f>VLOOKUP(A24,LISTADHERENT!A$5:H$51,2)</f>
        <v>KOUATCHO MESSACK</v>
      </c>
      <c r="C24" s="6">
        <f t="shared" si="0"/>
        <v>4166.9006319770051</v>
      </c>
      <c r="D24" s="6">
        <f>TONT20000DEC2015!F24+TONT20000DEC2015!E24+TONT20000JANV!G24</f>
        <v>398222.53881831106</v>
      </c>
      <c r="E24" s="1"/>
      <c r="F24" s="7">
        <f t="shared" ref="F24" si="4">G24+H24+I24+J24+K24+L24</f>
        <v>20000</v>
      </c>
      <c r="G24" s="7">
        <v>3000</v>
      </c>
      <c r="H24" s="7">
        <v>500</v>
      </c>
      <c r="I24" s="7">
        <v>1000</v>
      </c>
      <c r="J24" s="7">
        <v>2500</v>
      </c>
      <c r="K24" s="7"/>
      <c r="L24" s="7">
        <v>13000</v>
      </c>
      <c r="M24" s="7"/>
      <c r="N24" s="7">
        <f t="shared" si="3"/>
        <v>0</v>
      </c>
    </row>
    <row r="25" spans="1:14" x14ac:dyDescent="0.25">
      <c r="A25" s="1" t="s">
        <v>30</v>
      </c>
      <c r="B25" s="1" t="str">
        <f>VLOOKUP(A25,LISTADHERENT!A$5:H$51,2)</f>
        <v>LOWE JEAN</v>
      </c>
      <c r="C25" s="6">
        <f t="shared" si="0"/>
        <v>4212.4754186139135</v>
      </c>
      <c r="D25" s="6">
        <f>TONT20000DEC2015!F25+TONT20000DEC2015!E25+TONT20000JANV!G25</f>
        <v>402578.03198783298</v>
      </c>
      <c r="E25" s="1"/>
      <c r="F25" s="7">
        <f t="shared" si="2"/>
        <v>20000</v>
      </c>
      <c r="G25" s="7">
        <v>3000</v>
      </c>
      <c r="H25" s="7">
        <v>500</v>
      </c>
      <c r="I25" s="7">
        <v>1000</v>
      </c>
      <c r="J25" s="7">
        <v>2500</v>
      </c>
      <c r="K25" s="7"/>
      <c r="L25" s="7">
        <v>13000</v>
      </c>
      <c r="N25" s="7">
        <f t="shared" si="3"/>
        <v>0</v>
      </c>
    </row>
    <row r="26" spans="1:14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4213.3172525855025</v>
      </c>
      <c r="D26" s="6">
        <f>TONT20000DEC2015!F26+TONT20000DEC2015!E26+TONT20000JANV!G26</f>
        <v>402658.48441303772</v>
      </c>
      <c r="E26" s="1"/>
      <c r="F26" s="7">
        <f t="shared" si="2"/>
        <v>20000</v>
      </c>
      <c r="G26" s="7">
        <v>3000</v>
      </c>
      <c r="H26" s="7">
        <v>500</v>
      </c>
      <c r="I26" s="7">
        <v>1000</v>
      </c>
      <c r="J26" s="7">
        <v>2500</v>
      </c>
      <c r="K26" s="7"/>
      <c r="L26" s="7">
        <v>13000</v>
      </c>
      <c r="N26" s="7">
        <f t="shared" si="3"/>
        <v>0</v>
      </c>
    </row>
    <row r="27" spans="1:14" x14ac:dyDescent="0.25">
      <c r="A27" s="1" t="s">
        <v>32</v>
      </c>
      <c r="B27" s="1" t="str">
        <f>VLOOKUP(A27,LISTADHERENT!A$5:H$51,2)</f>
        <v>NDJOMO ETIENNE</v>
      </c>
      <c r="C27" s="6">
        <f t="shared" si="0"/>
        <v>4293.511224211873</v>
      </c>
      <c r="D27" s="6">
        <f>TONT20000DEC2015!F27+TONT20000DEC2015!E27+TONT20000JANV!G27</f>
        <v>410322.46534262982</v>
      </c>
      <c r="E27" s="1"/>
      <c r="F27" s="7">
        <f t="shared" ref="F27:F28" si="5">G27+H27+I27+J27+K27+L27</f>
        <v>25000</v>
      </c>
      <c r="G27" s="7">
        <v>8000</v>
      </c>
      <c r="H27" s="7">
        <v>500</v>
      </c>
      <c r="I27" s="7">
        <v>1000</v>
      </c>
      <c r="J27" s="7">
        <v>2500</v>
      </c>
      <c r="K27" s="7"/>
      <c r="L27" s="7">
        <v>13000</v>
      </c>
      <c r="M27" s="7"/>
      <c r="N27" s="7">
        <f t="shared" si="3"/>
        <v>0</v>
      </c>
    </row>
    <row r="28" spans="1:14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TONT20000DEC2015!F28+TONT20000DEC2015!E28+TONT20000JANV!G28</f>
        <v>0</v>
      </c>
      <c r="E28" s="1"/>
      <c r="F28" s="7">
        <f t="shared" si="5"/>
        <v>0</v>
      </c>
      <c r="G28" s="7"/>
      <c r="H28" s="7"/>
      <c r="I28" s="7"/>
      <c r="J28" s="7"/>
      <c r="K28" s="7"/>
      <c r="L28" s="7"/>
      <c r="N28" s="7">
        <f t="shared" si="3"/>
        <v>0</v>
      </c>
    </row>
    <row r="29" spans="1:14" x14ac:dyDescent="0.25">
      <c r="A29" s="1" t="s">
        <v>34</v>
      </c>
      <c r="B29" s="1" t="str">
        <f>VLOOKUP(A29,LISTADHERENT!A$5:H$51,2)</f>
        <v>NGONDIEP CLAUDE</v>
      </c>
      <c r="C29" s="6">
        <f t="shared" si="0"/>
        <v>6056.5443021538949</v>
      </c>
      <c r="D29" s="6">
        <f>TONT20000DEC2015!F29+TONT20000DEC2015!E29+TONT20000JANV!G29</f>
        <v>578812.08636477264</v>
      </c>
      <c r="E29" s="1"/>
      <c r="F29" s="7">
        <f t="shared" si="2"/>
        <v>20000</v>
      </c>
      <c r="G29" s="7">
        <v>3000</v>
      </c>
      <c r="H29" s="7">
        <v>500</v>
      </c>
      <c r="I29" s="7">
        <v>1000</v>
      </c>
      <c r="J29" s="7">
        <v>2500</v>
      </c>
      <c r="K29" s="7"/>
      <c r="L29" s="7">
        <v>13000</v>
      </c>
      <c r="N29" s="7">
        <f t="shared" si="3"/>
        <v>0</v>
      </c>
    </row>
    <row r="30" spans="1:14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62.960020479868533</v>
      </c>
      <c r="D30" s="6">
        <f>TONT20000DEC2015!F30+TONT20000DEC2015!E30+TONT20000JANV!G30</f>
        <v>6016.9659451779471</v>
      </c>
      <c r="E30" s="1"/>
      <c r="F30" s="7">
        <f t="shared" si="2"/>
        <v>20000</v>
      </c>
      <c r="G30" s="7">
        <v>3000</v>
      </c>
      <c r="H30" s="7">
        <v>500</v>
      </c>
      <c r="I30" s="7">
        <v>1000</v>
      </c>
      <c r="J30" s="7">
        <v>2500</v>
      </c>
      <c r="K30" s="7"/>
      <c r="L30" s="7">
        <v>13000</v>
      </c>
      <c r="N30" s="7">
        <f t="shared" si="3"/>
        <v>0</v>
      </c>
    </row>
    <row r="31" spans="1:14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219.63584551725538</v>
      </c>
      <c r="D31" s="6">
        <f>TONT20000DEC2015!F31+TONT20000DEC2015!E31+TONT20000JANV!G31</f>
        <v>20990.167931096097</v>
      </c>
      <c r="E31" s="1"/>
      <c r="F31" s="7">
        <f t="shared" si="2"/>
        <v>20000</v>
      </c>
      <c r="G31" s="7">
        <v>3000</v>
      </c>
      <c r="H31" s="7">
        <v>500</v>
      </c>
      <c r="I31" s="7">
        <v>1000</v>
      </c>
      <c r="J31" s="7">
        <v>2500</v>
      </c>
      <c r="K31" s="7"/>
      <c r="L31" s="7">
        <v>13000</v>
      </c>
      <c r="N31" s="7">
        <f t="shared" si="3"/>
        <v>0</v>
      </c>
    </row>
    <row r="32" spans="1:14" x14ac:dyDescent="0.25">
      <c r="A32" s="1" t="s">
        <v>37</v>
      </c>
      <c r="B32" s="1" t="str">
        <f>VLOOKUP(A32,LISTADHERENT!A$5:H$51,2)</f>
        <v>NJEPDJIO MBOUKAM DELUXE</v>
      </c>
      <c r="C32" s="6">
        <f t="shared" si="0"/>
        <v>4206.1932326009292</v>
      </c>
      <c r="D32" s="6">
        <f>TONT20000DEC2015!F32+TONT20000DEC2015!E32+TONT20000JANV!G32</f>
        <v>401977.65576474252</v>
      </c>
      <c r="E32" s="1"/>
      <c r="F32" s="7">
        <f t="shared" si="2"/>
        <v>20000</v>
      </c>
      <c r="G32" s="7">
        <v>3000</v>
      </c>
      <c r="H32" s="7">
        <v>500</v>
      </c>
      <c r="I32" s="7">
        <v>1000</v>
      </c>
      <c r="J32" s="7">
        <v>2500</v>
      </c>
      <c r="K32" s="7"/>
      <c r="L32" s="7">
        <v>13000</v>
      </c>
      <c r="N32" s="7">
        <f t="shared" si="3"/>
        <v>0</v>
      </c>
    </row>
    <row r="33" spans="1:14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125.92004095973707</v>
      </c>
      <c r="D33" s="6">
        <f>TONT20000DEC2015!F33+TONT20000DEC2015!E33+TONT20000JANV!G33</f>
        <v>12033.931890355894</v>
      </c>
      <c r="E33" s="1"/>
      <c r="F33" s="7">
        <f t="shared" si="2"/>
        <v>23000</v>
      </c>
      <c r="G33" s="7">
        <v>6000</v>
      </c>
      <c r="H33" s="7">
        <v>500</v>
      </c>
      <c r="I33" s="7">
        <v>1000</v>
      </c>
      <c r="J33" s="7">
        <v>2500</v>
      </c>
      <c r="K33" s="7"/>
      <c r="L33" s="7">
        <v>13000</v>
      </c>
      <c r="M33" s="11"/>
      <c r="N33" s="7">
        <f t="shared" si="3"/>
        <v>0</v>
      </c>
    </row>
    <row r="34" spans="1:14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4363.7938379149236</v>
      </c>
      <c r="D34" s="6">
        <f>TONT20000DEC2015!F34+TONT20000DEC2015!E34+TONT20000JANV!G34</f>
        <v>417039.23719191103</v>
      </c>
      <c r="E34" s="1"/>
      <c r="F34" s="10">
        <f>G34+H34+I34+J34+K34+L34</f>
        <v>25000</v>
      </c>
      <c r="G34" s="7">
        <v>8000</v>
      </c>
      <c r="H34" s="7">
        <v>500</v>
      </c>
      <c r="I34" s="7">
        <v>1000</v>
      </c>
      <c r="J34" s="7">
        <v>2500</v>
      </c>
      <c r="K34" s="7"/>
      <c r="L34" s="7">
        <v>13000</v>
      </c>
      <c r="M34"/>
      <c r="N34" s="7">
        <f t="shared" si="3"/>
        <v>0</v>
      </c>
    </row>
    <row r="35" spans="1:14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4250.9051394169583</v>
      </c>
      <c r="D35" s="6">
        <f>TONT20000DEC2015!F35+TONT20000DEC2015!E35+TONT20000JANV!G35</f>
        <v>406250.68519842956</v>
      </c>
      <c r="E35" s="1"/>
      <c r="F35" s="7">
        <f t="shared" si="2"/>
        <v>20000</v>
      </c>
      <c r="G35" s="7">
        <v>3000</v>
      </c>
      <c r="H35" s="7">
        <v>500</v>
      </c>
      <c r="I35" s="7">
        <v>1000</v>
      </c>
      <c r="J35" s="7">
        <v>2500</v>
      </c>
      <c r="K35" s="7"/>
      <c r="L35" s="7">
        <v>13000</v>
      </c>
      <c r="N35" s="7">
        <f t="shared" si="3"/>
        <v>0</v>
      </c>
    </row>
    <row r="36" spans="1:14" x14ac:dyDescent="0.25">
      <c r="A36" s="1" t="s">
        <v>41</v>
      </c>
      <c r="B36" s="1" t="str">
        <f>VLOOKUP(A36,LISTADHERENT!A$5:H$51,2)</f>
        <v>NTEPDIE TUEMAC MZ</v>
      </c>
      <c r="C36" s="6">
        <f t="shared" si="0"/>
        <v>62.960020479868533</v>
      </c>
      <c r="D36" s="6">
        <f>TONT20000DEC2015!F36+TONT20000DEC2015!E36+TONT20000JANV!G36</f>
        <v>6016.9659451779471</v>
      </c>
      <c r="E36" s="1"/>
      <c r="F36" s="7">
        <f t="shared" si="2"/>
        <v>20000</v>
      </c>
      <c r="G36" s="7">
        <v>3000</v>
      </c>
      <c r="H36" s="7">
        <v>500</v>
      </c>
      <c r="I36" s="7">
        <v>1000</v>
      </c>
      <c r="J36" s="7">
        <v>2500</v>
      </c>
      <c r="K36" s="7"/>
      <c r="L36" s="7">
        <v>13000</v>
      </c>
      <c r="N36" s="7">
        <f t="shared" si="3"/>
        <v>0</v>
      </c>
    </row>
    <row r="37" spans="1:14" x14ac:dyDescent="0.25">
      <c r="A37" s="1" t="s">
        <v>42</v>
      </c>
      <c r="B37" s="1" t="str">
        <f>VLOOKUP(A37,LISTADHERENT!A$5:H$51,2)</f>
        <v>NTOMBOU ADOLPHE</v>
      </c>
      <c r="C37" s="6">
        <f t="shared" si="0"/>
        <v>62.960020479868533</v>
      </c>
      <c r="D37" s="6">
        <f>TONT20000DEC2015!F37+TONT20000DEC2015!E37+TONT20000JANV!G37</f>
        <v>6016.9659451779471</v>
      </c>
      <c r="E37" s="1"/>
      <c r="F37" s="7">
        <f t="shared" si="2"/>
        <v>20000</v>
      </c>
      <c r="G37" s="7">
        <v>3000</v>
      </c>
      <c r="H37" s="7">
        <v>500</v>
      </c>
      <c r="I37" s="7">
        <v>1000</v>
      </c>
      <c r="J37" s="7">
        <v>2500</v>
      </c>
      <c r="K37" s="7"/>
      <c r="L37" s="7">
        <v>13000</v>
      </c>
      <c r="N37" s="7">
        <f t="shared" si="3"/>
        <v>0</v>
      </c>
    </row>
    <row r="38" spans="1:14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4168.3738414272866</v>
      </c>
      <c r="D38" s="6">
        <f>TONT20000DEC2015!F38+TONT20000DEC2015!E38+TONT20000JANV!G38</f>
        <v>398363.33056241937</v>
      </c>
      <c r="E38" s="1"/>
      <c r="F38" s="7">
        <f t="shared" si="2"/>
        <v>20000</v>
      </c>
      <c r="G38" s="7">
        <v>3000</v>
      </c>
      <c r="H38" s="7">
        <v>500</v>
      </c>
      <c r="I38" s="7">
        <v>1000</v>
      </c>
      <c r="J38" s="7">
        <v>2500</v>
      </c>
      <c r="K38" s="7"/>
      <c r="L38" s="7">
        <v>13000</v>
      </c>
      <c r="N38" s="7">
        <f t="shared" si="3"/>
        <v>0</v>
      </c>
    </row>
    <row r="39" spans="1:14" x14ac:dyDescent="0.25">
      <c r="A39" s="1" t="s">
        <v>44</v>
      </c>
      <c r="B39" s="1" t="str">
        <f>VLOOKUP(A39,LISTADHERENT!A$5:H$51,2)</f>
        <v>SEUNOU RICHELOT</v>
      </c>
      <c r="C39" s="6">
        <f t="shared" si="0"/>
        <v>4194.596969642289</v>
      </c>
      <c r="D39" s="6">
        <f>TONT20000DEC2015!F39+TONT20000DEC2015!E39+TONT20000JANV!G39</f>
        <v>400869.42360754719</v>
      </c>
      <c r="E39" s="1"/>
      <c r="F39" s="7">
        <f t="shared" si="2"/>
        <v>20000</v>
      </c>
      <c r="G39" s="7">
        <v>3000</v>
      </c>
      <c r="H39" s="7">
        <v>500</v>
      </c>
      <c r="I39" s="7">
        <v>1000</v>
      </c>
      <c r="J39" s="7">
        <v>2500</v>
      </c>
      <c r="K39" s="7"/>
      <c r="L39" s="7">
        <v>13000</v>
      </c>
      <c r="N39" s="7">
        <f t="shared" si="3"/>
        <v>0</v>
      </c>
    </row>
    <row r="40" spans="1:14" x14ac:dyDescent="0.25">
      <c r="A40" s="1" t="s">
        <v>45</v>
      </c>
      <c r="B40" s="1" t="str">
        <f>VLOOKUP(A40,LISTADHERENT!A$5:H$51,2)</f>
        <v>SIME ABEL</v>
      </c>
      <c r="C40" s="6">
        <f t="shared" si="0"/>
        <v>62.960020479868533</v>
      </c>
      <c r="D40" s="6">
        <f>TONT20000DEC2015!F40+TONT20000DEC2015!E40+TONT20000JANV!G40</f>
        <v>6016.9659451779471</v>
      </c>
      <c r="E40" s="1"/>
      <c r="F40" s="7">
        <f t="shared" si="2"/>
        <v>20000</v>
      </c>
      <c r="G40" s="7">
        <v>3000</v>
      </c>
      <c r="H40" s="7">
        <v>500</v>
      </c>
      <c r="I40" s="7">
        <v>1000</v>
      </c>
      <c r="J40" s="7">
        <v>2500</v>
      </c>
      <c r="K40" s="7"/>
      <c r="L40" s="7">
        <v>13000</v>
      </c>
      <c r="N40" s="7">
        <f t="shared" si="3"/>
        <v>0</v>
      </c>
    </row>
    <row r="41" spans="1:14" x14ac:dyDescent="0.25">
      <c r="A41" s="1" t="s">
        <v>46</v>
      </c>
      <c r="B41" s="1" t="str">
        <f>VLOOKUP(A41,LISTADHERENT!A$5:H$51,2)</f>
        <v>SIME FONGANG ERIC</v>
      </c>
      <c r="C41" s="6">
        <f t="shared" si="0"/>
        <v>4177.2341439782622</v>
      </c>
      <c r="D41" s="6">
        <f>TONT20000DEC2015!F41+TONT20000DEC2015!E41+TONT20000JANV!G41</f>
        <v>399210.09233769932</v>
      </c>
      <c r="E41" s="1"/>
      <c r="F41" s="7">
        <f t="shared" si="2"/>
        <v>20000</v>
      </c>
      <c r="G41" s="7">
        <v>3000</v>
      </c>
      <c r="H41" s="7">
        <v>500</v>
      </c>
      <c r="I41" s="7">
        <v>1000</v>
      </c>
      <c r="J41" s="7">
        <v>2500</v>
      </c>
      <c r="K41" s="7"/>
      <c r="L41" s="7">
        <v>13000</v>
      </c>
      <c r="N41" s="7">
        <f t="shared" si="3"/>
        <v>0</v>
      </c>
    </row>
    <row r="42" spans="1:14" x14ac:dyDescent="0.25">
      <c r="A42" s="1" t="s">
        <v>47</v>
      </c>
      <c r="B42" s="1" t="str">
        <f>VLOOKUP(A42,LISTADHERENT!A$5:H$51,2)</f>
        <v>SIME MATHIEU</v>
      </c>
      <c r="C42" s="6">
        <f t="shared" si="0"/>
        <v>4173.5932120511388</v>
      </c>
      <c r="D42" s="6">
        <f>TONT20000DEC2015!F42+TONT20000DEC2015!E42+TONT20000JANV!G42</f>
        <v>398862.13559868879</v>
      </c>
      <c r="E42" s="1"/>
      <c r="F42" s="7">
        <f t="shared" si="2"/>
        <v>20000</v>
      </c>
      <c r="G42" s="7">
        <v>3000</v>
      </c>
      <c r="H42" s="7">
        <v>500</v>
      </c>
      <c r="I42" s="7">
        <v>1000</v>
      </c>
      <c r="J42" s="7">
        <v>2500</v>
      </c>
      <c r="K42" s="7"/>
      <c r="L42" s="7">
        <v>13000</v>
      </c>
      <c r="N42" s="7">
        <f t="shared" si="3"/>
        <v>0</v>
      </c>
    </row>
    <row r="43" spans="1:14" x14ac:dyDescent="0.25">
      <c r="A43" s="1" t="s">
        <v>48</v>
      </c>
      <c r="B43" s="1" t="str">
        <f>VLOOKUP(A43,LISTADHERENT!A$5:H$51,2)</f>
        <v>SIME PIERRE</v>
      </c>
      <c r="C43" s="6">
        <f t="shared" si="0"/>
        <v>14964.252628654878</v>
      </c>
      <c r="D43" s="6">
        <f>TONT20000DEC2015!F43+TONT20000DEC2015!E43+TONT20000JANV!G43</f>
        <v>1430104.3388390585</v>
      </c>
      <c r="E43" s="1"/>
      <c r="F43" s="7">
        <f t="shared" ref="F43" si="6">G43+H43+I43+J43+K43+L43</f>
        <v>20000</v>
      </c>
      <c r="G43" s="7">
        <v>3000</v>
      </c>
      <c r="H43" s="7">
        <v>500</v>
      </c>
      <c r="I43" s="7">
        <v>1000</v>
      </c>
      <c r="J43" s="7">
        <v>2500</v>
      </c>
      <c r="K43" s="7"/>
      <c r="L43" s="7">
        <v>13000</v>
      </c>
      <c r="M43" s="7">
        <v>200000</v>
      </c>
      <c r="N43" s="7">
        <f>IF(M43&lt;=500000,(M43*1*3/100),(M43*12/100))</f>
        <v>6000</v>
      </c>
    </row>
    <row r="44" spans="1:14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62.960020479868533</v>
      </c>
      <c r="D44" s="6">
        <f>TONT20000DEC2015!F44+TONT20000DEC2015!E44+TONT20000JANV!G44</f>
        <v>6016.9659451779471</v>
      </c>
      <c r="E44" s="1"/>
      <c r="F44" s="7">
        <f t="shared" si="2"/>
        <v>20000</v>
      </c>
      <c r="G44" s="7">
        <v>3000</v>
      </c>
      <c r="H44" s="7">
        <v>500</v>
      </c>
      <c r="I44" s="7">
        <v>1000</v>
      </c>
      <c r="J44" s="7">
        <v>2500</v>
      </c>
      <c r="K44" s="7"/>
      <c r="L44" s="7">
        <v>13000</v>
      </c>
      <c r="N44" s="7">
        <f t="shared" si="3"/>
        <v>0</v>
      </c>
    </row>
    <row r="45" spans="1:14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62.960020479868533</v>
      </c>
      <c r="D45" s="6">
        <f>TONT20000DEC2015!F45+TONT20000DEC2015!E45+TONT20000JANV!G45</f>
        <v>6016.9659451779471</v>
      </c>
      <c r="E45" s="1"/>
      <c r="F45" s="7">
        <f t="shared" si="2"/>
        <v>20000</v>
      </c>
      <c r="G45" s="7">
        <v>3000</v>
      </c>
      <c r="H45" s="7">
        <v>500</v>
      </c>
      <c r="I45" s="7">
        <v>1000</v>
      </c>
      <c r="J45" s="7">
        <v>2500</v>
      </c>
      <c r="K45" s="7"/>
      <c r="L45" s="7">
        <v>13000</v>
      </c>
      <c r="N45" s="7">
        <f t="shared" si="3"/>
        <v>0</v>
      </c>
    </row>
    <row r="46" spans="1:14" x14ac:dyDescent="0.25">
      <c r="A46" s="1" t="s">
        <v>51</v>
      </c>
      <c r="B46" s="1" t="str">
        <f>VLOOKUP(A46,LISTADHERENT!A$5:H$51,2)</f>
        <v>TCHOUAMOU MATHIEU</v>
      </c>
      <c r="C46" s="6">
        <f t="shared" si="0"/>
        <v>4203.0679239814044</v>
      </c>
      <c r="D46" s="6">
        <f>TONT20000DEC2015!F46+TONT20000DEC2015!E46+TONT20000JANV!G46</f>
        <v>401678.97613616992</v>
      </c>
      <c r="E46" s="1"/>
      <c r="F46" s="7">
        <f t="shared" si="2"/>
        <v>20000</v>
      </c>
      <c r="G46" s="7">
        <v>3000</v>
      </c>
      <c r="H46" s="7">
        <v>500</v>
      </c>
      <c r="I46" s="7">
        <v>1000</v>
      </c>
      <c r="J46" s="7">
        <v>2500</v>
      </c>
      <c r="K46" s="7"/>
      <c r="L46" s="7">
        <v>13000</v>
      </c>
      <c r="M46" s="7"/>
      <c r="N46" s="7">
        <f t="shared" si="3"/>
        <v>0</v>
      </c>
    </row>
    <row r="47" spans="1:14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2883.3893065985981</v>
      </c>
      <c r="D47" s="6">
        <f>TONT20000DEC2015!F47+TONT20000DEC2015!E47+TONT20000JANV!G47</f>
        <v>275559.87326975923</v>
      </c>
      <c r="E47" s="1"/>
      <c r="F47" s="7">
        <f t="shared" si="2"/>
        <v>23000</v>
      </c>
      <c r="G47" s="7">
        <v>6000</v>
      </c>
      <c r="H47" s="7">
        <v>500</v>
      </c>
      <c r="I47" s="7">
        <v>1000</v>
      </c>
      <c r="J47" s="7">
        <v>2500</v>
      </c>
      <c r="K47" s="7"/>
      <c r="L47" s="7">
        <v>13000</v>
      </c>
      <c r="N47" s="7">
        <f t="shared" si="3"/>
        <v>0</v>
      </c>
    </row>
    <row r="48" spans="1:14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31.568773934593359</v>
      </c>
      <c r="D48" s="6">
        <f>TONT20000DEC2015!F48+TONT20000DEC2015!E48+TONT20000JANV!G48</f>
        <v>3016.9659451779471</v>
      </c>
      <c r="E48" s="1"/>
      <c r="F48" s="7">
        <f t="shared" si="2"/>
        <v>0</v>
      </c>
      <c r="G48" s="7"/>
      <c r="H48" s="7"/>
      <c r="I48" s="7"/>
      <c r="J48" s="7"/>
      <c r="K48" s="7"/>
      <c r="L48" s="7"/>
      <c r="N48" s="7">
        <f t="shared" si="3"/>
        <v>0</v>
      </c>
    </row>
    <row r="49" spans="1:17" x14ac:dyDescent="0.25">
      <c r="A49" s="1" t="s">
        <v>54</v>
      </c>
      <c r="B49" s="1" t="str">
        <f>VLOOKUP(A49,LISTADHERENT!A$5:H$51,2)</f>
        <v>TIEYAM ERNEST</v>
      </c>
      <c r="C49" s="6">
        <f t="shared" si="0"/>
        <v>4175.3610633914759</v>
      </c>
      <c r="D49" s="6">
        <f>TONT20000DEC2015!F49+TONT20000DEC2015!E49+TONT20000JANV!G49</f>
        <v>399031.08569161873</v>
      </c>
      <c r="E49" s="1"/>
      <c r="F49" s="7">
        <f t="shared" si="2"/>
        <v>20000</v>
      </c>
      <c r="G49" s="7">
        <v>3000</v>
      </c>
      <c r="H49" s="7">
        <v>500</v>
      </c>
      <c r="I49" s="7">
        <v>1000</v>
      </c>
      <c r="J49" s="7">
        <v>2500</v>
      </c>
      <c r="K49" s="7"/>
      <c r="L49" s="7">
        <v>13000</v>
      </c>
      <c r="M49" s="7">
        <v>1000000</v>
      </c>
      <c r="N49" s="7">
        <f t="shared" si="3"/>
        <v>120000</v>
      </c>
    </row>
    <row r="50" spans="1:17" x14ac:dyDescent="0.25">
      <c r="A50" s="1" t="s">
        <v>55</v>
      </c>
      <c r="B50" s="1" t="str">
        <f>VLOOKUP(A50,LISTADHERENT!A$5:H$51,2)</f>
        <v>TUGMA PIERRE LOTI</v>
      </c>
      <c r="C50" s="6">
        <f t="shared" si="0"/>
        <v>4352.4829310138348</v>
      </c>
      <c r="D50" s="6">
        <f>TONT20000DEC2015!F50+TONT20000DEC2015!E50+TONT20000JANV!G50</f>
        <v>415958.27595469716</v>
      </c>
      <c r="E50" s="1"/>
      <c r="F50" s="7">
        <f t="shared" si="2"/>
        <v>20000</v>
      </c>
      <c r="G50" s="7">
        <v>3000</v>
      </c>
      <c r="H50" s="7">
        <v>500</v>
      </c>
      <c r="I50" s="7">
        <v>1000</v>
      </c>
      <c r="J50" s="7">
        <v>2500</v>
      </c>
      <c r="K50" s="7"/>
      <c r="L50" s="7">
        <v>13000</v>
      </c>
      <c r="N50" s="7">
        <f t="shared" si="3"/>
        <v>0</v>
      </c>
    </row>
    <row r="51" spans="1:17" ht="18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8599.5458406057733</v>
      </c>
      <c r="D51" s="6">
        <f>TONT20000DEC2015!F51+TONT20000DEC2015!E51+TONT20000JANV!G51</f>
        <v>821841.76676795201</v>
      </c>
      <c r="E51" s="1"/>
      <c r="F51" s="7">
        <f t="shared" si="2"/>
        <v>20000</v>
      </c>
      <c r="G51" s="7">
        <v>3000</v>
      </c>
      <c r="H51" s="7">
        <v>500</v>
      </c>
      <c r="I51" s="7">
        <v>1000</v>
      </c>
      <c r="J51" s="7">
        <v>2500</v>
      </c>
      <c r="K51" s="7"/>
      <c r="L51" s="7">
        <v>13000</v>
      </c>
      <c r="M51" s="9"/>
      <c r="N51" s="7">
        <f t="shared" si="3"/>
        <v>0</v>
      </c>
    </row>
    <row r="52" spans="1:17" x14ac:dyDescent="0.25">
      <c r="A52" s="1" t="s">
        <v>178</v>
      </c>
      <c r="B52" s="1" t="str">
        <f>VLOOKUP(A52,LISTADHERENT!A$5:H$51,2)</f>
        <v>YOUMBI EMMANUEL</v>
      </c>
      <c r="C52" s="6">
        <f t="shared" si="0"/>
        <v>14724.329946751968</v>
      </c>
      <c r="D52" s="6">
        <f>TONT20000DEC2015!F52+TONT20000DEC2015!E52+TONT20000JANV!G52</f>
        <v>1407175.3976557062</v>
      </c>
      <c r="E52" s="1"/>
      <c r="F52" s="7">
        <f t="shared" ref="F52" si="7">G52+H52+I52+J52+K52+L52</f>
        <v>20000</v>
      </c>
      <c r="G52" s="7">
        <v>3000</v>
      </c>
      <c r="H52" s="7">
        <v>500</v>
      </c>
      <c r="I52" s="7">
        <v>1000</v>
      </c>
      <c r="J52" s="7">
        <v>2500</v>
      </c>
      <c r="L52" s="7">
        <v>13000</v>
      </c>
      <c r="N52" s="7">
        <f t="shared" si="3"/>
        <v>0</v>
      </c>
    </row>
    <row r="53" spans="1:17" x14ac:dyDescent="0.25">
      <c r="A53" s="1"/>
      <c r="B53" s="1"/>
      <c r="C53" s="1"/>
      <c r="D53" s="1"/>
      <c r="E53" s="1"/>
      <c r="F53" s="7"/>
      <c r="G53" s="7"/>
      <c r="H53" s="7"/>
      <c r="I53" s="7"/>
      <c r="J53" s="7"/>
      <c r="L53" s="7"/>
      <c r="N53" s="7"/>
    </row>
    <row r="54" spans="1:17" x14ac:dyDescent="0.25">
      <c r="A54" s="1"/>
      <c r="B54" s="1" t="s">
        <v>180</v>
      </c>
      <c r="C54" s="1"/>
      <c r="D54" s="1"/>
      <c r="E54" s="1"/>
      <c r="F54" s="7"/>
      <c r="G54" s="7"/>
      <c r="H54" s="7"/>
      <c r="I54" s="7"/>
      <c r="J54" s="7"/>
      <c r="L54" s="7"/>
      <c r="N54" s="7">
        <f t="shared" si="3"/>
        <v>0</v>
      </c>
    </row>
    <row r="55" spans="1:17" x14ac:dyDescent="0.25">
      <c r="A55" s="1"/>
      <c r="B55" s="1"/>
      <c r="C55" s="1"/>
      <c r="D55" s="1"/>
      <c r="E55" s="1"/>
      <c r="H55" s="4"/>
    </row>
    <row r="56" spans="1:17" ht="18" x14ac:dyDescent="0.25">
      <c r="A56" s="8" t="s">
        <v>56</v>
      </c>
      <c r="B56" s="8"/>
      <c r="C56" s="9">
        <f>SUM(C5:C52)</f>
        <v>185999.99999999991</v>
      </c>
      <c r="D56" s="9">
        <f t="shared" ref="D56:Q56" si="8">SUM(D5:D52)</f>
        <v>17775656.000000004</v>
      </c>
      <c r="E56" s="9">
        <f t="shared" si="8"/>
        <v>0</v>
      </c>
      <c r="F56" s="9">
        <f t="shared" si="8"/>
        <v>919000</v>
      </c>
      <c r="G56" s="9">
        <f t="shared" si="8"/>
        <v>171000</v>
      </c>
      <c r="H56" s="9">
        <f t="shared" si="8"/>
        <v>22000</v>
      </c>
      <c r="I56" s="9">
        <f t="shared" si="8"/>
        <v>44000</v>
      </c>
      <c r="J56" s="9">
        <f t="shared" si="8"/>
        <v>110000</v>
      </c>
      <c r="K56" s="9">
        <f t="shared" si="8"/>
        <v>0</v>
      </c>
      <c r="L56" s="9">
        <f t="shared" si="8"/>
        <v>572000</v>
      </c>
      <c r="M56" s="9">
        <f t="shared" si="8"/>
        <v>2200000</v>
      </c>
      <c r="N56" s="9">
        <f t="shared" si="8"/>
        <v>186000</v>
      </c>
      <c r="O56" s="9">
        <f t="shared" si="8"/>
        <v>0</v>
      </c>
      <c r="P56" s="9">
        <f t="shared" si="8"/>
        <v>0</v>
      </c>
      <c r="Q56" s="9">
        <f t="shared" si="8"/>
        <v>0</v>
      </c>
    </row>
  </sheetData>
  <autoFilter ref="A4:O51"/>
  <dataValidations disablePrompts="1" count="1">
    <dataValidation type="list" allowBlank="1" showInputMessage="1" showErrorMessage="1" promptTitle="Saissisez le mode de VERSEMENT" sqref="H6:H54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pane xSplit="2" ySplit="4" topLeftCell="C23" activePane="bottomRight" state="frozen"/>
      <selection activeCell="B22" sqref="B22"/>
      <selection pane="topRight" activeCell="B22" sqref="B22"/>
      <selection pane="bottomLeft" activeCell="B22" sqref="B22"/>
      <selection pane="bottomRight" activeCell="A33" sqref="A33:XFD3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5" width="29.5703125" customWidth="1"/>
    <col min="6" max="6" width="13" style="2" customWidth="1"/>
    <col min="7" max="7" width="12.5703125" bestFit="1" customWidth="1"/>
    <col min="8" max="8" width="17.5703125" style="3" bestFit="1" customWidth="1"/>
    <col min="9" max="9" width="15.7109375" style="2" customWidth="1"/>
    <col min="10" max="10" width="14.7109375" style="2" customWidth="1"/>
    <col min="11" max="11" width="18.140625" style="2" bestFit="1" customWidth="1"/>
    <col min="12" max="12" width="18.140625" customWidth="1"/>
    <col min="13" max="13" width="15" bestFit="1" customWidth="1"/>
    <col min="14" max="14" width="12.5703125" bestFit="1" customWidth="1"/>
    <col min="15" max="15" width="18.140625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</row>
    <row r="2" spans="1:18" x14ac:dyDescent="0.25">
      <c r="A2" s="1" t="s">
        <v>2</v>
      </c>
      <c r="B2" s="1" t="s">
        <v>3</v>
      </c>
      <c r="C2" s="1"/>
      <c r="D2" s="1"/>
      <c r="E2" s="1"/>
    </row>
    <row r="3" spans="1:18" x14ac:dyDescent="0.25">
      <c r="A3" s="1" t="s">
        <v>4</v>
      </c>
      <c r="B3" s="1" t="s">
        <v>5</v>
      </c>
      <c r="C3" s="1"/>
      <c r="D3" s="1"/>
      <c r="E3" s="1"/>
    </row>
    <row r="4" spans="1:18" ht="29.25" x14ac:dyDescent="0.25">
      <c r="A4" s="1" t="s">
        <v>6</v>
      </c>
      <c r="B4" s="1" t="s">
        <v>7</v>
      </c>
      <c r="C4" s="5" t="s">
        <v>186</v>
      </c>
      <c r="D4" s="5" t="s">
        <v>187</v>
      </c>
      <c r="E4" s="1" t="s">
        <v>184</v>
      </c>
      <c r="F4" s="5" t="s">
        <v>65</v>
      </c>
      <c r="G4" s="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8</v>
      </c>
      <c r="P4" s="5" t="s">
        <v>182</v>
      </c>
      <c r="Q4" s="5" t="s">
        <v>181</v>
      </c>
    </row>
    <row r="5" spans="1:18" x14ac:dyDescent="0.25">
      <c r="A5" s="1" t="s">
        <v>185</v>
      </c>
      <c r="B5" s="1" t="str">
        <f>VLOOKUP(A5,LISTADHERENT!A$5:H$52,2,0)</f>
        <v>ASELBY</v>
      </c>
      <c r="C5" s="6">
        <f>$N$56/$D$56*D5</f>
        <v>401.49071086184892</v>
      </c>
      <c r="D5" s="6">
        <f>TONT20000JANV!C5+TONT20000JANV!D5+TONT20000FEV!G5</f>
        <v>323292.02607068635</v>
      </c>
      <c r="E5" s="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</row>
    <row r="6" spans="1:18" x14ac:dyDescent="0.25">
      <c r="A6" s="1" t="s">
        <v>11</v>
      </c>
      <c r="B6" s="1" t="str">
        <f>VLOOKUP(A6,LISTADHERENT!A$5:H$52,2,0)</f>
        <v>BAKOP ACHILLE</v>
      </c>
      <c r="C6" s="6">
        <f t="shared" ref="C6:C52" si="0">$N$56/$D$56*D6</f>
        <v>545.76761144944282</v>
      </c>
      <c r="D6" s="6">
        <f>TONT20000JANV!C6+TONT20000JANV!D6+TONT20000FEV!G6</f>
        <v>439467.99289700744</v>
      </c>
      <c r="E6" s="1"/>
      <c r="F6" s="7">
        <f t="shared" ref="F6:F52" si="1">G6+H6+I6+J6+K6+L6</f>
        <v>20000</v>
      </c>
      <c r="G6" s="7">
        <v>3000</v>
      </c>
      <c r="H6" s="7">
        <v>500</v>
      </c>
      <c r="I6" s="7">
        <v>1000</v>
      </c>
      <c r="J6" s="7">
        <v>2500</v>
      </c>
      <c r="K6" s="7"/>
      <c r="L6" s="7">
        <v>13000</v>
      </c>
      <c r="M6" s="7"/>
      <c r="N6" s="7">
        <f>IF(M6&lt;=500000,(M6*1*3/100),(M6*12/100))</f>
        <v>0</v>
      </c>
    </row>
    <row r="7" spans="1:18" x14ac:dyDescent="0.25">
      <c r="A7" s="1" t="s">
        <v>12</v>
      </c>
      <c r="B7" s="1" t="str">
        <f>VLOOKUP(A7,LISTADHERENT!A$5:H$51,2)</f>
        <v>BOUTCHOUANG WILLIAM</v>
      </c>
      <c r="C7" s="6">
        <f t="shared" si="0"/>
        <v>505.59645581866323</v>
      </c>
      <c r="D7" s="6">
        <f>TONT20000JANV!C7+TONT20000JANV!D7+TONT20000FEV!G7</f>
        <v>407121.00717074395</v>
      </c>
      <c r="E7" s="1"/>
      <c r="F7" s="7">
        <f t="shared" si="1"/>
        <v>20000</v>
      </c>
      <c r="G7" s="7">
        <v>3000</v>
      </c>
      <c r="H7" s="7">
        <v>500</v>
      </c>
      <c r="I7" s="7">
        <v>1000</v>
      </c>
      <c r="J7" s="7">
        <v>2500</v>
      </c>
      <c r="K7" s="7"/>
      <c r="L7" s="7">
        <v>13000</v>
      </c>
      <c r="M7" s="7"/>
      <c r="N7" s="7">
        <f t="shared" ref="N7:N54" si="2">IF(M7&lt;=500000,(M7*1*3/100),(M7*12/100))</f>
        <v>0</v>
      </c>
    </row>
    <row r="8" spans="1:18" x14ac:dyDescent="0.25">
      <c r="A8" s="1" t="s">
        <v>13</v>
      </c>
      <c r="B8" s="1" t="str">
        <f>VLOOKUP(A8,LISTADHERENT!A$5:H$51,2)</f>
        <v>CHINGUE FABRICE</v>
      </c>
      <c r="C8" s="6">
        <f t="shared" si="0"/>
        <v>505.77060822746716</v>
      </c>
      <c r="D8" s="6">
        <f>TONT20000JANV!C8+TONT20000JANV!D8+TONT20000FEV!G8</f>
        <v>407261.23976782314</v>
      </c>
      <c r="E8" s="1"/>
      <c r="F8" s="7">
        <f t="shared" si="1"/>
        <v>20000</v>
      </c>
      <c r="G8" s="7">
        <v>3000</v>
      </c>
      <c r="H8" s="7">
        <v>500</v>
      </c>
      <c r="I8" s="7">
        <v>1000</v>
      </c>
      <c r="J8" s="7">
        <v>2500</v>
      </c>
      <c r="K8" s="7"/>
      <c r="L8" s="7">
        <v>13000</v>
      </c>
      <c r="M8" s="7"/>
      <c r="N8" s="7">
        <f t="shared" si="2"/>
        <v>0</v>
      </c>
    </row>
    <row r="9" spans="1:18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513.73871191723674</v>
      </c>
      <c r="D9" s="6">
        <f>TONT20000JANV!C9+TONT20000JANV!D9+TONT20000FEV!G9</f>
        <v>413677.38917331537</v>
      </c>
      <c r="E9" s="1"/>
      <c r="F9" s="7">
        <f t="shared" si="1"/>
        <v>20000</v>
      </c>
      <c r="G9" s="7">
        <v>3000</v>
      </c>
      <c r="H9" s="7">
        <v>500</v>
      </c>
      <c r="I9" s="7">
        <v>1000</v>
      </c>
      <c r="J9" s="7">
        <v>2500</v>
      </c>
      <c r="K9" s="7"/>
      <c r="L9" s="7">
        <v>13000</v>
      </c>
      <c r="M9" s="7"/>
      <c r="N9" s="7">
        <f t="shared" si="2"/>
        <v>0</v>
      </c>
    </row>
    <row r="10" spans="1:18" x14ac:dyDescent="0.25">
      <c r="A10" s="1" t="s">
        <v>15</v>
      </c>
      <c r="B10" s="1" t="str">
        <f>VLOOKUP(A10,LISTADHERENT!A$5:H$51,2)</f>
        <v>DJOUKWE GUY</v>
      </c>
      <c r="C10" s="6">
        <f t="shared" si="0"/>
        <v>517.20787837957062</v>
      </c>
      <c r="D10" s="6">
        <f>TONT20000JANV!C10+TONT20000JANV!D10+TONT20000FEV!G10</f>
        <v>416470.86315426213</v>
      </c>
      <c r="E10" s="1"/>
      <c r="F10" s="7">
        <f t="shared" si="1"/>
        <v>20000</v>
      </c>
      <c r="G10" s="7">
        <v>3000</v>
      </c>
      <c r="H10" s="7">
        <v>500</v>
      </c>
      <c r="I10" s="7">
        <v>1000</v>
      </c>
      <c r="J10" s="7">
        <v>2500</v>
      </c>
      <c r="K10" s="7"/>
      <c r="L10" s="7">
        <v>13000</v>
      </c>
      <c r="M10" s="7">
        <v>250000</v>
      </c>
      <c r="N10" s="7">
        <f t="shared" si="2"/>
        <v>7500</v>
      </c>
    </row>
    <row r="11" spans="1:18" x14ac:dyDescent="0.25">
      <c r="A11" s="1" t="s">
        <v>16</v>
      </c>
      <c r="B11" s="1" t="str">
        <f>VLOOKUP(A11,LISTADHERENT!A$5:H$51,2)</f>
        <v>DJOSSEU JOSUE</v>
      </c>
      <c r="C11" s="6">
        <f t="shared" si="0"/>
        <v>6.3098698842013716</v>
      </c>
      <c r="D11" s="6">
        <f>TONT20000JANV!C11+TONT20000JANV!D11+TONT20000FEV!G11</f>
        <v>5080.8911985209015</v>
      </c>
      <c r="E11" s="1"/>
      <c r="F11" s="7">
        <f t="shared" si="1"/>
        <v>0</v>
      </c>
      <c r="G11" s="7"/>
      <c r="H11" s="7"/>
      <c r="I11" s="7"/>
      <c r="J11" s="7"/>
      <c r="K11" s="7"/>
      <c r="L11" s="7"/>
      <c r="M11" s="7"/>
      <c r="N11" s="7">
        <f t="shared" si="2"/>
        <v>0</v>
      </c>
    </row>
    <row r="12" spans="1:18" x14ac:dyDescent="0.25">
      <c r="A12" s="1" t="s">
        <v>17</v>
      </c>
      <c r="B12" s="1" t="str">
        <f>VLOOKUP(A12,LISTADHERENT!A$5:H$51,2)</f>
        <v>DJOUNKEP SAMUEL</v>
      </c>
      <c r="C12" s="6">
        <f t="shared" si="0"/>
        <v>1772.3312670347004</v>
      </c>
      <c r="D12" s="6">
        <f>TONT20000JANV!C12+TONT20000JANV!D12+TONT20000FEV!G12</f>
        <v>1427132.8095190597</v>
      </c>
      <c r="E12" s="1"/>
      <c r="F12" s="7">
        <f t="shared" si="1"/>
        <v>20000</v>
      </c>
      <c r="G12" s="7">
        <v>3000</v>
      </c>
      <c r="H12" s="7">
        <v>500</v>
      </c>
      <c r="I12" s="7">
        <v>1000</v>
      </c>
      <c r="J12" s="7">
        <v>2500</v>
      </c>
      <c r="K12" s="7"/>
      <c r="L12" s="7">
        <v>13000</v>
      </c>
      <c r="M12" s="7"/>
      <c r="N12" s="7">
        <f t="shared" si="2"/>
        <v>0</v>
      </c>
    </row>
    <row r="13" spans="1:18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414.01500431936461</v>
      </c>
      <c r="D13" s="6">
        <f>TONT20000JANV!C13+TONT20000JANV!D13+TONT20000FEV!G13</f>
        <v>333376.95231541165</v>
      </c>
      <c r="E13" s="1"/>
      <c r="F13" s="7">
        <f t="shared" si="1"/>
        <v>20000</v>
      </c>
      <c r="G13" s="7">
        <v>3000</v>
      </c>
      <c r="H13" s="7">
        <v>500</v>
      </c>
      <c r="I13" s="7">
        <v>1000</v>
      </c>
      <c r="J13" s="7">
        <v>2500</v>
      </c>
      <c r="K13" s="7"/>
      <c r="L13" s="7">
        <v>13000</v>
      </c>
      <c r="M13" s="7"/>
      <c r="N13" s="7">
        <f t="shared" si="2"/>
        <v>0</v>
      </c>
    </row>
    <row r="14" spans="1:18" x14ac:dyDescent="0.25">
      <c r="A14" s="1" t="s">
        <v>19</v>
      </c>
      <c r="B14" s="1" t="str">
        <f>VLOOKUP(A14,LISTADHERENT!A$5:H$51,2)</f>
        <v>DONHOU DAVID</v>
      </c>
      <c r="C14" s="6">
        <f t="shared" si="0"/>
        <v>559.89919604210024</v>
      </c>
      <c r="D14" s="6">
        <f>TONT20000JANV!C14+TONT20000JANV!D14+TONT20000FEV!G14</f>
        <v>450847.15682521486</v>
      </c>
      <c r="E14" s="1"/>
      <c r="F14" s="7">
        <f t="shared" si="1"/>
        <v>20000</v>
      </c>
      <c r="G14" s="7">
        <v>3000</v>
      </c>
      <c r="H14" s="7">
        <v>500</v>
      </c>
      <c r="I14" s="7">
        <v>1000</v>
      </c>
      <c r="J14" s="7">
        <v>2500</v>
      </c>
      <c r="K14" s="7"/>
      <c r="L14" s="7">
        <v>13000</v>
      </c>
      <c r="M14" s="7"/>
      <c r="N14" s="7">
        <f t="shared" si="2"/>
        <v>0</v>
      </c>
    </row>
    <row r="15" spans="1:18" x14ac:dyDescent="0.25">
      <c r="A15" s="1" t="s">
        <v>20</v>
      </c>
      <c r="B15" s="1" t="str">
        <f>VLOOKUP(A15,LISTADHERENT!A$5:H$51,2)</f>
        <v>FOTSO THOMAS</v>
      </c>
      <c r="C15" s="6">
        <f t="shared" si="0"/>
        <v>507.63328181728349</v>
      </c>
      <c r="D15" s="6">
        <f>TONT20000JANV!C15+TONT20000JANV!D15+TONT20000FEV!G15</f>
        <v>408761.11884962657</v>
      </c>
      <c r="E15" s="1"/>
      <c r="F15" s="7">
        <f t="shared" si="1"/>
        <v>20000</v>
      </c>
      <c r="G15" s="7">
        <v>3000</v>
      </c>
      <c r="H15" s="7">
        <v>500</v>
      </c>
      <c r="I15" s="7">
        <v>1000</v>
      </c>
      <c r="J15" s="7">
        <v>2500</v>
      </c>
      <c r="K15" s="7"/>
      <c r="L15" s="7">
        <v>13000</v>
      </c>
      <c r="M15" s="7"/>
      <c r="N15" s="7">
        <f t="shared" si="2"/>
        <v>0</v>
      </c>
    </row>
    <row r="16" spans="1:18" x14ac:dyDescent="0.25">
      <c r="A16" s="1" t="s">
        <v>21</v>
      </c>
      <c r="B16" s="1" t="str">
        <f>VLOOKUP(A16,LISTADHERENT!A$5:H$51,2)</f>
        <v>HENGUE PAUL OMER</v>
      </c>
      <c r="C16" s="6">
        <f t="shared" si="0"/>
        <v>503.44605216212744</v>
      </c>
      <c r="D16" s="6">
        <f>TONT20000JANV!C16+TONT20000JANV!D16+TONT20000FEV!G16</f>
        <v>405389.43945028808</v>
      </c>
      <c r="E16" s="1"/>
      <c r="F16" s="7">
        <f t="shared" si="1"/>
        <v>20000</v>
      </c>
      <c r="G16" s="7">
        <v>3000</v>
      </c>
      <c r="H16" s="7">
        <v>500</v>
      </c>
      <c r="I16" s="7">
        <v>1000</v>
      </c>
      <c r="J16" s="7">
        <v>2500</v>
      </c>
      <c r="K16" s="7"/>
      <c r="L16" s="7">
        <v>13000</v>
      </c>
      <c r="M16" s="7"/>
      <c r="N16" s="7">
        <f t="shared" si="2"/>
        <v>0</v>
      </c>
    </row>
    <row r="17" spans="1:14" x14ac:dyDescent="0.25">
      <c r="A17" s="1" t="s">
        <v>22</v>
      </c>
      <c r="B17" s="1" t="str">
        <f>VLOOKUP(A17,LISTADHERENT!A$5:H$51,2)</f>
        <v>HODIEP JULES</v>
      </c>
      <c r="C17" s="6">
        <f t="shared" si="0"/>
        <v>11.276201194420562</v>
      </c>
      <c r="D17" s="6">
        <f>TONT20000JANV!C17+TONT20000JANV!D17+TONT20000FEV!G17</f>
        <v>9079.9259656578161</v>
      </c>
      <c r="E17" s="1"/>
      <c r="F17" s="7">
        <f t="shared" si="1"/>
        <v>20000</v>
      </c>
      <c r="G17" s="7">
        <v>3000</v>
      </c>
      <c r="H17" s="7">
        <v>500</v>
      </c>
      <c r="I17" s="7">
        <v>1000</v>
      </c>
      <c r="J17" s="7">
        <v>2500</v>
      </c>
      <c r="K17" s="7"/>
      <c r="L17" s="7">
        <v>13000</v>
      </c>
      <c r="M17" s="7"/>
      <c r="N17" s="7">
        <f t="shared" si="2"/>
        <v>0</v>
      </c>
    </row>
    <row r="18" spans="1:14" x14ac:dyDescent="0.25">
      <c r="A18" s="1" t="s">
        <v>23</v>
      </c>
      <c r="B18" s="1" t="str">
        <f>VLOOKUP(A18,LISTADHERENT!A$5:H$51,2)</f>
        <v>HOTCHO BENJAMIN</v>
      </c>
      <c r="C18" s="6">
        <f t="shared" si="0"/>
        <v>514.45425116210515</v>
      </c>
      <c r="D18" s="6">
        <f>TONT20000JANV!C18+TONT20000JANV!D18+TONT20000FEV!G18</f>
        <v>414253.56223522761</v>
      </c>
      <c r="E18" s="1"/>
      <c r="F18" s="7">
        <f t="shared" si="1"/>
        <v>20000</v>
      </c>
      <c r="G18" s="7">
        <v>3000</v>
      </c>
      <c r="H18" s="7">
        <v>500</v>
      </c>
      <c r="I18" s="7">
        <v>1000</v>
      </c>
      <c r="J18" s="7">
        <v>2500</v>
      </c>
      <c r="K18" s="7"/>
      <c r="L18" s="7">
        <v>13000</v>
      </c>
      <c r="M18" s="7"/>
      <c r="N18" s="7">
        <f t="shared" si="2"/>
        <v>0</v>
      </c>
    </row>
    <row r="19" spans="1:14" x14ac:dyDescent="0.25">
      <c r="A19" s="1" t="s">
        <v>24</v>
      </c>
      <c r="B19" s="1" t="str">
        <f>VLOOKUP(A19,LISTADHERENT!A$5:H$51,2)</f>
        <v>KEPHE DAVID</v>
      </c>
      <c r="C19" s="6">
        <f t="shared" si="0"/>
        <v>27.423158228091868</v>
      </c>
      <c r="D19" s="6">
        <f>TONT20000JANV!C19+TONT20000JANV!D19+TONT20000FEV!G19</f>
        <v>22081.926542672802</v>
      </c>
      <c r="E19" s="1"/>
      <c r="F19" s="7">
        <f t="shared" si="1"/>
        <v>20000</v>
      </c>
      <c r="G19" s="7">
        <v>3000</v>
      </c>
      <c r="H19" s="7">
        <v>500</v>
      </c>
      <c r="I19" s="7">
        <v>1000</v>
      </c>
      <c r="J19" s="7">
        <v>2500</v>
      </c>
      <c r="K19" s="7"/>
      <c r="L19" s="7">
        <v>13000</v>
      </c>
      <c r="M19" s="7"/>
      <c r="N19" s="7">
        <f t="shared" si="2"/>
        <v>0</v>
      </c>
    </row>
    <row r="20" spans="1:14" x14ac:dyDescent="0.25">
      <c r="A20" s="1" t="s">
        <v>25</v>
      </c>
      <c r="B20" s="1" t="str">
        <f>VLOOKUP(A20,LISTADHERENT!A$5:H$51,2)</f>
        <v>KEPSEU FRANCIS</v>
      </c>
      <c r="C20" s="6">
        <f t="shared" si="0"/>
        <v>750.70760110374874</v>
      </c>
      <c r="D20" s="6">
        <f>TONT20000JANV!C20+TONT20000JANV!D20+TONT20000FEV!G20</f>
        <v>604491.64770590852</v>
      </c>
      <c r="E20" s="1"/>
      <c r="F20" s="7">
        <f t="shared" si="1"/>
        <v>23000</v>
      </c>
      <c r="G20" s="7">
        <v>6000</v>
      </c>
      <c r="H20" s="7">
        <v>500</v>
      </c>
      <c r="I20" s="7">
        <v>1000</v>
      </c>
      <c r="J20" s="7">
        <v>2500</v>
      </c>
      <c r="K20" s="7"/>
      <c r="L20" s="7">
        <v>13000</v>
      </c>
      <c r="M20" s="7"/>
      <c r="N20" s="7">
        <f t="shared" si="2"/>
        <v>0</v>
      </c>
    </row>
    <row r="21" spans="1:14" x14ac:dyDescent="0.25">
      <c r="A21" s="1" t="s">
        <v>26</v>
      </c>
      <c r="B21" s="1" t="str">
        <f>VLOOKUP(A21,LISTADHERENT!A$5:H$51,2)</f>
        <v>KOUAMOU EMMANUEL</v>
      </c>
      <c r="C21" s="6">
        <f t="shared" si="0"/>
        <v>506.88240730106349</v>
      </c>
      <c r="D21" s="6">
        <f>TONT20000JANV!C21+TONT20000JANV!D21+TONT20000FEV!G21</f>
        <v>408156.49279700255</v>
      </c>
      <c r="E21" s="1"/>
      <c r="F21" s="7">
        <f t="shared" si="1"/>
        <v>20000</v>
      </c>
      <c r="G21" s="7">
        <v>3000</v>
      </c>
      <c r="H21" s="7">
        <v>500</v>
      </c>
      <c r="I21" s="7">
        <v>1000</v>
      </c>
      <c r="J21" s="7">
        <v>2500</v>
      </c>
      <c r="K21" s="7"/>
      <c r="L21" s="7">
        <v>13000</v>
      </c>
      <c r="M21" s="7"/>
      <c r="N21" s="7">
        <f t="shared" si="2"/>
        <v>0</v>
      </c>
    </row>
    <row r="22" spans="1:14" x14ac:dyDescent="0.25">
      <c r="A22" s="1" t="s">
        <v>27</v>
      </c>
      <c r="B22" s="1" t="str">
        <f>VLOOKUP(A22,LISTADHERENT!A$5:H$51,2)</f>
        <v>KOUAMOU MOISE</v>
      </c>
      <c r="C22" s="6">
        <f t="shared" si="0"/>
        <v>411.44688727649458</v>
      </c>
      <c r="D22" s="6">
        <f>TONT20000JANV!C22+TONT20000JANV!D22+TONT20000FEV!G22</f>
        <v>331309.02959761361</v>
      </c>
      <c r="E22" s="1"/>
      <c r="F22" s="7">
        <f t="shared" si="1"/>
        <v>20000</v>
      </c>
      <c r="G22" s="7">
        <v>3000</v>
      </c>
      <c r="H22" s="7">
        <v>500</v>
      </c>
      <c r="I22" s="7">
        <v>1000</v>
      </c>
      <c r="J22" s="7">
        <v>2500</v>
      </c>
      <c r="K22" s="7"/>
      <c r="L22" s="7">
        <v>13000</v>
      </c>
      <c r="M22" s="7"/>
      <c r="N22" s="7">
        <f t="shared" si="2"/>
        <v>0</v>
      </c>
    </row>
    <row r="23" spans="1:14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549.67089695980985</v>
      </c>
      <c r="D23" s="6">
        <f>TONT20000JANV!C23+TONT20000JANV!D23+TONT20000FEV!G23</f>
        <v>442611.03219241247</v>
      </c>
      <c r="E23" s="1"/>
      <c r="F23" s="7">
        <f t="shared" si="1"/>
        <v>20000</v>
      </c>
      <c r="G23" s="7">
        <v>3000</v>
      </c>
      <c r="H23" s="7">
        <v>500</v>
      </c>
      <c r="I23" s="7">
        <v>1000</v>
      </c>
      <c r="J23" s="7">
        <v>2500</v>
      </c>
      <c r="K23" s="7"/>
      <c r="L23" s="7">
        <v>13000</v>
      </c>
      <c r="M23" s="7"/>
      <c r="N23" s="7">
        <f t="shared" si="2"/>
        <v>0</v>
      </c>
    </row>
    <row r="24" spans="1:14" x14ac:dyDescent="0.25">
      <c r="A24" s="1" t="s">
        <v>29</v>
      </c>
      <c r="B24" s="1" t="str">
        <f>VLOOKUP(A24,LISTADHERENT!A$5:H$51,2)</f>
        <v>KOUATCHO MESSACK</v>
      </c>
      <c r="C24" s="6">
        <f t="shared" si="0"/>
        <v>503.44605216212744</v>
      </c>
      <c r="D24" s="6">
        <f>TONT20000JANV!C24+TONT20000JANV!D24+TONT20000FEV!G24</f>
        <v>405389.43945028808</v>
      </c>
      <c r="E24" s="1"/>
      <c r="F24" s="7">
        <f t="shared" si="1"/>
        <v>20000</v>
      </c>
      <c r="G24" s="7">
        <v>3000</v>
      </c>
      <c r="H24" s="7">
        <v>500</v>
      </c>
      <c r="I24" s="7">
        <v>1000</v>
      </c>
      <c r="J24" s="7">
        <v>2500</v>
      </c>
      <c r="K24" s="7"/>
      <c r="L24" s="7">
        <v>13000</v>
      </c>
      <c r="M24" s="7"/>
      <c r="N24" s="7">
        <f t="shared" si="2"/>
        <v>0</v>
      </c>
    </row>
    <row r="25" spans="1:14" x14ac:dyDescent="0.25">
      <c r="A25" s="1" t="s">
        <v>30</v>
      </c>
      <c r="B25" s="1" t="str">
        <f>VLOOKUP(A25,LISTADHERENT!A$5:H$51,2)</f>
        <v>LOWE JEAN</v>
      </c>
      <c r="C25" s="6">
        <f t="shared" si="0"/>
        <v>508.9116614558227</v>
      </c>
      <c r="D25" s="6">
        <f>TONT20000JANV!C25+TONT20000JANV!D25+TONT20000FEV!G25</f>
        <v>409790.50740644691</v>
      </c>
      <c r="E25" s="1"/>
      <c r="F25" s="7">
        <f t="shared" si="1"/>
        <v>20000</v>
      </c>
      <c r="G25" s="7">
        <v>3000</v>
      </c>
      <c r="H25" s="7">
        <v>500</v>
      </c>
      <c r="I25" s="7">
        <v>1000</v>
      </c>
      <c r="J25" s="7">
        <v>2500</v>
      </c>
      <c r="K25" s="7"/>
      <c r="L25" s="7">
        <v>13000</v>
      </c>
      <c r="M25" s="7"/>
      <c r="N25" s="7">
        <f t="shared" si="2"/>
        <v>0</v>
      </c>
    </row>
    <row r="26" spans="1:14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509.01261937396987</v>
      </c>
      <c r="D26" s="6">
        <f>TONT20000JANV!C26+TONT20000JANV!D26+TONT20000FEV!G26</f>
        <v>409871.80166562321</v>
      </c>
      <c r="E26" s="1"/>
      <c r="F26" s="7">
        <f t="shared" si="1"/>
        <v>20000</v>
      </c>
      <c r="G26" s="7">
        <v>3000</v>
      </c>
      <c r="H26" s="7">
        <v>500</v>
      </c>
      <c r="I26" s="7">
        <v>1000</v>
      </c>
      <c r="J26" s="7">
        <v>2500</v>
      </c>
      <c r="K26" s="7"/>
      <c r="L26" s="7">
        <v>13000</v>
      </c>
      <c r="M26" s="7"/>
      <c r="N26" s="7">
        <f t="shared" si="2"/>
        <v>0</v>
      </c>
    </row>
    <row r="27" spans="1:14" x14ac:dyDescent="0.25">
      <c r="A27" s="1" t="s">
        <v>32</v>
      </c>
      <c r="B27" s="1" t="str">
        <f>VLOOKUP(A27,LISTADHERENT!A$5:H$51,2)</f>
        <v>NDJOMO ETIENNE</v>
      </c>
      <c r="C27" s="6">
        <f t="shared" si="0"/>
        <v>524.83938721178595</v>
      </c>
      <c r="D27" s="6">
        <f>TONT20000JANV!C27+TONT20000JANV!D27+TONT20000FEV!G27</f>
        <v>422615.97656684171</v>
      </c>
      <c r="E27" s="1"/>
      <c r="F27" s="7">
        <f t="shared" si="1"/>
        <v>25000</v>
      </c>
      <c r="G27" s="7">
        <v>8000</v>
      </c>
      <c r="H27" s="7">
        <v>500</v>
      </c>
      <c r="I27" s="7">
        <v>1000</v>
      </c>
      <c r="J27" s="7">
        <v>2500</v>
      </c>
      <c r="K27" s="7"/>
      <c r="L27" s="7">
        <v>13000</v>
      </c>
      <c r="M27" s="7"/>
      <c r="N27" s="7">
        <f t="shared" si="2"/>
        <v>0</v>
      </c>
    </row>
    <row r="28" spans="1:14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TONT20000JANV!C28+TONT20000JANV!D28+TONT20000FEV!G28</f>
        <v>0</v>
      </c>
      <c r="E28" s="1"/>
      <c r="F28" s="7">
        <f t="shared" si="1"/>
        <v>0</v>
      </c>
      <c r="G28" s="7"/>
      <c r="H28" s="7"/>
      <c r="I28" s="7"/>
      <c r="J28" s="7"/>
      <c r="K28" s="7"/>
      <c r="L28" s="7"/>
      <c r="M28" s="7"/>
      <c r="N28" s="7">
        <f t="shared" si="2"/>
        <v>0</v>
      </c>
    </row>
    <row r="29" spans="1:14" x14ac:dyDescent="0.25">
      <c r="A29" s="1" t="s">
        <v>34</v>
      </c>
      <c r="B29" s="1" t="str">
        <f>VLOOKUP(A29,LISTADHERENT!A$5:H$51,2)</f>
        <v>NGONDIEP CLAUDE</v>
      </c>
      <c r="C29" s="6">
        <f t="shared" si="0"/>
        <v>730.06376707924278</v>
      </c>
      <c r="D29" s="6">
        <f>TONT20000JANV!C29+TONT20000JANV!D29+TONT20000FEV!G29</f>
        <v>587868.6306669265</v>
      </c>
      <c r="E29" s="1"/>
      <c r="F29" s="7">
        <f t="shared" si="1"/>
        <v>20000</v>
      </c>
      <c r="G29" s="7">
        <v>3000</v>
      </c>
      <c r="H29" s="7">
        <v>500</v>
      </c>
      <c r="I29" s="7">
        <v>1000</v>
      </c>
      <c r="J29" s="7">
        <v>2500</v>
      </c>
      <c r="K29" s="7"/>
      <c r="L29" s="7">
        <v>13000</v>
      </c>
      <c r="M29" s="7"/>
      <c r="N29" s="7">
        <f t="shared" si="2"/>
        <v>0</v>
      </c>
    </row>
    <row r="30" spans="1:14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11.276201194420562</v>
      </c>
      <c r="D30" s="6">
        <f>TONT20000JANV!C30+TONT20000JANV!D30+TONT20000FEV!G30</f>
        <v>9079.9259656578161</v>
      </c>
      <c r="E30" s="1"/>
      <c r="F30" s="7">
        <f t="shared" si="1"/>
        <v>20000</v>
      </c>
      <c r="G30" s="7">
        <v>3000</v>
      </c>
      <c r="H30" s="7">
        <v>500</v>
      </c>
      <c r="I30" s="7">
        <v>1000</v>
      </c>
      <c r="J30" s="7">
        <v>2500</v>
      </c>
      <c r="K30" s="7"/>
      <c r="L30" s="7">
        <v>13000</v>
      </c>
      <c r="M30" s="7"/>
      <c r="N30" s="7">
        <f t="shared" si="2"/>
        <v>0</v>
      </c>
    </row>
    <row r="31" spans="1:14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30.065731735595399</v>
      </c>
      <c r="D31" s="6">
        <f>TONT20000JANV!C31+TONT20000JANV!D31+TONT20000FEV!G31</f>
        <v>24209.803776613353</v>
      </c>
      <c r="E31" s="1"/>
      <c r="F31" s="7">
        <f t="shared" si="1"/>
        <v>20000</v>
      </c>
      <c r="G31" s="7">
        <v>3000</v>
      </c>
      <c r="H31" s="7">
        <v>500</v>
      </c>
      <c r="I31" s="7">
        <v>1000</v>
      </c>
      <c r="J31" s="7">
        <v>2500</v>
      </c>
      <c r="K31" s="7"/>
      <c r="L31" s="7">
        <v>13000</v>
      </c>
      <c r="M31" s="7"/>
      <c r="N31" s="7">
        <f t="shared" si="2"/>
        <v>0</v>
      </c>
    </row>
    <row r="32" spans="1:14" x14ac:dyDescent="0.25">
      <c r="A32" s="1" t="s">
        <v>37</v>
      </c>
      <c r="B32" s="1" t="str">
        <f>VLOOKUP(A32,LISTADHERENT!A$5:H$51,2)</f>
        <v>NJEPDJIO MBOUKAM DELUXE</v>
      </c>
      <c r="C32" s="6">
        <f t="shared" si="0"/>
        <v>514.36767551167918</v>
      </c>
      <c r="D32" s="6">
        <f>TONT20000JANV!C32+TONT20000JANV!D32+TONT20000FEV!G32</f>
        <v>414183.84899734345</v>
      </c>
      <c r="E32" s="1"/>
      <c r="F32" s="7">
        <f t="shared" si="1"/>
        <v>25000</v>
      </c>
      <c r="G32" s="7">
        <v>8000</v>
      </c>
      <c r="H32" s="7">
        <v>500</v>
      </c>
      <c r="I32" s="7">
        <v>1000</v>
      </c>
      <c r="J32" s="7">
        <v>2500</v>
      </c>
      <c r="K32" s="7"/>
      <c r="L32" s="7">
        <v>13000</v>
      </c>
      <c r="M32" s="7"/>
      <c r="N32" s="7">
        <f t="shared" si="2"/>
        <v>0</v>
      </c>
    </row>
    <row r="33" spans="1:14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22.552402388841124</v>
      </c>
      <c r="D33" s="6">
        <f>TONT20000JANV!C33+TONT20000JANV!D33+TONT20000FEV!G33</f>
        <v>18159.851931315632</v>
      </c>
      <c r="E33" s="1"/>
      <c r="F33" s="7">
        <f t="shared" si="1"/>
        <v>23000</v>
      </c>
      <c r="G33" s="7">
        <v>6000</v>
      </c>
      <c r="H33" s="7">
        <v>500</v>
      </c>
      <c r="I33" s="7">
        <v>1000</v>
      </c>
      <c r="J33" s="7">
        <v>2500</v>
      </c>
      <c r="K33" s="7"/>
      <c r="L33" s="7">
        <v>13000</v>
      </c>
      <c r="M33" s="7"/>
      <c r="N33" s="7">
        <f t="shared" si="2"/>
        <v>0</v>
      </c>
    </row>
    <row r="34" spans="1:14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533.26811140310224</v>
      </c>
      <c r="D34" s="6">
        <f>TONT20000JANV!C34+TONT20000JANV!D34+TONT20000FEV!G34</f>
        <v>429403.03102982597</v>
      </c>
      <c r="E34" s="1"/>
      <c r="F34" s="10">
        <f>G34+H34+I34+J34+K34+L34</f>
        <v>25000</v>
      </c>
      <c r="G34" s="7">
        <v>8000</v>
      </c>
      <c r="H34" s="7">
        <v>500</v>
      </c>
      <c r="I34" s="7">
        <v>1000</v>
      </c>
      <c r="J34" s="7">
        <v>2500</v>
      </c>
      <c r="K34" s="7"/>
      <c r="L34" s="7">
        <v>13000</v>
      </c>
      <c r="M34" s="7"/>
      <c r="N34" s="7">
        <f t="shared" si="2"/>
        <v>0</v>
      </c>
    </row>
    <row r="35" spans="1:14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513.52039041924331</v>
      </c>
      <c r="D35" s="6">
        <f>TONT20000JANV!C35+TONT20000JANV!D35+TONT20000FEV!G35</f>
        <v>413501.59033784654</v>
      </c>
      <c r="E35" s="1"/>
      <c r="F35" s="7">
        <f t="shared" si="1"/>
        <v>20000</v>
      </c>
      <c r="G35" s="7">
        <v>3000</v>
      </c>
      <c r="H35" s="7">
        <v>500</v>
      </c>
      <c r="I35" s="7">
        <v>1000</v>
      </c>
      <c r="J35" s="7">
        <v>2500</v>
      </c>
      <c r="K35" s="7"/>
      <c r="L35" s="7">
        <v>13000</v>
      </c>
      <c r="M35" s="7"/>
      <c r="N35" s="7">
        <f t="shared" si="2"/>
        <v>0</v>
      </c>
    </row>
    <row r="36" spans="1:14" x14ac:dyDescent="0.25">
      <c r="A36" s="1" t="s">
        <v>41</v>
      </c>
      <c r="B36" s="1" t="str">
        <f>VLOOKUP(A36,LISTADHERENT!A$5:H$51,2)</f>
        <v>NTEPDIE TUEMAC MZ</v>
      </c>
      <c r="C36" s="6">
        <f t="shared" si="0"/>
        <v>7.5505536824024508</v>
      </c>
      <c r="D36" s="6">
        <f>TONT20000JANV!C36+TONT20000JANV!D36+TONT20000FEV!G36</f>
        <v>6079.9259656578161</v>
      </c>
      <c r="E36" s="1"/>
      <c r="F36" s="7">
        <f t="shared" si="1"/>
        <v>0</v>
      </c>
      <c r="G36" s="7"/>
      <c r="H36" s="7"/>
      <c r="I36" s="7"/>
      <c r="J36" s="7"/>
      <c r="K36" s="7"/>
      <c r="L36" s="7"/>
      <c r="M36" s="7"/>
      <c r="N36" s="7">
        <f t="shared" si="2"/>
        <v>0</v>
      </c>
    </row>
    <row r="37" spans="1:14" x14ac:dyDescent="0.25">
      <c r="A37" s="1" t="s">
        <v>42</v>
      </c>
      <c r="B37" s="1" t="str">
        <f>VLOOKUP(A37,LISTADHERENT!A$5:H$51,2)</f>
        <v>NTOMBOU ADOLPHE</v>
      </c>
      <c r="C37" s="6">
        <f t="shared" si="0"/>
        <v>11.276201194420562</v>
      </c>
      <c r="D37" s="6">
        <f>TONT20000JANV!C37+TONT20000JANV!D37+TONT20000FEV!G37</f>
        <v>9079.9259656578161</v>
      </c>
      <c r="E37" s="1"/>
      <c r="F37" s="7">
        <f t="shared" si="1"/>
        <v>20000</v>
      </c>
      <c r="G37" s="7">
        <v>3000</v>
      </c>
      <c r="H37" s="7">
        <v>500</v>
      </c>
      <c r="I37" s="7">
        <v>1000</v>
      </c>
      <c r="J37" s="7">
        <v>2500</v>
      </c>
      <c r="K37" s="7"/>
      <c r="L37" s="7">
        <v>13000</v>
      </c>
      <c r="M37" s="7"/>
      <c r="N37" s="7">
        <f t="shared" si="2"/>
        <v>0</v>
      </c>
    </row>
    <row r="38" spans="1:14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503.62272851888508</v>
      </c>
      <c r="D38" s="6">
        <f>TONT20000JANV!C38+TONT20000JANV!D38+TONT20000FEV!G38</f>
        <v>405531.70440384664</v>
      </c>
      <c r="E38" s="1"/>
      <c r="F38" s="7">
        <f t="shared" si="1"/>
        <v>20000</v>
      </c>
      <c r="G38" s="7">
        <v>3000</v>
      </c>
      <c r="H38" s="7">
        <v>500</v>
      </c>
      <c r="I38" s="7">
        <v>1000</v>
      </c>
      <c r="J38" s="7">
        <v>2500</v>
      </c>
      <c r="K38" s="7"/>
      <c r="L38" s="7">
        <v>13000</v>
      </c>
      <c r="M38" s="7"/>
      <c r="N38" s="7">
        <f t="shared" si="2"/>
        <v>0</v>
      </c>
    </row>
    <row r="39" spans="1:14" x14ac:dyDescent="0.25">
      <c r="A39" s="1" t="s">
        <v>44</v>
      </c>
      <c r="B39" s="1" t="str">
        <f>VLOOKUP(A39,LISTADHERENT!A$5:H$51,2)</f>
        <v>SEUNOU RICHELOT</v>
      </c>
      <c r="C39" s="6">
        <f t="shared" si="0"/>
        <v>506.767567669171</v>
      </c>
      <c r="D39" s="6">
        <f>TONT20000JANV!C39+TONT20000JANV!D39+TONT20000FEV!G39</f>
        <v>408064.02057718945</v>
      </c>
      <c r="E39" s="1"/>
      <c r="F39" s="7">
        <f t="shared" si="1"/>
        <v>20000</v>
      </c>
      <c r="G39" s="7">
        <v>3000</v>
      </c>
      <c r="H39" s="7">
        <v>500</v>
      </c>
      <c r="I39" s="7">
        <v>1000</v>
      </c>
      <c r="J39" s="7">
        <v>2500</v>
      </c>
      <c r="K39" s="7"/>
      <c r="L39" s="7">
        <v>13000</v>
      </c>
      <c r="M39" s="7"/>
      <c r="N39" s="7">
        <f t="shared" si="2"/>
        <v>0</v>
      </c>
    </row>
    <row r="40" spans="1:14" x14ac:dyDescent="0.25">
      <c r="A40" s="1" t="s">
        <v>45</v>
      </c>
      <c r="B40" s="1" t="str">
        <f>VLOOKUP(A40,LISTADHERENT!A$5:H$51,2)</f>
        <v>SIME ABEL</v>
      </c>
      <c r="C40" s="6">
        <f t="shared" si="0"/>
        <v>11.276201194420562</v>
      </c>
      <c r="D40" s="6">
        <f>TONT20000JANV!C40+TONT20000JANV!D40+TONT20000FEV!G40</f>
        <v>9079.9259656578161</v>
      </c>
      <c r="E40" s="1"/>
      <c r="F40" s="7">
        <f t="shared" si="1"/>
        <v>20000</v>
      </c>
      <c r="G40" s="7">
        <v>3000</v>
      </c>
      <c r="H40" s="7">
        <v>500</v>
      </c>
      <c r="I40" s="7">
        <v>1000</v>
      </c>
      <c r="J40" s="7">
        <v>2500</v>
      </c>
      <c r="K40" s="7"/>
      <c r="L40" s="7">
        <v>13000</v>
      </c>
      <c r="M40" s="7"/>
      <c r="N40" s="7">
        <f t="shared" si="2"/>
        <v>0</v>
      </c>
    </row>
    <row r="41" spans="1:14" x14ac:dyDescent="0.25">
      <c r="A41" s="1" t="s">
        <v>46</v>
      </c>
      <c r="B41" s="1" t="str">
        <f>VLOOKUP(A41,LISTADHERENT!A$5:H$51,2)</f>
        <v>SIME FONGANG ERIC</v>
      </c>
      <c r="C41" s="6">
        <f t="shared" si="0"/>
        <v>504.68531060738462</v>
      </c>
      <c r="D41" s="6">
        <f>TONT20000JANV!C41+TONT20000JANV!D41+TONT20000FEV!G41</f>
        <v>406387.32648167759</v>
      </c>
      <c r="E41" s="1"/>
      <c r="F41" s="7">
        <f t="shared" si="1"/>
        <v>20000</v>
      </c>
      <c r="G41" s="7">
        <v>3000</v>
      </c>
      <c r="H41" s="7">
        <v>500</v>
      </c>
      <c r="I41" s="7">
        <v>1000</v>
      </c>
      <c r="J41" s="7">
        <v>2500</v>
      </c>
      <c r="K41" s="7"/>
      <c r="L41" s="7">
        <v>13000</v>
      </c>
      <c r="M41" s="7"/>
      <c r="N41" s="7">
        <f t="shared" si="2"/>
        <v>0</v>
      </c>
    </row>
    <row r="42" spans="1:14" x14ac:dyDescent="0.25">
      <c r="A42" s="1" t="s">
        <v>47</v>
      </c>
      <c r="B42" s="1" t="str">
        <f>VLOOKUP(A42,LISTADHERENT!A$5:H$51,2)</f>
        <v>SIME MATHIEU</v>
      </c>
      <c r="C42" s="6">
        <f t="shared" si="0"/>
        <v>504.24866761139788</v>
      </c>
      <c r="D42" s="6">
        <f>TONT20000JANV!C42+TONT20000JANV!D42+TONT20000FEV!G42</f>
        <v>406035.72881073994</v>
      </c>
      <c r="E42" s="1"/>
      <c r="F42" s="7">
        <f t="shared" si="1"/>
        <v>20000</v>
      </c>
      <c r="G42" s="7">
        <v>3000</v>
      </c>
      <c r="H42" s="7">
        <v>500</v>
      </c>
      <c r="I42" s="7">
        <v>1000</v>
      </c>
      <c r="J42" s="7">
        <v>2500</v>
      </c>
      <c r="K42" s="7"/>
      <c r="L42" s="7">
        <v>13000</v>
      </c>
      <c r="M42" s="7"/>
      <c r="N42" s="7">
        <f t="shared" si="2"/>
        <v>0</v>
      </c>
    </row>
    <row r="43" spans="1:14" x14ac:dyDescent="0.25">
      <c r="A43" s="1" t="s">
        <v>48</v>
      </c>
      <c r="B43" s="1" t="str">
        <f>VLOOKUP(A43,LISTADHERENT!A$5:H$51,2)</f>
        <v>SIME PIERRE</v>
      </c>
      <c r="C43" s="6">
        <f t="shared" si="0"/>
        <v>1798.3310483444188</v>
      </c>
      <c r="D43" s="6">
        <f>TONT20000JANV!C43+TONT20000JANV!D43+TONT20000FEV!G43</f>
        <v>1448068.5914677135</v>
      </c>
      <c r="E43" s="1"/>
      <c r="F43" s="7">
        <f t="shared" si="1"/>
        <v>20000</v>
      </c>
      <c r="G43" s="7">
        <v>3000</v>
      </c>
      <c r="H43" s="7">
        <v>500</v>
      </c>
      <c r="I43" s="7">
        <v>1000</v>
      </c>
      <c r="J43" s="7">
        <v>2500</v>
      </c>
      <c r="K43" s="7"/>
      <c r="L43" s="7">
        <v>13000</v>
      </c>
      <c r="M43" s="7"/>
      <c r="N43" s="7">
        <f t="shared" si="2"/>
        <v>0</v>
      </c>
    </row>
    <row r="44" spans="1:14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11.276201194420562</v>
      </c>
      <c r="D44" s="6">
        <f>TONT20000JANV!C44+TONT20000JANV!D44+TONT20000FEV!G44</f>
        <v>9079.9259656578161</v>
      </c>
      <c r="E44" s="1"/>
      <c r="F44" s="7">
        <f t="shared" si="1"/>
        <v>20000</v>
      </c>
      <c r="G44" s="7">
        <v>3000</v>
      </c>
      <c r="H44" s="7">
        <v>500</v>
      </c>
      <c r="I44" s="7">
        <v>1000</v>
      </c>
      <c r="J44" s="7">
        <v>2500</v>
      </c>
      <c r="K44" s="7"/>
      <c r="L44" s="7">
        <v>13000</v>
      </c>
      <c r="M44" s="7"/>
      <c r="N44" s="7">
        <f t="shared" si="2"/>
        <v>0</v>
      </c>
    </row>
    <row r="45" spans="1:14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11.276201194420562</v>
      </c>
      <c r="D45" s="6">
        <f>TONT20000JANV!C45+TONT20000JANV!D45+TONT20000FEV!G45</f>
        <v>9079.9259656578161</v>
      </c>
      <c r="E45" s="1"/>
      <c r="F45" s="7">
        <f t="shared" si="1"/>
        <v>20000</v>
      </c>
      <c r="G45" s="7">
        <v>3000</v>
      </c>
      <c r="H45" s="7">
        <v>500</v>
      </c>
      <c r="I45" s="7">
        <v>1000</v>
      </c>
      <c r="J45" s="7">
        <v>2500</v>
      </c>
      <c r="K45" s="7"/>
      <c r="L45" s="7">
        <v>13000</v>
      </c>
      <c r="M45" s="7"/>
      <c r="N45" s="7">
        <f t="shared" si="2"/>
        <v>0</v>
      </c>
    </row>
    <row r="46" spans="1:14" x14ac:dyDescent="0.25">
      <c r="A46" s="1" t="s">
        <v>51</v>
      </c>
      <c r="B46" s="1" t="str">
        <f>VLOOKUP(A46,LISTADHERENT!A$5:H$51,2)</f>
        <v>TCHOUAMOU MATHIEU</v>
      </c>
      <c r="C46" s="6">
        <f t="shared" si="0"/>
        <v>507.78345672052745</v>
      </c>
      <c r="D46" s="6">
        <f>TONT20000JANV!C46+TONT20000JANV!D46+TONT20000FEV!G46</f>
        <v>408882.04406015133</v>
      </c>
      <c r="E46" s="1"/>
      <c r="F46" s="7">
        <f t="shared" si="1"/>
        <v>20000</v>
      </c>
      <c r="G46" s="7">
        <v>3000</v>
      </c>
      <c r="H46" s="7">
        <v>500</v>
      </c>
      <c r="I46" s="7">
        <v>1000</v>
      </c>
      <c r="J46" s="7">
        <v>2500</v>
      </c>
      <c r="K46" s="7"/>
      <c r="L46" s="7">
        <v>13000</v>
      </c>
      <c r="M46" s="7"/>
      <c r="N46" s="7">
        <f t="shared" si="2"/>
        <v>0</v>
      </c>
    </row>
    <row r="47" spans="1:14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353.24511117597388</v>
      </c>
      <c r="D47" s="6">
        <f>TONT20000JANV!C47+TONT20000JANV!D47+TONT20000FEV!G47</f>
        <v>284443.26257635781</v>
      </c>
      <c r="E47" s="1"/>
      <c r="F47" s="7">
        <f t="shared" si="1"/>
        <v>23000</v>
      </c>
      <c r="G47" s="7">
        <v>6000</v>
      </c>
      <c r="H47" s="7">
        <v>500</v>
      </c>
      <c r="I47" s="7">
        <v>1000</v>
      </c>
      <c r="J47" s="7">
        <v>2500</v>
      </c>
      <c r="K47" s="7"/>
      <c r="L47" s="7">
        <v>13000</v>
      </c>
      <c r="M47" s="7">
        <v>500000</v>
      </c>
      <c r="N47" s="7">
        <f t="shared" si="2"/>
        <v>15000</v>
      </c>
    </row>
    <row r="48" spans="1:14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7.5115694425389323</v>
      </c>
      <c r="D48" s="6">
        <f>TONT20000JANV!C48+TONT20000JANV!D48+TONT20000FEV!G48</f>
        <v>6048.5347191125402</v>
      </c>
      <c r="E48" s="1"/>
      <c r="F48" s="7">
        <f t="shared" si="1"/>
        <v>20000</v>
      </c>
      <c r="G48" s="7">
        <v>3000</v>
      </c>
      <c r="H48" s="7">
        <v>500</v>
      </c>
      <c r="I48" s="7">
        <v>1000</v>
      </c>
      <c r="J48" s="7">
        <v>2500</v>
      </c>
      <c r="K48" s="7"/>
      <c r="L48" s="7">
        <v>13000</v>
      </c>
      <c r="M48" s="7"/>
      <c r="N48" s="7">
        <f t="shared" si="2"/>
        <v>0</v>
      </c>
    </row>
    <row r="49" spans="1:17" x14ac:dyDescent="0.25">
      <c r="A49" s="1" t="s">
        <v>54</v>
      </c>
      <c r="B49" s="1" t="str">
        <f>VLOOKUP(A49,LISTADHERENT!A$5:H$51,2)</f>
        <v>TIEYAM ERNEST</v>
      </c>
      <c r="C49" s="6">
        <f t="shared" si="0"/>
        <v>504.46067923950699</v>
      </c>
      <c r="D49" s="6">
        <f>TONT20000JANV!C49+TONT20000JANV!D49+TONT20000FEV!G49</f>
        <v>406206.44675501023</v>
      </c>
      <c r="E49" s="1"/>
      <c r="F49" s="7">
        <f t="shared" si="1"/>
        <v>20000</v>
      </c>
      <c r="G49" s="7">
        <v>3000</v>
      </c>
      <c r="H49" s="7">
        <v>500</v>
      </c>
      <c r="I49" s="7">
        <v>1000</v>
      </c>
      <c r="J49" s="7">
        <v>2500</v>
      </c>
      <c r="K49" s="7"/>
      <c r="L49" s="7">
        <v>13000</v>
      </c>
      <c r="M49" s="7"/>
      <c r="N49" s="7">
        <f t="shared" si="2"/>
        <v>0</v>
      </c>
    </row>
    <row r="50" spans="1:17" x14ac:dyDescent="0.25">
      <c r="A50" s="1" t="s">
        <v>55</v>
      </c>
      <c r="B50" s="1" t="str">
        <f>VLOOKUP(A50,LISTADHERENT!A$5:H$51,2)</f>
        <v>TUGMA PIERRE LOTI</v>
      </c>
      <c r="C50" s="6">
        <f t="shared" si="0"/>
        <v>525.70222521768255</v>
      </c>
      <c r="D50" s="6">
        <f>TONT20000JANV!C50+TONT20000JANV!D50+TONT20000FEV!G50</f>
        <v>423310.75888571102</v>
      </c>
      <c r="E50" s="1"/>
      <c r="F50" s="7">
        <f t="shared" si="1"/>
        <v>20000</v>
      </c>
      <c r="G50" s="7">
        <v>3000</v>
      </c>
      <c r="H50" s="7">
        <v>500</v>
      </c>
      <c r="I50" s="7">
        <v>1000</v>
      </c>
      <c r="J50" s="7">
        <v>2500</v>
      </c>
      <c r="K50" s="7"/>
      <c r="L50" s="7">
        <v>13000</v>
      </c>
      <c r="M50" s="7"/>
      <c r="N50" s="7">
        <f t="shared" si="2"/>
        <v>0</v>
      </c>
    </row>
    <row r="51" spans="1:17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1035.0361842443938</v>
      </c>
      <c r="D51" s="6">
        <f>TONT20000JANV!C51+TONT20000JANV!D51+TONT20000FEV!G51</f>
        <v>833441.31260855775</v>
      </c>
      <c r="E51" s="1"/>
      <c r="F51" s="7">
        <f t="shared" si="1"/>
        <v>20000</v>
      </c>
      <c r="G51" s="7">
        <v>3000</v>
      </c>
      <c r="H51" s="7">
        <v>500</v>
      </c>
      <c r="I51" s="7">
        <v>1000</v>
      </c>
      <c r="J51" s="7">
        <v>2500</v>
      </c>
      <c r="K51" s="7"/>
      <c r="L51" s="7">
        <v>13000</v>
      </c>
      <c r="M51" s="7"/>
      <c r="N51" s="7">
        <f t="shared" si="2"/>
        <v>0</v>
      </c>
    </row>
    <row r="52" spans="1:17" x14ac:dyDescent="0.25">
      <c r="A52" s="1" t="s">
        <v>178</v>
      </c>
      <c r="B52" s="1" t="str">
        <f>VLOOKUP(A52,LISTADHERENT!A$5:H$51,2)</f>
        <v>YOUMBI EMMANUEL</v>
      </c>
      <c r="C52" s="6">
        <f t="shared" si="0"/>
        <v>1769.5580416724606</v>
      </c>
      <c r="D52" s="6">
        <f>TONT20000JANV!C52+TONT20000JANV!D52+TONT20000FEV!G52</f>
        <v>1424899.7276024581</v>
      </c>
      <c r="E52" s="1"/>
      <c r="F52" s="7">
        <f t="shared" si="1"/>
        <v>20000</v>
      </c>
      <c r="G52" s="7">
        <v>3000</v>
      </c>
      <c r="H52" s="7">
        <v>500</v>
      </c>
      <c r="I52" s="7">
        <v>1000</v>
      </c>
      <c r="J52" s="7">
        <v>2500</v>
      </c>
      <c r="L52" s="7">
        <v>13000</v>
      </c>
      <c r="M52" s="7"/>
      <c r="N52" s="7">
        <f t="shared" si="2"/>
        <v>0</v>
      </c>
    </row>
    <row r="53" spans="1:17" x14ac:dyDescent="0.25">
      <c r="A53" s="1"/>
      <c r="B53" s="1"/>
      <c r="C53" s="1"/>
      <c r="D53" s="1"/>
      <c r="E53" s="1"/>
      <c r="F53" s="7"/>
      <c r="G53" s="7"/>
      <c r="H53" s="7"/>
      <c r="I53" s="7"/>
      <c r="J53" s="7"/>
      <c r="L53" s="7"/>
      <c r="M53" s="7"/>
      <c r="N53" s="7"/>
    </row>
    <row r="54" spans="1:17" ht="18" x14ac:dyDescent="0.25">
      <c r="A54" s="1"/>
      <c r="B54" s="1" t="s">
        <v>180</v>
      </c>
      <c r="C54" s="1"/>
      <c r="D54" s="1"/>
      <c r="E54" s="1"/>
      <c r="H54" s="4"/>
      <c r="L54" s="7">
        <v>48000</v>
      </c>
      <c r="M54" s="7"/>
      <c r="N54" s="7">
        <f t="shared" si="2"/>
        <v>0</v>
      </c>
      <c r="O54" s="9"/>
    </row>
    <row r="55" spans="1:17" ht="18" x14ac:dyDescent="0.25">
      <c r="A55" s="1"/>
      <c r="B55" s="1"/>
      <c r="C55" s="1"/>
      <c r="D55" s="1"/>
      <c r="E55" s="1"/>
      <c r="H55" s="4"/>
      <c r="O55" s="9"/>
    </row>
    <row r="56" spans="1:17" ht="18" x14ac:dyDescent="0.25">
      <c r="A56" s="8" t="s">
        <v>56</v>
      </c>
      <c r="B56" s="8"/>
      <c r="C56" s="9">
        <f>SUM(C5:C52)</f>
        <v>22500</v>
      </c>
      <c r="D56" s="9">
        <f t="shared" ref="D56:Q56" si="3">SUM(D5:D52)</f>
        <v>18117656</v>
      </c>
      <c r="E56" s="9">
        <f t="shared" si="3"/>
        <v>0</v>
      </c>
      <c r="F56" s="9">
        <f t="shared" si="3"/>
        <v>904000</v>
      </c>
      <c r="G56" s="9">
        <f t="shared" si="3"/>
        <v>156000</v>
      </c>
      <c r="H56" s="9">
        <f t="shared" si="3"/>
        <v>22000</v>
      </c>
      <c r="I56" s="9">
        <f t="shared" si="3"/>
        <v>44000</v>
      </c>
      <c r="J56" s="9">
        <f t="shared" si="3"/>
        <v>110000</v>
      </c>
      <c r="K56" s="9">
        <f t="shared" si="3"/>
        <v>0</v>
      </c>
      <c r="L56" s="9">
        <f t="shared" si="3"/>
        <v>572000</v>
      </c>
      <c r="M56" s="9">
        <f t="shared" si="3"/>
        <v>750000</v>
      </c>
      <c r="N56" s="9">
        <f t="shared" si="3"/>
        <v>22500</v>
      </c>
      <c r="O56" s="9">
        <f t="shared" si="3"/>
        <v>0</v>
      </c>
      <c r="P56" s="9">
        <f t="shared" si="3"/>
        <v>0</v>
      </c>
      <c r="Q56" s="9">
        <f t="shared" si="3"/>
        <v>0</v>
      </c>
    </row>
  </sheetData>
  <autoFilter ref="A4:O51"/>
  <dataValidations disablePrompts="1" count="1">
    <dataValidation type="list" allowBlank="1" showInputMessage="1" showErrorMessage="1" promptTitle="Saissisez le mode de VERSEMENT" sqref="H6:H53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pane xSplit="2" ySplit="4" topLeftCell="C23" activePane="bottomRight" state="frozen"/>
      <selection activeCell="B22" sqref="B22"/>
      <selection pane="topRight" activeCell="B22" sqref="B22"/>
      <selection pane="bottomLeft" activeCell="B22" sqref="B22"/>
      <selection pane="bottomRight" activeCell="A33" sqref="A33:XFD3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5" width="29.5703125" customWidth="1"/>
    <col min="6" max="6" width="15" style="2" bestFit="1" customWidth="1"/>
    <col min="7" max="7" width="12.5703125" bestFit="1" customWidth="1"/>
    <col min="8" max="8" width="17.5703125" style="3" bestFit="1" customWidth="1"/>
    <col min="9" max="9" width="15.7109375" style="2" customWidth="1"/>
    <col min="10" max="10" width="14.7109375" style="2" customWidth="1"/>
    <col min="11" max="11" width="18.140625" style="2" bestFit="1" customWidth="1"/>
    <col min="12" max="12" width="18.140625" customWidth="1"/>
    <col min="13" max="13" width="15" bestFit="1" customWidth="1"/>
    <col min="14" max="14" width="12.5703125" bestFit="1" customWidth="1"/>
    <col min="15" max="15" width="18.140625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</row>
    <row r="2" spans="1:18" x14ac:dyDescent="0.25">
      <c r="A2" s="1" t="s">
        <v>2</v>
      </c>
      <c r="B2" s="1" t="s">
        <v>3</v>
      </c>
      <c r="C2" s="1"/>
      <c r="D2" s="1"/>
      <c r="E2" s="1"/>
    </row>
    <row r="3" spans="1:18" x14ac:dyDescent="0.25">
      <c r="A3" s="1" t="s">
        <v>4</v>
      </c>
      <c r="B3" s="1" t="s">
        <v>5</v>
      </c>
      <c r="C3" s="1"/>
      <c r="D3" s="1"/>
      <c r="E3" s="1"/>
    </row>
    <row r="4" spans="1:18" ht="29.25" x14ac:dyDescent="0.25">
      <c r="A4" s="1" t="s">
        <v>6</v>
      </c>
      <c r="B4" s="1" t="s">
        <v>7</v>
      </c>
      <c r="C4" s="5" t="s">
        <v>186</v>
      </c>
      <c r="D4" s="5" t="s">
        <v>187</v>
      </c>
      <c r="E4" s="1" t="s">
        <v>184</v>
      </c>
      <c r="F4" s="5" t="s">
        <v>65</v>
      </c>
      <c r="G4" s="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8</v>
      </c>
      <c r="P4" s="5" t="s">
        <v>182</v>
      </c>
      <c r="Q4" s="5" t="s">
        <v>181</v>
      </c>
    </row>
    <row r="5" spans="1:18" x14ac:dyDescent="0.25">
      <c r="A5" s="1" t="s">
        <v>185</v>
      </c>
      <c r="B5" s="1" t="str">
        <f>VLOOKUP(A5,LISTADHERENT!A$5:H$52,2,0)</f>
        <v>ASELBY</v>
      </c>
      <c r="C5" s="6">
        <f>$N$56/$D$56*D5</f>
        <v>1043.2007030282837</v>
      </c>
      <c r="D5" s="6">
        <f>TONT20000FEV!C5+TONT20000FEV!D5+TONT20000MARS!G5</f>
        <v>323693.51678154821</v>
      </c>
      <c r="E5" s="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</row>
    <row r="6" spans="1:18" x14ac:dyDescent="0.25">
      <c r="A6" s="1" t="s">
        <v>11</v>
      </c>
      <c r="B6" s="1" t="str">
        <f>VLOOKUP(A6,LISTADHERENT!A$5:H$52,2,0)</f>
        <v>BAKOP ACHILLE</v>
      </c>
      <c r="C6" s="6">
        <f t="shared" ref="C6:C52" si="0">$N$56/$D$56*D6</f>
        <v>1427.7464405489461</v>
      </c>
      <c r="D6" s="6">
        <f>TONT20000FEV!C6+TONT20000FEV!D6+TONT20000MARS!G6</f>
        <v>443013.76050845691</v>
      </c>
      <c r="E6" s="1"/>
      <c r="F6" s="7">
        <f t="shared" ref="F6:F52" si="1">G6+H6+I6+J6+K6+L6</f>
        <v>20000</v>
      </c>
      <c r="G6" s="7">
        <v>3000</v>
      </c>
      <c r="H6" s="7">
        <v>500</v>
      </c>
      <c r="I6" s="7">
        <v>1000</v>
      </c>
      <c r="J6" s="7">
        <v>2500</v>
      </c>
      <c r="K6" s="7"/>
      <c r="L6" s="7">
        <v>13000</v>
      </c>
      <c r="M6" s="7"/>
      <c r="N6" s="7">
        <f>IF(M6&lt;=500000,(M6*1*3/100),(M6*12/100))</f>
        <v>0</v>
      </c>
    </row>
    <row r="7" spans="1:18" x14ac:dyDescent="0.25">
      <c r="A7" s="1" t="s">
        <v>12</v>
      </c>
      <c r="B7" s="1" t="str">
        <f>VLOOKUP(A7,LISTADHERENT!A$5:H$51,2)</f>
        <v>BOUTCHOUANG WILLIAM</v>
      </c>
      <c r="C7" s="6">
        <f t="shared" si="0"/>
        <v>1323.3689875674552</v>
      </c>
      <c r="D7" s="6">
        <f>TONT20000FEV!C7+TONT20000FEV!D7+TONT20000MARS!G7</f>
        <v>410626.60362656263</v>
      </c>
      <c r="E7" s="1"/>
      <c r="F7" s="7">
        <f t="shared" si="1"/>
        <v>20000</v>
      </c>
      <c r="G7" s="7">
        <v>3000</v>
      </c>
      <c r="H7" s="7">
        <v>500</v>
      </c>
      <c r="I7" s="7">
        <v>1000</v>
      </c>
      <c r="J7" s="7">
        <v>2500</v>
      </c>
      <c r="K7" s="7"/>
      <c r="L7" s="7">
        <v>13000</v>
      </c>
      <c r="M7" s="7"/>
      <c r="N7" s="7">
        <f t="shared" ref="N7:N54" si="2">IF(M7&lt;=500000,(M7*1*3/100),(M7*12/100))</f>
        <v>0</v>
      </c>
    </row>
    <row r="8" spans="1:18" x14ac:dyDescent="0.25">
      <c r="A8" s="1" t="s">
        <v>13</v>
      </c>
      <c r="B8" s="1" t="str">
        <f>VLOOKUP(A8,LISTADHERENT!A$5:H$51,2)</f>
        <v>CHINGUE FABRICE</v>
      </c>
      <c r="C8" s="6">
        <f t="shared" si="0"/>
        <v>1323.8214909763346</v>
      </c>
      <c r="D8" s="6">
        <f>TONT20000FEV!C8+TONT20000FEV!D8+TONT20000MARS!G8</f>
        <v>410767.0103760506</v>
      </c>
      <c r="E8" s="1"/>
      <c r="F8" s="7">
        <f t="shared" si="1"/>
        <v>20000</v>
      </c>
      <c r="G8" s="7">
        <v>3000</v>
      </c>
      <c r="H8" s="7">
        <v>500</v>
      </c>
      <c r="I8" s="7">
        <v>1000</v>
      </c>
      <c r="J8" s="7">
        <v>2500</v>
      </c>
      <c r="K8" s="7"/>
      <c r="L8" s="7">
        <v>13000</v>
      </c>
      <c r="N8" s="7">
        <f t="shared" si="2"/>
        <v>0</v>
      </c>
    </row>
    <row r="9" spans="1:18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1344.5251614376671</v>
      </c>
      <c r="D9" s="6">
        <f>TONT20000FEV!C9+TONT20000FEV!D9+TONT20000MARS!G9</f>
        <v>417191.12788523262</v>
      </c>
      <c r="E9" s="1"/>
      <c r="F9" s="7">
        <f t="shared" si="1"/>
        <v>20000</v>
      </c>
      <c r="G9" s="7">
        <v>3000</v>
      </c>
      <c r="H9" s="7">
        <v>500</v>
      </c>
      <c r="I9" s="7">
        <v>1000</v>
      </c>
      <c r="J9" s="7">
        <v>2500</v>
      </c>
      <c r="K9" s="7"/>
      <c r="L9" s="7">
        <v>13000</v>
      </c>
      <c r="N9" s="7">
        <f t="shared" si="2"/>
        <v>0</v>
      </c>
    </row>
    <row r="10" spans="1:18" x14ac:dyDescent="0.25">
      <c r="A10" s="1" t="s">
        <v>15</v>
      </c>
      <c r="B10" s="1" t="str">
        <f>VLOOKUP(A10,LISTADHERENT!A$5:H$51,2)</f>
        <v>DJOUKWE GUY</v>
      </c>
      <c r="C10" s="6">
        <f t="shared" si="0"/>
        <v>1353.5391605029508</v>
      </c>
      <c r="D10" s="6">
        <f>TONT20000FEV!C10+TONT20000FEV!D10+TONT20000MARS!G10</f>
        <v>419988.07103264169</v>
      </c>
      <c r="E10" s="1"/>
      <c r="F10" s="7">
        <f t="shared" si="1"/>
        <v>20000</v>
      </c>
      <c r="G10" s="7">
        <v>3000</v>
      </c>
      <c r="H10" s="7">
        <v>500</v>
      </c>
      <c r="I10" s="7">
        <v>1000</v>
      </c>
      <c r="J10" s="7">
        <v>2500</v>
      </c>
      <c r="K10" s="7"/>
      <c r="L10" s="7">
        <v>13000</v>
      </c>
      <c r="N10" s="7">
        <f t="shared" si="2"/>
        <v>0</v>
      </c>
    </row>
    <row r="11" spans="1:18" x14ac:dyDescent="0.25">
      <c r="A11" s="1" t="s">
        <v>16</v>
      </c>
      <c r="B11" s="1" t="str">
        <f>VLOOKUP(A11,LISTADHERENT!A$5:H$51,2)</f>
        <v>DJOSSEU JOSUE</v>
      </c>
      <c r="C11" s="6">
        <f t="shared" si="0"/>
        <v>16.395051046351256</v>
      </c>
      <c r="D11" s="6">
        <f>TONT20000FEV!C11+TONT20000FEV!D11+TONT20000MARS!G11</f>
        <v>5087.2010684051029</v>
      </c>
      <c r="E11" s="1"/>
      <c r="F11" s="7">
        <f t="shared" si="1"/>
        <v>0</v>
      </c>
      <c r="G11" s="7"/>
      <c r="H11" s="7"/>
      <c r="I11" s="7"/>
      <c r="J11" s="7"/>
      <c r="K11" s="7"/>
      <c r="L11" s="7"/>
      <c r="N11" s="7">
        <f t="shared" si="2"/>
        <v>0</v>
      </c>
    </row>
    <row r="12" spans="1:18" x14ac:dyDescent="0.25">
      <c r="A12" s="1" t="s">
        <v>17</v>
      </c>
      <c r="B12" s="1" t="str">
        <f>VLOOKUP(A12,LISTADHERENT!A$5:H$51,2)</f>
        <v>DJOUNKEP SAMUEL</v>
      </c>
      <c r="C12" s="6">
        <f t="shared" si="0"/>
        <v>4614.7493604141828</v>
      </c>
      <c r="D12" s="6">
        <f>TONT20000FEV!C12+TONT20000FEV!D12+TONT20000MARS!G12</f>
        <v>1431905.1407860944</v>
      </c>
      <c r="E12" s="1"/>
      <c r="F12" s="7">
        <f t="shared" si="1"/>
        <v>20000</v>
      </c>
      <c r="G12" s="7">
        <v>3000</v>
      </c>
      <c r="H12" s="7">
        <v>500</v>
      </c>
      <c r="I12" s="7">
        <v>1000</v>
      </c>
      <c r="J12" s="7">
        <v>2500</v>
      </c>
      <c r="K12" s="7"/>
      <c r="L12" s="7">
        <v>13000</v>
      </c>
      <c r="N12" s="7">
        <f t="shared" si="2"/>
        <v>0</v>
      </c>
    </row>
    <row r="13" spans="1:18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1085.4112166807133</v>
      </c>
      <c r="D13" s="6">
        <f>TONT20000FEV!C13+TONT20000FEV!D13+TONT20000MARS!G13</f>
        <v>336790.96731973102</v>
      </c>
      <c r="E13" s="1"/>
      <c r="F13" s="7">
        <f t="shared" si="1"/>
        <v>20000</v>
      </c>
      <c r="G13" s="7">
        <v>3000</v>
      </c>
      <c r="H13" s="7">
        <v>500</v>
      </c>
      <c r="I13" s="7">
        <v>1000</v>
      </c>
      <c r="J13" s="7">
        <v>2500</v>
      </c>
      <c r="K13" s="7"/>
      <c r="L13" s="7">
        <v>13000</v>
      </c>
      <c r="N13" s="7">
        <f t="shared" si="2"/>
        <v>0</v>
      </c>
    </row>
    <row r="14" spans="1:18" x14ac:dyDescent="0.25">
      <c r="A14" s="1" t="s">
        <v>19</v>
      </c>
      <c r="B14" s="1" t="str">
        <f>VLOOKUP(A14,LISTADHERENT!A$5:H$51,2)</f>
        <v>DONHOU DAVID</v>
      </c>
      <c r="C14" s="6">
        <f t="shared" si="0"/>
        <v>1464.4647968723543</v>
      </c>
      <c r="D14" s="6">
        <f>TONT20000FEV!C14+TONT20000FEV!D14+TONT20000MARS!G14</f>
        <v>454407.05602125695</v>
      </c>
      <c r="E14" s="1"/>
      <c r="F14" s="7">
        <f t="shared" si="1"/>
        <v>20000</v>
      </c>
      <c r="G14" s="7">
        <v>3000</v>
      </c>
      <c r="H14" s="7">
        <v>500</v>
      </c>
      <c r="I14" s="7">
        <v>1000</v>
      </c>
      <c r="J14" s="7">
        <v>2500</v>
      </c>
      <c r="K14" s="7"/>
      <c r="L14" s="7">
        <v>13000</v>
      </c>
      <c r="N14" s="7">
        <f t="shared" si="2"/>
        <v>0</v>
      </c>
    </row>
    <row r="15" spans="1:18" x14ac:dyDescent="0.25">
      <c r="A15" s="1" t="s">
        <v>20</v>
      </c>
      <c r="B15" s="1" t="str">
        <f>VLOOKUP(A15,LISTADHERENT!A$5:H$51,2)</f>
        <v>FOTSO THOMAS</v>
      </c>
      <c r="C15" s="6">
        <f t="shared" si="0"/>
        <v>1328.6613100452178</v>
      </c>
      <c r="D15" s="6">
        <f>TONT20000FEV!C15+TONT20000FEV!D15+TONT20000MARS!G15</f>
        <v>412268.75213144388</v>
      </c>
      <c r="E15" s="1"/>
      <c r="F15" s="7">
        <f t="shared" si="1"/>
        <v>20000</v>
      </c>
      <c r="G15" s="7">
        <v>3000</v>
      </c>
      <c r="H15" s="7">
        <v>500</v>
      </c>
      <c r="I15" s="7">
        <v>1000</v>
      </c>
      <c r="J15" s="7">
        <v>2500</v>
      </c>
      <c r="K15" s="7"/>
      <c r="L15" s="7">
        <v>13000</v>
      </c>
      <c r="N15" s="7">
        <f t="shared" si="2"/>
        <v>0</v>
      </c>
    </row>
    <row r="16" spans="1:18" x14ac:dyDescent="0.25">
      <c r="A16" s="1" t="s">
        <v>21</v>
      </c>
      <c r="B16" s="1" t="str">
        <f>VLOOKUP(A16,LISTADHERENT!A$5:H$51,2)</f>
        <v>HENGUE PAUL OMER</v>
      </c>
      <c r="C16" s="6">
        <f t="shared" si="0"/>
        <v>1317.781554170859</v>
      </c>
      <c r="D16" s="6">
        <f>TONT20000FEV!C16+TONT20000FEV!D16+TONT20000MARS!G16</f>
        <v>408892.88550245023</v>
      </c>
      <c r="E16" s="1"/>
      <c r="F16" s="7">
        <f t="shared" si="1"/>
        <v>20000</v>
      </c>
      <c r="G16" s="7">
        <v>3000</v>
      </c>
      <c r="H16" s="7">
        <v>500</v>
      </c>
      <c r="I16" s="7">
        <v>1000</v>
      </c>
      <c r="J16" s="7">
        <v>2500</v>
      </c>
      <c r="K16" s="7"/>
      <c r="L16" s="7">
        <v>13000</v>
      </c>
      <c r="N16" s="7">
        <f t="shared" si="2"/>
        <v>0</v>
      </c>
    </row>
    <row r="17" spans="1:15" x14ac:dyDescent="0.25">
      <c r="A17" s="1" t="s">
        <v>22</v>
      </c>
      <c r="B17" s="1" t="str">
        <f>VLOOKUP(A17,LISTADHERENT!A$5:H$51,2)</f>
        <v>HODIEP JULES</v>
      </c>
      <c r="C17" s="6">
        <f t="shared" si="0"/>
        <v>38.967572555461153</v>
      </c>
      <c r="D17" s="6">
        <f>TONT20000FEV!C17+TONT20000FEV!D17+TONT20000MARS!G17</f>
        <v>12091.202166852237</v>
      </c>
      <c r="E17" s="1"/>
      <c r="F17" s="7">
        <f t="shared" si="1"/>
        <v>20000</v>
      </c>
      <c r="G17" s="7">
        <v>3000</v>
      </c>
      <c r="H17" s="7">
        <v>500</v>
      </c>
      <c r="I17" s="7">
        <v>1000</v>
      </c>
      <c r="J17" s="7">
        <v>2500</v>
      </c>
      <c r="K17" s="7"/>
      <c r="L17" s="7">
        <v>13000</v>
      </c>
      <c r="N17" s="7">
        <f t="shared" si="2"/>
        <v>0</v>
      </c>
    </row>
    <row r="18" spans="1:15" x14ac:dyDescent="0.25">
      <c r="A18" s="1" t="s">
        <v>23</v>
      </c>
      <c r="B18" s="1" t="str">
        <f>VLOOKUP(A18,LISTADHERENT!A$5:H$51,2)</f>
        <v>HOTCHO BENJAMIN</v>
      </c>
      <c r="C18" s="6">
        <f t="shared" si="0"/>
        <v>1346.3843602263232</v>
      </c>
      <c r="D18" s="6">
        <f>TONT20000FEV!C18+TONT20000FEV!D18+TONT20000MARS!G18</f>
        <v>417768.01648638974</v>
      </c>
      <c r="E18" s="1"/>
      <c r="F18" s="7">
        <f t="shared" si="1"/>
        <v>20000</v>
      </c>
      <c r="G18" s="7">
        <v>3000</v>
      </c>
      <c r="H18" s="7">
        <v>500</v>
      </c>
      <c r="I18" s="7">
        <v>1000</v>
      </c>
      <c r="J18" s="7">
        <v>2500</v>
      </c>
      <c r="K18" s="7"/>
      <c r="L18" s="7">
        <v>13000</v>
      </c>
      <c r="N18" s="7">
        <f t="shared" si="2"/>
        <v>0</v>
      </c>
    </row>
    <row r="19" spans="1:15" x14ac:dyDescent="0.25">
      <c r="A19" s="1" t="s">
        <v>24</v>
      </c>
      <c r="B19" s="1" t="str">
        <f>VLOOKUP(A19,LISTADHERENT!A$5:H$51,2)</f>
        <v>KEPHE DAVID</v>
      </c>
      <c r="C19" s="6">
        <f t="shared" si="0"/>
        <v>80.922508183074001</v>
      </c>
      <c r="D19" s="6">
        <f>TONT20000FEV!C19+TONT20000FEV!D19+TONT20000MARS!G19</f>
        <v>25109.349700900893</v>
      </c>
      <c r="E19" s="1"/>
      <c r="F19" s="7">
        <f t="shared" si="1"/>
        <v>20000</v>
      </c>
      <c r="G19" s="7">
        <v>3000</v>
      </c>
      <c r="H19" s="7">
        <v>500</v>
      </c>
      <c r="I19" s="7">
        <v>1000</v>
      </c>
      <c r="J19" s="7">
        <v>2500</v>
      </c>
      <c r="K19" s="7"/>
      <c r="L19" s="7">
        <v>13000</v>
      </c>
      <c r="N19" s="7">
        <f t="shared" si="2"/>
        <v>0</v>
      </c>
    </row>
    <row r="20" spans="1:15" x14ac:dyDescent="0.25">
      <c r="A20" s="1" t="s">
        <v>25</v>
      </c>
      <c r="B20" s="1" t="str">
        <f>VLOOKUP(A20,LISTADHERENT!A$5:H$51,2)</f>
        <v>KEPSEU FRANCIS</v>
      </c>
      <c r="C20" s="6">
        <f t="shared" si="0"/>
        <v>2421.1067339040774</v>
      </c>
      <c r="D20" s="6">
        <f>TONT20000FEV!C20+TONT20000FEV!D20+TONT20000MARS!G20</f>
        <v>751242.35530701221</v>
      </c>
      <c r="E20" s="1"/>
      <c r="F20" s="7">
        <f t="shared" si="1"/>
        <v>163000</v>
      </c>
      <c r="G20" s="7">
        <v>146000</v>
      </c>
      <c r="H20" s="7">
        <v>500</v>
      </c>
      <c r="I20" s="7">
        <v>1000</v>
      </c>
      <c r="J20" s="7">
        <v>2500</v>
      </c>
      <c r="K20" s="7"/>
      <c r="L20" s="7">
        <v>13000</v>
      </c>
      <c r="N20" s="7">
        <f t="shared" si="2"/>
        <v>0</v>
      </c>
    </row>
    <row r="21" spans="1:15" x14ac:dyDescent="0.25">
      <c r="A21" s="1" t="s">
        <v>26</v>
      </c>
      <c r="B21" s="1" t="str">
        <f>VLOOKUP(A21,LISTADHERENT!A$5:H$51,2)</f>
        <v>KOUAMOU EMMANUEL</v>
      </c>
      <c r="C21" s="6">
        <f t="shared" si="0"/>
        <v>1326.7102989707016</v>
      </c>
      <c r="D21" s="6">
        <f>TONT20000FEV!C21+TONT20000FEV!D21+TONT20000MARS!G21</f>
        <v>411663.37520430359</v>
      </c>
      <c r="E21" s="1"/>
      <c r="F21" s="7">
        <f t="shared" si="1"/>
        <v>20000</v>
      </c>
      <c r="G21" s="7">
        <v>3000</v>
      </c>
      <c r="H21" s="7">
        <v>500</v>
      </c>
      <c r="I21" s="7">
        <v>1000</v>
      </c>
      <c r="J21" s="7">
        <v>2500</v>
      </c>
      <c r="K21" s="7"/>
      <c r="L21" s="7">
        <v>13000</v>
      </c>
      <c r="N21" s="7">
        <f t="shared" si="2"/>
        <v>0</v>
      </c>
    </row>
    <row r="22" spans="1:15" x14ac:dyDescent="0.25">
      <c r="A22" s="1" t="s">
        <v>27</v>
      </c>
      <c r="B22" s="1" t="str">
        <f>VLOOKUP(A22,LISTADHERENT!A$5:H$51,2)</f>
        <v>KOUAMOU MOISE</v>
      </c>
      <c r="C22" s="6">
        <f t="shared" si="0"/>
        <v>1078.7384309048482</v>
      </c>
      <c r="D22" s="6">
        <f>TONT20000FEV!C22+TONT20000FEV!D22+TONT20000MARS!G22</f>
        <v>334720.4764848901</v>
      </c>
      <c r="E22" s="1"/>
      <c r="F22" s="7">
        <f t="shared" si="1"/>
        <v>20000</v>
      </c>
      <c r="G22" s="7">
        <v>3000</v>
      </c>
      <c r="H22" s="7">
        <v>500</v>
      </c>
      <c r="I22" s="7">
        <v>1000</v>
      </c>
      <c r="J22" s="7">
        <v>2500</v>
      </c>
      <c r="K22" s="7"/>
      <c r="L22" s="7">
        <v>13000</v>
      </c>
      <c r="N22" s="7">
        <f t="shared" si="2"/>
        <v>0</v>
      </c>
    </row>
    <row r="23" spans="1:15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1437.8884191262187</v>
      </c>
      <c r="D23" s="6">
        <f>TONT20000FEV!C23+TONT20000FEV!D23+TONT20000MARS!G23</f>
        <v>446160.70308937225</v>
      </c>
      <c r="E23" s="1"/>
      <c r="F23" s="7">
        <f t="shared" si="1"/>
        <v>20000</v>
      </c>
      <c r="G23" s="7">
        <v>3000</v>
      </c>
      <c r="H23" s="7">
        <v>500</v>
      </c>
      <c r="I23" s="7">
        <v>1000</v>
      </c>
      <c r="J23" s="7">
        <v>2500</v>
      </c>
      <c r="K23" s="7"/>
      <c r="L23" s="7">
        <v>13000</v>
      </c>
      <c r="N23" s="7">
        <f t="shared" si="2"/>
        <v>0</v>
      </c>
    </row>
    <row r="24" spans="1:15" x14ac:dyDescent="0.25">
      <c r="A24" s="1" t="s">
        <v>29</v>
      </c>
      <c r="B24" s="1" t="str">
        <f>VLOOKUP(A24,LISTADHERENT!A$5:H$51,2)</f>
        <v>KOUATCHO MESSACK</v>
      </c>
      <c r="C24" s="6">
        <f t="shared" si="0"/>
        <v>1317.781554170859</v>
      </c>
      <c r="D24" s="6">
        <f>TONT20000FEV!C24+TONT20000FEV!D24+TONT20000MARS!G24</f>
        <v>408892.88550245023</v>
      </c>
      <c r="E24" s="1"/>
      <c r="F24" s="7">
        <f t="shared" si="1"/>
        <v>20000</v>
      </c>
      <c r="G24" s="7">
        <v>3000</v>
      </c>
      <c r="H24" s="7">
        <v>500</v>
      </c>
      <c r="I24" s="7">
        <v>1000</v>
      </c>
      <c r="J24" s="7">
        <v>2500</v>
      </c>
      <c r="K24" s="7"/>
      <c r="L24" s="7">
        <v>13000</v>
      </c>
      <c r="M24" s="7"/>
      <c r="N24" s="7">
        <f t="shared" si="2"/>
        <v>0</v>
      </c>
    </row>
    <row r="25" spans="1:15" x14ac:dyDescent="0.25">
      <c r="A25" s="1" t="s">
        <v>30</v>
      </c>
      <c r="B25" s="1" t="str">
        <f>VLOOKUP(A25,LISTADHERENT!A$5:H$51,2)</f>
        <v>LOWE JEAN</v>
      </c>
      <c r="C25" s="6">
        <f t="shared" si="0"/>
        <v>1331.9829473872085</v>
      </c>
      <c r="D25" s="6">
        <f>TONT20000FEV!C25+TONT20000FEV!D25+TONT20000MARS!G25</f>
        <v>413299.41906790272</v>
      </c>
      <c r="E25" s="1"/>
      <c r="F25" s="7">
        <f t="shared" si="1"/>
        <v>20000</v>
      </c>
      <c r="G25" s="7">
        <v>3000</v>
      </c>
      <c r="H25" s="7">
        <v>500</v>
      </c>
      <c r="I25" s="7">
        <v>1000</v>
      </c>
      <c r="J25" s="7">
        <v>2500</v>
      </c>
      <c r="K25" s="7"/>
      <c r="L25" s="7">
        <v>13000</v>
      </c>
      <c r="M25" s="7">
        <v>80000</v>
      </c>
      <c r="N25" s="7">
        <f t="shared" si="2"/>
        <v>2400</v>
      </c>
    </row>
    <row r="26" spans="1:15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1332.24526820395</v>
      </c>
      <c r="D26" s="6">
        <f>TONT20000FEV!C26+TONT20000FEV!D26+TONT20000MARS!G26</f>
        <v>413380.81428499718</v>
      </c>
      <c r="E26" s="1"/>
      <c r="F26" s="7">
        <f t="shared" si="1"/>
        <v>20000</v>
      </c>
      <c r="G26" s="7">
        <v>3000</v>
      </c>
      <c r="H26" s="7">
        <v>500</v>
      </c>
      <c r="I26" s="7">
        <v>1000</v>
      </c>
      <c r="J26" s="7">
        <v>2500</v>
      </c>
      <c r="K26" s="7"/>
      <c r="L26" s="7">
        <v>13000</v>
      </c>
      <c r="N26" s="7">
        <f t="shared" si="2"/>
        <v>0</v>
      </c>
    </row>
    <row r="27" spans="1:15" x14ac:dyDescent="0.25">
      <c r="A27" s="1" t="s">
        <v>32</v>
      </c>
      <c r="B27" s="1" t="str">
        <f>VLOOKUP(A27,LISTADHERENT!A$5:H$51,2)</f>
        <v>NDJOMO ETIENNE</v>
      </c>
      <c r="C27" s="6">
        <f t="shared" si="0"/>
        <v>1389.4822694610575</v>
      </c>
      <c r="D27" s="6">
        <f>TONT20000FEV!C27+TONT20000FEV!D27+TONT20000MARS!G27</f>
        <v>431140.81595405348</v>
      </c>
      <c r="E27" s="1"/>
      <c r="F27" s="7">
        <f t="shared" si="1"/>
        <v>25000</v>
      </c>
      <c r="G27" s="7">
        <v>8000</v>
      </c>
      <c r="H27" s="7">
        <v>500</v>
      </c>
      <c r="I27" s="7">
        <v>1000</v>
      </c>
      <c r="J27" s="7">
        <v>2500</v>
      </c>
      <c r="K27" s="7"/>
      <c r="L27" s="7">
        <v>13000</v>
      </c>
      <c r="M27" s="7">
        <v>400000</v>
      </c>
      <c r="N27" s="7">
        <f t="shared" si="2"/>
        <v>12000</v>
      </c>
      <c r="O27" s="7">
        <v>400000</v>
      </c>
    </row>
    <row r="28" spans="1:15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TONT20000FEV!C28+TONT20000FEV!D28+TONT20000MARS!G28</f>
        <v>0</v>
      </c>
      <c r="E28" s="1"/>
      <c r="F28" s="7">
        <f t="shared" si="1"/>
        <v>0</v>
      </c>
      <c r="G28" s="7"/>
      <c r="H28" s="7"/>
      <c r="I28" s="7"/>
      <c r="J28" s="7"/>
      <c r="K28" s="7"/>
      <c r="L28" s="7"/>
      <c r="N28" s="7">
        <f t="shared" si="2"/>
        <v>0</v>
      </c>
    </row>
    <row r="29" spans="1:15" x14ac:dyDescent="0.25">
      <c r="A29" s="1" t="s">
        <v>34</v>
      </c>
      <c r="B29" s="1" t="str">
        <f>VLOOKUP(A29,LISTADHERENT!A$5:H$51,2)</f>
        <v>NGONDIEP CLAUDE</v>
      </c>
      <c r="C29" s="6">
        <f t="shared" si="0"/>
        <v>1906.6065334903549</v>
      </c>
      <c r="D29" s="6">
        <f>TONT20000FEV!C29+TONT20000FEV!D29+TONT20000MARS!G29</f>
        <v>591598.69443400577</v>
      </c>
      <c r="E29" s="1"/>
      <c r="F29" s="7">
        <f t="shared" si="1"/>
        <v>20000</v>
      </c>
      <c r="G29" s="7">
        <v>3000</v>
      </c>
      <c r="H29" s="7">
        <v>500</v>
      </c>
      <c r="I29" s="7">
        <v>1000</v>
      </c>
      <c r="J29" s="7">
        <v>2500</v>
      </c>
      <c r="K29" s="7"/>
      <c r="L29" s="7">
        <v>13000</v>
      </c>
      <c r="N29" s="7">
        <f t="shared" si="2"/>
        <v>0</v>
      </c>
    </row>
    <row r="30" spans="1:15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38.967572555461153</v>
      </c>
      <c r="D30" s="6">
        <f>TONT20000FEV!C30+TONT20000FEV!D30+TONT20000MARS!G30</f>
        <v>12091.202166852237</v>
      </c>
      <c r="E30" s="1"/>
      <c r="F30" s="7">
        <f t="shared" si="1"/>
        <v>20000</v>
      </c>
      <c r="G30" s="7">
        <v>3000</v>
      </c>
      <c r="H30" s="7">
        <v>500</v>
      </c>
      <c r="I30" s="7">
        <v>1000</v>
      </c>
      <c r="J30" s="7">
        <v>2500</v>
      </c>
      <c r="K30" s="7"/>
      <c r="L30" s="7">
        <v>13000</v>
      </c>
      <c r="N30" s="7">
        <f t="shared" si="2"/>
        <v>0</v>
      </c>
    </row>
    <row r="31" spans="1:15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87.78875556128591</v>
      </c>
      <c r="D31" s="6">
        <f>TONT20000FEV!C31+TONT20000FEV!D31+TONT20000MARS!G31</f>
        <v>27239.869508348947</v>
      </c>
      <c r="E31" s="1"/>
      <c r="F31" s="7">
        <f t="shared" si="1"/>
        <v>20000</v>
      </c>
      <c r="G31" s="7">
        <v>3000</v>
      </c>
      <c r="H31" s="7">
        <v>500</v>
      </c>
      <c r="I31" s="7">
        <v>1000</v>
      </c>
      <c r="J31" s="7">
        <v>2500</v>
      </c>
      <c r="K31" s="7"/>
      <c r="L31" s="7">
        <v>13000</v>
      </c>
      <c r="N31" s="7">
        <f t="shared" si="2"/>
        <v>0</v>
      </c>
    </row>
    <row r="32" spans="1:15" x14ac:dyDescent="0.25">
      <c r="A32" s="1" t="s">
        <v>37</v>
      </c>
      <c r="B32" s="1" t="str">
        <f>VLOOKUP(A32,LISTADHERENT!A$5:H$51,2)</f>
        <v>NJEPDJIO MBOUKAM DELUXE</v>
      </c>
      <c r="C32" s="6">
        <f t="shared" si="0"/>
        <v>1355.8278205863812</v>
      </c>
      <c r="D32" s="6">
        <f>TONT20000FEV!C32+TONT20000FEV!D32+TONT20000MARS!G32</f>
        <v>420698.21667285514</v>
      </c>
      <c r="E32" s="1"/>
      <c r="F32" s="7">
        <f t="shared" si="1"/>
        <v>23000</v>
      </c>
      <c r="G32" s="7">
        <v>6000</v>
      </c>
      <c r="H32" s="7">
        <v>500</v>
      </c>
      <c r="I32" s="7">
        <v>1000</v>
      </c>
      <c r="J32" s="7">
        <v>2500</v>
      </c>
      <c r="K32" s="7"/>
      <c r="L32" s="7">
        <v>13000</v>
      </c>
      <c r="M32" s="7">
        <v>1000000</v>
      </c>
      <c r="N32" s="7">
        <f>IF(M32&lt;=500000,(M32*1*3/100),(M32*12/100))/4</f>
        <v>30000</v>
      </c>
    </row>
    <row r="33" spans="1:15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77.935145110922306</v>
      </c>
      <c r="D33" s="6">
        <f>TONT20000FEV!C33+TONT20000FEV!D33+TONT20000MARS!G33</f>
        <v>24182.404333704475</v>
      </c>
      <c r="E33" s="1"/>
      <c r="F33" s="7">
        <f t="shared" si="1"/>
        <v>23000</v>
      </c>
      <c r="G33" s="7">
        <v>6000</v>
      </c>
      <c r="H33" s="7">
        <v>500</v>
      </c>
      <c r="I33" s="7">
        <v>1000</v>
      </c>
      <c r="J33" s="7">
        <v>2500</v>
      </c>
      <c r="K33" s="7"/>
      <c r="L33" s="7">
        <v>13000</v>
      </c>
      <c r="M33" s="11"/>
      <c r="N33" s="7">
        <f t="shared" si="2"/>
        <v>0</v>
      </c>
    </row>
    <row r="34" spans="1:15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1411.3827786487736</v>
      </c>
      <c r="D34" s="6">
        <f>TONT20000FEV!C34+TONT20000FEV!D34+TONT20000MARS!G34</f>
        <v>437936.29914122907</v>
      </c>
      <c r="E34" s="1"/>
      <c r="F34" s="10">
        <f>G34+H34+I34+J34+K34+L34</f>
        <v>25000</v>
      </c>
      <c r="G34" s="7">
        <v>8000</v>
      </c>
      <c r="H34" s="7">
        <v>500</v>
      </c>
      <c r="I34" s="7">
        <v>1000</v>
      </c>
      <c r="J34" s="7">
        <v>2500</v>
      </c>
      <c r="K34" s="7"/>
      <c r="L34" s="7">
        <v>13000</v>
      </c>
      <c r="M34"/>
      <c r="N34" s="7">
        <f t="shared" si="2"/>
        <v>0</v>
      </c>
    </row>
    <row r="35" spans="1:15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1343.9578926714632</v>
      </c>
      <c r="D35" s="6">
        <f>TONT20000FEV!C35+TONT20000FEV!D35+TONT20000MARS!G35</f>
        <v>417015.11072826578</v>
      </c>
      <c r="E35" s="1"/>
      <c r="F35" s="7">
        <f t="shared" si="1"/>
        <v>20000</v>
      </c>
      <c r="G35" s="7">
        <v>3000</v>
      </c>
      <c r="H35" s="7">
        <v>500</v>
      </c>
      <c r="I35" s="7">
        <v>1000</v>
      </c>
      <c r="J35" s="7">
        <v>2500</v>
      </c>
      <c r="K35" s="7"/>
      <c r="L35" s="7">
        <v>13000</v>
      </c>
      <c r="N35" s="7">
        <f t="shared" si="2"/>
        <v>0</v>
      </c>
    </row>
    <row r="36" spans="1:15" x14ac:dyDescent="0.25">
      <c r="A36" s="1" t="s">
        <v>41</v>
      </c>
      <c r="B36" s="1" t="str">
        <f>VLOOKUP(A36,LISTADHERENT!A$5:H$51,2)</f>
        <v>NTEPDIE TUEMAC MZ</v>
      </c>
      <c r="C36" s="6">
        <f t="shared" si="0"/>
        <v>19.61874259264091</v>
      </c>
      <c r="D36" s="6">
        <f>TONT20000FEV!C36+TONT20000FEV!D36+TONT20000MARS!G36</f>
        <v>6087.4765193402181</v>
      </c>
      <c r="E36" s="1"/>
      <c r="F36" s="7">
        <f t="shared" si="1"/>
        <v>0</v>
      </c>
      <c r="G36" s="7"/>
      <c r="H36" s="7"/>
      <c r="I36" s="7"/>
      <c r="J36" s="7"/>
      <c r="K36" s="7"/>
      <c r="L36" s="7"/>
      <c r="N36" s="7">
        <f t="shared" si="2"/>
        <v>0</v>
      </c>
    </row>
    <row r="37" spans="1:15" x14ac:dyDescent="0.25">
      <c r="A37" s="1" t="s">
        <v>42</v>
      </c>
      <c r="B37" s="1" t="str">
        <f>VLOOKUP(A37,LISTADHERENT!A$5:H$51,2)</f>
        <v>NTOMBOU ADOLPHE</v>
      </c>
      <c r="C37" s="6">
        <f t="shared" si="0"/>
        <v>38.967572555461153</v>
      </c>
      <c r="D37" s="6">
        <f>TONT20000FEV!C37+TONT20000FEV!D37+TONT20000MARS!G37</f>
        <v>12091.202166852237</v>
      </c>
      <c r="E37" s="1"/>
      <c r="F37" s="7">
        <f t="shared" si="1"/>
        <v>20000</v>
      </c>
      <c r="G37" s="7">
        <v>3000</v>
      </c>
      <c r="H37" s="7">
        <v>500</v>
      </c>
      <c r="I37" s="7">
        <v>1000</v>
      </c>
      <c r="J37" s="7">
        <v>2500</v>
      </c>
      <c r="K37" s="7"/>
      <c r="L37" s="7">
        <v>13000</v>
      </c>
      <c r="N37" s="7">
        <f t="shared" si="2"/>
        <v>0</v>
      </c>
    </row>
    <row r="38" spans="1:15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1318.2406156001566</v>
      </c>
      <c r="D38" s="6">
        <f>TONT20000FEV!C38+TONT20000FEV!D38+TONT20000MARS!G38</f>
        <v>409035.32713236555</v>
      </c>
      <c r="E38" s="1"/>
      <c r="F38" s="7">
        <f t="shared" si="1"/>
        <v>20000</v>
      </c>
      <c r="G38" s="7">
        <v>3000</v>
      </c>
      <c r="H38" s="7">
        <v>500</v>
      </c>
      <c r="I38" s="7">
        <v>1000</v>
      </c>
      <c r="J38" s="7">
        <v>2500</v>
      </c>
      <c r="K38" s="7"/>
      <c r="L38" s="7">
        <v>13000</v>
      </c>
      <c r="N38" s="7">
        <f t="shared" si="2"/>
        <v>0</v>
      </c>
    </row>
    <row r="39" spans="1:15" x14ac:dyDescent="0.25">
      <c r="A39" s="1" t="s">
        <v>44</v>
      </c>
      <c r="B39" s="1" t="str">
        <f>VLOOKUP(A39,LISTADHERENT!A$5:H$51,2)</f>
        <v>SEUNOU RICHELOT</v>
      </c>
      <c r="C39" s="6">
        <f t="shared" si="0"/>
        <v>1326.411909041658</v>
      </c>
      <c r="D39" s="6">
        <f>TONT20000FEV!C39+TONT20000FEV!D39+TONT20000MARS!G39</f>
        <v>411570.78814485861</v>
      </c>
      <c r="E39" s="1"/>
      <c r="F39" s="7">
        <f t="shared" si="1"/>
        <v>20000</v>
      </c>
      <c r="G39" s="7">
        <v>3000</v>
      </c>
      <c r="H39" s="7">
        <v>500</v>
      </c>
      <c r="I39" s="7">
        <v>1000</v>
      </c>
      <c r="J39" s="7">
        <v>2500</v>
      </c>
      <c r="K39" s="7"/>
      <c r="L39" s="7">
        <v>13000</v>
      </c>
      <c r="N39" s="7">
        <f t="shared" si="2"/>
        <v>0</v>
      </c>
    </row>
    <row r="40" spans="1:15" x14ac:dyDescent="0.25">
      <c r="A40" s="1" t="s">
        <v>45</v>
      </c>
      <c r="B40" s="1" t="str">
        <f>VLOOKUP(A40,LISTADHERENT!A$5:H$51,2)</f>
        <v>SIME ABEL</v>
      </c>
      <c r="C40" s="6">
        <f t="shared" si="0"/>
        <v>38.967572555461153</v>
      </c>
      <c r="D40" s="6">
        <f>TONT20000FEV!C40+TONT20000FEV!D40+TONT20000MARS!G40</f>
        <v>12091.202166852237</v>
      </c>
      <c r="E40" s="1"/>
      <c r="F40" s="7">
        <f t="shared" si="1"/>
        <v>20000</v>
      </c>
      <c r="G40" s="7">
        <v>3000</v>
      </c>
      <c r="H40" s="7">
        <v>500</v>
      </c>
      <c r="I40" s="7">
        <v>1000</v>
      </c>
      <c r="J40" s="7">
        <v>2500</v>
      </c>
      <c r="K40" s="7"/>
      <c r="L40" s="7">
        <v>13000</v>
      </c>
      <c r="N40" s="7">
        <f t="shared" si="2"/>
        <v>0</v>
      </c>
    </row>
    <row r="41" spans="1:15" x14ac:dyDescent="0.25">
      <c r="A41" s="1" t="s">
        <v>46</v>
      </c>
      <c r="B41" s="1" t="str">
        <f>VLOOKUP(A41,LISTADHERENT!A$5:H$51,2)</f>
        <v>SIME FONGANG ERIC</v>
      </c>
      <c r="C41" s="6">
        <f t="shared" si="0"/>
        <v>1321.0015421963622</v>
      </c>
      <c r="D41" s="6">
        <f>TONT20000FEV!C41+TONT20000FEV!D41+TONT20000MARS!G41</f>
        <v>409892.01179228496</v>
      </c>
      <c r="E41" s="1"/>
      <c r="F41" s="7">
        <f t="shared" si="1"/>
        <v>20000</v>
      </c>
      <c r="G41" s="7">
        <v>3000</v>
      </c>
      <c r="H41" s="7">
        <v>500</v>
      </c>
      <c r="I41" s="7">
        <v>1000</v>
      </c>
      <c r="J41" s="7">
        <v>2500</v>
      </c>
      <c r="K41" s="7"/>
      <c r="L41" s="7">
        <v>13000</v>
      </c>
      <c r="N41" s="7">
        <f t="shared" si="2"/>
        <v>0</v>
      </c>
    </row>
    <row r="42" spans="1:15" x14ac:dyDescent="0.25">
      <c r="A42" s="1" t="s">
        <v>47</v>
      </c>
      <c r="B42" s="1" t="str">
        <f>VLOOKUP(A42,LISTADHERENT!A$5:H$51,2)</f>
        <v>SIME MATHIEU</v>
      </c>
      <c r="C42" s="6">
        <f t="shared" si="0"/>
        <v>1319.8670046639547</v>
      </c>
      <c r="D42" s="6">
        <f>TONT20000FEV!C42+TONT20000FEV!D42+TONT20000MARS!G42</f>
        <v>409539.97747835133</v>
      </c>
      <c r="E42" s="1"/>
      <c r="F42" s="7">
        <f t="shared" si="1"/>
        <v>20000</v>
      </c>
      <c r="G42" s="7">
        <v>3000</v>
      </c>
      <c r="H42" s="7">
        <v>500</v>
      </c>
      <c r="I42" s="7">
        <v>1000</v>
      </c>
      <c r="J42" s="7">
        <v>2500</v>
      </c>
      <c r="K42" s="7"/>
      <c r="L42" s="7">
        <v>13000</v>
      </c>
      <c r="N42" s="7">
        <f t="shared" si="2"/>
        <v>0</v>
      </c>
    </row>
    <row r="43" spans="1:15" x14ac:dyDescent="0.25">
      <c r="A43" s="1" t="s">
        <v>48</v>
      </c>
      <c r="B43" s="1" t="str">
        <f>VLOOKUP(A43,LISTADHERENT!A$5:H$51,2)</f>
        <v>SIME PIERRE</v>
      </c>
      <c r="C43" s="6">
        <f t="shared" si="0"/>
        <v>4682.3050706886679</v>
      </c>
      <c r="D43" s="6">
        <f>TONT20000FEV!C43+TONT20000FEV!D43+TONT20000MARS!G43</f>
        <v>1452866.922516058</v>
      </c>
      <c r="E43" s="1"/>
      <c r="F43" s="7">
        <f t="shared" si="1"/>
        <v>20000</v>
      </c>
      <c r="G43" s="7">
        <v>3000</v>
      </c>
      <c r="H43" s="7">
        <v>500</v>
      </c>
      <c r="I43" s="7">
        <v>1000</v>
      </c>
      <c r="J43" s="7">
        <v>2500</v>
      </c>
      <c r="K43" s="7"/>
      <c r="L43" s="7">
        <v>13000</v>
      </c>
      <c r="N43" s="7">
        <f t="shared" si="2"/>
        <v>0</v>
      </c>
    </row>
    <row r="44" spans="1:15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38.967572555461153</v>
      </c>
      <c r="D44" s="6">
        <f>TONT20000FEV!C44+TONT20000FEV!D44+TONT20000MARS!G44</f>
        <v>12091.202166852237</v>
      </c>
      <c r="E44" s="1"/>
      <c r="F44" s="7">
        <f t="shared" si="1"/>
        <v>20000</v>
      </c>
      <c r="G44" s="7">
        <v>3000</v>
      </c>
      <c r="H44" s="7">
        <v>500</v>
      </c>
      <c r="I44" s="7">
        <v>1000</v>
      </c>
      <c r="J44" s="7">
        <v>2500</v>
      </c>
      <c r="K44" s="7"/>
      <c r="L44" s="7">
        <v>13000</v>
      </c>
      <c r="N44" s="7">
        <f t="shared" si="2"/>
        <v>0</v>
      </c>
    </row>
    <row r="45" spans="1:15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38.967572555461153</v>
      </c>
      <c r="D45" s="6">
        <f>TONT20000FEV!C45+TONT20000FEV!D45+TONT20000MARS!G45</f>
        <v>12091.202166852237</v>
      </c>
      <c r="E45" s="1"/>
      <c r="F45" s="7">
        <f t="shared" si="1"/>
        <v>20000</v>
      </c>
      <c r="G45" s="7">
        <v>3000</v>
      </c>
      <c r="H45" s="7">
        <v>500</v>
      </c>
      <c r="I45" s="7">
        <v>1000</v>
      </c>
      <c r="J45" s="7">
        <v>2500</v>
      </c>
      <c r="K45" s="7"/>
      <c r="L45" s="7">
        <v>13000</v>
      </c>
      <c r="N45" s="7">
        <f t="shared" si="2"/>
        <v>0</v>
      </c>
    </row>
    <row r="46" spans="1:15" x14ac:dyDescent="0.25">
      <c r="A46" s="1" t="s">
        <v>51</v>
      </c>
      <c r="B46" s="1" t="str">
        <f>VLOOKUP(A46,LISTADHERENT!A$5:H$51,2)</f>
        <v>TCHOUAMOU MATHIEU</v>
      </c>
      <c r="C46" s="6">
        <f t="shared" si="0"/>
        <v>1329.0515122601207</v>
      </c>
      <c r="D46" s="6">
        <f>TONT20000FEV!C46+TONT20000FEV!D46+TONT20000MARS!G46</f>
        <v>412389.82751687185</v>
      </c>
      <c r="E46" s="1"/>
      <c r="F46" s="7">
        <f t="shared" si="1"/>
        <v>20000</v>
      </c>
      <c r="G46" s="7">
        <v>3000</v>
      </c>
      <c r="H46" s="7">
        <v>500</v>
      </c>
      <c r="I46" s="7">
        <v>1000</v>
      </c>
      <c r="J46" s="7">
        <v>2500</v>
      </c>
      <c r="K46" s="7"/>
      <c r="L46" s="7">
        <v>13000</v>
      </c>
      <c r="M46" s="7">
        <v>500000</v>
      </c>
      <c r="N46" s="7">
        <f t="shared" si="2"/>
        <v>15000</v>
      </c>
      <c r="O46" s="7">
        <v>500000</v>
      </c>
    </row>
    <row r="47" spans="1:15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937.18009638893591</v>
      </c>
      <c r="D47" s="6">
        <f>TONT20000FEV!C47+TONT20000FEV!D47+TONT20000MARS!G47</f>
        <v>290796.5076875338</v>
      </c>
      <c r="E47" s="1"/>
      <c r="F47" s="7">
        <f t="shared" si="1"/>
        <v>23000</v>
      </c>
      <c r="G47" s="7">
        <v>6000</v>
      </c>
      <c r="H47" s="7">
        <v>500</v>
      </c>
      <c r="I47" s="7">
        <v>1000</v>
      </c>
      <c r="J47" s="7">
        <v>2500</v>
      </c>
      <c r="K47" s="7"/>
      <c r="L47" s="7">
        <v>13000</v>
      </c>
      <c r="N47" s="7">
        <f t="shared" si="2"/>
        <v>0</v>
      </c>
    </row>
    <row r="48" spans="1:15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19.517449124741379</v>
      </c>
      <c r="D48" s="6">
        <f>TONT20000FEV!C48+TONT20000FEV!D48+TONT20000MARS!G48</f>
        <v>6056.0462885550787</v>
      </c>
      <c r="E48" s="1"/>
      <c r="F48" s="7">
        <f t="shared" si="1"/>
        <v>0</v>
      </c>
      <c r="G48" s="7"/>
      <c r="H48" s="7"/>
      <c r="I48" s="7"/>
      <c r="J48" s="7"/>
      <c r="K48" s="7"/>
      <c r="L48" s="7"/>
      <c r="N48" s="7">
        <f t="shared" si="2"/>
        <v>0</v>
      </c>
    </row>
    <row r="49" spans="1:17" x14ac:dyDescent="0.25">
      <c r="A49" s="1" t="s">
        <v>54</v>
      </c>
      <c r="B49" s="1" t="str">
        <f>VLOOKUP(A49,LISTADHERENT!A$5:H$51,2)</f>
        <v>TIEYAM ERNEST</v>
      </c>
      <c r="C49" s="6">
        <f t="shared" si="0"/>
        <v>1320.4178783791122</v>
      </c>
      <c r="D49" s="6">
        <f>TONT20000FEV!C49+TONT20000FEV!D49+TONT20000MARS!G49</f>
        <v>409710.90743424976</v>
      </c>
      <c r="E49" s="1"/>
      <c r="F49" s="7">
        <f t="shared" si="1"/>
        <v>20000</v>
      </c>
      <c r="G49" s="7">
        <v>3000</v>
      </c>
      <c r="H49" s="7">
        <v>500</v>
      </c>
      <c r="I49" s="7">
        <v>1000</v>
      </c>
      <c r="J49" s="7">
        <v>2500</v>
      </c>
      <c r="K49" s="7"/>
      <c r="L49" s="7">
        <v>13000</v>
      </c>
      <c r="N49" s="7">
        <f t="shared" si="2"/>
        <v>0</v>
      </c>
    </row>
    <row r="50" spans="1:17" x14ac:dyDescent="0.25">
      <c r="A50" s="1" t="s">
        <v>55</v>
      </c>
      <c r="B50" s="1" t="str">
        <f>VLOOKUP(A50,LISTADHERENT!A$5:H$51,2)</f>
        <v>TUGMA PIERRE LOTI</v>
      </c>
      <c r="C50" s="6">
        <f t="shared" si="0"/>
        <v>1375.6101782215489</v>
      </c>
      <c r="D50" s="6">
        <f>TONT20000FEV!C50+TONT20000FEV!D50+TONT20000MARS!G50</f>
        <v>426836.46111092868</v>
      </c>
      <c r="E50" s="1"/>
      <c r="F50" s="7">
        <f t="shared" si="1"/>
        <v>20000</v>
      </c>
      <c r="G50" s="7">
        <v>3000</v>
      </c>
      <c r="H50" s="7">
        <v>500</v>
      </c>
      <c r="I50" s="7">
        <v>1000</v>
      </c>
      <c r="J50" s="7">
        <v>2500</v>
      </c>
      <c r="K50" s="7"/>
      <c r="L50" s="7">
        <v>13000</v>
      </c>
      <c r="N50" s="7">
        <f t="shared" si="2"/>
        <v>0</v>
      </c>
    </row>
    <row r="51" spans="1:17" ht="18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2699.0219776932313</v>
      </c>
      <c r="D51" s="6">
        <f>TONT20000FEV!C51+TONT20000FEV!D51+TONT20000MARS!G51</f>
        <v>837476.34879280219</v>
      </c>
      <c r="E51" s="1"/>
      <c r="F51" s="7">
        <f t="shared" si="1"/>
        <v>20000</v>
      </c>
      <c r="G51" s="7">
        <v>3000</v>
      </c>
      <c r="H51" s="7">
        <v>500</v>
      </c>
      <c r="I51" s="7">
        <v>1000</v>
      </c>
      <c r="J51" s="7">
        <v>2500</v>
      </c>
      <c r="K51" s="7"/>
      <c r="L51" s="7">
        <v>13000</v>
      </c>
      <c r="M51" s="9"/>
      <c r="N51" s="7">
        <f t="shared" si="2"/>
        <v>0</v>
      </c>
    </row>
    <row r="52" spans="1:17" x14ac:dyDescent="0.25">
      <c r="A52" s="1" t="s">
        <v>178</v>
      </c>
      <c r="B52" s="1" t="str">
        <f>VLOOKUP(A52,LISTADHERENT!A$5:H$51,2)</f>
        <v>YOUMBI EMMANUEL</v>
      </c>
      <c r="C52" s="6">
        <f t="shared" si="0"/>
        <v>4607.5436379173061</v>
      </c>
      <c r="D52" s="6">
        <f>TONT20000FEV!C52+TONT20000FEV!D52+TONT20000MARS!G52</f>
        <v>1429669.2856441305</v>
      </c>
      <c r="E52" s="1"/>
      <c r="F52" s="7">
        <f t="shared" si="1"/>
        <v>20000</v>
      </c>
      <c r="G52" s="7">
        <v>3000</v>
      </c>
      <c r="H52" s="7">
        <v>500</v>
      </c>
      <c r="I52" s="7">
        <v>1000</v>
      </c>
      <c r="J52" s="7">
        <v>2500</v>
      </c>
      <c r="L52" s="7">
        <v>13000</v>
      </c>
      <c r="N52" s="7">
        <f t="shared" si="2"/>
        <v>0</v>
      </c>
    </row>
    <row r="53" spans="1:17" x14ac:dyDescent="0.25">
      <c r="A53" s="1"/>
      <c r="B53" s="1"/>
      <c r="C53" s="1"/>
      <c r="D53" s="1"/>
      <c r="E53" s="1"/>
      <c r="F53" s="7"/>
      <c r="G53" s="7"/>
      <c r="H53" s="7"/>
      <c r="I53" s="7"/>
      <c r="J53" s="7"/>
      <c r="L53" s="7"/>
      <c r="N53" s="7"/>
    </row>
    <row r="54" spans="1:17" ht="18" x14ac:dyDescent="0.25">
      <c r="A54" s="1"/>
      <c r="B54" s="1" t="s">
        <v>180</v>
      </c>
      <c r="C54" s="1"/>
      <c r="D54" s="1"/>
      <c r="E54" s="1"/>
      <c r="H54" s="4"/>
      <c r="L54" s="7">
        <v>50500</v>
      </c>
      <c r="N54" s="7">
        <f t="shared" si="2"/>
        <v>0</v>
      </c>
      <c r="O54" s="9"/>
    </row>
    <row r="55" spans="1:17" ht="18" x14ac:dyDescent="0.25">
      <c r="A55" s="1"/>
      <c r="B55" s="1"/>
      <c r="C55" s="1"/>
      <c r="D55" s="1"/>
      <c r="E55" s="1"/>
      <c r="H55" s="4"/>
      <c r="O55" s="9"/>
    </row>
    <row r="56" spans="1:17" ht="18" x14ac:dyDescent="0.25">
      <c r="A56" s="8" t="s">
        <v>56</v>
      </c>
      <c r="B56" s="8"/>
      <c r="C56" s="9">
        <f>SUM(C5:C52)</f>
        <v>59400.000000000015</v>
      </c>
      <c r="D56" s="9">
        <f t="shared" ref="D56:Q56" si="3">SUM(D5:D52)</f>
        <v>18431155.999999993</v>
      </c>
      <c r="E56" s="9">
        <f t="shared" si="3"/>
        <v>0</v>
      </c>
      <c r="F56" s="9">
        <f t="shared" si="3"/>
        <v>1022000</v>
      </c>
      <c r="G56" s="9">
        <f t="shared" si="3"/>
        <v>291000</v>
      </c>
      <c r="H56" s="9">
        <f t="shared" si="3"/>
        <v>21500</v>
      </c>
      <c r="I56" s="9">
        <f t="shared" si="3"/>
        <v>43000</v>
      </c>
      <c r="J56" s="9">
        <f t="shared" si="3"/>
        <v>107500</v>
      </c>
      <c r="K56" s="9">
        <f t="shared" si="3"/>
        <v>0</v>
      </c>
      <c r="L56" s="9">
        <f t="shared" si="3"/>
        <v>559000</v>
      </c>
      <c r="M56" s="9">
        <f t="shared" si="3"/>
        <v>1980000</v>
      </c>
      <c r="N56" s="9">
        <f t="shared" si="3"/>
        <v>59400</v>
      </c>
      <c r="O56" s="9">
        <f t="shared" si="3"/>
        <v>900000</v>
      </c>
      <c r="P56" s="9">
        <f t="shared" si="3"/>
        <v>0</v>
      </c>
      <c r="Q56" s="9">
        <f t="shared" si="3"/>
        <v>0</v>
      </c>
    </row>
  </sheetData>
  <autoFilter ref="A4:O51"/>
  <dataValidations count="1">
    <dataValidation type="list" allowBlank="1" showInputMessage="1" showErrorMessage="1" promptTitle="Saissisez le mode de VERSEMENT" sqref="H6:H53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pane xSplit="2" ySplit="4" topLeftCell="D29" activePane="bottomRight" state="frozen"/>
      <selection activeCell="B22" sqref="B22"/>
      <selection pane="topRight" activeCell="B22" sqref="B22"/>
      <selection pane="bottomLeft" activeCell="B22" sqref="B22"/>
      <selection pane="bottomRight" activeCell="A33" sqref="A33:XFD3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8" customWidth="1"/>
    <col min="4" max="4" width="20.85546875" customWidth="1"/>
    <col min="5" max="5" width="29.5703125" customWidth="1"/>
    <col min="6" max="6" width="15" style="2" bestFit="1" customWidth="1"/>
    <col min="7" max="7" width="12.5703125" bestFit="1" customWidth="1"/>
    <col min="8" max="8" width="17.5703125" style="3" bestFit="1" customWidth="1"/>
    <col min="9" max="9" width="15.7109375" style="2" customWidth="1"/>
    <col min="10" max="10" width="14.7109375" style="2" customWidth="1"/>
    <col min="11" max="11" width="18.140625" style="2" bestFit="1" customWidth="1"/>
    <col min="12" max="12" width="18.140625" customWidth="1"/>
    <col min="13" max="13" width="15" bestFit="1" customWidth="1"/>
    <col min="14" max="14" width="12.5703125" bestFit="1" customWidth="1"/>
    <col min="15" max="15" width="18.140625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</row>
    <row r="2" spans="1:18" x14ac:dyDescent="0.25">
      <c r="A2" s="1" t="s">
        <v>2</v>
      </c>
      <c r="B2" s="1" t="s">
        <v>3</v>
      </c>
      <c r="C2" s="1"/>
      <c r="D2" s="1"/>
      <c r="E2" s="1"/>
    </row>
    <row r="3" spans="1:18" x14ac:dyDescent="0.25">
      <c r="A3" s="1" t="s">
        <v>4</v>
      </c>
      <c r="B3" s="1" t="s">
        <v>5</v>
      </c>
      <c r="C3" s="1"/>
      <c r="D3" s="1"/>
      <c r="E3" s="1"/>
    </row>
    <row r="4" spans="1:18" ht="29.25" x14ac:dyDescent="0.25">
      <c r="A4" s="1" t="s">
        <v>6</v>
      </c>
      <c r="B4" s="1" t="s">
        <v>7</v>
      </c>
      <c r="C4" s="5" t="s">
        <v>186</v>
      </c>
      <c r="D4" s="5" t="s">
        <v>187</v>
      </c>
      <c r="E4" s="1" t="s">
        <v>184</v>
      </c>
      <c r="F4" s="5" t="s">
        <v>65</v>
      </c>
      <c r="G4" s="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8</v>
      </c>
      <c r="P4" s="5" t="s">
        <v>182</v>
      </c>
      <c r="Q4" s="5" t="s">
        <v>181</v>
      </c>
    </row>
    <row r="5" spans="1:18" x14ac:dyDescent="0.25">
      <c r="A5" s="1" t="s">
        <v>185</v>
      </c>
      <c r="B5" s="1" t="str">
        <f>VLOOKUP(A5,LISTADHERENT!A$5:H$52,2,0)</f>
        <v>ASELBY</v>
      </c>
      <c r="C5" s="6">
        <f>$N$56/$D$56*D5</f>
        <v>4206.7983317359185</v>
      </c>
      <c r="D5" s="6">
        <f>TONT20000MARS!C5+TONT20000MARS!D5+TONT20000AVRIL!G5</f>
        <v>324736.71748457651</v>
      </c>
      <c r="E5" s="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</row>
    <row r="6" spans="1:18" x14ac:dyDescent="0.25">
      <c r="A6" s="1" t="s">
        <v>11</v>
      </c>
      <c r="B6" s="1" t="str">
        <f>VLOOKUP(A6,LISTADHERENT!A$5:H$51,2)</f>
        <v>BAKOP ACHILLE</v>
      </c>
      <c r="C6" s="6">
        <f t="shared" ref="C6:C52" si="0">$N$56/$D$56*D6</f>
        <v>5796.3762138227676</v>
      </c>
      <c r="D6" s="6">
        <f>TONT20000MARS!C6+TONT20000MARS!D6+TONT20000AVRIL!G6</f>
        <v>447441.50694900588</v>
      </c>
      <c r="E6" s="1"/>
      <c r="F6" s="7">
        <f t="shared" ref="F6:F52" si="1">G6+H6+I6+J6+K6+L6</f>
        <v>20000</v>
      </c>
      <c r="G6" s="7">
        <v>3000</v>
      </c>
      <c r="H6" s="7">
        <v>500</v>
      </c>
      <c r="I6" s="7">
        <v>1000</v>
      </c>
      <c r="J6" s="7">
        <v>2500</v>
      </c>
      <c r="K6" s="7"/>
      <c r="L6" s="7">
        <v>13000</v>
      </c>
      <c r="M6" s="7"/>
      <c r="N6" s="7">
        <f>IF(M6&lt;=500000,(M6*1*3/100),(M6*12/100))</f>
        <v>0</v>
      </c>
    </row>
    <row r="7" spans="1:18" x14ac:dyDescent="0.25">
      <c r="A7" s="1" t="s">
        <v>12</v>
      </c>
      <c r="B7" s="1" t="str">
        <f>VLOOKUP(A7,LISTADHERENT!A$5:H$51,2)</f>
        <v>BOUTCHOUANG WILLIAM</v>
      </c>
      <c r="C7" s="6">
        <f t="shared" si="0"/>
        <v>5375.464979964564</v>
      </c>
      <c r="D7" s="6">
        <f>TONT20000MARS!C7+TONT20000MARS!D7+TONT20000AVRIL!G7</f>
        <v>414949.97261413006</v>
      </c>
      <c r="E7" s="1"/>
      <c r="F7" s="7">
        <f t="shared" si="1"/>
        <v>20000</v>
      </c>
      <c r="G7" s="7">
        <v>3000</v>
      </c>
      <c r="H7" s="7">
        <v>500</v>
      </c>
      <c r="I7" s="7">
        <v>1000</v>
      </c>
      <c r="J7" s="7">
        <v>2500</v>
      </c>
      <c r="K7" s="7"/>
      <c r="L7" s="7">
        <v>13000</v>
      </c>
      <c r="M7" s="7"/>
      <c r="N7" s="7">
        <f t="shared" ref="N7:N54" si="2">IF(M7&lt;=500000,(M7*1*3/100),(M7*12/100))</f>
        <v>0</v>
      </c>
    </row>
    <row r="8" spans="1:18" x14ac:dyDescent="0.25">
      <c r="A8" s="1" t="s">
        <v>13</v>
      </c>
      <c r="B8" s="1" t="str">
        <f>VLOOKUP(A8,LISTADHERENT!A$5:H$51,2)</f>
        <v>CHINGUE FABRICE</v>
      </c>
      <c r="C8" s="6">
        <f t="shared" si="0"/>
        <v>5377.2897396489207</v>
      </c>
      <c r="D8" s="6">
        <f>TONT20000MARS!C8+TONT20000MARS!D8+TONT20000AVRIL!G8</f>
        <v>415090.83186702692</v>
      </c>
      <c r="E8" s="1"/>
      <c r="F8" s="7">
        <f t="shared" si="1"/>
        <v>20000</v>
      </c>
      <c r="G8" s="7">
        <v>3000</v>
      </c>
      <c r="H8" s="7">
        <v>500</v>
      </c>
      <c r="I8" s="7">
        <v>1000</v>
      </c>
      <c r="J8" s="7">
        <v>2500</v>
      </c>
      <c r="K8" s="7"/>
      <c r="L8" s="7">
        <v>13000</v>
      </c>
      <c r="N8" s="7">
        <f t="shared" si="2"/>
        <v>0</v>
      </c>
    </row>
    <row r="9" spans="1:18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5460.7791066563577</v>
      </c>
      <c r="D9" s="6">
        <f>TONT20000MARS!C9+TONT20000MARS!D9+TONT20000AVRIL!G9</f>
        <v>421535.65304667031</v>
      </c>
      <c r="E9" s="1"/>
      <c r="F9" s="7">
        <f t="shared" si="1"/>
        <v>20000</v>
      </c>
      <c r="G9" s="7">
        <v>3000</v>
      </c>
      <c r="H9" s="7">
        <v>500</v>
      </c>
      <c r="I9" s="7">
        <v>1000</v>
      </c>
      <c r="J9" s="7">
        <v>2500</v>
      </c>
      <c r="K9" s="7"/>
      <c r="L9" s="7">
        <v>13000</v>
      </c>
      <c r="N9" s="7">
        <f t="shared" si="2"/>
        <v>0</v>
      </c>
    </row>
    <row r="10" spans="1:18" x14ac:dyDescent="0.25">
      <c r="A10" s="1" t="s">
        <v>15</v>
      </c>
      <c r="B10" s="1" t="str">
        <f>VLOOKUP(A10,LISTADHERENT!A$5:H$51,2)</f>
        <v>DJOUKWE GUY</v>
      </c>
      <c r="C10" s="6">
        <f t="shared" si="0"/>
        <v>5561.9012949809658</v>
      </c>
      <c r="D10" s="6">
        <f>TONT20000MARS!C10+TONT20000MARS!D10+TONT20000AVRIL!G10</f>
        <v>429341.61019314465</v>
      </c>
      <c r="E10" s="1"/>
      <c r="F10" s="7">
        <f t="shared" si="1"/>
        <v>25000</v>
      </c>
      <c r="G10" s="7">
        <v>8000</v>
      </c>
      <c r="H10" s="7">
        <v>500</v>
      </c>
      <c r="I10" s="7">
        <v>1000</v>
      </c>
      <c r="J10" s="7">
        <v>2500</v>
      </c>
      <c r="K10" s="7"/>
      <c r="L10" s="7">
        <v>13000</v>
      </c>
      <c r="N10" s="7">
        <f t="shared" si="2"/>
        <v>0</v>
      </c>
    </row>
    <row r="11" spans="1:18" x14ac:dyDescent="0.25">
      <c r="A11" s="1" t="s">
        <v>16</v>
      </c>
      <c r="B11" s="1" t="str">
        <f>VLOOKUP(A11,LISTADHERENT!A$5:H$51,2)</f>
        <v>DJOSSEU JOSUE</v>
      </c>
      <c r="C11" s="6">
        <f t="shared" si="0"/>
        <v>66.114481317259731</v>
      </c>
      <c r="D11" s="6">
        <f>TONT20000MARS!C11+TONT20000MARS!D11+TONT20000AVRIL!G11</f>
        <v>5103.5961194514539</v>
      </c>
      <c r="E11" s="1"/>
      <c r="F11" s="7">
        <f t="shared" si="1"/>
        <v>0</v>
      </c>
      <c r="G11" s="7"/>
      <c r="H11" s="7"/>
      <c r="I11" s="7"/>
      <c r="J11" s="7"/>
      <c r="K11" s="7"/>
      <c r="L11" s="7"/>
      <c r="N11" s="7">
        <f t="shared" si="2"/>
        <v>0</v>
      </c>
    </row>
    <row r="12" spans="1:18" x14ac:dyDescent="0.25">
      <c r="A12" s="1" t="s">
        <v>17</v>
      </c>
      <c r="B12" s="1" t="str">
        <f>VLOOKUP(A12,LISTADHERENT!A$5:H$51,2)</f>
        <v>DJOUNKEP SAMUEL</v>
      </c>
      <c r="C12" s="6">
        <f t="shared" si="0"/>
        <v>18648.245012997726</v>
      </c>
      <c r="D12" s="6">
        <f>TONT20000MARS!C12+TONT20000MARS!D12+TONT20000AVRIL!G12</f>
        <v>1439519.8901465086</v>
      </c>
      <c r="E12" s="1"/>
      <c r="F12" s="7">
        <f t="shared" si="1"/>
        <v>20000</v>
      </c>
      <c r="G12" s="7">
        <v>3000</v>
      </c>
      <c r="H12" s="7">
        <v>500</v>
      </c>
      <c r="I12" s="7">
        <v>1000</v>
      </c>
      <c r="J12" s="7">
        <v>2500</v>
      </c>
      <c r="K12" s="7"/>
      <c r="L12" s="7">
        <v>13000</v>
      </c>
      <c r="N12" s="7">
        <f t="shared" si="2"/>
        <v>0</v>
      </c>
    </row>
    <row r="13" spans="1:18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4415.8793981258577</v>
      </c>
      <c r="D13" s="6">
        <f>TONT20000MARS!C13+TONT20000MARS!D13+TONT20000AVRIL!G13</f>
        <v>340876.37853641174</v>
      </c>
      <c r="E13" s="1"/>
      <c r="F13" s="7">
        <f t="shared" si="1"/>
        <v>20000</v>
      </c>
      <c r="G13" s="7">
        <v>3000</v>
      </c>
      <c r="H13" s="7">
        <v>500</v>
      </c>
      <c r="I13" s="7">
        <v>1000</v>
      </c>
      <c r="J13" s="7">
        <v>2500</v>
      </c>
      <c r="K13" s="7"/>
      <c r="L13" s="7">
        <v>13000</v>
      </c>
      <c r="N13" s="7">
        <f t="shared" si="2"/>
        <v>0</v>
      </c>
    </row>
    <row r="14" spans="1:18" x14ac:dyDescent="0.25">
      <c r="A14" s="1" t="s">
        <v>19</v>
      </c>
      <c r="B14" s="1" t="str">
        <f>VLOOKUP(A14,LISTADHERENT!A$5:H$51,2)</f>
        <v>DONHOU DAVID</v>
      </c>
      <c r="C14" s="6">
        <f t="shared" si="0"/>
        <v>5944.4462061809018</v>
      </c>
      <c r="D14" s="6">
        <f>TONT20000MARS!C14+TONT20000MARS!D14+TONT20000AVRIL!G14</f>
        <v>458871.5208181293</v>
      </c>
      <c r="E14" s="1"/>
      <c r="F14" s="7">
        <f t="shared" si="1"/>
        <v>20000</v>
      </c>
      <c r="G14" s="7">
        <v>3000</v>
      </c>
      <c r="H14" s="7">
        <v>500</v>
      </c>
      <c r="I14" s="7">
        <v>1000</v>
      </c>
      <c r="J14" s="7">
        <v>2500</v>
      </c>
      <c r="K14" s="7"/>
      <c r="L14" s="7">
        <v>13000</v>
      </c>
      <c r="N14" s="7">
        <f t="shared" si="2"/>
        <v>0</v>
      </c>
    </row>
    <row r="15" spans="1:18" x14ac:dyDescent="0.25">
      <c r="A15" s="1" t="s">
        <v>20</v>
      </c>
      <c r="B15" s="1" t="str">
        <f>VLOOKUP(A15,LISTADHERENT!A$5:H$51,2)</f>
        <v>FOTSO THOMAS</v>
      </c>
      <c r="C15" s="6">
        <f t="shared" si="0"/>
        <v>5396.8067345337768</v>
      </c>
      <c r="D15" s="6">
        <f>TONT20000MARS!C15+TONT20000MARS!D15+TONT20000AVRIL!G15</f>
        <v>416597.4134414891</v>
      </c>
      <c r="E15" s="1"/>
      <c r="F15" s="7">
        <f t="shared" si="1"/>
        <v>20000</v>
      </c>
      <c r="G15" s="7">
        <v>3000</v>
      </c>
      <c r="H15" s="7">
        <v>500</v>
      </c>
      <c r="I15" s="7">
        <v>1000</v>
      </c>
      <c r="J15" s="7">
        <v>2500</v>
      </c>
      <c r="K15" s="7"/>
      <c r="L15" s="7">
        <v>13000</v>
      </c>
      <c r="M15" s="7">
        <v>1000000</v>
      </c>
      <c r="N15" s="7">
        <f t="shared" si="2"/>
        <v>120000</v>
      </c>
    </row>
    <row r="16" spans="1:18" x14ac:dyDescent="0.25">
      <c r="A16" s="1" t="s">
        <v>21</v>
      </c>
      <c r="B16" s="1" t="str">
        <f>VLOOKUP(A16,LISTADHERENT!A$5:H$51,2)</f>
        <v>HENGUE PAUL OMER</v>
      </c>
      <c r="C16" s="6">
        <f t="shared" si="0"/>
        <v>5352.933164731644</v>
      </c>
      <c r="D16" s="6">
        <f>TONT20000MARS!C16+TONT20000MARS!D16+TONT20000AVRIL!G16</f>
        <v>413210.66705662111</v>
      </c>
      <c r="E16" s="1"/>
      <c r="F16" s="7">
        <f t="shared" si="1"/>
        <v>20000</v>
      </c>
      <c r="G16" s="7">
        <v>3000</v>
      </c>
      <c r="H16" s="7">
        <v>500</v>
      </c>
      <c r="I16" s="7">
        <v>1000</v>
      </c>
      <c r="J16" s="7">
        <v>2500</v>
      </c>
      <c r="K16" s="7"/>
      <c r="L16" s="7">
        <v>13000</v>
      </c>
      <c r="N16" s="7">
        <f t="shared" si="2"/>
        <v>0</v>
      </c>
    </row>
    <row r="17" spans="1:14" x14ac:dyDescent="0.25">
      <c r="A17" s="1" t="s">
        <v>22</v>
      </c>
      <c r="B17" s="1" t="str">
        <f>VLOOKUP(A17,LISTADHERENT!A$5:H$51,2)</f>
        <v>HODIEP JULES</v>
      </c>
      <c r="C17" s="6">
        <f t="shared" si="0"/>
        <v>196.00362198538465</v>
      </c>
      <c r="D17" s="6">
        <f>TONT20000MARS!C17+TONT20000MARS!D17+TONT20000AVRIL!G17</f>
        <v>15130.169739407698</v>
      </c>
      <c r="E17" s="1"/>
      <c r="F17" s="7">
        <f t="shared" si="1"/>
        <v>20000</v>
      </c>
      <c r="G17" s="7">
        <v>3000</v>
      </c>
      <c r="H17" s="7">
        <v>500</v>
      </c>
      <c r="I17" s="7">
        <v>1000</v>
      </c>
      <c r="J17" s="7">
        <v>2500</v>
      </c>
      <c r="K17" s="7"/>
      <c r="L17" s="7">
        <v>13000</v>
      </c>
      <c r="N17" s="7">
        <f t="shared" si="2"/>
        <v>0</v>
      </c>
    </row>
    <row r="18" spans="1:14" x14ac:dyDescent="0.25">
      <c r="A18" s="1" t="s">
        <v>23</v>
      </c>
      <c r="B18" s="1" t="str">
        <f>VLOOKUP(A18,LISTADHERENT!A$5:H$51,2)</f>
        <v>HOTCHO BENJAMIN</v>
      </c>
      <c r="C18" s="6">
        <f t="shared" si="0"/>
        <v>5468.2764888377342</v>
      </c>
      <c r="D18" s="6">
        <f>TONT20000MARS!C18+TONT20000MARS!D18+TONT20000AVRIL!G18</f>
        <v>422114.40084661607</v>
      </c>
      <c r="E18" s="1"/>
      <c r="F18" s="7">
        <f t="shared" si="1"/>
        <v>20000</v>
      </c>
      <c r="G18" s="7">
        <v>3000</v>
      </c>
      <c r="H18" s="7">
        <v>500</v>
      </c>
      <c r="I18" s="7">
        <v>1000</v>
      </c>
      <c r="J18" s="7">
        <v>2500</v>
      </c>
      <c r="K18" s="7"/>
      <c r="L18" s="7">
        <v>13000</v>
      </c>
      <c r="N18" s="7">
        <f t="shared" si="2"/>
        <v>0</v>
      </c>
    </row>
    <row r="19" spans="1:14" x14ac:dyDescent="0.25">
      <c r="A19" s="1" t="s">
        <v>24</v>
      </c>
      <c r="B19" s="1" t="str">
        <f>VLOOKUP(A19,LISTADHERENT!A$5:H$51,2)</f>
        <v>KEPHE DAVID</v>
      </c>
      <c r="C19" s="6">
        <f t="shared" si="0"/>
        <v>365.1905796762523</v>
      </c>
      <c r="D19" s="6">
        <f>TONT20000MARS!C19+TONT20000MARS!D19+TONT20000AVRIL!G19</f>
        <v>28190.272209083967</v>
      </c>
      <c r="E19" s="1"/>
      <c r="F19" s="7">
        <f t="shared" si="1"/>
        <v>20000</v>
      </c>
      <c r="G19" s="7">
        <v>3000</v>
      </c>
      <c r="H19" s="7">
        <v>500</v>
      </c>
      <c r="I19" s="7">
        <v>1000</v>
      </c>
      <c r="J19" s="7">
        <v>2500</v>
      </c>
      <c r="K19" s="7"/>
      <c r="L19" s="7">
        <v>13000</v>
      </c>
      <c r="N19" s="7">
        <f t="shared" si="2"/>
        <v>0</v>
      </c>
    </row>
    <row r="20" spans="1:14" x14ac:dyDescent="0.25">
      <c r="A20" s="1" t="s">
        <v>25</v>
      </c>
      <c r="B20" s="1" t="str">
        <f>VLOOKUP(A20,LISTADHERENT!A$5:H$51,2)</f>
        <v>KEPSEU FRANCIS</v>
      </c>
      <c r="C20" s="6">
        <f t="shared" si="0"/>
        <v>14245.578551813711</v>
      </c>
      <c r="D20" s="6">
        <f>TONT20000MARS!C20+TONT20000MARS!D20+TONT20000AVRIL!G20</f>
        <v>1099663.4620409163</v>
      </c>
      <c r="E20" s="1"/>
      <c r="F20" s="7">
        <f t="shared" si="1"/>
        <v>363000</v>
      </c>
      <c r="G20" s="7">
        <v>346000</v>
      </c>
      <c r="H20" s="7">
        <v>500</v>
      </c>
      <c r="I20" s="7">
        <v>1000</v>
      </c>
      <c r="J20" s="7">
        <v>2500</v>
      </c>
      <c r="K20" s="7"/>
      <c r="L20" s="7">
        <v>13000</v>
      </c>
      <c r="N20" s="7">
        <f t="shared" si="2"/>
        <v>0</v>
      </c>
    </row>
    <row r="21" spans="1:14" x14ac:dyDescent="0.25">
      <c r="A21" s="1" t="s">
        <v>26</v>
      </c>
      <c r="B21" s="1" t="str">
        <f>VLOOKUP(A21,LISTADHERENT!A$5:H$51,2)</f>
        <v>KOUAMOU EMMANUEL</v>
      </c>
      <c r="C21" s="6">
        <f t="shared" si="0"/>
        <v>5388.939111257022</v>
      </c>
      <c r="D21" s="6">
        <f>TONT20000MARS!C21+TONT20000MARS!D21+TONT20000AVRIL!G21</f>
        <v>415990.08550327428</v>
      </c>
      <c r="E21" s="1"/>
      <c r="F21" s="7">
        <f t="shared" si="1"/>
        <v>20000</v>
      </c>
      <c r="G21" s="7">
        <v>3000</v>
      </c>
      <c r="H21" s="7">
        <v>500</v>
      </c>
      <c r="I21" s="7">
        <v>1000</v>
      </c>
      <c r="J21" s="7">
        <v>2500</v>
      </c>
      <c r="K21" s="7"/>
      <c r="L21" s="7">
        <v>13000</v>
      </c>
      <c r="N21" s="7">
        <f t="shared" si="2"/>
        <v>0</v>
      </c>
    </row>
    <row r="22" spans="1:14" x14ac:dyDescent="0.25">
      <c r="A22" s="1" t="s">
        <v>27</v>
      </c>
      <c r="B22" s="1" t="str">
        <f>VLOOKUP(A22,LISTADHERENT!A$5:H$51,2)</f>
        <v>KOUAMOU MOISE</v>
      </c>
      <c r="C22" s="6">
        <f t="shared" si="0"/>
        <v>4388.9708042297325</v>
      </c>
      <c r="D22" s="6">
        <f>TONT20000MARS!C22+TONT20000MARS!D22+TONT20000AVRIL!G22</f>
        <v>338799.21491579496</v>
      </c>
      <c r="E22" s="1"/>
      <c r="F22" s="7">
        <f t="shared" si="1"/>
        <v>20000</v>
      </c>
      <c r="G22" s="7">
        <v>3000</v>
      </c>
      <c r="H22" s="7">
        <v>500</v>
      </c>
      <c r="I22" s="7">
        <v>1000</v>
      </c>
      <c r="J22" s="7">
        <v>2500</v>
      </c>
      <c r="K22" s="7"/>
      <c r="L22" s="7">
        <v>13000</v>
      </c>
      <c r="N22" s="7">
        <f t="shared" si="2"/>
        <v>0</v>
      </c>
    </row>
    <row r="23" spans="1:14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5837.2746319656235</v>
      </c>
      <c r="D23" s="6">
        <f>TONT20000MARS!C23+TONT20000MARS!D23+TONT20000AVRIL!G23</f>
        <v>450598.59150849847</v>
      </c>
      <c r="E23" s="1"/>
      <c r="F23" s="7">
        <f t="shared" si="1"/>
        <v>20000</v>
      </c>
      <c r="G23" s="7">
        <v>3000</v>
      </c>
      <c r="H23" s="7">
        <v>500</v>
      </c>
      <c r="I23" s="7">
        <v>1000</v>
      </c>
      <c r="J23" s="7">
        <v>2500</v>
      </c>
      <c r="K23" s="7"/>
      <c r="L23" s="7">
        <v>13000</v>
      </c>
      <c r="N23" s="7">
        <f t="shared" si="2"/>
        <v>0</v>
      </c>
    </row>
    <row r="24" spans="1:14" x14ac:dyDescent="0.25">
      <c r="A24" s="1" t="s">
        <v>29</v>
      </c>
      <c r="B24" s="1" t="str">
        <f>VLOOKUP(A24,LISTADHERENT!A$5:H$51,2)</f>
        <v>KOUATCHO MESSACK</v>
      </c>
      <c r="C24" s="6">
        <f t="shared" si="0"/>
        <v>5352.933164731644</v>
      </c>
      <c r="D24" s="6">
        <f>TONT20000MARS!C24+TONT20000MARS!D24+TONT20000AVRIL!G24</f>
        <v>413210.66705662111</v>
      </c>
      <c r="E24" s="1"/>
      <c r="F24" s="7">
        <f t="shared" si="1"/>
        <v>20000</v>
      </c>
      <c r="G24" s="7">
        <v>3000</v>
      </c>
      <c r="H24" s="7">
        <v>500</v>
      </c>
      <c r="I24" s="7">
        <v>1000</v>
      </c>
      <c r="J24" s="7">
        <v>2500</v>
      </c>
      <c r="K24" s="7"/>
      <c r="L24" s="7">
        <v>13000</v>
      </c>
      <c r="M24" s="7">
        <v>1000000</v>
      </c>
      <c r="N24" s="7">
        <f t="shared" si="2"/>
        <v>120000</v>
      </c>
    </row>
    <row r="25" spans="1:14" x14ac:dyDescent="0.25">
      <c r="A25" s="1" t="s">
        <v>30</v>
      </c>
      <c r="B25" s="1" t="str">
        <f>VLOOKUP(A25,LISTADHERENT!A$5:H$51,2)</f>
        <v>LOWE JEAN</v>
      </c>
      <c r="C25" s="6">
        <f t="shared" si="0"/>
        <v>5410.2015284486533</v>
      </c>
      <c r="D25" s="6">
        <f>TONT20000MARS!C25+TONT20000MARS!D25+TONT20000AVRIL!G25</f>
        <v>417631.40201528993</v>
      </c>
      <c r="E25" s="1"/>
      <c r="F25" s="7">
        <f t="shared" si="1"/>
        <v>20000</v>
      </c>
      <c r="G25" s="7">
        <v>3000</v>
      </c>
      <c r="H25" s="7">
        <v>500</v>
      </c>
      <c r="I25" s="7">
        <v>1000</v>
      </c>
      <c r="J25" s="7">
        <v>2500</v>
      </c>
      <c r="K25" s="7"/>
      <c r="L25" s="7">
        <v>13000</v>
      </c>
      <c r="N25" s="7">
        <f t="shared" si="2"/>
        <v>0</v>
      </c>
    </row>
    <row r="26" spans="1:14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5411.2593601497292</v>
      </c>
      <c r="D26" s="6">
        <f>TONT20000MARS!C26+TONT20000MARS!D26+TONT20000AVRIL!G26</f>
        <v>417713.05955320114</v>
      </c>
      <c r="E26" s="1"/>
      <c r="F26" s="7">
        <f t="shared" si="1"/>
        <v>20000</v>
      </c>
      <c r="G26" s="7">
        <v>3000</v>
      </c>
      <c r="H26" s="7">
        <v>500</v>
      </c>
      <c r="I26" s="7">
        <v>1000</v>
      </c>
      <c r="J26" s="7">
        <v>2500</v>
      </c>
      <c r="K26" s="7"/>
      <c r="L26" s="7">
        <v>13000</v>
      </c>
      <c r="N26" s="7">
        <f t="shared" si="2"/>
        <v>0</v>
      </c>
    </row>
    <row r="27" spans="1:14" x14ac:dyDescent="0.25">
      <c r="A27" s="1" t="s">
        <v>32</v>
      </c>
      <c r="B27" s="1" t="str">
        <f>VLOOKUP(A27,LISTADHERENT!A$5:H$51,2)</f>
        <v>NDJOMO ETIENNE</v>
      </c>
      <c r="C27" s="6">
        <f t="shared" si="0"/>
        <v>5706.8450343433278</v>
      </c>
      <c r="D27" s="6">
        <f>TONT20000MARS!C27+TONT20000MARS!D27+TONT20000AVRIL!G27</f>
        <v>440530.29822351452</v>
      </c>
      <c r="E27" s="1"/>
      <c r="F27" s="7">
        <f t="shared" si="1"/>
        <v>25000</v>
      </c>
      <c r="G27" s="7">
        <v>8000</v>
      </c>
      <c r="H27" s="7">
        <v>500</v>
      </c>
      <c r="I27" s="7">
        <v>1000</v>
      </c>
      <c r="J27" s="7">
        <v>2500</v>
      </c>
      <c r="K27" s="7"/>
      <c r="L27" s="7">
        <v>13000</v>
      </c>
      <c r="M27" s="7"/>
      <c r="N27" s="7">
        <f t="shared" si="2"/>
        <v>0</v>
      </c>
    </row>
    <row r="28" spans="1:14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TONT20000MARS!C28+TONT20000MARS!D28+TONT20000AVRIL!G28</f>
        <v>0</v>
      </c>
      <c r="E28" s="1"/>
      <c r="F28" s="7">
        <f t="shared" si="1"/>
        <v>0</v>
      </c>
      <c r="G28" s="7"/>
      <c r="H28" s="7"/>
      <c r="I28" s="7"/>
      <c r="J28" s="7"/>
      <c r="K28" s="7"/>
      <c r="L28" s="7"/>
      <c r="N28" s="7">
        <f t="shared" si="2"/>
        <v>0</v>
      </c>
    </row>
    <row r="29" spans="1:14" x14ac:dyDescent="0.25">
      <c r="A29" s="1" t="s">
        <v>34</v>
      </c>
      <c r="B29" s="1" t="str">
        <f>VLOOKUP(A29,LISTADHERENT!A$5:H$51,2)</f>
        <v>NGONDIEP CLAUDE</v>
      </c>
      <c r="C29" s="6">
        <f t="shared" si="0"/>
        <v>7727.4215383447627</v>
      </c>
      <c r="D29" s="6">
        <f>TONT20000MARS!C29+TONT20000MARS!D29+TONT20000AVRIL!G29</f>
        <v>596505.30096749612</v>
      </c>
      <c r="E29" s="1"/>
      <c r="F29" s="7">
        <f t="shared" si="1"/>
        <v>20000</v>
      </c>
      <c r="G29" s="7">
        <v>3000</v>
      </c>
      <c r="H29" s="7">
        <v>500</v>
      </c>
      <c r="I29" s="7">
        <v>1000</v>
      </c>
      <c r="J29" s="7">
        <v>2500</v>
      </c>
      <c r="K29" s="7"/>
      <c r="L29" s="7">
        <v>13000</v>
      </c>
      <c r="N29" s="7">
        <f t="shared" si="2"/>
        <v>0</v>
      </c>
    </row>
    <row r="30" spans="1:14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196.00362198538465</v>
      </c>
      <c r="D30" s="6">
        <f>TONT20000MARS!C30+TONT20000MARS!D30+TONT20000AVRIL!G30</f>
        <v>15130.169739407698</v>
      </c>
      <c r="E30" s="1"/>
      <c r="F30" s="7">
        <f t="shared" si="1"/>
        <v>20000</v>
      </c>
      <c r="G30" s="7">
        <v>3000</v>
      </c>
      <c r="H30" s="7">
        <v>500</v>
      </c>
      <c r="I30" s="7">
        <v>1000</v>
      </c>
      <c r="J30" s="7">
        <v>2500</v>
      </c>
      <c r="K30" s="7"/>
      <c r="L30" s="7">
        <v>13000</v>
      </c>
      <c r="N30" s="7">
        <f t="shared" si="2"/>
        <v>0</v>
      </c>
    </row>
    <row r="31" spans="1:14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392.87932445192064</v>
      </c>
      <c r="D31" s="6">
        <f>TONT20000MARS!C31+TONT20000MARS!D31+TONT20000AVRIL!G31</f>
        <v>30327.658263910234</v>
      </c>
      <c r="E31" s="1"/>
      <c r="F31" s="7">
        <f t="shared" si="1"/>
        <v>20000</v>
      </c>
      <c r="G31" s="7">
        <v>3000</v>
      </c>
      <c r="H31" s="7">
        <v>500</v>
      </c>
      <c r="I31" s="7">
        <v>1000</v>
      </c>
      <c r="J31" s="7">
        <v>2500</v>
      </c>
      <c r="K31" s="7"/>
      <c r="L31" s="7">
        <v>13000</v>
      </c>
      <c r="N31" s="7">
        <f t="shared" si="2"/>
        <v>0</v>
      </c>
    </row>
    <row r="32" spans="1:14" x14ac:dyDescent="0.25">
      <c r="A32" s="1" t="s">
        <v>37</v>
      </c>
      <c r="B32" s="1" t="str">
        <f>VLOOKUP(A32,LISTADHERENT!A$5:H$51,2)</f>
        <v>NJEPDJIO MBOUKAM DELUXE</v>
      </c>
      <c r="C32" s="6">
        <f t="shared" si="0"/>
        <v>5545.2215389020466</v>
      </c>
      <c r="D32" s="6">
        <f>TONT20000MARS!C32+TONT20000MARS!D32+TONT20000AVRIL!G32</f>
        <v>428054.04449344153</v>
      </c>
      <c r="E32" s="1"/>
      <c r="F32" s="7">
        <f t="shared" si="1"/>
        <v>23000</v>
      </c>
      <c r="G32" s="7">
        <v>6000</v>
      </c>
      <c r="H32" s="7">
        <v>500</v>
      </c>
      <c r="I32" s="7">
        <v>1000</v>
      </c>
      <c r="J32" s="7">
        <v>2500</v>
      </c>
      <c r="K32" s="7"/>
      <c r="L32" s="7">
        <v>13000</v>
      </c>
      <c r="N32" s="7">
        <f t="shared" si="2"/>
        <v>0</v>
      </c>
    </row>
    <row r="33" spans="1:15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392.00724397076931</v>
      </c>
      <c r="D33" s="6">
        <f>TONT20000MARS!C33+TONT20000MARS!D33+TONT20000AVRIL!G33</f>
        <v>30260.339478815396</v>
      </c>
      <c r="E33" s="1"/>
      <c r="F33" s="7">
        <f t="shared" si="1"/>
        <v>23000</v>
      </c>
      <c r="G33" s="7">
        <v>6000</v>
      </c>
      <c r="H33" s="7">
        <v>500</v>
      </c>
      <c r="I33" s="7">
        <v>1000</v>
      </c>
      <c r="J33" s="7">
        <v>2500</v>
      </c>
      <c r="K33" s="7"/>
      <c r="L33" s="7">
        <v>13000</v>
      </c>
      <c r="M33" s="11"/>
      <c r="N33" s="7">
        <f t="shared" si="2"/>
        <v>0</v>
      </c>
    </row>
    <row r="34" spans="1:15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5795.1607584869244</v>
      </c>
      <c r="D34" s="6">
        <f>TONT20000MARS!C34+TONT20000MARS!D34+TONT20000AVRIL!G34</f>
        <v>447347.68191987782</v>
      </c>
      <c r="E34" s="1"/>
      <c r="F34" s="10">
        <f>G34+H34+I34+J34+K34+L34</f>
        <v>25000</v>
      </c>
      <c r="G34" s="7">
        <v>8000</v>
      </c>
      <c r="H34" s="7">
        <v>500</v>
      </c>
      <c r="I34" s="7">
        <v>1000</v>
      </c>
      <c r="J34" s="7">
        <v>2500</v>
      </c>
      <c r="K34" s="7"/>
      <c r="L34" s="7">
        <v>13000</v>
      </c>
      <c r="M34"/>
      <c r="N34" s="7">
        <f t="shared" si="2"/>
        <v>0</v>
      </c>
    </row>
    <row r="35" spans="1:15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5458.4915456027793</v>
      </c>
      <c r="D35" s="6">
        <f>TONT20000MARS!C35+TONT20000MARS!D35+TONT20000AVRIL!G35</f>
        <v>421359.06862093724</v>
      </c>
      <c r="E35" s="1"/>
      <c r="F35" s="7">
        <f t="shared" si="1"/>
        <v>20000</v>
      </c>
      <c r="G35" s="7">
        <v>3000</v>
      </c>
      <c r="H35" s="7">
        <v>500</v>
      </c>
      <c r="I35" s="7">
        <v>1000</v>
      </c>
      <c r="J35" s="7">
        <v>2500</v>
      </c>
      <c r="K35" s="7"/>
      <c r="L35" s="7">
        <v>13000</v>
      </c>
      <c r="N35" s="7">
        <f t="shared" si="2"/>
        <v>0</v>
      </c>
    </row>
    <row r="36" spans="1:15" x14ac:dyDescent="0.25">
      <c r="A36" s="1" t="s">
        <v>41</v>
      </c>
      <c r="B36" s="1" t="str">
        <f>VLOOKUP(A36,LISTADHERENT!A$5:H$51,2)</f>
        <v>NTEPDIE TUEMAC MZ</v>
      </c>
      <c r="C36" s="6">
        <f t="shared" si="0"/>
        <v>79.11430022036761</v>
      </c>
      <c r="D36" s="6">
        <f>TONT20000MARS!C36+TONT20000MARS!D36+TONT20000AVRIL!G36</f>
        <v>6107.0952619328591</v>
      </c>
      <c r="E36" s="1"/>
      <c r="F36" s="7">
        <f t="shared" si="1"/>
        <v>0</v>
      </c>
      <c r="G36" s="7"/>
      <c r="H36" s="7"/>
      <c r="I36" s="7"/>
      <c r="J36" s="7"/>
      <c r="K36" s="7"/>
      <c r="L36" s="7"/>
      <c r="N36" s="7">
        <f t="shared" si="2"/>
        <v>0</v>
      </c>
    </row>
    <row r="37" spans="1:15" x14ac:dyDescent="0.25">
      <c r="A37" s="1" t="s">
        <v>42</v>
      </c>
      <c r="B37" s="1" t="str">
        <f>VLOOKUP(A37,LISTADHERENT!A$5:H$51,2)</f>
        <v>NTOMBOU ADOLPHE</v>
      </c>
      <c r="C37" s="6">
        <f t="shared" si="0"/>
        <v>196.00362198538465</v>
      </c>
      <c r="D37" s="6">
        <f>TONT20000MARS!C37+TONT20000MARS!D37+TONT20000AVRIL!G37</f>
        <v>15130.169739407698</v>
      </c>
      <c r="E37" s="1"/>
      <c r="F37" s="7">
        <f t="shared" si="1"/>
        <v>20000</v>
      </c>
      <c r="G37" s="7">
        <v>3000</v>
      </c>
      <c r="H37" s="7">
        <v>500</v>
      </c>
      <c r="I37" s="7">
        <v>1000</v>
      </c>
      <c r="J37" s="7">
        <v>2500</v>
      </c>
      <c r="K37" s="7"/>
      <c r="L37" s="7">
        <v>13000</v>
      </c>
      <c r="N37" s="7">
        <f t="shared" si="2"/>
        <v>0</v>
      </c>
    </row>
    <row r="38" spans="1:15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5354.7843702085256</v>
      </c>
      <c r="D38" s="6">
        <f>TONT20000MARS!C38+TONT20000MARS!D38+TONT20000AVRIL!G38</f>
        <v>413353.56774796569</v>
      </c>
      <c r="E38" s="1"/>
      <c r="F38" s="7">
        <f t="shared" si="1"/>
        <v>20000</v>
      </c>
      <c r="G38" s="7">
        <v>3000</v>
      </c>
      <c r="H38" s="7">
        <v>500</v>
      </c>
      <c r="I38" s="7">
        <v>1000</v>
      </c>
      <c r="J38" s="7">
        <v>2500</v>
      </c>
      <c r="K38" s="7"/>
      <c r="L38" s="7">
        <v>13000</v>
      </c>
      <c r="N38" s="7">
        <f t="shared" si="2"/>
        <v>0</v>
      </c>
    </row>
    <row r="39" spans="1:15" x14ac:dyDescent="0.25">
      <c r="A39" s="1" t="s">
        <v>44</v>
      </c>
      <c r="B39" s="1" t="str">
        <f>VLOOKUP(A39,LISTADHERENT!A$5:H$51,2)</f>
        <v>SEUNOU RICHELOT</v>
      </c>
      <c r="C39" s="6">
        <f t="shared" si="0"/>
        <v>5387.7358276970481</v>
      </c>
      <c r="D39" s="6">
        <f>TONT20000MARS!C39+TONT20000MARS!D39+TONT20000AVRIL!G39</f>
        <v>415897.20005390025</v>
      </c>
      <c r="E39" s="1"/>
      <c r="F39" s="7">
        <f t="shared" si="1"/>
        <v>20000</v>
      </c>
      <c r="G39" s="7">
        <v>3000</v>
      </c>
      <c r="H39" s="7">
        <v>500</v>
      </c>
      <c r="I39" s="7">
        <v>1000</v>
      </c>
      <c r="J39" s="7">
        <v>2500</v>
      </c>
      <c r="K39" s="7"/>
      <c r="L39" s="7">
        <v>13000</v>
      </c>
      <c r="N39" s="7">
        <f t="shared" si="2"/>
        <v>0</v>
      </c>
    </row>
    <row r="40" spans="1:15" x14ac:dyDescent="0.25">
      <c r="A40" s="1" t="s">
        <v>45</v>
      </c>
      <c r="B40" s="1" t="str">
        <f>VLOOKUP(A40,LISTADHERENT!A$5:H$51,2)</f>
        <v>SIME ABEL</v>
      </c>
      <c r="C40" s="6">
        <f t="shared" si="0"/>
        <v>196.00362198538465</v>
      </c>
      <c r="D40" s="6">
        <f>TONT20000MARS!C40+TONT20000MARS!D40+TONT20000AVRIL!G40</f>
        <v>15130.169739407698</v>
      </c>
      <c r="E40" s="1"/>
      <c r="F40" s="7">
        <f t="shared" si="1"/>
        <v>20000</v>
      </c>
      <c r="G40" s="7">
        <v>3000</v>
      </c>
      <c r="H40" s="7">
        <v>500</v>
      </c>
      <c r="I40" s="7">
        <v>1000</v>
      </c>
      <c r="J40" s="7">
        <v>2500</v>
      </c>
      <c r="K40" s="7"/>
      <c r="L40" s="7">
        <v>13000</v>
      </c>
      <c r="N40" s="7">
        <f t="shared" si="2"/>
        <v>0</v>
      </c>
    </row>
    <row r="41" spans="1:15" x14ac:dyDescent="0.25">
      <c r="A41" s="1" t="s">
        <v>46</v>
      </c>
      <c r="B41" s="1" t="str">
        <f>VLOOKUP(A41,LISTADHERENT!A$5:H$51,2)</f>
        <v>SIME FONGANG ERIC</v>
      </c>
      <c r="C41" s="6">
        <f t="shared" si="0"/>
        <v>5365.9180488623533</v>
      </c>
      <c r="D41" s="6">
        <f>TONT20000MARS!C41+TONT20000MARS!D41+TONT20000AVRIL!G41</f>
        <v>414213.01333448134</v>
      </c>
      <c r="E41" s="1"/>
      <c r="F41" s="7">
        <f t="shared" si="1"/>
        <v>20000</v>
      </c>
      <c r="G41" s="7">
        <v>3000</v>
      </c>
      <c r="H41" s="7">
        <v>500</v>
      </c>
      <c r="I41" s="7">
        <v>1000</v>
      </c>
      <c r="J41" s="7">
        <v>2500</v>
      </c>
      <c r="K41" s="7"/>
      <c r="L41" s="7">
        <v>13000</v>
      </c>
      <c r="N41" s="7">
        <f t="shared" si="2"/>
        <v>0</v>
      </c>
    </row>
    <row r="42" spans="1:15" x14ac:dyDescent="0.25">
      <c r="A42" s="1" t="s">
        <v>47</v>
      </c>
      <c r="B42" s="1" t="str">
        <f>VLOOKUP(A42,LISTADHERENT!A$5:H$51,2)</f>
        <v>SIME MATHIEU</v>
      </c>
      <c r="C42" s="6">
        <f t="shared" si="0"/>
        <v>5361.3429267551983</v>
      </c>
      <c r="D42" s="6">
        <f>TONT20000MARS!C42+TONT20000MARS!D42+TONT20000AVRIL!G42</f>
        <v>413859.8444830153</v>
      </c>
      <c r="E42" s="1"/>
      <c r="F42" s="7">
        <f t="shared" si="1"/>
        <v>20000</v>
      </c>
      <c r="G42" s="7">
        <v>3000</v>
      </c>
      <c r="H42" s="7">
        <v>500</v>
      </c>
      <c r="I42" s="7">
        <v>1000</v>
      </c>
      <c r="J42" s="7">
        <v>2500</v>
      </c>
      <c r="K42" s="7"/>
      <c r="L42" s="7">
        <v>13000</v>
      </c>
      <c r="N42" s="7">
        <f t="shared" si="2"/>
        <v>0</v>
      </c>
    </row>
    <row r="43" spans="1:15" x14ac:dyDescent="0.25">
      <c r="A43" s="1" t="s">
        <v>48</v>
      </c>
      <c r="B43" s="1" t="str">
        <f>VLOOKUP(A43,LISTADHERENT!A$5:H$51,2)</f>
        <v>SIME PIERRE</v>
      </c>
      <c r="C43" s="6">
        <f t="shared" si="0"/>
        <v>18920.66933983815</v>
      </c>
      <c r="D43" s="6">
        <f>TONT20000MARS!C43+TONT20000MARS!D43+TONT20000AVRIL!G43</f>
        <v>1460549.2275867467</v>
      </c>
      <c r="E43" s="1"/>
      <c r="F43" s="7">
        <f t="shared" si="1"/>
        <v>20000</v>
      </c>
      <c r="G43" s="7">
        <v>3000</v>
      </c>
      <c r="H43" s="7">
        <v>500</v>
      </c>
      <c r="I43" s="7">
        <v>1000</v>
      </c>
      <c r="J43" s="7">
        <v>2500</v>
      </c>
      <c r="K43" s="7"/>
      <c r="L43" s="7">
        <v>13000</v>
      </c>
      <c r="M43" s="7">
        <v>200000</v>
      </c>
      <c r="N43" s="7">
        <f t="shared" si="2"/>
        <v>6000</v>
      </c>
      <c r="O43" s="7">
        <v>200000</v>
      </c>
    </row>
    <row r="44" spans="1:15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196.00362198538465</v>
      </c>
      <c r="D44" s="6">
        <f>TONT20000MARS!C44+TONT20000MARS!D44+TONT20000AVRIL!G44</f>
        <v>15130.169739407698</v>
      </c>
      <c r="E44" s="1"/>
      <c r="F44" s="7">
        <f t="shared" si="1"/>
        <v>20000</v>
      </c>
      <c r="G44" s="7">
        <v>3000</v>
      </c>
      <c r="H44" s="7">
        <v>500</v>
      </c>
      <c r="I44" s="7">
        <v>1000</v>
      </c>
      <c r="J44" s="7">
        <v>2500</v>
      </c>
      <c r="K44" s="7"/>
      <c r="L44" s="7">
        <v>13000</v>
      </c>
      <c r="N44" s="7">
        <f t="shared" si="2"/>
        <v>0</v>
      </c>
    </row>
    <row r="45" spans="1:15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196.00362198538465</v>
      </c>
      <c r="D45" s="6">
        <f>TONT20000MARS!C45+TONT20000MARS!D45+TONT20000AVRIL!G45</f>
        <v>15130.169739407698</v>
      </c>
      <c r="E45" s="1"/>
      <c r="F45" s="7">
        <f t="shared" si="1"/>
        <v>20000</v>
      </c>
      <c r="G45" s="7">
        <v>3000</v>
      </c>
      <c r="H45" s="7">
        <v>500</v>
      </c>
      <c r="I45" s="7">
        <v>1000</v>
      </c>
      <c r="J45" s="7">
        <v>2500</v>
      </c>
      <c r="K45" s="7"/>
      <c r="L45" s="7">
        <v>13000</v>
      </c>
      <c r="N45" s="7">
        <f t="shared" si="2"/>
        <v>0</v>
      </c>
    </row>
    <row r="46" spans="1:15" x14ac:dyDescent="0.25">
      <c r="A46" s="1" t="s">
        <v>51</v>
      </c>
      <c r="B46" s="1" t="str">
        <f>VLOOKUP(A46,LISTADHERENT!A$5:H$51,2)</f>
        <v>TCHOUAMOU MATHIEU</v>
      </c>
      <c r="C46" s="6">
        <f t="shared" si="0"/>
        <v>5398.3802591891272</v>
      </c>
      <c r="D46" s="6">
        <f>TONT20000MARS!C46+TONT20000MARS!D46+TONT20000AVRIL!G46</f>
        <v>416718.87902913196</v>
      </c>
      <c r="E46" s="1"/>
      <c r="F46" s="7">
        <f t="shared" si="1"/>
        <v>20000</v>
      </c>
      <c r="G46" s="7">
        <v>3000</v>
      </c>
      <c r="H46" s="7">
        <v>500</v>
      </c>
      <c r="I46" s="7">
        <v>1000</v>
      </c>
      <c r="J46" s="7">
        <v>2500</v>
      </c>
      <c r="K46" s="7"/>
      <c r="L46" s="7">
        <v>13000</v>
      </c>
      <c r="M46" s="7"/>
      <c r="N46" s="7">
        <f t="shared" si="2"/>
        <v>0</v>
      </c>
    </row>
    <row r="47" spans="1:15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3856.9878724307705</v>
      </c>
      <c r="D47" s="6">
        <f>TONT20000MARS!C47+TONT20000MARS!D47+TONT20000AVRIL!G47</f>
        <v>297733.68778392271</v>
      </c>
      <c r="E47" s="1"/>
      <c r="F47" s="7">
        <f t="shared" si="1"/>
        <v>23000</v>
      </c>
      <c r="G47" s="7">
        <v>6000</v>
      </c>
      <c r="H47" s="7">
        <v>500</v>
      </c>
      <c r="I47" s="7">
        <v>1000</v>
      </c>
      <c r="J47" s="7">
        <v>2500</v>
      </c>
      <c r="K47" s="7"/>
      <c r="L47" s="7">
        <v>13000</v>
      </c>
      <c r="N47" s="7">
        <f t="shared" si="2"/>
        <v>0</v>
      </c>
    </row>
    <row r="48" spans="1:15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117.56929332466937</v>
      </c>
      <c r="D48" s="6">
        <f>TONT20000MARS!C48+TONT20000MARS!D48+TONT20000AVRIL!G48</f>
        <v>9075.5637376798204</v>
      </c>
      <c r="E48" s="1"/>
      <c r="F48" s="7">
        <f t="shared" si="1"/>
        <v>20000</v>
      </c>
      <c r="G48" s="7">
        <v>3000</v>
      </c>
      <c r="H48" s="7">
        <v>500</v>
      </c>
      <c r="I48" s="7">
        <v>1000</v>
      </c>
      <c r="J48" s="7">
        <v>2500</v>
      </c>
      <c r="K48" s="7"/>
      <c r="L48" s="7">
        <v>13000</v>
      </c>
      <c r="N48" s="7">
        <f t="shared" si="2"/>
        <v>0</v>
      </c>
    </row>
    <row r="49" spans="1:17" x14ac:dyDescent="0.25">
      <c r="A49" s="1" t="s">
        <v>54</v>
      </c>
      <c r="B49" s="1" t="str">
        <f>VLOOKUP(A49,LISTADHERENT!A$5:H$51,2)</f>
        <v>TIEYAM ERNEST</v>
      </c>
      <c r="C49" s="6">
        <f t="shared" si="0"/>
        <v>5363.5643733274583</v>
      </c>
      <c r="D49" s="6">
        <f>TONT20000MARS!C49+TONT20000MARS!D49+TONT20000AVRIL!G49</f>
        <v>414031.32531262888</v>
      </c>
      <c r="E49" s="1"/>
      <c r="F49" s="7">
        <f t="shared" si="1"/>
        <v>20000</v>
      </c>
      <c r="G49" s="7">
        <v>3000</v>
      </c>
      <c r="H49" s="7">
        <v>500</v>
      </c>
      <c r="I49" s="7">
        <v>1000</v>
      </c>
      <c r="J49" s="7">
        <v>2500</v>
      </c>
      <c r="K49" s="7"/>
      <c r="L49" s="7">
        <v>13000</v>
      </c>
      <c r="N49" s="7">
        <f t="shared" si="2"/>
        <v>0</v>
      </c>
    </row>
    <row r="50" spans="1:17" x14ac:dyDescent="0.25">
      <c r="A50" s="1" t="s">
        <v>55</v>
      </c>
      <c r="B50" s="1" t="str">
        <f>VLOOKUP(A50,LISTADHERENT!A$5:H$51,2)</f>
        <v>TUGMA PIERRE LOTI</v>
      </c>
      <c r="C50" s="6">
        <f t="shared" si="0"/>
        <v>5586.1321632338813</v>
      </c>
      <c r="D50" s="6">
        <f>TONT20000MARS!C50+TONT20000MARS!D50+TONT20000AVRIL!G50</f>
        <v>431212.07128915022</v>
      </c>
      <c r="E50" s="1"/>
      <c r="F50" s="7">
        <f t="shared" si="1"/>
        <v>20000</v>
      </c>
      <c r="G50" s="7">
        <v>3000</v>
      </c>
      <c r="H50" s="7">
        <v>500</v>
      </c>
      <c r="I50" s="7">
        <v>1000</v>
      </c>
      <c r="J50" s="7">
        <v>2500</v>
      </c>
      <c r="K50" s="7"/>
      <c r="L50" s="7">
        <v>13000</v>
      </c>
      <c r="N50" s="7">
        <f t="shared" si="2"/>
        <v>0</v>
      </c>
    </row>
    <row r="51" spans="1:17" ht="18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10922.906318059349</v>
      </c>
      <c r="D51" s="6">
        <f>TONT20000MARS!C51+TONT20000MARS!D51+TONT20000AVRIL!G51</f>
        <v>843175.37077049538</v>
      </c>
      <c r="E51" s="1"/>
      <c r="F51" s="7">
        <f t="shared" si="1"/>
        <v>20000</v>
      </c>
      <c r="G51" s="7">
        <v>3000</v>
      </c>
      <c r="H51" s="7">
        <v>500</v>
      </c>
      <c r="I51" s="7">
        <v>1000</v>
      </c>
      <c r="J51" s="7">
        <v>2500</v>
      </c>
      <c r="K51" s="7"/>
      <c r="L51" s="7">
        <v>13000</v>
      </c>
      <c r="M51" s="9"/>
      <c r="N51" s="7">
        <f t="shared" si="2"/>
        <v>0</v>
      </c>
    </row>
    <row r="52" spans="1:17" x14ac:dyDescent="0.25">
      <c r="A52" s="1" t="s">
        <v>178</v>
      </c>
      <c r="B52" s="1" t="str">
        <f>VLOOKUP(A52,LISTADHERENT!A$5:H$51,2)</f>
        <v>YOUMBI EMMANUEL</v>
      </c>
      <c r="C52" s="6">
        <f t="shared" si="0"/>
        <v>18619.187305031446</v>
      </c>
      <c r="D52" s="6">
        <f>TONT20000MARS!C52+TONT20000MARS!D52+TONT20000AVRIL!G52</f>
        <v>1437276.8292820479</v>
      </c>
      <c r="E52" s="1"/>
      <c r="F52" s="7">
        <f t="shared" si="1"/>
        <v>20000</v>
      </c>
      <c r="G52" s="7">
        <v>3000</v>
      </c>
      <c r="H52" s="7">
        <v>500</v>
      </c>
      <c r="I52" s="7">
        <v>1000</v>
      </c>
      <c r="J52" s="7">
        <v>2500</v>
      </c>
      <c r="L52" s="7">
        <v>13000</v>
      </c>
      <c r="N52" s="7">
        <f t="shared" si="2"/>
        <v>0</v>
      </c>
    </row>
    <row r="53" spans="1:17" x14ac:dyDescent="0.25">
      <c r="A53" s="1"/>
      <c r="B53" s="1"/>
      <c r="C53" s="1"/>
      <c r="D53" s="1"/>
      <c r="E53" s="1"/>
      <c r="F53" s="7"/>
      <c r="G53" s="7"/>
      <c r="H53" s="7"/>
      <c r="I53" s="7"/>
      <c r="J53" s="7"/>
      <c r="L53" s="7"/>
      <c r="N53" s="7"/>
    </row>
    <row r="54" spans="1:17" ht="18" x14ac:dyDescent="0.25">
      <c r="A54" s="1"/>
      <c r="B54" s="1" t="s">
        <v>180</v>
      </c>
      <c r="C54" s="1"/>
      <c r="D54" s="1"/>
      <c r="E54" s="1"/>
      <c r="H54" s="4"/>
      <c r="L54" s="7">
        <v>60500</v>
      </c>
      <c r="N54" s="7">
        <f t="shared" si="2"/>
        <v>0</v>
      </c>
      <c r="O54" s="9"/>
    </row>
    <row r="55" spans="1:17" ht="18" x14ac:dyDescent="0.25">
      <c r="A55" s="1"/>
      <c r="B55" s="1"/>
      <c r="C55" s="1"/>
      <c r="D55" s="1"/>
      <c r="E55" s="1"/>
      <c r="H55" s="4"/>
      <c r="O55" s="9"/>
    </row>
    <row r="56" spans="1:17" ht="18" x14ac:dyDescent="0.25">
      <c r="A56" s="8" t="s">
        <v>56</v>
      </c>
      <c r="B56" s="8"/>
      <c r="C56" s="9">
        <f>SUM(C5:C52)</f>
        <v>245999.99999999988</v>
      </c>
      <c r="D56" s="9">
        <f t="shared" ref="D56:Q56" si="3">SUM(D5:D52)</f>
        <v>18989556.000000004</v>
      </c>
      <c r="E56" s="9">
        <f t="shared" si="3"/>
        <v>0</v>
      </c>
      <c r="F56" s="9">
        <f t="shared" si="3"/>
        <v>1247000</v>
      </c>
      <c r="G56" s="9">
        <f t="shared" si="3"/>
        <v>499000</v>
      </c>
      <c r="H56" s="9">
        <f t="shared" si="3"/>
        <v>22000</v>
      </c>
      <c r="I56" s="9">
        <f t="shared" si="3"/>
        <v>44000</v>
      </c>
      <c r="J56" s="9">
        <f t="shared" si="3"/>
        <v>110000</v>
      </c>
      <c r="K56" s="9">
        <f t="shared" si="3"/>
        <v>0</v>
      </c>
      <c r="L56" s="9">
        <f t="shared" si="3"/>
        <v>572000</v>
      </c>
      <c r="M56" s="9">
        <f t="shared" si="3"/>
        <v>2200000</v>
      </c>
      <c r="N56" s="9">
        <f t="shared" si="3"/>
        <v>246000</v>
      </c>
      <c r="O56" s="9">
        <f t="shared" si="3"/>
        <v>200000</v>
      </c>
      <c r="P56" s="9">
        <f t="shared" si="3"/>
        <v>0</v>
      </c>
      <c r="Q56" s="9">
        <f t="shared" si="3"/>
        <v>0</v>
      </c>
    </row>
  </sheetData>
  <autoFilter ref="A4:O51"/>
  <dataValidations count="1">
    <dataValidation type="list" allowBlank="1" showInputMessage="1" showErrorMessage="1" promptTitle="Saissisez le mode de VERSEMENT" sqref="H6:H53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pane xSplit="2" ySplit="4" topLeftCell="C26" activePane="bottomRight" state="frozen"/>
      <selection activeCell="B22" sqref="B22"/>
      <selection pane="topRight" activeCell="B22" sqref="B22"/>
      <selection pane="bottomLeft" activeCell="B22" sqref="B22"/>
      <selection pane="bottomRight" activeCell="A33" sqref="A33:XFD3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8.42578125" customWidth="1"/>
    <col min="4" max="4" width="16.85546875" customWidth="1"/>
    <col min="5" max="5" width="14.5703125" customWidth="1"/>
    <col min="6" max="6" width="15" style="2" bestFit="1" customWidth="1"/>
    <col min="7" max="7" width="12.5703125" bestFit="1" customWidth="1"/>
    <col min="8" max="8" width="17.5703125" style="3" bestFit="1" customWidth="1"/>
    <col min="9" max="9" width="15.7109375" style="2" customWidth="1"/>
    <col min="10" max="10" width="14.7109375" style="2" customWidth="1"/>
    <col min="11" max="11" width="18.140625" style="2" bestFit="1" customWidth="1"/>
    <col min="12" max="12" width="18.140625" customWidth="1"/>
    <col min="13" max="13" width="15" bestFit="1" customWidth="1"/>
    <col min="14" max="14" width="12.5703125" bestFit="1" customWidth="1"/>
    <col min="15" max="15" width="18.140625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</row>
    <row r="2" spans="1:18" x14ac:dyDescent="0.25">
      <c r="A2" s="1" t="s">
        <v>2</v>
      </c>
      <c r="B2" s="1" t="s">
        <v>3</v>
      </c>
      <c r="C2" s="1"/>
      <c r="D2" s="1"/>
      <c r="E2" s="1"/>
    </row>
    <row r="3" spans="1:18" x14ac:dyDescent="0.25">
      <c r="A3" s="1" t="s">
        <v>4</v>
      </c>
      <c r="B3" s="1" t="s">
        <v>5</v>
      </c>
      <c r="C3" s="1"/>
      <c r="D3" s="1"/>
      <c r="E3" s="1"/>
    </row>
    <row r="4" spans="1:18" ht="29.25" x14ac:dyDescent="0.25">
      <c r="A4" s="1" t="s">
        <v>6</v>
      </c>
      <c r="B4" s="1" t="s">
        <v>7</v>
      </c>
      <c r="C4" s="5" t="s">
        <v>186</v>
      </c>
      <c r="D4" s="5" t="s">
        <v>187</v>
      </c>
      <c r="E4" s="1" t="s">
        <v>184</v>
      </c>
      <c r="F4" s="5" t="s">
        <v>65</v>
      </c>
      <c r="G4" s="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8</v>
      </c>
      <c r="P4" s="5" t="s">
        <v>182</v>
      </c>
      <c r="Q4" s="5" t="s">
        <v>181</v>
      </c>
    </row>
    <row r="5" spans="1:18" x14ac:dyDescent="0.25">
      <c r="A5" s="1" t="s">
        <v>185</v>
      </c>
      <c r="B5" s="1" t="str">
        <f>VLOOKUP(A5,LISTADHERENT!A$5:H$52,2,0)</f>
        <v>ASELBY</v>
      </c>
      <c r="C5" s="6">
        <f>$N$56/$D$56*D5</f>
        <v>1489.1392586539394</v>
      </c>
      <c r="D5" s="6">
        <f>TONT20000AVRIL!C5+TONT20000AVRIL!D5+TONT20000MAI!G5</f>
        <v>328943.51581631246</v>
      </c>
      <c r="E5" s="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</row>
    <row r="6" spans="1:18" x14ac:dyDescent="0.25">
      <c r="A6" s="1" t="s">
        <v>11</v>
      </c>
      <c r="B6" s="1" t="str">
        <f>VLOOKUP(A6,LISTADHERENT!A$5:H$51,2)</f>
        <v>BAKOP ACHILLE</v>
      </c>
      <c r="C6" s="6">
        <f t="shared" ref="C6:C52" si="0">$N$56/$D$56*D6</f>
        <v>2065.4054888934988</v>
      </c>
      <c r="D6" s="6">
        <f>TONT20000AVRIL!C6+TONT20000AVRIL!D6+TONT20000MAI!G6</f>
        <v>456237.88316282863</v>
      </c>
      <c r="E6" s="1"/>
      <c r="F6" s="7">
        <f t="shared" ref="F6:F52" si="1">G6+H6+I6+J6+K6+L6</f>
        <v>20000</v>
      </c>
      <c r="G6" s="7">
        <v>3000</v>
      </c>
      <c r="H6" s="7">
        <v>500</v>
      </c>
      <c r="I6" s="7">
        <v>1000</v>
      </c>
      <c r="J6" s="7">
        <v>2500</v>
      </c>
      <c r="K6" s="7"/>
      <c r="L6" s="7">
        <v>13000</v>
      </c>
      <c r="M6" s="7"/>
      <c r="N6" s="7">
        <f>IF(M6&lt;=500000,(M6*1*3/100),(M6*12/100))</f>
        <v>0</v>
      </c>
    </row>
    <row r="7" spans="1:18" x14ac:dyDescent="0.25">
      <c r="A7" s="1" t="s">
        <v>12</v>
      </c>
      <c r="B7" s="1" t="str">
        <f>VLOOKUP(A7,LISTADHERENT!A$5:H$51,2)</f>
        <v>BOUTCHOUANG WILLIAM</v>
      </c>
      <c r="C7" s="6">
        <f t="shared" si="0"/>
        <v>1916.409650890474</v>
      </c>
      <c r="D7" s="6">
        <f>TONT20000AVRIL!C7+TONT20000AVRIL!D7+TONT20000MAI!G7</f>
        <v>423325.4375940946</v>
      </c>
      <c r="E7" s="1"/>
      <c r="F7" s="7">
        <f t="shared" si="1"/>
        <v>20000</v>
      </c>
      <c r="G7" s="7">
        <v>3000</v>
      </c>
      <c r="H7" s="7">
        <v>500</v>
      </c>
      <c r="I7" s="7">
        <v>1000</v>
      </c>
      <c r="J7" s="7">
        <v>2500</v>
      </c>
      <c r="K7" s="7"/>
      <c r="L7" s="7">
        <v>13000</v>
      </c>
      <c r="M7" s="7"/>
      <c r="N7" s="7">
        <f t="shared" ref="N7:N54" si="2">IF(M7&lt;=500000,(M7*1*3/100),(M7*12/100))</f>
        <v>0</v>
      </c>
    </row>
    <row r="8" spans="1:18" x14ac:dyDescent="0.25">
      <c r="A8" s="1" t="s">
        <v>13</v>
      </c>
      <c r="B8" s="1" t="str">
        <f>VLOOKUP(A8,LISTADHERENT!A$5:H$51,2)</f>
        <v>CHINGUE FABRICE</v>
      </c>
      <c r="C8" s="6">
        <f t="shared" si="0"/>
        <v>1917.0555866043601</v>
      </c>
      <c r="D8" s="6">
        <f>TONT20000AVRIL!C8+TONT20000AVRIL!D8+TONT20000MAI!G8</f>
        <v>423468.12160667585</v>
      </c>
      <c r="E8" s="1"/>
      <c r="F8" s="7">
        <f t="shared" si="1"/>
        <v>20000</v>
      </c>
      <c r="G8" s="7">
        <v>3000</v>
      </c>
      <c r="H8" s="7">
        <v>500</v>
      </c>
      <c r="I8" s="7">
        <v>1000</v>
      </c>
      <c r="J8" s="7">
        <v>2500</v>
      </c>
      <c r="K8" s="7"/>
      <c r="L8" s="7">
        <v>13000</v>
      </c>
      <c r="N8" s="7">
        <f t="shared" si="2"/>
        <v>0</v>
      </c>
    </row>
    <row r="9" spans="1:18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1946.6094858614319</v>
      </c>
      <c r="D9" s="6">
        <f>TONT20000AVRIL!C9+TONT20000AVRIL!D9+TONT20000MAI!G9</f>
        <v>429996.43215332669</v>
      </c>
      <c r="E9" s="1"/>
      <c r="F9" s="7">
        <f t="shared" si="1"/>
        <v>20000</v>
      </c>
      <c r="G9" s="7">
        <v>3000</v>
      </c>
      <c r="H9" s="7">
        <v>500</v>
      </c>
      <c r="I9" s="7">
        <v>1000</v>
      </c>
      <c r="J9" s="7">
        <v>2500</v>
      </c>
      <c r="K9" s="7"/>
      <c r="L9" s="7">
        <v>13000</v>
      </c>
      <c r="N9" s="7">
        <f t="shared" si="2"/>
        <v>0</v>
      </c>
    </row>
    <row r="10" spans="1:18" x14ac:dyDescent="0.25">
      <c r="A10" s="1" t="s">
        <v>15</v>
      </c>
      <c r="B10" s="1" t="str">
        <f>VLOOKUP(A10,LISTADHERENT!A$5:H$51,2)</f>
        <v>DJOUKWE GUY</v>
      </c>
      <c r="C10" s="6">
        <f t="shared" si="0"/>
        <v>1982.4051215635675</v>
      </c>
      <c r="D10" s="6">
        <f>TONT20000AVRIL!C10+TONT20000AVRIL!D10+TONT20000MAI!G10</f>
        <v>437903.5114881256</v>
      </c>
      <c r="E10" s="1"/>
      <c r="F10" s="7">
        <f t="shared" si="1"/>
        <v>20000</v>
      </c>
      <c r="G10" s="7">
        <v>3000</v>
      </c>
      <c r="H10" s="7">
        <v>500</v>
      </c>
      <c r="I10" s="7">
        <v>1000</v>
      </c>
      <c r="J10" s="7">
        <v>2500</v>
      </c>
      <c r="K10" s="7"/>
      <c r="L10" s="7">
        <v>13000</v>
      </c>
      <c r="N10" s="7">
        <f t="shared" si="2"/>
        <v>0</v>
      </c>
    </row>
    <row r="11" spans="1:18" x14ac:dyDescent="0.25">
      <c r="A11" s="1" t="s">
        <v>16</v>
      </c>
      <c r="B11" s="1" t="str">
        <f>VLOOKUP(A11,LISTADHERENT!A$5:H$51,2)</f>
        <v>DJOSSEU JOSUE</v>
      </c>
      <c r="C11" s="6">
        <f t="shared" si="0"/>
        <v>23.403467894418259</v>
      </c>
      <c r="D11" s="6">
        <f>TONT20000AVRIL!C11+TONT20000AVRIL!D11+TONT20000MAI!G11</f>
        <v>5169.7106007687134</v>
      </c>
      <c r="E11" s="1"/>
      <c r="F11" s="7">
        <f t="shared" si="1"/>
        <v>0</v>
      </c>
      <c r="G11" s="7"/>
      <c r="H11" s="7"/>
      <c r="I11" s="7"/>
      <c r="J11" s="7"/>
      <c r="K11" s="7"/>
      <c r="L11" s="7"/>
      <c r="N11" s="7">
        <f t="shared" si="2"/>
        <v>0</v>
      </c>
    </row>
    <row r="12" spans="1:18" x14ac:dyDescent="0.25">
      <c r="A12" s="1" t="s">
        <v>17</v>
      </c>
      <c r="B12" s="1" t="str">
        <f>VLOOKUP(A12,LISTADHERENT!A$5:H$51,2)</f>
        <v>DJOUNKEP SAMUEL</v>
      </c>
      <c r="C12" s="6">
        <f t="shared" si="0"/>
        <v>8878.2794688617159</v>
      </c>
      <c r="D12" s="6">
        <f>TONT20000AVRIL!C12+TONT20000AVRIL!D12+TONT20000MAI!G12</f>
        <v>1961168.1351595062</v>
      </c>
      <c r="E12" s="1"/>
      <c r="F12" s="7">
        <f t="shared" si="1"/>
        <v>520000</v>
      </c>
      <c r="G12" s="7">
        <v>503000</v>
      </c>
      <c r="H12" s="7">
        <v>500</v>
      </c>
      <c r="I12" s="7">
        <v>1000</v>
      </c>
      <c r="J12" s="7">
        <v>2500</v>
      </c>
      <c r="K12" s="7"/>
      <c r="L12" s="7">
        <v>13000</v>
      </c>
      <c r="N12" s="7">
        <f t="shared" si="2"/>
        <v>0</v>
      </c>
    </row>
    <row r="13" spans="1:18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1576.7317178708879</v>
      </c>
      <c r="D13" s="6">
        <f>TONT20000AVRIL!C13+TONT20000AVRIL!D13+TONT20000MAI!G13</f>
        <v>348292.2579345376</v>
      </c>
      <c r="E13" s="1"/>
      <c r="F13" s="7">
        <f t="shared" si="1"/>
        <v>20000</v>
      </c>
      <c r="G13" s="7">
        <v>3000</v>
      </c>
      <c r="H13" s="7">
        <v>500</v>
      </c>
      <c r="I13" s="7">
        <v>1000</v>
      </c>
      <c r="J13" s="7">
        <v>2500</v>
      </c>
      <c r="K13" s="7"/>
      <c r="L13" s="7">
        <v>13000</v>
      </c>
      <c r="N13" s="7">
        <f t="shared" si="2"/>
        <v>0</v>
      </c>
    </row>
    <row r="14" spans="1:18" x14ac:dyDescent="0.25">
      <c r="A14" s="1" t="s">
        <v>19</v>
      </c>
      <c r="B14" s="1" t="str">
        <f>VLOOKUP(A14,LISTADHERENT!A$5:H$51,2)</f>
        <v>DONHOU DAVID</v>
      </c>
      <c r="C14" s="6">
        <f t="shared" si="0"/>
        <v>2117.8198955898379</v>
      </c>
      <c r="D14" s="6">
        <f>TONT20000AVRIL!C14+TONT20000AVRIL!D14+TONT20000MAI!G14</f>
        <v>467815.9670243102</v>
      </c>
      <c r="E14" s="1"/>
      <c r="F14" s="7">
        <f t="shared" si="1"/>
        <v>20000</v>
      </c>
      <c r="G14" s="7">
        <v>3000</v>
      </c>
      <c r="H14" s="7">
        <v>500</v>
      </c>
      <c r="I14" s="7">
        <v>1000</v>
      </c>
      <c r="J14" s="7">
        <v>2500</v>
      </c>
      <c r="K14" s="7"/>
      <c r="L14" s="7">
        <v>13000</v>
      </c>
      <c r="N14" s="7">
        <f t="shared" si="2"/>
        <v>0</v>
      </c>
    </row>
    <row r="15" spans="1:18" x14ac:dyDescent="0.25">
      <c r="A15" s="1" t="s">
        <v>20</v>
      </c>
      <c r="B15" s="1" t="str">
        <f>VLOOKUP(A15,LISTADHERENT!A$5:H$51,2)</f>
        <v>FOTSO THOMAS</v>
      </c>
      <c r="C15" s="6">
        <f t="shared" si="0"/>
        <v>1923.9642903267927</v>
      </c>
      <c r="D15" s="6">
        <f>TONT20000AVRIL!C15+TONT20000AVRIL!D15+TONT20000MAI!G15</f>
        <v>424994.22017602285</v>
      </c>
      <c r="E15" s="1"/>
      <c r="F15" s="7">
        <f t="shared" si="1"/>
        <v>20000</v>
      </c>
      <c r="G15" s="7">
        <v>3000</v>
      </c>
      <c r="H15" s="7">
        <v>500</v>
      </c>
      <c r="I15" s="7">
        <v>1000</v>
      </c>
      <c r="J15" s="7">
        <v>2500</v>
      </c>
      <c r="K15" s="7"/>
      <c r="L15" s="7">
        <v>13000</v>
      </c>
      <c r="N15" s="7">
        <f t="shared" si="2"/>
        <v>0</v>
      </c>
    </row>
    <row r="16" spans="1:18" x14ac:dyDescent="0.25">
      <c r="A16" s="1" t="s">
        <v>21</v>
      </c>
      <c r="B16" s="1" t="str">
        <f>VLOOKUP(A16,LISTADHERENT!A$5:H$51,2)</f>
        <v>HENGUE PAUL OMER</v>
      </c>
      <c r="C16" s="6">
        <f t="shared" si="0"/>
        <v>1908.433749032057</v>
      </c>
      <c r="D16" s="6">
        <f>TONT20000AVRIL!C16+TONT20000AVRIL!D16+TONT20000MAI!G16</f>
        <v>421563.60022135277</v>
      </c>
      <c r="E16" s="1"/>
      <c r="F16" s="7">
        <f t="shared" si="1"/>
        <v>20000</v>
      </c>
      <c r="G16" s="7">
        <v>3000</v>
      </c>
      <c r="H16" s="7">
        <v>500</v>
      </c>
      <c r="I16" s="7">
        <v>1000</v>
      </c>
      <c r="J16" s="7">
        <v>2500</v>
      </c>
      <c r="K16" s="7"/>
      <c r="L16" s="7">
        <v>13000</v>
      </c>
      <c r="N16" s="7">
        <f t="shared" si="2"/>
        <v>0</v>
      </c>
    </row>
    <row r="17" spans="1:14" x14ac:dyDescent="0.25">
      <c r="A17" s="1" t="s">
        <v>22</v>
      </c>
      <c r="B17" s="1" t="str">
        <f>VLOOKUP(A17,LISTADHERENT!A$5:H$51,2)</f>
        <v>HODIEP JULES</v>
      </c>
      <c r="C17" s="6">
        <f t="shared" si="0"/>
        <v>82.963253267432648</v>
      </c>
      <c r="D17" s="6">
        <f>TONT20000AVRIL!C17+TONT20000AVRIL!D17+TONT20000MAI!G17</f>
        <v>18326.173361393085</v>
      </c>
      <c r="E17" s="1"/>
      <c r="F17" s="7">
        <f t="shared" si="1"/>
        <v>20000</v>
      </c>
      <c r="G17" s="7">
        <v>3000</v>
      </c>
      <c r="H17" s="7">
        <v>500</v>
      </c>
      <c r="I17" s="7">
        <v>1000</v>
      </c>
      <c r="J17" s="7">
        <v>2500</v>
      </c>
      <c r="K17" s="7"/>
      <c r="L17" s="7">
        <v>13000</v>
      </c>
      <c r="N17" s="7">
        <f t="shared" si="2"/>
        <v>0</v>
      </c>
    </row>
    <row r="18" spans="1:14" x14ac:dyDescent="0.25">
      <c r="A18" s="1" t="s">
        <v>23</v>
      </c>
      <c r="B18" s="1" t="str">
        <f>VLOOKUP(A18,LISTADHERENT!A$5:H$51,2)</f>
        <v>HOTCHO BENJAMIN</v>
      </c>
      <c r="C18" s="6">
        <f t="shared" si="0"/>
        <v>1949.2634391206589</v>
      </c>
      <c r="D18" s="6">
        <f>TONT20000AVRIL!C18+TONT20000AVRIL!D18+TONT20000MAI!G18</f>
        <v>430582.6773354538</v>
      </c>
      <c r="E18" s="1"/>
      <c r="F18" s="7">
        <f t="shared" si="1"/>
        <v>20000</v>
      </c>
      <c r="G18" s="7">
        <v>3000</v>
      </c>
      <c r="H18" s="7">
        <v>500</v>
      </c>
      <c r="I18" s="7">
        <v>1000</v>
      </c>
      <c r="J18" s="7">
        <v>2500</v>
      </c>
      <c r="K18" s="7"/>
      <c r="L18" s="7">
        <v>13000</v>
      </c>
      <c r="N18" s="7">
        <f t="shared" si="2"/>
        <v>0</v>
      </c>
    </row>
    <row r="19" spans="1:14" x14ac:dyDescent="0.25">
      <c r="A19" s="1" t="s">
        <v>24</v>
      </c>
      <c r="B19" s="1" t="str">
        <f>VLOOKUP(A19,LISTADHERENT!A$5:H$51,2)</f>
        <v>KEPHE DAVID</v>
      </c>
      <c r="C19" s="6">
        <f t="shared" si="0"/>
        <v>142.85272760924894</v>
      </c>
      <c r="D19" s="6">
        <f>TONT20000AVRIL!C19+TONT20000AVRIL!D19+TONT20000MAI!G19</f>
        <v>31555.462788760218</v>
      </c>
      <c r="E19" s="1"/>
      <c r="F19" s="7">
        <f t="shared" si="1"/>
        <v>20000</v>
      </c>
      <c r="G19" s="7">
        <v>3000</v>
      </c>
      <c r="H19" s="7">
        <v>500</v>
      </c>
      <c r="I19" s="7">
        <v>1000</v>
      </c>
      <c r="J19" s="7">
        <v>2500</v>
      </c>
      <c r="K19" s="7"/>
      <c r="L19" s="7">
        <v>13000</v>
      </c>
      <c r="N19" s="7">
        <f t="shared" si="2"/>
        <v>0</v>
      </c>
    </row>
    <row r="20" spans="1:14" x14ac:dyDescent="0.25">
      <c r="A20" s="1" t="s">
        <v>25</v>
      </c>
      <c r="B20" s="1" t="str">
        <f>VLOOKUP(A20,LISTADHERENT!A$5:H$51,2)</f>
        <v>KEPSEU FRANCIS</v>
      </c>
      <c r="C20" s="6">
        <f t="shared" si="0"/>
        <v>5069.8689540345713</v>
      </c>
      <c r="D20" s="6">
        <f>TONT20000AVRIL!C20+TONT20000AVRIL!D20+TONT20000MAI!G20</f>
        <v>1119909.04059273</v>
      </c>
      <c r="E20" s="1"/>
      <c r="F20" s="7">
        <f t="shared" si="1"/>
        <v>23000</v>
      </c>
      <c r="G20" s="7">
        <v>6000</v>
      </c>
      <c r="H20" s="7">
        <v>500</v>
      </c>
      <c r="I20" s="7">
        <v>1000</v>
      </c>
      <c r="J20" s="7">
        <v>2500</v>
      </c>
      <c r="K20" s="7"/>
      <c r="L20" s="7">
        <v>13000</v>
      </c>
      <c r="N20" s="7">
        <f t="shared" si="2"/>
        <v>0</v>
      </c>
    </row>
    <row r="21" spans="1:14" x14ac:dyDescent="0.25">
      <c r="A21" s="1" t="s">
        <v>26</v>
      </c>
      <c r="B21" s="1" t="str">
        <f>VLOOKUP(A21,LISTADHERENT!A$5:H$51,2)</f>
        <v>KOUAMOU EMMANUEL</v>
      </c>
      <c r="C21" s="6">
        <f t="shared" si="0"/>
        <v>1921.1792776473567</v>
      </c>
      <c r="D21" s="6">
        <f>TONT20000AVRIL!C21+TONT20000AVRIL!D21+TONT20000MAI!G21</f>
        <v>424379.02461453131</v>
      </c>
      <c r="E21" s="1"/>
      <c r="F21" s="7">
        <f t="shared" si="1"/>
        <v>20000</v>
      </c>
      <c r="G21" s="7">
        <v>3000</v>
      </c>
      <c r="H21" s="7">
        <v>500</v>
      </c>
      <c r="I21" s="7">
        <v>1000</v>
      </c>
      <c r="J21" s="7">
        <v>2500</v>
      </c>
      <c r="K21" s="7"/>
      <c r="L21" s="7">
        <v>13000</v>
      </c>
      <c r="N21" s="7">
        <f t="shared" si="2"/>
        <v>0</v>
      </c>
    </row>
    <row r="22" spans="1:14" x14ac:dyDescent="0.25">
      <c r="A22" s="1" t="s">
        <v>27</v>
      </c>
      <c r="B22" s="1" t="str">
        <f>VLOOKUP(A22,LISTADHERENT!A$5:H$51,2)</f>
        <v>KOUAMOU MOISE</v>
      </c>
      <c r="C22" s="6">
        <f t="shared" si="0"/>
        <v>1567.2065064378594</v>
      </c>
      <c r="D22" s="6">
        <f>TONT20000AVRIL!C22+TONT20000AVRIL!D22+TONT20000MAI!G22</f>
        <v>346188.18572002469</v>
      </c>
      <c r="E22" s="1"/>
      <c r="F22" s="7">
        <f t="shared" si="1"/>
        <v>20000</v>
      </c>
      <c r="G22" s="7">
        <v>3000</v>
      </c>
      <c r="H22" s="7">
        <v>500</v>
      </c>
      <c r="I22" s="7">
        <v>1000</v>
      </c>
      <c r="J22" s="7">
        <v>2500</v>
      </c>
      <c r="K22" s="7"/>
      <c r="L22" s="7">
        <v>13000</v>
      </c>
      <c r="N22" s="7">
        <f t="shared" si="2"/>
        <v>0</v>
      </c>
    </row>
    <row r="23" spans="1:14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2079.8828741329858</v>
      </c>
      <c r="D23" s="6">
        <f>TONT20000AVRIL!C23+TONT20000AVRIL!D23+TONT20000MAI!G23</f>
        <v>459435.86614046409</v>
      </c>
      <c r="E23" s="1"/>
      <c r="F23" s="7">
        <f t="shared" si="1"/>
        <v>20000</v>
      </c>
      <c r="G23" s="7">
        <v>3000</v>
      </c>
      <c r="H23" s="7">
        <v>500</v>
      </c>
      <c r="I23" s="7">
        <v>1000</v>
      </c>
      <c r="J23" s="7">
        <v>2500</v>
      </c>
      <c r="K23" s="7"/>
      <c r="L23" s="7">
        <v>13000</v>
      </c>
      <c r="N23" s="7">
        <f t="shared" si="2"/>
        <v>0</v>
      </c>
    </row>
    <row r="24" spans="1:14" x14ac:dyDescent="0.25">
      <c r="A24" s="1" t="s">
        <v>29</v>
      </c>
      <c r="B24" s="1" t="str">
        <f>VLOOKUP(A24,LISTADHERENT!A$5:H$51,2)</f>
        <v>KOUATCHO MESSACK</v>
      </c>
      <c r="C24" s="6">
        <f t="shared" si="0"/>
        <v>1908.433749032057</v>
      </c>
      <c r="D24" s="6">
        <f>TONT20000AVRIL!C24+TONT20000AVRIL!D24+TONT20000MAI!G24</f>
        <v>421563.60022135277</v>
      </c>
      <c r="E24" s="1"/>
      <c r="F24" s="7">
        <f t="shared" si="1"/>
        <v>20000</v>
      </c>
      <c r="G24" s="7">
        <v>3000</v>
      </c>
      <c r="H24" s="7">
        <v>500</v>
      </c>
      <c r="I24" s="7">
        <v>1000</v>
      </c>
      <c r="J24" s="7">
        <v>2500</v>
      </c>
      <c r="K24" s="7"/>
      <c r="L24" s="7">
        <v>13000</v>
      </c>
      <c r="M24" s="7"/>
      <c r="N24" s="7">
        <f t="shared" si="2"/>
        <v>0</v>
      </c>
    </row>
    <row r="25" spans="1:14" x14ac:dyDescent="0.25">
      <c r="A25" s="1" t="s">
        <v>30</v>
      </c>
      <c r="B25" s="1" t="str">
        <f>VLOOKUP(A25,LISTADHERENT!A$5:H$51,2)</f>
        <v>LOWE JEAN</v>
      </c>
      <c r="C25" s="6">
        <f t="shared" si="0"/>
        <v>1928.705832922202</v>
      </c>
      <c r="D25" s="6">
        <f>TONT20000AVRIL!C25+TONT20000AVRIL!D25+TONT20000MAI!G25</f>
        <v>426041.6035437386</v>
      </c>
      <c r="E25" s="1"/>
      <c r="F25" s="7">
        <f t="shared" si="1"/>
        <v>20000</v>
      </c>
      <c r="G25" s="7">
        <v>3000</v>
      </c>
      <c r="H25" s="7">
        <v>500</v>
      </c>
      <c r="I25" s="7">
        <v>1000</v>
      </c>
      <c r="J25" s="7">
        <v>2500</v>
      </c>
      <c r="K25" s="7"/>
      <c r="L25" s="7">
        <v>13000</v>
      </c>
      <c r="N25" s="7">
        <f t="shared" si="2"/>
        <v>0</v>
      </c>
    </row>
    <row r="26" spans="1:14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1929.0802884085124</v>
      </c>
      <c r="D26" s="6">
        <f>TONT20000AVRIL!C26+TONT20000AVRIL!D26+TONT20000MAI!G26</f>
        <v>426124.31891335087</v>
      </c>
      <c r="E26" s="1"/>
      <c r="F26" s="7">
        <f t="shared" si="1"/>
        <v>20000</v>
      </c>
      <c r="G26" s="7">
        <v>3000</v>
      </c>
      <c r="H26" s="7">
        <v>500</v>
      </c>
      <c r="I26" s="7">
        <v>1000</v>
      </c>
      <c r="J26" s="7">
        <v>2500</v>
      </c>
      <c r="K26" s="7"/>
      <c r="L26" s="7">
        <v>13000</v>
      </c>
      <c r="N26" s="7">
        <f t="shared" si="2"/>
        <v>0</v>
      </c>
    </row>
    <row r="27" spans="1:14" x14ac:dyDescent="0.25">
      <c r="A27" s="1" t="s">
        <v>32</v>
      </c>
      <c r="B27" s="1" t="str">
        <f>VLOOKUP(A27,LISTADHERENT!A$5:H$51,2)</f>
        <v>NDJOMO ETIENNE</v>
      </c>
      <c r="C27" s="6">
        <f t="shared" si="0"/>
        <v>2056.3480665836109</v>
      </c>
      <c r="D27" s="6">
        <f>TONT20000AVRIL!C27+TONT20000AVRIL!D27+TONT20000MAI!G27</f>
        <v>454237.14325785782</v>
      </c>
      <c r="E27" s="1"/>
      <c r="F27" s="7">
        <f t="shared" si="1"/>
        <v>25000</v>
      </c>
      <c r="G27" s="7">
        <v>8000</v>
      </c>
      <c r="H27" s="7">
        <v>500</v>
      </c>
      <c r="I27" s="7">
        <v>1000</v>
      </c>
      <c r="J27" s="7">
        <v>2500</v>
      </c>
      <c r="K27" s="7"/>
      <c r="L27" s="7">
        <v>13000</v>
      </c>
      <c r="M27" s="7"/>
      <c r="N27" s="7">
        <f t="shared" si="2"/>
        <v>0</v>
      </c>
    </row>
    <row r="28" spans="1:14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TONT20000AVRIL!C28+TONT20000AVRIL!D28+TONT20000MAI!G28</f>
        <v>0</v>
      </c>
      <c r="E28" s="1"/>
      <c r="F28" s="7">
        <f t="shared" si="1"/>
        <v>0</v>
      </c>
      <c r="G28" s="7"/>
      <c r="H28" s="7"/>
      <c r="I28" s="7"/>
      <c r="J28" s="7"/>
      <c r="K28" s="7"/>
      <c r="L28" s="7"/>
      <c r="N28" s="7">
        <f t="shared" si="2"/>
        <v>0</v>
      </c>
    </row>
    <row r="29" spans="1:14" x14ac:dyDescent="0.25">
      <c r="A29" s="1" t="s">
        <v>34</v>
      </c>
      <c r="B29" s="1" t="str">
        <f>VLOOKUP(A29,LISTADHERENT!A$5:H$51,2)</f>
        <v>NGONDIEP CLAUDE</v>
      </c>
      <c r="C29" s="6">
        <f t="shared" si="0"/>
        <v>2748.9646177665099</v>
      </c>
      <c r="D29" s="6">
        <f>TONT20000AVRIL!C29+TONT20000AVRIL!D29+TONT20000MAI!G29</f>
        <v>607232.72250584094</v>
      </c>
      <c r="E29" s="1"/>
      <c r="F29" s="7">
        <f t="shared" si="1"/>
        <v>20000</v>
      </c>
      <c r="G29" s="7">
        <v>3000</v>
      </c>
      <c r="H29" s="7">
        <v>500</v>
      </c>
      <c r="I29" s="7">
        <v>1000</v>
      </c>
      <c r="J29" s="7">
        <v>2500</v>
      </c>
      <c r="K29" s="7"/>
      <c r="L29" s="7">
        <v>13000</v>
      </c>
      <c r="N29" s="7">
        <f t="shared" si="2"/>
        <v>0</v>
      </c>
    </row>
    <row r="30" spans="1:14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82.963253267432648</v>
      </c>
      <c r="D30" s="6">
        <f>TONT20000AVRIL!C30+TONT20000AVRIL!D30+TONT20000MAI!G30</f>
        <v>18326.173361393085</v>
      </c>
      <c r="E30" s="1"/>
      <c r="F30" s="7">
        <f t="shared" si="1"/>
        <v>20000</v>
      </c>
      <c r="G30" s="7">
        <v>3000</v>
      </c>
      <c r="H30" s="7">
        <v>500</v>
      </c>
      <c r="I30" s="7">
        <v>1000</v>
      </c>
      <c r="J30" s="7">
        <v>2500</v>
      </c>
      <c r="K30" s="7"/>
      <c r="L30" s="7">
        <v>13000</v>
      </c>
      <c r="N30" s="7">
        <f t="shared" si="2"/>
        <v>0</v>
      </c>
    </row>
    <row r="31" spans="1:14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152.65409996343135</v>
      </c>
      <c r="D31" s="6">
        <f>TONT20000AVRIL!C31+TONT20000AVRIL!D31+TONT20000MAI!G31</f>
        <v>33720.53758836216</v>
      </c>
      <c r="E31" s="1"/>
      <c r="F31" s="7">
        <f t="shared" si="1"/>
        <v>20000</v>
      </c>
      <c r="G31" s="7">
        <v>3000</v>
      </c>
      <c r="H31" s="7">
        <v>500</v>
      </c>
      <c r="I31" s="7">
        <v>1000</v>
      </c>
      <c r="J31" s="7">
        <v>2500</v>
      </c>
      <c r="K31" s="7"/>
      <c r="L31" s="7">
        <v>13000</v>
      </c>
      <c r="N31" s="7">
        <f t="shared" si="2"/>
        <v>0</v>
      </c>
    </row>
    <row r="32" spans="1:14" x14ac:dyDescent="0.25">
      <c r="A32" s="1" t="s">
        <v>37</v>
      </c>
      <c r="B32" s="1" t="str">
        <f>VLOOKUP(A32,LISTADHERENT!A$5:H$51,2)</f>
        <v>NJEPDJIO MBOUKAM DELUXE</v>
      </c>
      <c r="C32" s="6">
        <f t="shared" si="0"/>
        <v>1976.5007549542843</v>
      </c>
      <c r="D32" s="6">
        <f>TONT20000AVRIL!C32+TONT20000AVRIL!D32+TONT20000MAI!G32</f>
        <v>436599.26603234356</v>
      </c>
      <c r="E32" s="1"/>
      <c r="F32" s="7">
        <f t="shared" si="1"/>
        <v>20000</v>
      </c>
      <c r="G32" s="7">
        <v>3000</v>
      </c>
      <c r="H32" s="7">
        <v>500</v>
      </c>
      <c r="I32" s="7">
        <v>1000</v>
      </c>
      <c r="J32" s="7">
        <v>2500</v>
      </c>
      <c r="K32" s="7"/>
      <c r="L32" s="7">
        <v>13000</v>
      </c>
      <c r="N32" s="7">
        <f t="shared" si="2"/>
        <v>0</v>
      </c>
    </row>
    <row r="33" spans="1:14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165.9265065348653</v>
      </c>
      <c r="D33" s="6">
        <f>TONT20000AVRIL!C33+TONT20000AVRIL!D33+TONT20000MAI!G33</f>
        <v>36652.346722786169</v>
      </c>
      <c r="E33" s="1"/>
      <c r="F33" s="7">
        <f t="shared" si="1"/>
        <v>23000</v>
      </c>
      <c r="G33" s="7">
        <v>6000</v>
      </c>
      <c r="H33" s="7">
        <v>500</v>
      </c>
      <c r="I33" s="7">
        <v>1000</v>
      </c>
      <c r="J33" s="7">
        <v>2500</v>
      </c>
      <c r="K33" s="7"/>
      <c r="L33" s="7">
        <v>13000</v>
      </c>
      <c r="M33" s="11"/>
      <c r="N33" s="7">
        <f t="shared" si="2"/>
        <v>0</v>
      </c>
    </row>
    <row r="34" spans="1:14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2087.6104189969756</v>
      </c>
      <c r="D34" s="6">
        <f>TONT20000AVRIL!C34+TONT20000AVRIL!D34+TONT20000MAI!G34</f>
        <v>461142.84267836477</v>
      </c>
      <c r="E34" s="1"/>
      <c r="F34" s="10">
        <f>G34+H34+I34+J34+K34+L34</f>
        <v>25000</v>
      </c>
      <c r="G34" s="7">
        <v>8000</v>
      </c>
      <c r="H34" s="7">
        <v>500</v>
      </c>
      <c r="I34" s="7">
        <v>1000</v>
      </c>
      <c r="J34" s="7">
        <v>2500</v>
      </c>
      <c r="K34" s="7"/>
      <c r="L34" s="7">
        <v>13000</v>
      </c>
      <c r="M34"/>
      <c r="N34" s="7">
        <f t="shared" si="2"/>
        <v>0</v>
      </c>
    </row>
    <row r="35" spans="1:14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1945.7997258722849</v>
      </c>
      <c r="D35" s="6">
        <f>TONT20000AVRIL!C35+TONT20000AVRIL!D35+TONT20000MAI!G35</f>
        <v>429817.56016654003</v>
      </c>
      <c r="E35" s="1"/>
      <c r="F35" s="7">
        <f t="shared" si="1"/>
        <v>20000</v>
      </c>
      <c r="G35" s="7">
        <v>3000</v>
      </c>
      <c r="H35" s="7">
        <v>500</v>
      </c>
      <c r="I35" s="7">
        <v>1000</v>
      </c>
      <c r="J35" s="7">
        <v>2500</v>
      </c>
      <c r="K35" s="7"/>
      <c r="L35" s="7">
        <v>13000</v>
      </c>
      <c r="N35" s="7">
        <f t="shared" si="2"/>
        <v>0</v>
      </c>
    </row>
    <row r="36" spans="1:14" x14ac:dyDescent="0.25">
      <c r="A36" s="1" t="s">
        <v>41</v>
      </c>
      <c r="B36" s="1" t="str">
        <f>VLOOKUP(A36,LISTADHERENT!A$5:H$51,2)</f>
        <v>NTEPDIE TUEMAC MZ</v>
      </c>
      <c r="C36" s="6">
        <f t="shared" si="0"/>
        <v>28.005195659205434</v>
      </c>
      <c r="D36" s="6">
        <f>TONT20000AVRIL!C36+TONT20000AVRIL!D36+TONT20000MAI!G36</f>
        <v>6186.2095621532271</v>
      </c>
      <c r="E36" s="1"/>
      <c r="F36" s="7">
        <f t="shared" si="1"/>
        <v>0</v>
      </c>
      <c r="G36" s="7"/>
      <c r="H36" s="7"/>
      <c r="I36" s="7"/>
      <c r="J36" s="7"/>
      <c r="K36" s="7"/>
      <c r="L36" s="7"/>
      <c r="N36" s="7">
        <f t="shared" si="2"/>
        <v>0</v>
      </c>
    </row>
    <row r="37" spans="1:14" x14ac:dyDescent="0.25">
      <c r="A37" s="1" t="s">
        <v>42</v>
      </c>
      <c r="B37" s="1" t="str">
        <f>VLOOKUP(A37,LISTADHERENT!A$5:H$51,2)</f>
        <v>NTOMBOU ADOLPHE</v>
      </c>
      <c r="C37" s="6">
        <f t="shared" si="0"/>
        <v>82.963253267432648</v>
      </c>
      <c r="D37" s="6">
        <f>TONT20000AVRIL!C37+TONT20000AVRIL!D37+TONT20000MAI!G37</f>
        <v>18326.173361393085</v>
      </c>
      <c r="E37" s="1"/>
      <c r="F37" s="7">
        <f t="shared" si="1"/>
        <v>20000</v>
      </c>
      <c r="G37" s="7">
        <v>3000</v>
      </c>
      <c r="H37" s="7">
        <v>500</v>
      </c>
      <c r="I37" s="7">
        <v>1000</v>
      </c>
      <c r="J37" s="7">
        <v>2500</v>
      </c>
      <c r="K37" s="7"/>
      <c r="L37" s="7">
        <v>13000</v>
      </c>
      <c r="N37" s="7">
        <f t="shared" si="2"/>
        <v>0</v>
      </c>
    </row>
    <row r="38" spans="1:14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1909.0890461331003</v>
      </c>
      <c r="D38" s="6">
        <f>TONT20000AVRIL!C38+TONT20000AVRIL!D38+TONT20000MAI!G38</f>
        <v>421708.3521181742</v>
      </c>
      <c r="E38" s="1"/>
      <c r="F38" s="7">
        <f t="shared" si="1"/>
        <v>20000</v>
      </c>
      <c r="G38" s="7">
        <v>3000</v>
      </c>
      <c r="H38" s="7">
        <v>500</v>
      </c>
      <c r="I38" s="7">
        <v>1000</v>
      </c>
      <c r="J38" s="7">
        <v>2500</v>
      </c>
      <c r="K38" s="7"/>
      <c r="L38" s="7">
        <v>13000</v>
      </c>
      <c r="N38" s="7">
        <f t="shared" si="2"/>
        <v>0</v>
      </c>
    </row>
    <row r="39" spans="1:14" x14ac:dyDescent="0.25">
      <c r="A39" s="1" t="s">
        <v>44</v>
      </c>
      <c r="B39" s="1" t="str">
        <f>VLOOKUP(A39,LISTADHERENT!A$5:H$51,2)</f>
        <v>SEUNOU RICHELOT</v>
      </c>
      <c r="C39" s="6">
        <f t="shared" si="0"/>
        <v>1920.7533345316781</v>
      </c>
      <c r="D39" s="6">
        <f>TONT20000AVRIL!C39+TONT20000AVRIL!D39+TONT20000MAI!G39</f>
        <v>424284.93588159728</v>
      </c>
      <c r="E39" s="1"/>
      <c r="F39" s="7">
        <f t="shared" si="1"/>
        <v>20000</v>
      </c>
      <c r="G39" s="7">
        <v>3000</v>
      </c>
      <c r="H39" s="7">
        <v>500</v>
      </c>
      <c r="I39" s="7">
        <v>1000</v>
      </c>
      <c r="J39" s="7">
        <v>2500</v>
      </c>
      <c r="K39" s="7"/>
      <c r="L39" s="7">
        <v>13000</v>
      </c>
      <c r="N39" s="7">
        <f t="shared" si="2"/>
        <v>0</v>
      </c>
    </row>
    <row r="40" spans="1:14" x14ac:dyDescent="0.25">
      <c r="A40" s="1" t="s">
        <v>45</v>
      </c>
      <c r="B40" s="1" t="str">
        <f>VLOOKUP(A40,LISTADHERENT!A$5:H$51,2)</f>
        <v>SIME ABEL</v>
      </c>
      <c r="C40" s="6">
        <f t="shared" si="0"/>
        <v>82.963253267432648</v>
      </c>
      <c r="D40" s="6">
        <f>TONT20000AVRIL!C40+TONT20000AVRIL!D40+TONT20000MAI!G40</f>
        <v>18326.173361393085</v>
      </c>
      <c r="E40" s="1"/>
      <c r="F40" s="7">
        <f t="shared" si="1"/>
        <v>20000</v>
      </c>
      <c r="G40" s="7">
        <v>3000</v>
      </c>
      <c r="H40" s="7">
        <v>500</v>
      </c>
      <c r="I40" s="7">
        <v>1000</v>
      </c>
      <c r="J40" s="7">
        <v>2500</v>
      </c>
      <c r="K40" s="7"/>
      <c r="L40" s="7">
        <v>13000</v>
      </c>
      <c r="N40" s="7">
        <f t="shared" si="2"/>
        <v>0</v>
      </c>
    </row>
    <row r="41" spans="1:14" x14ac:dyDescent="0.25">
      <c r="A41" s="1" t="s">
        <v>46</v>
      </c>
      <c r="B41" s="1" t="str">
        <f>VLOOKUP(A41,LISTADHERENT!A$5:H$51,2)</f>
        <v>SIME FONGANG ERIC</v>
      </c>
      <c r="C41" s="6">
        <f t="shared" si="0"/>
        <v>1913.0301901265204</v>
      </c>
      <c r="D41" s="6">
        <f>TONT20000AVRIL!C41+TONT20000AVRIL!D41+TONT20000MAI!G41</f>
        <v>422578.9313833437</v>
      </c>
      <c r="E41" s="1"/>
      <c r="F41" s="7">
        <f t="shared" si="1"/>
        <v>20000</v>
      </c>
      <c r="G41" s="7">
        <v>3000</v>
      </c>
      <c r="H41" s="7">
        <v>500</v>
      </c>
      <c r="I41" s="7">
        <v>1000</v>
      </c>
      <c r="J41" s="7">
        <v>2500</v>
      </c>
      <c r="K41" s="7"/>
      <c r="L41" s="7">
        <v>13000</v>
      </c>
      <c r="N41" s="7">
        <f t="shared" si="2"/>
        <v>0</v>
      </c>
    </row>
    <row r="42" spans="1:14" x14ac:dyDescent="0.25">
      <c r="A42" s="1" t="s">
        <v>47</v>
      </c>
      <c r="B42" s="1" t="str">
        <f>VLOOKUP(A42,LISTADHERENT!A$5:H$51,2)</f>
        <v>SIME MATHIEU</v>
      </c>
      <c r="C42" s="6">
        <f t="shared" si="0"/>
        <v>1911.4106701482267</v>
      </c>
      <c r="D42" s="6">
        <f>TONT20000AVRIL!C42+TONT20000AVRIL!D42+TONT20000MAI!G42</f>
        <v>422221.1874097705</v>
      </c>
      <c r="E42" s="1"/>
      <c r="F42" s="7">
        <f t="shared" si="1"/>
        <v>20000</v>
      </c>
      <c r="G42" s="7">
        <v>3000</v>
      </c>
      <c r="H42" s="7">
        <v>500</v>
      </c>
      <c r="I42" s="7">
        <v>1000</v>
      </c>
      <c r="J42" s="7">
        <v>2500</v>
      </c>
      <c r="K42" s="7"/>
      <c r="L42" s="7">
        <v>13000</v>
      </c>
      <c r="N42" s="7">
        <f t="shared" si="2"/>
        <v>0</v>
      </c>
    </row>
    <row r="43" spans="1:14" x14ac:dyDescent="0.25">
      <c r="A43" s="1" t="s">
        <v>48</v>
      </c>
      <c r="B43" s="1" t="str">
        <f>VLOOKUP(A43,LISTADHERENT!A$5:H$51,2)</f>
        <v>SIME PIERRE</v>
      </c>
      <c r="C43" s="6">
        <f t="shared" si="0"/>
        <v>6711.1951357594153</v>
      </c>
      <c r="D43" s="6">
        <f>TONT20000AVRIL!C43+TONT20000AVRIL!D43+TONT20000MAI!G43</f>
        <v>1482469.8969265849</v>
      </c>
      <c r="E43" s="1"/>
      <c r="F43" s="7">
        <f t="shared" si="1"/>
        <v>20000</v>
      </c>
      <c r="G43" s="7">
        <v>3000</v>
      </c>
      <c r="H43" s="7">
        <v>500</v>
      </c>
      <c r="I43" s="7">
        <v>1000</v>
      </c>
      <c r="J43" s="7">
        <v>2500</v>
      </c>
      <c r="K43" s="7"/>
      <c r="L43" s="7">
        <v>13000</v>
      </c>
      <c r="N43" s="7">
        <f t="shared" si="2"/>
        <v>0</v>
      </c>
    </row>
    <row r="44" spans="1:14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82.963253267432648</v>
      </c>
      <c r="D44" s="6">
        <f>TONT20000AVRIL!C44+TONT20000AVRIL!D44+TONT20000MAI!G44</f>
        <v>18326.173361393085</v>
      </c>
      <c r="E44" s="1"/>
      <c r="F44" s="7">
        <f t="shared" si="1"/>
        <v>20000</v>
      </c>
      <c r="G44" s="7">
        <v>3000</v>
      </c>
      <c r="H44" s="7">
        <v>500</v>
      </c>
      <c r="I44" s="7">
        <v>1000</v>
      </c>
      <c r="J44" s="7">
        <v>2500</v>
      </c>
      <c r="K44" s="7"/>
      <c r="L44" s="7">
        <v>13000</v>
      </c>
      <c r="N44" s="7">
        <f t="shared" si="2"/>
        <v>0</v>
      </c>
    </row>
    <row r="45" spans="1:14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82.963253267432648</v>
      </c>
      <c r="D45" s="6">
        <f>TONT20000AVRIL!C45+TONT20000AVRIL!D45+TONT20000MAI!G45</f>
        <v>18326.173361393085</v>
      </c>
      <c r="E45" s="1"/>
      <c r="F45" s="7">
        <f t="shared" si="1"/>
        <v>20000</v>
      </c>
      <c r="G45" s="7">
        <v>3000</v>
      </c>
      <c r="H45" s="7">
        <v>500</v>
      </c>
      <c r="I45" s="7">
        <v>1000</v>
      </c>
      <c r="J45" s="7">
        <v>2500</v>
      </c>
      <c r="K45" s="7"/>
      <c r="L45" s="7">
        <v>13000</v>
      </c>
      <c r="N45" s="7">
        <f t="shared" si="2"/>
        <v>0</v>
      </c>
    </row>
    <row r="46" spans="1:14" x14ac:dyDescent="0.25">
      <c r="A46" s="1" t="s">
        <v>51</v>
      </c>
      <c r="B46" s="1" t="str">
        <f>VLOOKUP(A46,LISTADHERENT!A$5:H$51,2)</f>
        <v>TCHOUAMOU MATHIEU</v>
      </c>
      <c r="C46" s="6">
        <f t="shared" si="0"/>
        <v>1924.5212928626795</v>
      </c>
      <c r="D46" s="6">
        <f>TONT20000AVRIL!C46+TONT20000AVRIL!D46+TONT20000MAI!G46</f>
        <v>425117.25928832107</v>
      </c>
      <c r="E46" s="1"/>
      <c r="F46" s="7">
        <f t="shared" si="1"/>
        <v>20000</v>
      </c>
      <c r="G46" s="7">
        <v>3000</v>
      </c>
      <c r="H46" s="7">
        <v>500</v>
      </c>
      <c r="I46" s="7">
        <v>1000</v>
      </c>
      <c r="J46" s="7">
        <v>2500</v>
      </c>
      <c r="K46" s="7"/>
      <c r="L46" s="7">
        <v>13000</v>
      </c>
      <c r="M46" s="7"/>
      <c r="N46" s="7">
        <f t="shared" si="2"/>
        <v>0</v>
      </c>
    </row>
    <row r="47" spans="1:14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1392.4741747198527</v>
      </c>
      <c r="D47" s="6">
        <f>TONT20000AVRIL!C47+TONT20000AVRIL!D47+TONT20000MAI!G47</f>
        <v>307590.67565635347</v>
      </c>
      <c r="E47" s="1"/>
      <c r="F47" s="7">
        <f t="shared" si="1"/>
        <v>23000</v>
      </c>
      <c r="G47" s="7">
        <v>6000</v>
      </c>
      <c r="H47" s="7">
        <v>500</v>
      </c>
      <c r="I47" s="7">
        <v>1000</v>
      </c>
      <c r="J47" s="7">
        <v>2500</v>
      </c>
      <c r="K47" s="7"/>
      <c r="L47" s="7">
        <v>13000</v>
      </c>
      <c r="M47" s="7">
        <v>750000</v>
      </c>
      <c r="N47" s="7">
        <f t="shared" si="2"/>
        <v>90000</v>
      </c>
    </row>
    <row r="48" spans="1:14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41.617647554243668</v>
      </c>
      <c r="D48" s="6">
        <f>TONT20000AVRIL!C48+TONT20000AVRIL!D48+TONT20000MAI!G48</f>
        <v>9193.1330310044905</v>
      </c>
      <c r="E48" s="1"/>
      <c r="F48" s="7">
        <f t="shared" si="1"/>
        <v>0</v>
      </c>
      <c r="G48" s="7"/>
      <c r="H48" s="7"/>
      <c r="I48" s="7"/>
      <c r="J48" s="7"/>
      <c r="K48" s="7"/>
      <c r="L48" s="7"/>
      <c r="N48" s="7">
        <f t="shared" si="2"/>
        <v>0</v>
      </c>
    </row>
    <row r="49" spans="1:17" x14ac:dyDescent="0.25">
      <c r="A49" s="1" t="s">
        <v>54</v>
      </c>
      <c r="B49" s="1" t="str">
        <f>VLOOKUP(A49,LISTADHERENT!A$5:H$51,2)</f>
        <v>TIEYAM ERNEST</v>
      </c>
      <c r="C49" s="6">
        <f t="shared" si="0"/>
        <v>1898.6159175697137</v>
      </c>
      <c r="D49" s="6">
        <f>TONT20000AVRIL!C49+TONT20000AVRIL!D49+TONT20000MAI!G49</f>
        <v>419394.88968595635</v>
      </c>
      <c r="E49" s="1"/>
      <c r="F49" s="7">
        <f t="shared" si="1"/>
        <v>0</v>
      </c>
      <c r="G49" s="7"/>
      <c r="H49" s="7"/>
      <c r="I49" s="7"/>
      <c r="J49" s="7"/>
      <c r="K49" s="7"/>
      <c r="L49" s="7"/>
      <c r="N49" s="7">
        <f t="shared" si="2"/>
        <v>0</v>
      </c>
    </row>
    <row r="50" spans="1:17" x14ac:dyDescent="0.25">
      <c r="A50" s="1" t="s">
        <v>55</v>
      </c>
      <c r="B50" s="1" t="str">
        <f>VLOOKUP(A50,LISTADHERENT!A$5:H$51,2)</f>
        <v>TUGMA PIERRE LOTI</v>
      </c>
      <c r="C50" s="6">
        <f t="shared" si="0"/>
        <v>1990.9824609892487</v>
      </c>
      <c r="D50" s="6">
        <f>TONT20000AVRIL!C50+TONT20000AVRIL!D50+TONT20000MAI!G50</f>
        <v>439798.2034523841</v>
      </c>
      <c r="E50" s="1"/>
      <c r="F50" s="7">
        <f t="shared" si="1"/>
        <v>20000</v>
      </c>
      <c r="G50" s="7">
        <v>3000</v>
      </c>
      <c r="H50" s="7">
        <v>500</v>
      </c>
      <c r="I50" s="7">
        <v>1000</v>
      </c>
      <c r="J50" s="7">
        <v>2500</v>
      </c>
      <c r="K50" s="7"/>
      <c r="L50" s="7">
        <v>13000</v>
      </c>
      <c r="N50" s="7">
        <f t="shared" si="2"/>
        <v>0</v>
      </c>
    </row>
    <row r="51" spans="1:17" ht="18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3880.1150701202687</v>
      </c>
      <c r="D51" s="6">
        <f>TONT20000AVRIL!C51+TONT20000AVRIL!D51+TONT20000MAI!G51</f>
        <v>857098.27708855469</v>
      </c>
      <c r="E51" s="1"/>
      <c r="F51" s="7">
        <f t="shared" si="1"/>
        <v>20000</v>
      </c>
      <c r="G51" s="7">
        <v>3000</v>
      </c>
      <c r="H51" s="7">
        <v>500</v>
      </c>
      <c r="I51" s="7">
        <v>1000</v>
      </c>
      <c r="J51" s="7">
        <v>2500</v>
      </c>
      <c r="K51" s="7"/>
      <c r="L51" s="7">
        <v>13000</v>
      </c>
      <c r="M51" s="9"/>
      <c r="N51" s="7">
        <f t="shared" si="2"/>
        <v>0</v>
      </c>
    </row>
    <row r="52" spans="1:17" x14ac:dyDescent="0.25">
      <c r="A52" s="1" t="s">
        <v>178</v>
      </c>
      <c r="B52" s="1" t="str">
        <f>VLOOKUP(A52,LISTADHERENT!A$5:H$51,2)</f>
        <v>YOUMBI EMMANUEL</v>
      </c>
      <c r="C52" s="6">
        <f t="shared" si="0"/>
        <v>6604.4753221608671</v>
      </c>
      <c r="D52" s="6">
        <f>TONT20000AVRIL!C52+TONT20000AVRIL!D52+TONT20000MAI!G52</f>
        <v>1458896.0165870793</v>
      </c>
      <c r="E52" s="1"/>
      <c r="F52" s="7">
        <f t="shared" si="1"/>
        <v>20000</v>
      </c>
      <c r="G52" s="7">
        <v>3000</v>
      </c>
      <c r="H52" s="7">
        <v>500</v>
      </c>
      <c r="I52" s="7">
        <v>1000</v>
      </c>
      <c r="J52" s="7">
        <v>2500</v>
      </c>
      <c r="L52" s="7">
        <v>13000</v>
      </c>
      <c r="N52" s="7">
        <f t="shared" si="2"/>
        <v>0</v>
      </c>
    </row>
    <row r="53" spans="1:17" x14ac:dyDescent="0.25">
      <c r="A53" s="1"/>
      <c r="B53" s="1"/>
      <c r="C53" s="1"/>
      <c r="D53" s="1"/>
      <c r="E53" s="1"/>
      <c r="F53" s="7"/>
      <c r="G53" s="7"/>
      <c r="H53" s="7"/>
      <c r="I53" s="7"/>
      <c r="J53" s="7"/>
      <c r="L53" s="7"/>
      <c r="N53" s="7"/>
    </row>
    <row r="54" spans="1:17" ht="18" x14ac:dyDescent="0.25">
      <c r="A54" s="1"/>
      <c r="B54" s="1" t="s">
        <v>180</v>
      </c>
      <c r="C54" s="1"/>
      <c r="D54" s="1"/>
      <c r="E54" s="1"/>
      <c r="H54" s="4"/>
      <c r="L54" s="7">
        <f>52500+140000</f>
        <v>192500</v>
      </c>
      <c r="N54" s="7">
        <f t="shared" si="2"/>
        <v>0</v>
      </c>
      <c r="O54" s="9"/>
    </row>
    <row r="55" spans="1:17" ht="18" x14ac:dyDescent="0.25">
      <c r="A55" s="1"/>
      <c r="B55" s="1"/>
      <c r="C55" s="1"/>
      <c r="D55" s="1"/>
      <c r="E55" s="1"/>
      <c r="H55" s="4"/>
      <c r="O55" s="9"/>
    </row>
    <row r="56" spans="1:17" ht="18" x14ac:dyDescent="0.25">
      <c r="A56" s="8" t="s">
        <v>56</v>
      </c>
      <c r="B56" s="8"/>
      <c r="C56" s="9">
        <f>SUM(C5:C52)</f>
        <v>90000.000000000029</v>
      </c>
      <c r="D56" s="9">
        <f t="shared" ref="D56:Q56" si="3">SUM(D5:D52)</f>
        <v>19880555.999999996</v>
      </c>
      <c r="E56" s="9">
        <f t="shared" si="3"/>
        <v>0</v>
      </c>
      <c r="F56" s="9">
        <f t="shared" si="3"/>
        <v>1359000</v>
      </c>
      <c r="G56" s="9">
        <f t="shared" si="3"/>
        <v>645000</v>
      </c>
      <c r="H56" s="9">
        <f t="shared" si="3"/>
        <v>21000</v>
      </c>
      <c r="I56" s="9">
        <f t="shared" si="3"/>
        <v>42000</v>
      </c>
      <c r="J56" s="9">
        <f t="shared" si="3"/>
        <v>105000</v>
      </c>
      <c r="K56" s="9">
        <f t="shared" si="3"/>
        <v>0</v>
      </c>
      <c r="L56" s="9">
        <f t="shared" si="3"/>
        <v>546000</v>
      </c>
      <c r="M56" s="9">
        <f t="shared" si="3"/>
        <v>750000</v>
      </c>
      <c r="N56" s="9">
        <f t="shared" si="3"/>
        <v>90000</v>
      </c>
      <c r="O56" s="9">
        <f t="shared" si="3"/>
        <v>0</v>
      </c>
      <c r="P56" s="9">
        <f t="shared" si="3"/>
        <v>0</v>
      </c>
      <c r="Q56" s="9">
        <f t="shared" si="3"/>
        <v>0</v>
      </c>
    </row>
  </sheetData>
  <autoFilter ref="A4:O51"/>
  <dataValidations count="1">
    <dataValidation type="list" allowBlank="1" showInputMessage="1" showErrorMessage="1" promptTitle="Saissisez le mode de VERSEMENT" sqref="H6:H53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pane xSplit="2" ySplit="4" topLeftCell="C26" activePane="bottomRight" state="frozen"/>
      <selection activeCell="B22" sqref="B22"/>
      <selection pane="topRight" activeCell="B22" sqref="B22"/>
      <selection pane="bottomLeft" activeCell="B22" sqref="B22"/>
      <selection pane="bottomRight" activeCell="A33" sqref="A33:XFD3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5" width="29.5703125" customWidth="1"/>
    <col min="6" max="6" width="15" style="2" bestFit="1" customWidth="1"/>
    <col min="7" max="7" width="12.5703125" bestFit="1" customWidth="1"/>
    <col min="8" max="8" width="17.5703125" style="3" bestFit="1" customWidth="1"/>
    <col min="9" max="9" width="15.7109375" style="2" customWidth="1"/>
    <col min="10" max="10" width="14.7109375" style="2" customWidth="1"/>
    <col min="11" max="11" width="18.140625" style="2" bestFit="1" customWidth="1"/>
    <col min="12" max="12" width="18.140625" customWidth="1"/>
    <col min="13" max="13" width="15" bestFit="1" customWidth="1"/>
    <col min="14" max="14" width="12.5703125" bestFit="1" customWidth="1"/>
    <col min="15" max="15" width="18.140625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</row>
    <row r="2" spans="1:18" x14ac:dyDescent="0.25">
      <c r="A2" s="1" t="s">
        <v>2</v>
      </c>
      <c r="B2" s="1" t="s">
        <v>3</v>
      </c>
      <c r="C2" s="1"/>
      <c r="D2" s="1"/>
      <c r="E2" s="1"/>
    </row>
    <row r="3" spans="1:18" x14ac:dyDescent="0.25">
      <c r="A3" s="1" t="s">
        <v>4</v>
      </c>
      <c r="B3" s="1" t="s">
        <v>5</v>
      </c>
      <c r="C3" s="1"/>
      <c r="D3" s="1"/>
      <c r="E3" s="1"/>
    </row>
    <row r="4" spans="1:18" ht="29.25" x14ac:dyDescent="0.25">
      <c r="A4" s="1" t="s">
        <v>6</v>
      </c>
      <c r="B4" s="1" t="s">
        <v>7</v>
      </c>
      <c r="C4" s="5" t="s">
        <v>186</v>
      </c>
      <c r="D4" s="5" t="s">
        <v>187</v>
      </c>
      <c r="E4" s="1" t="s">
        <v>184</v>
      </c>
      <c r="F4" s="5" t="s">
        <v>65</v>
      </c>
      <c r="G4" s="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8</v>
      </c>
      <c r="P4" s="5" t="s">
        <v>182</v>
      </c>
      <c r="Q4" s="5" t="s">
        <v>181</v>
      </c>
    </row>
    <row r="5" spans="1:18" x14ac:dyDescent="0.25">
      <c r="A5" s="1" t="s">
        <v>185</v>
      </c>
      <c r="B5" s="1" t="str">
        <f>VLOOKUP(A5,LISTADHERENT!A$5:H$52,2,0)</f>
        <v>ASELBY</v>
      </c>
      <c r="C5" s="6">
        <f>$N$56/$D$56*D5</f>
        <v>4585.7297697109252</v>
      </c>
      <c r="D5" s="6">
        <f>TONT20000MAI!C5+TONT20000MAI!D5+TONT20000JUIN!G5</f>
        <v>330432.65507496637</v>
      </c>
      <c r="E5" s="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</row>
    <row r="6" spans="1:18" x14ac:dyDescent="0.25">
      <c r="A6" s="1" t="s">
        <v>11</v>
      </c>
      <c r="B6" s="1" t="str">
        <f>VLOOKUP(A6,LISTADHERENT!A$5:H$51,2)</f>
        <v>BAKOP ACHILLE</v>
      </c>
      <c r="C6" s="6">
        <f t="shared" ref="C6:C52" si="0">$N$56/$D$56*D6</f>
        <v>6401.9466331371623</v>
      </c>
      <c r="D6" s="6">
        <f>TONT20000MAI!C6+TONT20000MAI!D6+TONT20000JUIN!G6</f>
        <v>461303.28865172213</v>
      </c>
      <c r="E6" s="1"/>
      <c r="F6" s="7">
        <f t="shared" ref="F6:F52" si="1">G6+H6+I6+J6+K6+L6</f>
        <v>20000</v>
      </c>
      <c r="G6" s="7">
        <v>3000</v>
      </c>
      <c r="H6" s="7">
        <v>500</v>
      </c>
      <c r="I6" s="7">
        <v>1000</v>
      </c>
      <c r="J6" s="7">
        <v>2500</v>
      </c>
      <c r="K6" s="7"/>
      <c r="L6" s="7">
        <v>13000</v>
      </c>
      <c r="M6" s="7"/>
      <c r="N6" s="7">
        <f>IF(M6&lt;=500000,(M6*1*3/100),(M6*12/100))</f>
        <v>0</v>
      </c>
    </row>
    <row r="7" spans="1:18" x14ac:dyDescent="0.25">
      <c r="A7" s="1" t="s">
        <v>12</v>
      </c>
      <c r="B7" s="1" t="str">
        <f>VLOOKUP(A7,LISTADHERENT!A$5:H$51,2)</f>
        <v>BOUTCHOUANG WILLIAM</v>
      </c>
      <c r="C7" s="6">
        <f t="shared" si="0"/>
        <v>5943.1214118404623</v>
      </c>
      <c r="D7" s="6">
        <f>TONT20000MAI!C7+TONT20000MAI!D7+TONT20000JUIN!G7</f>
        <v>428241.84724498505</v>
      </c>
      <c r="E7" s="1"/>
      <c r="F7" s="7">
        <f t="shared" si="1"/>
        <v>20000</v>
      </c>
      <c r="G7" s="7">
        <v>3000</v>
      </c>
      <c r="H7" s="7">
        <v>500</v>
      </c>
      <c r="I7" s="7">
        <v>1000</v>
      </c>
      <c r="J7" s="7">
        <v>2500</v>
      </c>
      <c r="K7" s="7"/>
      <c r="L7" s="7">
        <v>13000</v>
      </c>
      <c r="M7" s="7"/>
      <c r="N7" s="7">
        <f t="shared" ref="N7:N54" si="2">IF(M7&lt;=500000,(M7*1*3/100),(M7*12/100))</f>
        <v>0</v>
      </c>
    </row>
    <row r="8" spans="1:18" s="21" customFormat="1" x14ac:dyDescent="0.25">
      <c r="A8" s="19" t="s">
        <v>13</v>
      </c>
      <c r="B8" s="19" t="str">
        <f>VLOOKUP(A8,LISTADHERENT!A$5:H$51,2)</f>
        <v>CHINGUE FABRICE</v>
      </c>
      <c r="C8" s="6">
        <f t="shared" si="0"/>
        <v>5945.1105385223846</v>
      </c>
      <c r="D8" s="6">
        <f>TONT20000MAI!C8+TONT20000MAI!D8+TONT20000JUIN!G8</f>
        <v>428385.17719328019</v>
      </c>
      <c r="E8" s="19"/>
      <c r="F8" s="20">
        <f t="shared" si="1"/>
        <v>20000</v>
      </c>
      <c r="G8" s="20">
        <v>3000</v>
      </c>
      <c r="H8" s="20">
        <v>500</v>
      </c>
      <c r="I8" s="20">
        <v>1000</v>
      </c>
      <c r="J8" s="20">
        <v>2500</v>
      </c>
      <c r="K8" s="20"/>
      <c r="L8" s="20">
        <v>13000</v>
      </c>
      <c r="M8" s="20">
        <v>1000000</v>
      </c>
      <c r="N8" s="20">
        <f t="shared" si="2"/>
        <v>120000</v>
      </c>
      <c r="O8" s="20">
        <v>1000000</v>
      </c>
    </row>
    <row r="9" spans="1:18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6036.1202912010549</v>
      </c>
      <c r="D9" s="6">
        <f>TONT20000MAI!C9+TONT20000MAI!D9+TONT20000JUIN!G9</f>
        <v>434943.04163918813</v>
      </c>
      <c r="E9" s="1"/>
      <c r="F9" s="7">
        <f t="shared" si="1"/>
        <v>20000</v>
      </c>
      <c r="G9" s="7">
        <v>3000</v>
      </c>
      <c r="H9" s="7">
        <v>500</v>
      </c>
      <c r="I9" s="7">
        <v>1000</v>
      </c>
      <c r="J9" s="7">
        <v>2500</v>
      </c>
      <c r="K9" s="7"/>
      <c r="L9" s="7">
        <v>13000</v>
      </c>
      <c r="N9" s="7">
        <f t="shared" si="2"/>
        <v>0</v>
      </c>
    </row>
    <row r="10" spans="1:18" x14ac:dyDescent="0.25">
      <c r="A10" s="1" t="s">
        <v>15</v>
      </c>
      <c r="B10" s="1" t="str">
        <f>VLOOKUP(A10,LISTADHERENT!A$5:H$51,2)</f>
        <v>DJOUKWE GUY</v>
      </c>
      <c r="C10" s="6">
        <f t="shared" si="0"/>
        <v>6562.6898315546596</v>
      </c>
      <c r="D10" s="6">
        <f>TONT20000MAI!C10+TONT20000MAI!D10+TONT20000JUIN!G10</f>
        <v>472885.91660968919</v>
      </c>
      <c r="E10" s="1"/>
      <c r="F10" s="7">
        <f t="shared" si="1"/>
        <v>50000</v>
      </c>
      <c r="G10" s="7">
        <v>33000</v>
      </c>
      <c r="H10" s="7">
        <v>500</v>
      </c>
      <c r="I10" s="7">
        <v>1000</v>
      </c>
      <c r="J10" s="7">
        <v>2500</v>
      </c>
      <c r="K10" s="7"/>
      <c r="L10" s="7">
        <v>13000</v>
      </c>
      <c r="N10" s="7">
        <f t="shared" si="2"/>
        <v>0</v>
      </c>
    </row>
    <row r="11" spans="1:18" x14ac:dyDescent="0.25">
      <c r="A11" s="1" t="s">
        <v>16</v>
      </c>
      <c r="B11" s="1" t="str">
        <f>VLOOKUP(A11,LISTADHERENT!A$5:H$51,2)</f>
        <v>DJOSSEU JOSUE</v>
      </c>
      <c r="C11" s="6">
        <f t="shared" si="0"/>
        <v>72.069807316018256</v>
      </c>
      <c r="D11" s="6">
        <f>TONT20000MAI!C11+TONT20000MAI!D11+TONT20000JUIN!G11</f>
        <v>5193.1140686631315</v>
      </c>
      <c r="E11" s="1"/>
      <c r="F11" s="7">
        <f t="shared" si="1"/>
        <v>0</v>
      </c>
      <c r="G11" s="7"/>
      <c r="H11" s="7"/>
      <c r="I11" s="7"/>
      <c r="J11" s="7"/>
      <c r="K11" s="7"/>
      <c r="L11" s="7"/>
      <c r="N11" s="7">
        <f t="shared" si="2"/>
        <v>0</v>
      </c>
    </row>
    <row r="12" spans="1:18" x14ac:dyDescent="0.25">
      <c r="A12" s="1" t="s">
        <v>17</v>
      </c>
      <c r="B12" s="1" t="str">
        <f>VLOOKUP(A12,LISTADHERENT!A$5:H$51,2)</f>
        <v>DJOUNKEP SAMUEL</v>
      </c>
      <c r="C12" s="6">
        <f t="shared" si="0"/>
        <v>27381.850860139701</v>
      </c>
      <c r="D12" s="6">
        <f>TONT20000MAI!C12+TONT20000MAI!D12+TONT20000JUIN!G12</f>
        <v>1973046.4146283679</v>
      </c>
      <c r="E12" s="1"/>
      <c r="F12" s="7">
        <f t="shared" si="1"/>
        <v>20000</v>
      </c>
      <c r="G12" s="7">
        <v>3000</v>
      </c>
      <c r="H12" s="7">
        <v>500</v>
      </c>
      <c r="I12" s="7">
        <v>1000</v>
      </c>
      <c r="J12" s="7">
        <v>2500</v>
      </c>
      <c r="K12" s="7"/>
      <c r="L12" s="7">
        <v>13000</v>
      </c>
      <c r="N12" s="7">
        <f t="shared" si="2"/>
        <v>0</v>
      </c>
    </row>
    <row r="13" spans="1:18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4897.1002284557744</v>
      </c>
      <c r="D13" s="6">
        <f>TONT20000MAI!C13+TONT20000MAI!D13+TONT20000JUIN!G13</f>
        <v>352868.98965240846</v>
      </c>
      <c r="E13" s="1"/>
      <c r="F13" s="7">
        <f t="shared" si="1"/>
        <v>20000</v>
      </c>
      <c r="G13" s="7">
        <v>3000</v>
      </c>
      <c r="H13" s="7">
        <v>500</v>
      </c>
      <c r="I13" s="7">
        <v>1000</v>
      </c>
      <c r="J13" s="7">
        <v>2500</v>
      </c>
      <c r="K13" s="7"/>
      <c r="L13" s="7">
        <v>13000</v>
      </c>
      <c r="N13" s="7">
        <f t="shared" si="2"/>
        <v>0</v>
      </c>
    </row>
    <row r="14" spans="1:18" x14ac:dyDescent="0.25">
      <c r="A14" s="1" t="s">
        <v>19</v>
      </c>
      <c r="B14" s="1" t="str">
        <f>VLOOKUP(A14,LISTADHERENT!A$5:H$51,2)</f>
        <v>DONHOU DAVID</v>
      </c>
      <c r="C14" s="6">
        <f t="shared" si="0"/>
        <v>6563.354173602117</v>
      </c>
      <c r="D14" s="6">
        <f>TONT20000MAI!C14+TONT20000MAI!D14+TONT20000JUIN!G14</f>
        <v>472933.78691990004</v>
      </c>
      <c r="E14" s="1"/>
      <c r="F14" s="7">
        <f t="shared" si="1"/>
        <v>20000</v>
      </c>
      <c r="G14" s="7">
        <v>3000</v>
      </c>
      <c r="H14" s="7">
        <v>500</v>
      </c>
      <c r="I14" s="7">
        <v>1000</v>
      </c>
      <c r="J14" s="7">
        <v>2500</v>
      </c>
      <c r="K14" s="7"/>
      <c r="L14" s="7">
        <v>13000</v>
      </c>
      <c r="N14" s="7">
        <f t="shared" si="2"/>
        <v>0</v>
      </c>
    </row>
    <row r="15" spans="1:18" x14ac:dyDescent="0.25">
      <c r="A15" s="1" t="s">
        <v>20</v>
      </c>
      <c r="B15" s="1" t="str">
        <f>VLOOKUP(A15,LISTADHERENT!A$5:H$51,2)</f>
        <v>FOTSO THOMAS</v>
      </c>
      <c r="C15" s="6">
        <f t="shared" si="0"/>
        <v>5966.3855456420752</v>
      </c>
      <c r="D15" s="6">
        <f>TONT20000MAI!C15+TONT20000MAI!D15+TONT20000JUIN!G15</f>
        <v>429918.18446634966</v>
      </c>
      <c r="E15" s="1"/>
      <c r="F15" s="7">
        <f t="shared" si="1"/>
        <v>20000</v>
      </c>
      <c r="G15" s="7">
        <v>3000</v>
      </c>
      <c r="H15" s="7">
        <v>500</v>
      </c>
      <c r="I15" s="7">
        <v>1000</v>
      </c>
      <c r="J15" s="7">
        <v>2500</v>
      </c>
      <c r="K15" s="7"/>
      <c r="L15" s="7">
        <v>13000</v>
      </c>
      <c r="N15" s="7">
        <f t="shared" si="2"/>
        <v>0</v>
      </c>
    </row>
    <row r="16" spans="1:18" x14ac:dyDescent="0.25">
      <c r="A16" s="1" t="s">
        <v>21</v>
      </c>
      <c r="B16" s="1" t="str">
        <f>VLOOKUP(A16,LISTADHERENT!A$5:H$51,2)</f>
        <v>HENGUE PAUL OMER</v>
      </c>
      <c r="C16" s="6">
        <f t="shared" si="0"/>
        <v>5918.5600215071654</v>
      </c>
      <c r="D16" s="6">
        <f>TONT20000MAI!C16+TONT20000MAI!D16+TONT20000JUIN!G16</f>
        <v>426472.0339703848</v>
      </c>
      <c r="E16" s="1"/>
      <c r="F16" s="7">
        <f t="shared" si="1"/>
        <v>20000</v>
      </c>
      <c r="G16" s="7">
        <v>3000</v>
      </c>
      <c r="H16" s="7">
        <v>500</v>
      </c>
      <c r="I16" s="7">
        <v>1000</v>
      </c>
      <c r="J16" s="7">
        <v>2500</v>
      </c>
      <c r="K16" s="7"/>
      <c r="L16" s="7">
        <v>13000</v>
      </c>
      <c r="N16" s="7">
        <f t="shared" si="2"/>
        <v>0</v>
      </c>
    </row>
    <row r="17" spans="1:15" x14ac:dyDescent="0.25">
      <c r="A17" s="1" t="s">
        <v>22</v>
      </c>
      <c r="B17" s="1" t="str">
        <f>VLOOKUP(A17,LISTADHERENT!A$5:H$51,2)</f>
        <v>HODIEP JULES</v>
      </c>
      <c r="C17" s="6">
        <f t="shared" si="0"/>
        <v>991.01283899713405</v>
      </c>
      <c r="D17" s="6">
        <f>TONT20000MAI!C17+TONT20000MAI!D17+TONT20000JUIN!G17+50000</f>
        <v>71409.136614660514</v>
      </c>
      <c r="E17" s="1"/>
      <c r="F17" s="7">
        <f t="shared" si="1"/>
        <v>20000</v>
      </c>
      <c r="G17" s="7">
        <v>3000</v>
      </c>
      <c r="H17" s="7">
        <v>500</v>
      </c>
      <c r="I17" s="7">
        <v>1000</v>
      </c>
      <c r="J17" s="7">
        <v>2500</v>
      </c>
      <c r="K17" s="7"/>
      <c r="L17" s="7">
        <v>13000</v>
      </c>
      <c r="N17" s="7">
        <f t="shared" si="2"/>
        <v>0</v>
      </c>
    </row>
    <row r="18" spans="1:15" x14ac:dyDescent="0.25">
      <c r="A18" s="1" t="s">
        <v>23</v>
      </c>
      <c r="B18" s="1" t="str">
        <f>VLOOKUP(A18,LISTADHERENT!A$5:H$51,2)</f>
        <v>HOTCHO BENJAMIN</v>
      </c>
      <c r="C18" s="6">
        <f t="shared" si="0"/>
        <v>6044.2930073506905</v>
      </c>
      <c r="D18" s="6">
        <f>TONT20000MAI!C18+TONT20000MAI!D18+TONT20000JUIN!G18</f>
        <v>435531.94077457447</v>
      </c>
      <c r="E18" s="1"/>
      <c r="F18" s="7">
        <f t="shared" si="1"/>
        <v>20000</v>
      </c>
      <c r="G18" s="7">
        <v>3000</v>
      </c>
      <c r="H18" s="7">
        <v>500</v>
      </c>
      <c r="I18" s="7">
        <v>1000</v>
      </c>
      <c r="J18" s="7">
        <v>2500</v>
      </c>
      <c r="K18" s="7"/>
      <c r="L18" s="7">
        <v>13000</v>
      </c>
      <c r="N18" s="7">
        <f t="shared" si="2"/>
        <v>0</v>
      </c>
    </row>
    <row r="19" spans="1:15" x14ac:dyDescent="0.25">
      <c r="A19" s="1" t="s">
        <v>24</v>
      </c>
      <c r="B19" s="1" t="str">
        <f>VLOOKUP(A19,LISTADHERENT!A$5:H$51,2)</f>
        <v>KEPHE DAVID</v>
      </c>
      <c r="C19" s="6">
        <f t="shared" si="0"/>
        <v>481.54168777943136</v>
      </c>
      <c r="D19" s="6">
        <f>TONT20000MAI!C19+TONT20000MAI!D19+TONT20000JUIN!G19</f>
        <v>34698.315516369468</v>
      </c>
      <c r="E19" s="1"/>
      <c r="F19" s="7">
        <f t="shared" si="1"/>
        <v>20000</v>
      </c>
      <c r="G19" s="7">
        <v>3000</v>
      </c>
      <c r="H19" s="7">
        <v>500</v>
      </c>
      <c r="I19" s="7">
        <v>1000</v>
      </c>
      <c r="J19" s="7">
        <v>2500</v>
      </c>
      <c r="K19" s="7"/>
      <c r="L19" s="7">
        <v>13000</v>
      </c>
      <c r="N19" s="7">
        <f t="shared" si="2"/>
        <v>0</v>
      </c>
    </row>
    <row r="20" spans="1:15" x14ac:dyDescent="0.25">
      <c r="A20" s="1" t="s">
        <v>25</v>
      </c>
      <c r="B20" s="1" t="str">
        <f>VLOOKUP(A20,LISTADHERENT!A$5:H$51,2)</f>
        <v>KEPSEU FRANCIS</v>
      </c>
      <c r="C20" s="6">
        <f t="shared" si="0"/>
        <v>15695.675275336062</v>
      </c>
      <c r="D20" s="6">
        <f>TONT20000MAI!C20+TONT20000MAI!D20+TONT20000JUIN!G20</f>
        <v>1130978.9095467646</v>
      </c>
      <c r="E20" s="1"/>
      <c r="F20" s="7">
        <f t="shared" si="1"/>
        <v>23000</v>
      </c>
      <c r="G20" s="7">
        <v>6000</v>
      </c>
      <c r="H20" s="7">
        <v>500</v>
      </c>
      <c r="I20" s="7">
        <v>1000</v>
      </c>
      <c r="J20" s="7">
        <v>2500</v>
      </c>
      <c r="K20" s="7"/>
      <c r="L20" s="7">
        <v>13000</v>
      </c>
      <c r="N20" s="7">
        <f t="shared" si="2"/>
        <v>0</v>
      </c>
    </row>
    <row r="21" spans="1:15" x14ac:dyDescent="0.25">
      <c r="A21" s="1" t="s">
        <v>26</v>
      </c>
      <c r="B21" s="1" t="str">
        <f>VLOOKUP(A21,LISTADHERENT!A$5:H$51,2)</f>
        <v>KOUAMOU EMMANUEL</v>
      </c>
      <c r="C21" s="6">
        <f t="shared" si="0"/>
        <v>5957.8092385714681</v>
      </c>
      <c r="D21" s="6">
        <f>TONT20000MAI!C21+TONT20000MAI!D21+TONT20000JUIN!G21</f>
        <v>429300.20389217866</v>
      </c>
      <c r="E21" s="1"/>
      <c r="F21" s="7">
        <f t="shared" si="1"/>
        <v>20000</v>
      </c>
      <c r="G21" s="7">
        <v>3000</v>
      </c>
      <c r="H21" s="7">
        <v>500</v>
      </c>
      <c r="I21" s="7">
        <v>1000</v>
      </c>
      <c r="J21" s="7">
        <v>2500</v>
      </c>
      <c r="K21" s="7"/>
      <c r="L21" s="7">
        <v>13000</v>
      </c>
      <c r="N21" s="7">
        <f t="shared" si="2"/>
        <v>0</v>
      </c>
    </row>
    <row r="22" spans="1:15" x14ac:dyDescent="0.25">
      <c r="A22" s="1" t="s">
        <v>27</v>
      </c>
      <c r="B22" s="1" t="str">
        <f>VLOOKUP(A22,LISTADHERENT!A$5:H$51,2)</f>
        <v>KOUAMOU MOISE</v>
      </c>
      <c r="C22" s="6">
        <f t="shared" si="0"/>
        <v>5908.6144990872453</v>
      </c>
      <c r="D22" s="6">
        <f>TONT20000MAI!C22+TONT20000MAI!D22+TONT20000JUIN!G22+75000</f>
        <v>425755.39222646254</v>
      </c>
      <c r="E22" s="1"/>
      <c r="F22" s="7">
        <f t="shared" si="1"/>
        <v>20000</v>
      </c>
      <c r="G22" s="7">
        <v>3000</v>
      </c>
      <c r="H22" s="7">
        <v>500</v>
      </c>
      <c r="I22" s="7">
        <v>1000</v>
      </c>
      <c r="J22" s="7">
        <v>2500</v>
      </c>
      <c r="K22" s="7"/>
      <c r="L22" s="7">
        <v>13000</v>
      </c>
      <c r="M22" s="7">
        <v>60000</v>
      </c>
      <c r="N22" s="7">
        <f t="shared" si="2"/>
        <v>1800</v>
      </c>
    </row>
    <row r="23" spans="1:15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6446.5290159428505</v>
      </c>
      <c r="D23" s="6">
        <f>TONT20000MAI!C23+TONT20000MAI!D23+TONT20000JUIN!G23</f>
        <v>464515.7490145971</v>
      </c>
      <c r="E23" s="1"/>
      <c r="F23" s="7">
        <f t="shared" si="1"/>
        <v>20000</v>
      </c>
      <c r="G23" s="7">
        <v>3000</v>
      </c>
      <c r="H23" s="7">
        <v>500</v>
      </c>
      <c r="I23" s="7">
        <v>1000</v>
      </c>
      <c r="J23" s="7">
        <v>2500</v>
      </c>
      <c r="K23" s="7"/>
      <c r="L23" s="7">
        <v>13000</v>
      </c>
      <c r="N23" s="7">
        <f t="shared" si="2"/>
        <v>0</v>
      </c>
    </row>
    <row r="24" spans="1:15" x14ac:dyDescent="0.25">
      <c r="A24" s="1" t="s">
        <v>29</v>
      </c>
      <c r="B24" s="1" t="str">
        <f>VLOOKUP(A24,LISTADHERENT!A$5:H$51,2)</f>
        <v>KOUATCHO MESSACK</v>
      </c>
      <c r="C24" s="6">
        <f t="shared" si="0"/>
        <v>5918.5600215071654</v>
      </c>
      <c r="D24" s="6">
        <f>TONT20000MAI!C24+TONT20000MAI!D24+TONT20000JUIN!G24</f>
        <v>426472.0339703848</v>
      </c>
      <c r="E24" s="1"/>
      <c r="F24" s="7">
        <f t="shared" si="1"/>
        <v>20000</v>
      </c>
      <c r="G24" s="7">
        <v>3000</v>
      </c>
      <c r="H24" s="7">
        <v>500</v>
      </c>
      <c r="I24" s="7">
        <v>1000</v>
      </c>
      <c r="J24" s="7">
        <v>2500</v>
      </c>
      <c r="K24" s="7"/>
      <c r="L24" s="7">
        <v>13000</v>
      </c>
      <c r="M24" s="7"/>
      <c r="N24" s="7">
        <f t="shared" si="2"/>
        <v>0</v>
      </c>
    </row>
    <row r="25" spans="1:15" x14ac:dyDescent="0.25">
      <c r="A25" s="1" t="s">
        <v>30</v>
      </c>
      <c r="B25" s="1" t="str">
        <f>VLOOKUP(A25,LISTADHERENT!A$5:H$51,2)</f>
        <v>LOWE JEAN</v>
      </c>
      <c r="C25" s="6">
        <f t="shared" si="0"/>
        <v>5980.9868886043005</v>
      </c>
      <c r="D25" s="6">
        <f>TONT20000MAI!C25+TONT20000MAI!D25+TONT20000JUIN!G25</f>
        <v>430970.30937666079</v>
      </c>
      <c r="E25" s="1"/>
      <c r="F25" s="7">
        <f t="shared" si="1"/>
        <v>20000</v>
      </c>
      <c r="G25" s="7">
        <v>3000</v>
      </c>
      <c r="H25" s="7">
        <v>500</v>
      </c>
      <c r="I25" s="7">
        <v>1000</v>
      </c>
      <c r="J25" s="7">
        <v>2500</v>
      </c>
      <c r="K25" s="7"/>
      <c r="L25" s="7">
        <v>13000</v>
      </c>
      <c r="M25" s="7">
        <v>80000</v>
      </c>
      <c r="N25" s="7">
        <f t="shared" si="2"/>
        <v>2400</v>
      </c>
      <c r="O25" s="7">
        <v>80000</v>
      </c>
    </row>
    <row r="26" spans="1:15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5982.1400055213562</v>
      </c>
      <c r="D26" s="6">
        <f>TONT20000MAI!C26+TONT20000MAI!D26+TONT20000JUIN!G26</f>
        <v>431053.39920175937</v>
      </c>
      <c r="E26" s="1"/>
      <c r="F26" s="7">
        <f t="shared" si="1"/>
        <v>20000</v>
      </c>
      <c r="G26" s="7">
        <v>3000</v>
      </c>
      <c r="H26" s="7">
        <v>500</v>
      </c>
      <c r="I26" s="7">
        <v>1000</v>
      </c>
      <c r="J26" s="7">
        <v>2500</v>
      </c>
      <c r="K26" s="7"/>
      <c r="L26" s="7">
        <v>13000</v>
      </c>
      <c r="N26" s="7">
        <f t="shared" si="2"/>
        <v>0</v>
      </c>
    </row>
    <row r="27" spans="1:15" x14ac:dyDescent="0.25">
      <c r="A27" s="1" t="s">
        <v>32</v>
      </c>
      <c r="B27" s="1" t="str">
        <f>VLOOKUP(A27,LISTADHERENT!A$5:H$51,2)</f>
        <v>NDJOMO ETIENNE</v>
      </c>
      <c r="C27" s="6">
        <f t="shared" si="0"/>
        <v>6443.4445335509317</v>
      </c>
      <c r="D27" s="6">
        <f>TONT20000MAI!C27+TONT20000MAI!D27+TONT20000JUIN!G27</f>
        <v>464293.49132444145</v>
      </c>
      <c r="E27" s="1"/>
      <c r="F27" s="7">
        <f t="shared" si="1"/>
        <v>25000</v>
      </c>
      <c r="G27" s="7">
        <v>8000</v>
      </c>
      <c r="H27" s="7">
        <v>500</v>
      </c>
      <c r="I27" s="7">
        <v>1000</v>
      </c>
      <c r="J27" s="7">
        <v>2500</v>
      </c>
      <c r="K27" s="7"/>
      <c r="L27" s="7">
        <v>13000</v>
      </c>
      <c r="M27" s="7">
        <v>400000</v>
      </c>
      <c r="N27" s="7">
        <f t="shared" si="2"/>
        <v>12000</v>
      </c>
      <c r="O27" s="7">
        <v>400000</v>
      </c>
    </row>
    <row r="28" spans="1:15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TONT20000MAI!C28+TONT20000MAI!D28+TONT20000JUIN!G28</f>
        <v>0</v>
      </c>
      <c r="E28" s="1"/>
      <c r="F28" s="7">
        <f t="shared" si="1"/>
        <v>0</v>
      </c>
      <c r="G28" s="7"/>
      <c r="H28" s="7"/>
      <c r="I28" s="7"/>
      <c r="J28" s="7"/>
      <c r="K28" s="7"/>
      <c r="L28" s="7"/>
      <c r="N28" s="7">
        <f t="shared" si="2"/>
        <v>0</v>
      </c>
    </row>
    <row r="29" spans="1:15" x14ac:dyDescent="0.25">
      <c r="A29" s="1" t="s">
        <v>34</v>
      </c>
      <c r="B29" s="1" t="str">
        <f>VLOOKUP(A29,LISTADHERENT!A$5:H$51,2)</f>
        <v>NGONDIEP CLAUDE</v>
      </c>
      <c r="C29" s="6">
        <f t="shared" si="0"/>
        <v>8506.932737300498</v>
      </c>
      <c r="D29" s="6">
        <f>TONT20000MAI!C29+TONT20000MAI!D29+TONT20000JUIN!G29</f>
        <v>612981.68712360749</v>
      </c>
      <c r="E29" s="1"/>
      <c r="F29" s="7">
        <f t="shared" si="1"/>
        <v>20000</v>
      </c>
      <c r="G29" s="7">
        <v>3000</v>
      </c>
      <c r="H29" s="7">
        <v>500</v>
      </c>
      <c r="I29" s="7">
        <v>1000</v>
      </c>
      <c r="J29" s="7">
        <v>2500</v>
      </c>
      <c r="K29" s="7"/>
      <c r="L29" s="7">
        <v>13000</v>
      </c>
      <c r="N29" s="7">
        <f t="shared" si="2"/>
        <v>0</v>
      </c>
    </row>
    <row r="30" spans="1:15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297.1150508577407</v>
      </c>
      <c r="D30" s="6">
        <f>TONT20000MAI!C30+TONT20000MAI!D30+TONT20000JUIN!G30</f>
        <v>21409.136614660518</v>
      </c>
      <c r="E30" s="1"/>
      <c r="F30" s="7">
        <f t="shared" si="1"/>
        <v>20000</v>
      </c>
      <c r="G30" s="7">
        <v>3000</v>
      </c>
      <c r="H30" s="7">
        <v>500</v>
      </c>
      <c r="I30" s="7">
        <v>1000</v>
      </c>
      <c r="J30" s="7">
        <v>2500</v>
      </c>
      <c r="K30" s="7"/>
      <c r="L30" s="7">
        <v>13000</v>
      </c>
      <c r="N30" s="7">
        <f t="shared" si="2"/>
        <v>0</v>
      </c>
    </row>
    <row r="31" spans="1:15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2177.0792146179242</v>
      </c>
      <c r="D31" s="6">
        <f>TONT20000MAI!C31+TONT20000MAI!D31+TONT20000JUIN!G31</f>
        <v>156873.19168832561</v>
      </c>
      <c r="E31" s="1"/>
      <c r="F31" s="7">
        <f t="shared" si="1"/>
        <v>140000</v>
      </c>
      <c r="G31" s="7">
        <v>123000</v>
      </c>
      <c r="H31" s="7">
        <v>500</v>
      </c>
      <c r="I31" s="7">
        <v>1000</v>
      </c>
      <c r="J31" s="7">
        <v>2500</v>
      </c>
      <c r="K31" s="7"/>
      <c r="L31" s="7">
        <v>13000</v>
      </c>
      <c r="N31" s="7">
        <f t="shared" si="2"/>
        <v>0</v>
      </c>
    </row>
    <row r="32" spans="1:15" s="21" customFormat="1" x14ac:dyDescent="0.25">
      <c r="A32" s="19" t="s">
        <v>37</v>
      </c>
      <c r="B32" s="19" t="str">
        <f>VLOOKUP(A32,LISTADHERENT!A$5:H$51,2)</f>
        <v>NJEPDJIO MBOUKAM DELUXE</v>
      </c>
      <c r="C32" s="6">
        <f t="shared" si="0"/>
        <v>6169.8028246816157</v>
      </c>
      <c r="D32" s="6">
        <f>TONT20000MAI!C32+TONT20000MAI!D32+TONT20000JUIN!G32</f>
        <v>444575.76678729785</v>
      </c>
      <c r="E32" s="19"/>
      <c r="F32" s="20">
        <f t="shared" si="1"/>
        <v>23000</v>
      </c>
      <c r="G32" s="20">
        <v>6000</v>
      </c>
      <c r="H32" s="20">
        <v>500</v>
      </c>
      <c r="I32" s="20">
        <v>1000</v>
      </c>
      <c r="J32" s="20">
        <v>2500</v>
      </c>
      <c r="K32" s="20"/>
      <c r="L32" s="20">
        <v>13000</v>
      </c>
      <c r="M32" s="20">
        <v>1000000</v>
      </c>
      <c r="N32" s="20">
        <f t="shared" si="2"/>
        <v>120000</v>
      </c>
      <c r="O32" s="20">
        <v>1000000</v>
      </c>
    </row>
    <row r="33" spans="1:15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594.2301017154814</v>
      </c>
      <c r="D33" s="6">
        <f>TONT20000MAI!C33+TONT20000MAI!D33+TONT20000JUIN!G33</f>
        <v>42818.273229321036</v>
      </c>
      <c r="E33" s="1"/>
      <c r="F33" s="7">
        <f t="shared" si="1"/>
        <v>23000</v>
      </c>
      <c r="G33" s="7">
        <v>6000</v>
      </c>
      <c r="H33" s="7">
        <v>500</v>
      </c>
      <c r="I33" s="7">
        <v>1000</v>
      </c>
      <c r="J33" s="7">
        <v>2500</v>
      </c>
      <c r="K33" s="7"/>
      <c r="L33" s="7">
        <v>13000</v>
      </c>
      <c r="M33" s="11"/>
      <c r="N33" s="7">
        <f t="shared" si="2"/>
        <v>0</v>
      </c>
    </row>
    <row r="34" spans="1:15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6539.7153821636693</v>
      </c>
      <c r="D34" s="6">
        <f>TONT20000MAI!C34+TONT20000MAI!D34+TONT20000JUIN!G34</f>
        <v>471230.45309736172</v>
      </c>
      <c r="E34" s="1"/>
      <c r="F34" s="10">
        <f>G34+H34+I34+J34+K34+L34</f>
        <v>25000</v>
      </c>
      <c r="G34" s="7">
        <v>8000</v>
      </c>
      <c r="H34" s="7">
        <v>500</v>
      </c>
      <c r="I34" s="7">
        <v>1000</v>
      </c>
      <c r="J34" s="7">
        <v>2500</v>
      </c>
      <c r="K34" s="7"/>
      <c r="L34" s="7">
        <v>13000</v>
      </c>
      <c r="M34"/>
      <c r="N34" s="7">
        <f t="shared" si="2"/>
        <v>0</v>
      </c>
    </row>
    <row r="35" spans="1:15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6033.6266758679194</v>
      </c>
      <c r="D35" s="6">
        <f>TONT20000MAI!C35+TONT20000MAI!D35+TONT20000JUIN!G35</f>
        <v>434763.35989241232</v>
      </c>
      <c r="E35" s="1"/>
      <c r="F35" s="7">
        <f t="shared" si="1"/>
        <v>20000</v>
      </c>
      <c r="G35" s="7">
        <v>3000</v>
      </c>
      <c r="H35" s="7">
        <v>500</v>
      </c>
      <c r="I35" s="7">
        <v>1000</v>
      </c>
      <c r="J35" s="7">
        <v>2500</v>
      </c>
      <c r="K35" s="7"/>
      <c r="L35" s="7">
        <v>13000</v>
      </c>
      <c r="N35" s="7">
        <f t="shared" si="2"/>
        <v>0</v>
      </c>
    </row>
    <row r="36" spans="1:15" x14ac:dyDescent="0.25">
      <c r="A36" s="1" t="s">
        <v>41</v>
      </c>
      <c r="B36" s="1" t="str">
        <f>VLOOKUP(A36,LISTADHERENT!A$5:H$51,2)</f>
        <v>NTEPDIE TUEMAC MZ</v>
      </c>
      <c r="C36" s="6">
        <f t="shared" si="0"/>
        <v>86.240597509384457</v>
      </c>
      <c r="D36" s="6">
        <f>TONT20000MAI!C36+TONT20000MAI!D36+TONT20000JUIN!G36</f>
        <v>6214.2147578124323</v>
      </c>
      <c r="E36" s="1"/>
      <c r="F36" s="7">
        <f t="shared" si="1"/>
        <v>0</v>
      </c>
      <c r="G36" s="7"/>
      <c r="H36" s="7"/>
      <c r="I36" s="7"/>
      <c r="J36" s="7"/>
      <c r="K36" s="7"/>
      <c r="L36" s="7"/>
      <c r="N36" s="7">
        <f t="shared" si="2"/>
        <v>0</v>
      </c>
    </row>
    <row r="37" spans="1:15" x14ac:dyDescent="0.25">
      <c r="A37" s="1" t="s">
        <v>42</v>
      </c>
      <c r="B37" s="1" t="str">
        <f>VLOOKUP(A37,LISTADHERENT!A$5:H$51,2)</f>
        <v>NTOMBOU ADOLPHE</v>
      </c>
      <c r="C37" s="6">
        <f t="shared" si="0"/>
        <v>297.1150508577407</v>
      </c>
      <c r="D37" s="6">
        <f>TONT20000MAI!C37+TONT20000MAI!D37+TONT20000JUIN!G37</f>
        <v>21409.136614660518</v>
      </c>
      <c r="E37" s="1"/>
      <c r="F37" s="7">
        <f t="shared" si="1"/>
        <v>20000</v>
      </c>
      <c r="G37" s="7">
        <v>3000</v>
      </c>
      <c r="H37" s="7">
        <v>500</v>
      </c>
      <c r="I37" s="7">
        <v>1000</v>
      </c>
      <c r="J37" s="7">
        <v>2500</v>
      </c>
      <c r="K37" s="7"/>
      <c r="L37" s="7">
        <v>13000</v>
      </c>
      <c r="N37" s="7">
        <f t="shared" si="2"/>
        <v>0</v>
      </c>
    </row>
    <row r="38" spans="1:15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5920.5779761120129</v>
      </c>
      <c r="D38" s="6">
        <f>TONT20000MAI!C38+TONT20000MAI!D38+TONT20000JUIN!G38</f>
        <v>426617.4411643073</v>
      </c>
      <c r="E38" s="1"/>
      <c r="F38" s="7">
        <f t="shared" si="1"/>
        <v>20000</v>
      </c>
      <c r="G38" s="7">
        <v>3000</v>
      </c>
      <c r="H38" s="7">
        <v>500</v>
      </c>
      <c r="I38" s="7">
        <v>1000</v>
      </c>
      <c r="J38" s="7">
        <v>2500</v>
      </c>
      <c r="K38" s="7"/>
      <c r="L38" s="7">
        <v>13000</v>
      </c>
      <c r="N38" s="7">
        <f t="shared" si="2"/>
        <v>0</v>
      </c>
    </row>
    <row r="39" spans="1:15" x14ac:dyDescent="0.25">
      <c r="A39" s="1" t="s">
        <v>44</v>
      </c>
      <c r="B39" s="1" t="str">
        <f>VLOOKUP(A39,LISTADHERENT!A$5:H$51,2)</f>
        <v>SEUNOU RICHELOT</v>
      </c>
      <c r="C39" s="6">
        <f t="shared" si="0"/>
        <v>5956.4975680783155</v>
      </c>
      <c r="D39" s="6">
        <f>TONT20000MAI!C39+TONT20000MAI!D39+TONT20000JUIN!G39</f>
        <v>429205.68921612896</v>
      </c>
      <c r="E39" s="1"/>
      <c r="F39" s="7">
        <f t="shared" si="1"/>
        <v>20000</v>
      </c>
      <c r="G39" s="7">
        <v>3000</v>
      </c>
      <c r="H39" s="7">
        <v>500</v>
      </c>
      <c r="I39" s="7">
        <v>1000</v>
      </c>
      <c r="J39" s="7">
        <v>2500</v>
      </c>
      <c r="K39" s="7"/>
      <c r="L39" s="7">
        <v>13000</v>
      </c>
      <c r="N39" s="7">
        <f t="shared" si="2"/>
        <v>0</v>
      </c>
    </row>
    <row r="40" spans="1:15" x14ac:dyDescent="0.25">
      <c r="A40" s="1" t="s">
        <v>45</v>
      </c>
      <c r="B40" s="1" t="str">
        <f>VLOOKUP(A40,LISTADHERENT!A$5:H$51,2)</f>
        <v>SIME ABEL</v>
      </c>
      <c r="C40" s="6">
        <f t="shared" si="0"/>
        <v>297.1150508577407</v>
      </c>
      <c r="D40" s="6">
        <f>TONT20000MAI!C40+TONT20000MAI!D40+TONT20000JUIN!G40</f>
        <v>21409.136614660518</v>
      </c>
      <c r="E40" s="1"/>
      <c r="F40" s="7">
        <f t="shared" si="1"/>
        <v>20000</v>
      </c>
      <c r="G40" s="7">
        <v>3000</v>
      </c>
      <c r="H40" s="7">
        <v>500</v>
      </c>
      <c r="I40" s="7">
        <v>1000</v>
      </c>
      <c r="J40" s="7">
        <v>2500</v>
      </c>
      <c r="K40" s="7"/>
      <c r="L40" s="7">
        <v>13000</v>
      </c>
      <c r="N40" s="7">
        <f t="shared" si="2"/>
        <v>0</v>
      </c>
    </row>
    <row r="41" spans="1:15" x14ac:dyDescent="0.25">
      <c r="A41" s="1" t="s">
        <v>46</v>
      </c>
      <c r="B41" s="1" t="str">
        <f>VLOOKUP(A41,LISTADHERENT!A$5:H$51,2)</f>
        <v>SIME FONGANG ERIC</v>
      </c>
      <c r="C41" s="6">
        <f t="shared" si="0"/>
        <v>5932.7145316640308</v>
      </c>
      <c r="D41" s="6">
        <f>TONT20000MAI!C41+TONT20000MAI!D41+TONT20000JUIN!G41</f>
        <v>427491.96157347021</v>
      </c>
      <c r="E41" s="1"/>
      <c r="F41" s="7">
        <f t="shared" si="1"/>
        <v>20000</v>
      </c>
      <c r="G41" s="7">
        <v>3000</v>
      </c>
      <c r="H41" s="7">
        <v>500</v>
      </c>
      <c r="I41" s="7">
        <v>1000</v>
      </c>
      <c r="J41" s="7">
        <v>2500</v>
      </c>
      <c r="K41" s="7"/>
      <c r="L41" s="7">
        <v>13000</v>
      </c>
      <c r="N41" s="7">
        <f t="shared" si="2"/>
        <v>0</v>
      </c>
    </row>
    <row r="42" spans="1:15" x14ac:dyDescent="0.25">
      <c r="A42" s="1" t="s">
        <v>47</v>
      </c>
      <c r="B42" s="1" t="str">
        <f>VLOOKUP(A42,LISTADHERENT!A$5:H$51,2)</f>
        <v>SIME MATHIEU</v>
      </c>
      <c r="C42" s="6">
        <f t="shared" si="0"/>
        <v>5927.7273009977625</v>
      </c>
      <c r="D42" s="6">
        <f>TONT20000MAI!C42+TONT20000MAI!D42+TONT20000JUIN!G42</f>
        <v>427132.59807991871</v>
      </c>
      <c r="E42" s="1"/>
      <c r="F42" s="7">
        <f t="shared" si="1"/>
        <v>20000</v>
      </c>
      <c r="G42" s="7">
        <v>3000</v>
      </c>
      <c r="H42" s="7">
        <v>500</v>
      </c>
      <c r="I42" s="7">
        <v>1000</v>
      </c>
      <c r="J42" s="7">
        <v>2500</v>
      </c>
      <c r="K42" s="7"/>
      <c r="L42" s="7">
        <v>13000</v>
      </c>
      <c r="N42" s="7">
        <f t="shared" si="2"/>
        <v>0</v>
      </c>
    </row>
    <row r="43" spans="1:15" x14ac:dyDescent="0.25">
      <c r="A43" s="1" t="s">
        <v>48</v>
      </c>
      <c r="B43" s="1" t="str">
        <f>VLOOKUP(A43,LISTADHERENT!A$5:H$51,2)</f>
        <v>SIME PIERRE</v>
      </c>
      <c r="C43" s="6">
        <f t="shared" si="0"/>
        <v>8845.9213044842309</v>
      </c>
      <c r="D43" s="6">
        <f>TONT20000MAI!C43+TONT20000MAI!D43+TONT20000JUIN!G43-854773</f>
        <v>637408.09206234431</v>
      </c>
      <c r="E43" s="1"/>
      <c r="F43" s="7">
        <f t="shared" si="1"/>
        <v>20000</v>
      </c>
      <c r="G43" s="7">
        <v>3000</v>
      </c>
      <c r="H43" s="7">
        <v>500</v>
      </c>
      <c r="I43" s="7">
        <v>1000</v>
      </c>
      <c r="J43" s="7">
        <v>2500</v>
      </c>
      <c r="K43" s="7"/>
      <c r="L43" s="7">
        <v>13000</v>
      </c>
      <c r="N43" s="7">
        <f t="shared" si="2"/>
        <v>0</v>
      </c>
    </row>
    <row r="44" spans="1:15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297.1150508577407</v>
      </c>
      <c r="D44" s="6">
        <f>TONT20000MAI!C44+TONT20000MAI!D44+TONT20000JUIN!G44</f>
        <v>21409.136614660518</v>
      </c>
      <c r="E44" s="1"/>
      <c r="F44" s="7">
        <f t="shared" si="1"/>
        <v>20000</v>
      </c>
      <c r="G44" s="7">
        <v>3000</v>
      </c>
      <c r="H44" s="7">
        <v>500</v>
      </c>
      <c r="I44" s="7">
        <v>1000</v>
      </c>
      <c r="J44" s="7">
        <v>2500</v>
      </c>
      <c r="K44" s="7"/>
      <c r="L44" s="7">
        <v>13000</v>
      </c>
      <c r="N44" s="7">
        <f t="shared" si="2"/>
        <v>0</v>
      </c>
    </row>
    <row r="45" spans="1:15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297.1150508577407</v>
      </c>
      <c r="D45" s="6">
        <f>TONT20000MAI!C45+TONT20000MAI!D45+TONT20000JUIN!G45</f>
        <v>21409.136614660518</v>
      </c>
      <c r="E45" s="1"/>
      <c r="F45" s="7">
        <f t="shared" si="1"/>
        <v>20000</v>
      </c>
      <c r="G45" s="7">
        <v>3000</v>
      </c>
      <c r="H45" s="7">
        <v>500</v>
      </c>
      <c r="I45" s="7">
        <v>1000</v>
      </c>
      <c r="J45" s="7">
        <v>2500</v>
      </c>
      <c r="K45" s="7"/>
      <c r="L45" s="7">
        <v>13000</v>
      </c>
      <c r="N45" s="7">
        <f t="shared" si="2"/>
        <v>0</v>
      </c>
    </row>
    <row r="46" spans="1:15" x14ac:dyDescent="0.25">
      <c r="A46" s="1" t="s">
        <v>51</v>
      </c>
      <c r="B46" s="1" t="str">
        <f>VLOOKUP(A46,LISTADHERENT!A$5:H$51,2)</f>
        <v>TCHOUAMOU MATHIEU</v>
      </c>
      <c r="C46" s="6">
        <f t="shared" si="0"/>
        <v>5968.1008070561948</v>
      </c>
      <c r="D46" s="6">
        <f>TONT20000MAI!C46+TONT20000MAI!D46+TONT20000JUIN!G46</f>
        <v>430041.78058118373</v>
      </c>
      <c r="E46" s="1"/>
      <c r="F46" s="7">
        <f t="shared" si="1"/>
        <v>20000</v>
      </c>
      <c r="G46" s="7">
        <v>3000</v>
      </c>
      <c r="H46" s="7">
        <v>500</v>
      </c>
      <c r="I46" s="7">
        <v>1000</v>
      </c>
      <c r="J46" s="7">
        <v>2500</v>
      </c>
      <c r="K46" s="7"/>
      <c r="L46" s="7">
        <v>13000</v>
      </c>
      <c r="M46" s="7">
        <v>500000</v>
      </c>
      <c r="N46" s="7">
        <f t="shared" si="2"/>
        <v>15000</v>
      </c>
      <c r="O46" s="7">
        <v>500000</v>
      </c>
    </row>
    <row r="47" spans="1:15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4371.322219379218</v>
      </c>
      <c r="D47" s="6">
        <f>TONT20000MAI!C47+TONT20000MAI!D47+TONT20000JUIN!G47</f>
        <v>314983.1498310733</v>
      </c>
      <c r="E47" s="1"/>
      <c r="F47" s="7">
        <f t="shared" si="1"/>
        <v>23000</v>
      </c>
      <c r="G47" s="7">
        <v>6000</v>
      </c>
      <c r="H47" s="7">
        <v>500</v>
      </c>
      <c r="I47" s="7">
        <v>1000</v>
      </c>
      <c r="J47" s="7">
        <v>2500</v>
      </c>
      <c r="K47" s="7"/>
      <c r="L47" s="7">
        <v>13000</v>
      </c>
      <c r="N47" s="7">
        <f t="shared" si="2"/>
        <v>0</v>
      </c>
    </row>
    <row r="48" spans="1:15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128.15946139741337</v>
      </c>
      <c r="D48" s="6">
        <f>TONT20000MAI!C48+TONT20000MAI!D48+TONT20000JUIN!G48</f>
        <v>9234.7506785587339</v>
      </c>
      <c r="E48" s="1"/>
      <c r="F48" s="7">
        <f t="shared" si="1"/>
        <v>0</v>
      </c>
      <c r="G48" s="7"/>
      <c r="H48" s="7"/>
      <c r="I48" s="7"/>
      <c r="J48" s="7"/>
      <c r="K48" s="7"/>
      <c r="L48" s="7"/>
      <c r="N48" s="7">
        <f t="shared" si="2"/>
        <v>0</v>
      </c>
    </row>
    <row r="49" spans="1:17" x14ac:dyDescent="0.25">
      <c r="A49" s="1" t="s">
        <v>54</v>
      </c>
      <c r="B49" s="1" t="str">
        <f>VLOOKUP(A49,LISTADHERENT!A$5:H$51,2)</f>
        <v>TIEYAM ERNEST</v>
      </c>
      <c r="C49" s="6">
        <f t="shared" si="0"/>
        <v>5888.3265012039219</v>
      </c>
      <c r="D49" s="6">
        <f>TONT20000MAI!C49+TONT20000MAI!D49+TONT20000JUIN!G49</f>
        <v>424293.50560352608</v>
      </c>
      <c r="E49" s="1"/>
      <c r="F49" s="7">
        <f t="shared" si="1"/>
        <v>20000</v>
      </c>
      <c r="G49" s="7">
        <v>3000</v>
      </c>
      <c r="H49" s="7">
        <v>500</v>
      </c>
      <c r="I49" s="7">
        <v>1000</v>
      </c>
      <c r="J49" s="7">
        <v>2500</v>
      </c>
      <c r="K49" s="7"/>
      <c r="L49" s="7">
        <v>13000</v>
      </c>
      <c r="N49" s="7">
        <f t="shared" si="2"/>
        <v>0</v>
      </c>
    </row>
    <row r="50" spans="1:17" x14ac:dyDescent="0.25">
      <c r="A50" s="1" t="s">
        <v>55</v>
      </c>
      <c r="B50" s="1" t="str">
        <f>VLOOKUP(A50,LISTADHERENT!A$5:H$51,2)</f>
        <v>TUGMA PIERRE LOTI</v>
      </c>
      <c r="C50" s="6">
        <f t="shared" si="0"/>
        <v>6172.7646458722247</v>
      </c>
      <c r="D50" s="6">
        <f>TONT20000MAI!C50+TONT20000MAI!D50+TONT20000JUIN!G50</f>
        <v>444789.18591337337</v>
      </c>
      <c r="E50" s="1"/>
      <c r="F50" s="7">
        <f t="shared" si="1"/>
        <v>20000</v>
      </c>
      <c r="G50" s="7">
        <v>3000</v>
      </c>
      <c r="H50" s="7">
        <v>500</v>
      </c>
      <c r="I50" s="7">
        <v>1000</v>
      </c>
      <c r="J50" s="7">
        <v>2500</v>
      </c>
      <c r="K50" s="7"/>
      <c r="L50" s="7">
        <v>13000</v>
      </c>
      <c r="N50" s="7">
        <f t="shared" si="2"/>
        <v>0</v>
      </c>
    </row>
    <row r="51" spans="1:17" ht="18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11990.253906382681</v>
      </c>
      <c r="D51" s="6">
        <f>TONT20000MAI!C51+TONT20000MAI!D51+TONT20000JUIN!G51</f>
        <v>863978.39215867501</v>
      </c>
      <c r="E51" s="1"/>
      <c r="F51" s="7">
        <f t="shared" si="1"/>
        <v>20000</v>
      </c>
      <c r="G51" s="7">
        <v>3000</v>
      </c>
      <c r="H51" s="7">
        <v>500</v>
      </c>
      <c r="I51" s="7">
        <v>1000</v>
      </c>
      <c r="J51" s="7">
        <v>2500</v>
      </c>
      <c r="K51" s="7"/>
      <c r="L51" s="7">
        <v>13000</v>
      </c>
      <c r="M51" s="9"/>
      <c r="N51" s="7">
        <f t="shared" si="2"/>
        <v>0</v>
      </c>
    </row>
    <row r="52" spans="1:17" x14ac:dyDescent="0.25">
      <c r="A52" s="1" t="s">
        <v>178</v>
      </c>
      <c r="B52" s="1" t="str">
        <f>VLOOKUP(A52,LISTADHERENT!A$5:H$51,2)</f>
        <v>YOUMBI EMMANUEL</v>
      </c>
      <c r="C52" s="6">
        <f t="shared" si="0"/>
        <v>20379.784864348658</v>
      </c>
      <c r="D52" s="6">
        <f>TONT20000MAI!C52+TONT20000MAI!D52+TONT20000JUIN!G52</f>
        <v>1468500.4919092401</v>
      </c>
      <c r="E52" s="1"/>
      <c r="F52" s="7">
        <f t="shared" si="1"/>
        <v>20000</v>
      </c>
      <c r="G52" s="7">
        <v>3000</v>
      </c>
      <c r="H52" s="7">
        <v>500</v>
      </c>
      <c r="I52" s="7">
        <v>1000</v>
      </c>
      <c r="J52" s="7">
        <v>2500</v>
      </c>
      <c r="L52" s="7">
        <v>13000</v>
      </c>
      <c r="N52" s="7">
        <f t="shared" si="2"/>
        <v>0</v>
      </c>
    </row>
    <row r="53" spans="1:17" x14ac:dyDescent="0.25">
      <c r="A53" s="1"/>
      <c r="B53" s="1"/>
      <c r="C53" s="1"/>
      <c r="D53" s="1"/>
      <c r="E53" s="1"/>
      <c r="F53" s="7"/>
      <c r="G53" s="7"/>
      <c r="H53" s="7"/>
      <c r="I53" s="7"/>
      <c r="J53" s="7"/>
      <c r="L53" s="7"/>
      <c r="N53" s="7"/>
    </row>
    <row r="54" spans="1:17" ht="18" x14ac:dyDescent="0.25">
      <c r="A54" s="1"/>
      <c r="B54" s="1" t="s">
        <v>180</v>
      </c>
      <c r="C54" s="1"/>
      <c r="D54" s="1"/>
      <c r="E54" s="1"/>
      <c r="H54" s="4"/>
      <c r="L54" s="7">
        <f>87500+28000</f>
        <v>115500</v>
      </c>
      <c r="N54" s="7">
        <f t="shared" si="2"/>
        <v>0</v>
      </c>
      <c r="O54" s="9"/>
    </row>
    <row r="55" spans="1:17" ht="18" x14ac:dyDescent="0.25">
      <c r="A55" s="1"/>
      <c r="B55" s="1"/>
      <c r="C55" s="1"/>
      <c r="D55" s="1"/>
      <c r="E55" s="1"/>
      <c r="H55" s="4"/>
      <c r="O55" s="9"/>
    </row>
    <row r="56" spans="1:17" ht="18" x14ac:dyDescent="0.25">
      <c r="A56" s="8" t="s">
        <v>56</v>
      </c>
      <c r="B56" s="8"/>
      <c r="C56" s="9">
        <f>SUM(C5:C52)</f>
        <v>271200.00000000006</v>
      </c>
      <c r="D56" s="9">
        <f t="shared" ref="D56:Q56" si="3">SUM(D5:D52)</f>
        <v>19541783</v>
      </c>
      <c r="E56" s="9">
        <f t="shared" si="3"/>
        <v>0</v>
      </c>
      <c r="F56" s="9">
        <f t="shared" si="3"/>
        <v>1032000</v>
      </c>
      <c r="G56" s="9">
        <f t="shared" si="3"/>
        <v>301000</v>
      </c>
      <c r="H56" s="9">
        <f t="shared" si="3"/>
        <v>21500</v>
      </c>
      <c r="I56" s="9">
        <f t="shared" si="3"/>
        <v>43000</v>
      </c>
      <c r="J56" s="9">
        <f t="shared" si="3"/>
        <v>107500</v>
      </c>
      <c r="K56" s="9">
        <f t="shared" si="3"/>
        <v>0</v>
      </c>
      <c r="L56" s="9">
        <f t="shared" si="3"/>
        <v>559000</v>
      </c>
      <c r="M56" s="9">
        <f t="shared" si="3"/>
        <v>3040000</v>
      </c>
      <c r="N56" s="9">
        <f t="shared" si="3"/>
        <v>271200</v>
      </c>
      <c r="O56" s="9">
        <f t="shared" si="3"/>
        <v>2980000</v>
      </c>
      <c r="P56" s="9">
        <f t="shared" si="3"/>
        <v>0</v>
      </c>
      <c r="Q56" s="9">
        <f t="shared" si="3"/>
        <v>0</v>
      </c>
    </row>
  </sheetData>
  <autoFilter ref="A4:O51"/>
  <dataValidations count="1">
    <dataValidation type="list" allowBlank="1" showInputMessage="1" showErrorMessage="1" promptTitle="Saissisez le mode de VERSEMENT" sqref="H6:H53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pane xSplit="2" ySplit="4" topLeftCell="C23" activePane="bottomRight" state="frozen"/>
      <selection activeCell="B22" sqref="B22"/>
      <selection pane="topRight" activeCell="B22" sqref="B22"/>
      <selection pane="bottomLeft" activeCell="B22" sqref="B22"/>
      <selection pane="bottomRight" activeCell="A33" sqref="A33:XFD3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5" width="29.5703125" customWidth="1"/>
    <col min="6" max="6" width="17.42578125" style="2" customWidth="1"/>
    <col min="7" max="7" width="12.5703125" bestFit="1" customWidth="1"/>
    <col min="8" max="8" width="17.5703125" style="3" bestFit="1" customWidth="1"/>
    <col min="9" max="9" width="15.7109375" style="2" customWidth="1"/>
    <col min="10" max="10" width="14.7109375" style="2" customWidth="1"/>
    <col min="11" max="11" width="18.140625" style="2" bestFit="1" customWidth="1"/>
    <col min="12" max="12" width="18.140625" customWidth="1"/>
    <col min="13" max="13" width="15" bestFit="1" customWidth="1"/>
    <col min="14" max="14" width="12.5703125" bestFit="1" customWidth="1"/>
    <col min="15" max="15" width="18.140625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</row>
    <row r="2" spans="1:18" x14ac:dyDescent="0.25">
      <c r="A2" s="1" t="s">
        <v>2</v>
      </c>
      <c r="B2" s="1" t="s">
        <v>3</v>
      </c>
      <c r="C2" s="1"/>
      <c r="D2" s="1"/>
      <c r="E2" s="1"/>
    </row>
    <row r="3" spans="1:18" x14ac:dyDescent="0.25">
      <c r="A3" s="1" t="s">
        <v>4</v>
      </c>
      <c r="B3" s="1" t="s">
        <v>5</v>
      </c>
      <c r="C3" s="1"/>
      <c r="D3" s="1"/>
      <c r="E3" s="1"/>
    </row>
    <row r="4" spans="1:18" ht="29.25" x14ac:dyDescent="0.25">
      <c r="A4" s="1" t="s">
        <v>6</v>
      </c>
      <c r="B4" s="1" t="s">
        <v>7</v>
      </c>
      <c r="C4" s="5" t="s">
        <v>186</v>
      </c>
      <c r="D4" s="5" t="s">
        <v>187</v>
      </c>
      <c r="E4" s="1" t="s">
        <v>184</v>
      </c>
      <c r="F4" s="5" t="s">
        <v>65</v>
      </c>
      <c r="G4" s="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8</v>
      </c>
      <c r="P4" s="5" t="s">
        <v>182</v>
      </c>
      <c r="Q4" s="5" t="s">
        <v>181</v>
      </c>
    </row>
    <row r="5" spans="1:18" x14ac:dyDescent="0.25">
      <c r="A5" s="1" t="s">
        <v>185</v>
      </c>
      <c r="B5" s="1" t="str">
        <f>VLOOKUP(A5,LISTADHERENT!A$5:H$52,2,0)</f>
        <v>ASELBY</v>
      </c>
      <c r="C5" s="6">
        <f>$N$56/$D$56*D5</f>
        <v>6882.9796420748517</v>
      </c>
      <c r="D5" s="6">
        <f>TONT20000JUIN!C5+TONT20000JUIN!D5+TONT20000JUIL!G5</f>
        <v>335018.38484467729</v>
      </c>
      <c r="E5" s="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</row>
    <row r="6" spans="1:18" x14ac:dyDescent="0.25">
      <c r="A6" s="1" t="s">
        <v>11</v>
      </c>
      <c r="B6" s="1" t="str">
        <f>VLOOKUP(A6,LISTADHERENT!A$5:H$51,2)</f>
        <v>BAKOP ACHILLE</v>
      </c>
      <c r="C6" s="6">
        <f t="shared" ref="C6:C52" si="0">$N$56/$D$56*D6</f>
        <v>9609.0416484158559</v>
      </c>
      <c r="D6" s="6">
        <f>TONT20000JUIN!C6+TONT20000JUIN!D6+TONT20000JUIL!G6</f>
        <v>467705.23528485931</v>
      </c>
      <c r="E6" s="1"/>
      <c r="F6" s="7">
        <f t="shared" ref="F6:F52" si="1">G6+H6+I6+J6+K6+L6</f>
        <v>0</v>
      </c>
      <c r="G6" s="7"/>
      <c r="H6" s="7"/>
      <c r="I6" s="7"/>
      <c r="J6" s="7"/>
      <c r="K6" s="7"/>
      <c r="L6" s="7"/>
      <c r="M6" s="7"/>
      <c r="N6" s="7">
        <f>IF(M6&lt;=500000,(M6*1*3/100),(M6*12/100))</f>
        <v>0</v>
      </c>
    </row>
    <row r="7" spans="1:18" x14ac:dyDescent="0.25">
      <c r="A7" s="1" t="s">
        <v>12</v>
      </c>
      <c r="B7" s="1" t="str">
        <f>VLOOKUP(A7,LISTADHERENT!A$5:H$51,2)</f>
        <v>BOUTCHOUANG WILLIAM</v>
      </c>
      <c r="C7" s="6">
        <f t="shared" si="0"/>
        <v>8982.0003176278551</v>
      </c>
      <c r="D7" s="6">
        <f>TONT20000JUIN!C7+TONT20000JUIN!D7+TONT20000JUIL!G7</f>
        <v>437184.96865682554</v>
      </c>
      <c r="E7" s="1"/>
      <c r="F7" s="7">
        <f t="shared" si="1"/>
        <v>20000</v>
      </c>
      <c r="G7" s="7">
        <v>3000</v>
      </c>
      <c r="H7" s="7">
        <v>500</v>
      </c>
      <c r="I7" s="7">
        <v>1000</v>
      </c>
      <c r="J7" s="7">
        <v>2500</v>
      </c>
      <c r="K7" s="7"/>
      <c r="L7" s="7">
        <v>13000</v>
      </c>
      <c r="M7" s="7">
        <v>1000000</v>
      </c>
      <c r="N7" s="7">
        <f>IF(M7&lt;=500000,(M7*1*3/100),(M7*12/100))/3</f>
        <v>40000</v>
      </c>
    </row>
    <row r="8" spans="1:18" x14ac:dyDescent="0.25">
      <c r="A8" s="1" t="s">
        <v>13</v>
      </c>
      <c r="B8" s="1" t="str">
        <f>VLOOKUP(A8,LISTADHERENT!A$5:H$51,2)</f>
        <v>CHINGUE FABRICE</v>
      </c>
      <c r="C8" s="6">
        <f t="shared" si="0"/>
        <v>8984.9859097025565</v>
      </c>
      <c r="D8" s="6">
        <f>TONT20000JUIN!C8+TONT20000JUIN!D8+TONT20000JUIL!G8</f>
        <v>437330.28773180256</v>
      </c>
      <c r="E8" s="1"/>
      <c r="F8" s="7">
        <f t="shared" si="1"/>
        <v>20000</v>
      </c>
      <c r="G8" s="7">
        <v>3000</v>
      </c>
      <c r="H8" s="7">
        <v>500</v>
      </c>
      <c r="I8" s="7">
        <v>1000</v>
      </c>
      <c r="J8" s="7">
        <v>2500</v>
      </c>
      <c r="K8" s="7"/>
      <c r="L8" s="7">
        <v>13000</v>
      </c>
      <c r="N8" s="7">
        <f t="shared" ref="N8:N54" si="2">IF(M8&lt;=500000,(M8*1*3/100),(M8*12/100))</f>
        <v>0</v>
      </c>
    </row>
    <row r="9" spans="1:18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9121.5875644828047</v>
      </c>
      <c r="D9" s="6">
        <f>TONT20000JUIN!C9+TONT20000JUIN!D9+TONT20000JUIL!G9</f>
        <v>443979.16193038918</v>
      </c>
      <c r="E9" s="1"/>
      <c r="F9" s="7">
        <f t="shared" si="1"/>
        <v>20000</v>
      </c>
      <c r="G9" s="7">
        <v>3000</v>
      </c>
      <c r="H9" s="7">
        <v>500</v>
      </c>
      <c r="I9" s="7">
        <v>1000</v>
      </c>
      <c r="J9" s="7">
        <v>2500</v>
      </c>
      <c r="K9" s="7"/>
      <c r="L9" s="7">
        <v>13000</v>
      </c>
      <c r="N9" s="7">
        <f t="shared" si="2"/>
        <v>0</v>
      </c>
    </row>
    <row r="10" spans="1:18" x14ac:dyDescent="0.25">
      <c r="A10" s="1" t="s">
        <v>15</v>
      </c>
      <c r="B10" s="1" t="str">
        <f>VLOOKUP(A10,LISTADHERENT!A$5:H$51,2)</f>
        <v>DJOUKWE GUY</v>
      </c>
      <c r="C10" s="6">
        <f t="shared" si="0"/>
        <v>9911.9453937491035</v>
      </c>
      <c r="D10" s="6">
        <f>TONT20000JUIN!C10+TONT20000JUIN!D10+TONT20000JUIL!G10</f>
        <v>482448.60644124384</v>
      </c>
      <c r="E10" s="1"/>
      <c r="F10" s="7">
        <f t="shared" si="1"/>
        <v>20000</v>
      </c>
      <c r="G10" s="7">
        <v>3000</v>
      </c>
      <c r="H10" s="7">
        <v>500</v>
      </c>
      <c r="I10" s="7">
        <v>1000</v>
      </c>
      <c r="J10" s="7">
        <v>2500</v>
      </c>
      <c r="K10" s="7"/>
      <c r="L10" s="7">
        <v>13000</v>
      </c>
      <c r="N10" s="7">
        <f t="shared" si="2"/>
        <v>0</v>
      </c>
    </row>
    <row r="11" spans="1:18" x14ac:dyDescent="0.25">
      <c r="A11" s="1" t="s">
        <v>16</v>
      </c>
      <c r="B11" s="1" t="str">
        <f>VLOOKUP(A11,LISTADHERENT!A$5:H$51,2)</f>
        <v>DJOSSEU JOSUE</v>
      </c>
      <c r="C11" s="6">
        <f t="shared" si="0"/>
        <v>108.17362589502982</v>
      </c>
      <c r="D11" s="6">
        <f>TONT20000JUIN!C11+TONT20000JUIN!D11+TONT20000JUIL!G11</f>
        <v>5265.1838759791499</v>
      </c>
      <c r="E11" s="1"/>
      <c r="F11" s="7">
        <f t="shared" si="1"/>
        <v>0</v>
      </c>
      <c r="G11" s="7"/>
      <c r="H11" s="7"/>
      <c r="I11" s="7"/>
      <c r="J11" s="7"/>
      <c r="K11" s="7"/>
      <c r="L11" s="7"/>
      <c r="N11" s="7">
        <f t="shared" si="2"/>
        <v>0</v>
      </c>
    </row>
    <row r="12" spans="1:18" x14ac:dyDescent="0.25">
      <c r="A12" s="1" t="s">
        <v>17</v>
      </c>
      <c r="B12" s="1" t="str">
        <f>VLOOKUP(A12,LISTADHERENT!A$5:H$51,2)</f>
        <v>DJOUNKEP SAMUEL</v>
      </c>
      <c r="C12" s="6">
        <f t="shared" si="0"/>
        <v>41160.594730071018</v>
      </c>
      <c r="D12" s="6">
        <f>TONT20000JUIN!C12+TONT20000JUIN!D12+TONT20000JUIL!G12</f>
        <v>2003428.2654885075</v>
      </c>
      <c r="E12" s="1"/>
      <c r="F12" s="7">
        <f t="shared" si="1"/>
        <v>20000</v>
      </c>
      <c r="G12" s="7">
        <v>3000</v>
      </c>
      <c r="H12" s="7">
        <v>500</v>
      </c>
      <c r="I12" s="7">
        <v>1000</v>
      </c>
      <c r="J12" s="7">
        <v>2500</v>
      </c>
      <c r="K12" s="7"/>
      <c r="L12" s="7">
        <v>13000</v>
      </c>
      <c r="N12" s="7">
        <f t="shared" si="2"/>
        <v>0</v>
      </c>
    </row>
    <row r="13" spans="1:18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7411.9683113873934</v>
      </c>
      <c r="D13" s="6">
        <f>TONT20000JUIN!C13+TONT20000JUIN!D13+TONT20000JUIL!G13</f>
        <v>360766.08988086425</v>
      </c>
      <c r="E13" s="1"/>
      <c r="F13" s="7">
        <f t="shared" si="1"/>
        <v>20000</v>
      </c>
      <c r="G13" s="7">
        <v>3000</v>
      </c>
      <c r="H13" s="7">
        <v>500</v>
      </c>
      <c r="I13" s="7">
        <v>1000</v>
      </c>
      <c r="J13" s="7">
        <v>2500</v>
      </c>
      <c r="K13" s="7"/>
      <c r="L13" s="7">
        <v>13000</v>
      </c>
      <c r="N13" s="7">
        <f t="shared" si="2"/>
        <v>0</v>
      </c>
    </row>
    <row r="14" spans="1:18" x14ac:dyDescent="0.25">
      <c r="A14" s="1" t="s">
        <v>19</v>
      </c>
      <c r="B14" s="1" t="str">
        <f>VLOOKUP(A14,LISTADHERENT!A$5:H$51,2)</f>
        <v>DONHOU DAVID</v>
      </c>
      <c r="C14" s="6">
        <f t="shared" si="0"/>
        <v>9912.9425420804819</v>
      </c>
      <c r="D14" s="6">
        <f>TONT20000JUIN!C14+TONT20000JUIN!D14+TONT20000JUIL!G14</f>
        <v>482497.14109350217</v>
      </c>
      <c r="E14" s="1"/>
      <c r="F14" s="7">
        <f t="shared" si="1"/>
        <v>20000</v>
      </c>
      <c r="G14" s="7">
        <v>3000</v>
      </c>
      <c r="H14" s="7">
        <v>500</v>
      </c>
      <c r="I14" s="7">
        <v>1000</v>
      </c>
      <c r="J14" s="7">
        <v>2500</v>
      </c>
      <c r="K14" s="7"/>
      <c r="L14" s="7">
        <v>13000</v>
      </c>
      <c r="N14" s="7">
        <f t="shared" si="2"/>
        <v>0</v>
      </c>
    </row>
    <row r="15" spans="1:18" x14ac:dyDescent="0.25">
      <c r="A15" s="1" t="s">
        <v>20</v>
      </c>
      <c r="B15" s="1" t="str">
        <f>VLOOKUP(A15,LISTADHERENT!A$5:H$51,2)</f>
        <v>FOTSO THOMAS</v>
      </c>
      <c r="C15" s="6">
        <f t="shared" si="0"/>
        <v>9016.9187640667733</v>
      </c>
      <c r="D15" s="6">
        <f>TONT20000JUIN!C15+TONT20000JUIN!D15+TONT20000JUIL!G15</f>
        <v>438884.57001199172</v>
      </c>
      <c r="E15" s="1"/>
      <c r="F15" s="7">
        <f t="shared" si="1"/>
        <v>20000</v>
      </c>
      <c r="G15" s="7">
        <v>3000</v>
      </c>
      <c r="H15" s="7">
        <v>500</v>
      </c>
      <c r="I15" s="7">
        <v>1000</v>
      </c>
      <c r="J15" s="7">
        <v>2500</v>
      </c>
      <c r="K15" s="7"/>
      <c r="L15" s="7">
        <v>13000</v>
      </c>
      <c r="N15" s="7">
        <f t="shared" si="2"/>
        <v>0</v>
      </c>
    </row>
    <row r="16" spans="1:18" x14ac:dyDescent="0.25">
      <c r="A16" s="1" t="s">
        <v>21</v>
      </c>
      <c r="B16" s="1" t="str">
        <f>VLOOKUP(A16,LISTADHERENT!A$5:H$51,2)</f>
        <v>HENGUE PAUL OMER</v>
      </c>
      <c r="C16" s="6">
        <f t="shared" si="0"/>
        <v>8945.1347459228309</v>
      </c>
      <c r="D16" s="6">
        <f>TONT20000JUIN!C16+TONT20000JUIN!D16+TONT20000JUIL!G16</f>
        <v>435390.59399189195</v>
      </c>
      <c r="E16" s="1"/>
      <c r="F16" s="7">
        <f t="shared" si="1"/>
        <v>20000</v>
      </c>
      <c r="G16" s="7">
        <v>3000</v>
      </c>
      <c r="H16" s="7">
        <v>500</v>
      </c>
      <c r="I16" s="7">
        <v>1000</v>
      </c>
      <c r="J16" s="7">
        <v>2500</v>
      </c>
      <c r="K16" s="7"/>
      <c r="L16" s="7">
        <v>13000</v>
      </c>
      <c r="N16" s="7">
        <f t="shared" si="2"/>
        <v>0</v>
      </c>
    </row>
    <row r="17" spans="1:14" x14ac:dyDescent="0.25">
      <c r="A17" s="1" t="s">
        <v>22</v>
      </c>
      <c r="B17" s="1" t="str">
        <f>VLOOKUP(A17,LISTADHERENT!A$5:H$51,2)</f>
        <v>HODIEP JULES</v>
      </c>
      <c r="C17" s="6">
        <f t="shared" si="0"/>
        <v>1549.1021304384165</v>
      </c>
      <c r="D17" s="6">
        <f>TONT20000JUIN!C17+TONT20000JUIN!D17+TONT20000JUIL!G17</f>
        <v>75400.14945365765</v>
      </c>
      <c r="E17" s="1"/>
      <c r="F17" s="7">
        <f t="shared" si="1"/>
        <v>20000</v>
      </c>
      <c r="G17" s="7">
        <v>3000</v>
      </c>
      <c r="H17" s="7">
        <v>500</v>
      </c>
      <c r="I17" s="7">
        <v>1000</v>
      </c>
      <c r="J17" s="7">
        <v>2500</v>
      </c>
      <c r="K17" s="7"/>
      <c r="L17" s="7">
        <v>13000</v>
      </c>
      <c r="N17" s="7">
        <f t="shared" si="2"/>
        <v>0</v>
      </c>
    </row>
    <row r="18" spans="1:14" x14ac:dyDescent="0.25">
      <c r="A18" s="1" t="s">
        <v>23</v>
      </c>
      <c r="B18" s="1" t="str">
        <f>VLOOKUP(A18,LISTADHERENT!A$5:H$51,2)</f>
        <v>HOTCHO BENJAMIN</v>
      </c>
      <c r="C18" s="6">
        <f t="shared" si="0"/>
        <v>9133.8544536592999</v>
      </c>
      <c r="D18" s="6">
        <f>TONT20000JUIN!C18+TONT20000JUIN!D18+TONT20000JUIL!G18</f>
        <v>444576.23378192517</v>
      </c>
      <c r="E18" s="1"/>
      <c r="F18" s="7">
        <f t="shared" si="1"/>
        <v>20000</v>
      </c>
      <c r="G18" s="7">
        <v>3000</v>
      </c>
      <c r="H18" s="7">
        <v>500</v>
      </c>
      <c r="I18" s="7">
        <v>1000</v>
      </c>
      <c r="J18" s="7">
        <v>2500</v>
      </c>
      <c r="K18" s="7"/>
      <c r="L18" s="7">
        <v>13000</v>
      </c>
      <c r="N18" s="7">
        <f t="shared" si="2"/>
        <v>0</v>
      </c>
    </row>
    <row r="19" spans="1:14" x14ac:dyDescent="0.25">
      <c r="A19" s="1" t="s">
        <v>24</v>
      </c>
      <c r="B19" s="1" t="str">
        <f>VLOOKUP(A19,LISTADHERENT!A$5:H$51,2)</f>
        <v>KEPHE DAVID</v>
      </c>
      <c r="C19" s="6">
        <f t="shared" si="0"/>
        <v>784.40823477588606</v>
      </c>
      <c r="D19" s="6">
        <f>TONT20000JUIN!C19+TONT20000JUIN!D19+TONT20000JUIL!G19</f>
        <v>38179.857204148902</v>
      </c>
      <c r="E19" s="1"/>
      <c r="F19" s="7">
        <f t="shared" si="1"/>
        <v>20000</v>
      </c>
      <c r="G19" s="7">
        <v>3000</v>
      </c>
      <c r="H19" s="7">
        <v>500</v>
      </c>
      <c r="I19" s="7">
        <v>1000</v>
      </c>
      <c r="J19" s="7">
        <v>2500</v>
      </c>
      <c r="K19" s="7"/>
      <c r="L19" s="7">
        <v>13000</v>
      </c>
      <c r="N19" s="7">
        <f t="shared" si="2"/>
        <v>0</v>
      </c>
    </row>
    <row r="20" spans="1:14" x14ac:dyDescent="0.25">
      <c r="A20" s="1" t="s">
        <v>25</v>
      </c>
      <c r="B20" s="1" t="str">
        <f>VLOOKUP(A20,LISTADHERENT!A$5:H$51,2)</f>
        <v>KEPSEU FRANCIS</v>
      </c>
      <c r="C20" s="6">
        <f t="shared" si="0"/>
        <v>23681.791985672429</v>
      </c>
      <c r="D20" s="6">
        <f>TONT20000JUIN!C20+TONT20000JUIN!D20+TONT20000JUIL!G20</f>
        <v>1152674.5848221006</v>
      </c>
      <c r="E20" s="1"/>
      <c r="F20" s="7">
        <f t="shared" si="1"/>
        <v>23000</v>
      </c>
      <c r="G20" s="7">
        <v>6000</v>
      </c>
      <c r="H20" s="7">
        <v>500</v>
      </c>
      <c r="I20" s="7">
        <v>1000</v>
      </c>
      <c r="J20" s="7">
        <v>2500</v>
      </c>
      <c r="K20" s="7"/>
      <c r="L20" s="7">
        <v>13000</v>
      </c>
      <c r="N20" s="7">
        <f t="shared" si="2"/>
        <v>0</v>
      </c>
    </row>
    <row r="21" spans="1:14" x14ac:dyDescent="0.25">
      <c r="A21" s="1" t="s">
        <v>26</v>
      </c>
      <c r="B21" s="1" t="str">
        <f>VLOOKUP(A21,LISTADHERENT!A$5:H$51,2)</f>
        <v>KOUAMOU EMMANUEL</v>
      </c>
      <c r="C21" s="6">
        <f t="shared" si="0"/>
        <v>9004.0461025852619</v>
      </c>
      <c r="D21" s="6">
        <f>TONT20000JUIN!C21+TONT20000JUIN!D21+TONT20000JUIL!G21</f>
        <v>438258.0131307501</v>
      </c>
      <c r="E21" s="1"/>
      <c r="F21" s="7">
        <f t="shared" si="1"/>
        <v>20000</v>
      </c>
      <c r="G21" s="7">
        <v>3000</v>
      </c>
      <c r="H21" s="7">
        <v>500</v>
      </c>
      <c r="I21" s="7">
        <v>1000</v>
      </c>
      <c r="J21" s="7">
        <v>2500</v>
      </c>
      <c r="K21" s="7"/>
      <c r="L21" s="7">
        <v>13000</v>
      </c>
      <c r="M21" s="7">
        <v>1000000</v>
      </c>
      <c r="N21" s="7">
        <f t="shared" si="2"/>
        <v>120000</v>
      </c>
    </row>
    <row r="22" spans="1:14" x14ac:dyDescent="0.25">
      <c r="A22" s="1" t="s">
        <v>27</v>
      </c>
      <c r="B22" s="1" t="str">
        <f>VLOOKUP(A22,LISTADHERENT!A$5:H$51,2)</f>
        <v>KOUAMOU MOISE</v>
      </c>
      <c r="C22" s="6">
        <f t="shared" si="0"/>
        <v>8930.2069521399844</v>
      </c>
      <c r="D22" s="6">
        <f>TONT20000JUIN!C22+TONT20000JUIN!D22+TONT20000JUIL!G22</f>
        <v>434664.00672554981</v>
      </c>
      <c r="E22" s="1"/>
      <c r="F22" s="7">
        <f t="shared" si="1"/>
        <v>20000</v>
      </c>
      <c r="G22" s="7">
        <v>3000</v>
      </c>
      <c r="H22" s="7">
        <v>500</v>
      </c>
      <c r="I22" s="7">
        <v>1000</v>
      </c>
      <c r="J22" s="7">
        <v>2500</v>
      </c>
      <c r="K22" s="7"/>
      <c r="L22" s="7">
        <v>13000</v>
      </c>
      <c r="M22" s="7">
        <v>800000</v>
      </c>
      <c r="N22" s="7">
        <f t="shared" si="2"/>
        <v>96000</v>
      </c>
    </row>
    <row r="23" spans="1:14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9737.5930945046384</v>
      </c>
      <c r="D23" s="6">
        <f>TONT20000JUIN!C23+TONT20000JUIN!D23+TONT20000JUIL!G23</f>
        <v>473962.27803053992</v>
      </c>
      <c r="E23" s="1"/>
      <c r="F23" s="7">
        <f t="shared" si="1"/>
        <v>20000</v>
      </c>
      <c r="G23" s="7">
        <v>3000</v>
      </c>
      <c r="H23" s="7">
        <v>500</v>
      </c>
      <c r="I23" s="7">
        <v>1000</v>
      </c>
      <c r="J23" s="7">
        <v>2500</v>
      </c>
      <c r="K23" s="7"/>
      <c r="L23" s="7">
        <v>13000</v>
      </c>
      <c r="M23" s="7">
        <v>1000000</v>
      </c>
      <c r="N23" s="7">
        <v>32000</v>
      </c>
    </row>
    <row r="24" spans="1:14" x14ac:dyDescent="0.25">
      <c r="A24" s="1" t="s">
        <v>29</v>
      </c>
      <c r="B24" s="1" t="str">
        <f>VLOOKUP(A24,LISTADHERENT!A$5:H$51,2)</f>
        <v>KOUATCHO MESSACK</v>
      </c>
      <c r="C24" s="6">
        <f t="shared" si="0"/>
        <v>8945.1347459228309</v>
      </c>
      <c r="D24" s="6">
        <f>TONT20000JUIN!C24+TONT20000JUIN!D24+TONT20000JUIL!G24</f>
        <v>435390.59399189195</v>
      </c>
      <c r="E24" s="1"/>
      <c r="F24" s="7">
        <f t="shared" si="1"/>
        <v>20000</v>
      </c>
      <c r="G24" s="7">
        <v>3000</v>
      </c>
      <c r="H24" s="7">
        <v>500</v>
      </c>
      <c r="I24" s="7">
        <v>1000</v>
      </c>
      <c r="J24" s="7">
        <v>2500</v>
      </c>
      <c r="K24" s="7"/>
      <c r="L24" s="7">
        <v>13000</v>
      </c>
      <c r="M24" s="7"/>
      <c r="N24" s="7">
        <f t="shared" si="2"/>
        <v>0</v>
      </c>
    </row>
    <row r="25" spans="1:14" x14ac:dyDescent="0.25">
      <c r="A25" s="1" t="s">
        <v>30</v>
      </c>
      <c r="B25" s="1" t="str">
        <f>VLOOKUP(A25,LISTADHERENT!A$5:H$51,2)</f>
        <v>LOWE JEAN</v>
      </c>
      <c r="C25" s="6">
        <f t="shared" si="0"/>
        <v>9038.8347406731045</v>
      </c>
      <c r="D25" s="6">
        <f>TONT20000JUIN!C25+TONT20000JUIN!D25+TONT20000JUIL!G25</f>
        <v>439951.29626526509</v>
      </c>
      <c r="E25" s="1"/>
      <c r="F25" s="7">
        <f t="shared" si="1"/>
        <v>20000</v>
      </c>
      <c r="G25" s="7">
        <v>3000</v>
      </c>
      <c r="H25" s="7">
        <v>500</v>
      </c>
      <c r="I25" s="7">
        <v>1000</v>
      </c>
      <c r="J25" s="7">
        <v>2500</v>
      </c>
      <c r="K25" s="7"/>
      <c r="L25" s="7">
        <v>13000</v>
      </c>
      <c r="N25" s="7">
        <f t="shared" si="2"/>
        <v>0</v>
      </c>
    </row>
    <row r="26" spans="1:14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9040.5655186874246</v>
      </c>
      <c r="D26" s="6">
        <f>TONT20000JUIN!C26+TONT20000JUIN!D26+TONT20000JUIL!G26</f>
        <v>440035.53920728073</v>
      </c>
      <c r="E26" s="1"/>
      <c r="F26" s="7">
        <f t="shared" si="1"/>
        <v>20000</v>
      </c>
      <c r="G26" s="7">
        <v>3000</v>
      </c>
      <c r="H26" s="7">
        <v>500</v>
      </c>
      <c r="I26" s="7">
        <v>1000</v>
      </c>
      <c r="J26" s="7">
        <v>2500</v>
      </c>
      <c r="K26" s="7"/>
      <c r="L26" s="7">
        <v>13000</v>
      </c>
      <c r="M26" s="7">
        <v>1000000</v>
      </c>
      <c r="N26" s="7">
        <f t="shared" si="2"/>
        <v>120000</v>
      </c>
    </row>
    <row r="27" spans="1:14" x14ac:dyDescent="0.25">
      <c r="A27" s="1" t="s">
        <v>32</v>
      </c>
      <c r="B27" s="1" t="str">
        <f>VLOOKUP(A27,LISTADHERENT!A$5:H$51,2)</f>
        <v>NDJOMO ETIENNE</v>
      </c>
      <c r="C27" s="6">
        <f t="shared" si="0"/>
        <v>9835.6888233090885</v>
      </c>
      <c r="D27" s="6">
        <f>TONT20000JUIN!C27+TONT20000JUIN!D27+TONT20000JUIL!G27</f>
        <v>478736.93585799239</v>
      </c>
      <c r="E27" s="1"/>
      <c r="F27" s="7">
        <f t="shared" si="1"/>
        <v>25000</v>
      </c>
      <c r="G27" s="7">
        <v>8000</v>
      </c>
      <c r="H27" s="7">
        <v>500</v>
      </c>
      <c r="I27" s="7">
        <v>1000</v>
      </c>
      <c r="J27" s="7">
        <v>2500</v>
      </c>
      <c r="K27" s="7"/>
      <c r="L27" s="7">
        <v>13000</v>
      </c>
      <c r="M27" s="7"/>
      <c r="N27" s="7">
        <f t="shared" si="2"/>
        <v>0</v>
      </c>
    </row>
    <row r="28" spans="1:14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TONT20000JUIN!C28+TONT20000JUIN!D28+TONT20000JUIL!G28</f>
        <v>0</v>
      </c>
      <c r="E28" s="1"/>
      <c r="F28" s="7">
        <f t="shared" si="1"/>
        <v>0</v>
      </c>
      <c r="G28" s="7"/>
      <c r="H28" s="7"/>
      <c r="I28" s="7"/>
      <c r="J28" s="7"/>
      <c r="K28" s="7"/>
      <c r="L28" s="7"/>
      <c r="N28" s="7">
        <f t="shared" si="2"/>
        <v>0</v>
      </c>
    </row>
    <row r="29" spans="1:14" x14ac:dyDescent="0.25">
      <c r="A29" s="1" t="s">
        <v>34</v>
      </c>
      <c r="B29" s="1" t="str">
        <f>VLOOKUP(A29,LISTADHERENT!A$5:H$51,2)</f>
        <v>NGONDIEP CLAUDE</v>
      </c>
      <c r="C29" s="6">
        <f t="shared" si="0"/>
        <v>12830.16888521765</v>
      </c>
      <c r="D29" s="6">
        <f>TONT20000JUIN!C29+TONT20000JUIN!D29+TONT20000JUIL!G29</f>
        <v>624488.61986090802</v>
      </c>
      <c r="E29" s="1"/>
      <c r="F29" s="7">
        <f t="shared" si="1"/>
        <v>20000</v>
      </c>
      <c r="G29" s="7">
        <v>3000</v>
      </c>
      <c r="H29" s="7">
        <v>500</v>
      </c>
      <c r="I29" s="7">
        <v>1000</v>
      </c>
      <c r="J29" s="7">
        <v>2500</v>
      </c>
      <c r="K29" s="7"/>
      <c r="L29" s="7">
        <v>13000</v>
      </c>
      <c r="N29" s="7">
        <f t="shared" si="2"/>
        <v>0</v>
      </c>
    </row>
    <row r="30" spans="1:14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507.59192611050474</v>
      </c>
      <c r="D30" s="6">
        <f>TONT20000JUIN!C30+TONT20000JUIN!D30+TONT20000JUIL!G30</f>
        <v>24706.251665518259</v>
      </c>
      <c r="E30" s="1"/>
      <c r="F30" s="7">
        <f t="shared" si="1"/>
        <v>20000</v>
      </c>
      <c r="G30" s="7">
        <v>3000</v>
      </c>
      <c r="H30" s="7">
        <v>500</v>
      </c>
      <c r="I30" s="7">
        <v>1000</v>
      </c>
      <c r="J30" s="7">
        <v>2500</v>
      </c>
      <c r="K30" s="7"/>
      <c r="L30" s="7">
        <v>13000</v>
      </c>
      <c r="N30" s="7">
        <f t="shared" si="2"/>
        <v>0</v>
      </c>
    </row>
    <row r="31" spans="1:14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3329.3358396877129</v>
      </c>
      <c r="D31" s="6">
        <f>TONT20000JUIN!C31+TONT20000JUIN!D31+TONT20000JUIL!G31</f>
        <v>162050.27090294354</v>
      </c>
      <c r="E31" s="1"/>
      <c r="F31" s="7">
        <f t="shared" si="1"/>
        <v>20000</v>
      </c>
      <c r="G31" s="7">
        <v>3000</v>
      </c>
      <c r="H31" s="7">
        <v>500</v>
      </c>
      <c r="I31" s="7">
        <v>1000</v>
      </c>
      <c r="J31" s="7">
        <v>2500</v>
      </c>
      <c r="K31" s="7"/>
      <c r="L31" s="7">
        <v>13000</v>
      </c>
      <c r="N31" s="7">
        <f t="shared" si="2"/>
        <v>0</v>
      </c>
    </row>
    <row r="32" spans="1:14" x14ac:dyDescent="0.25">
      <c r="A32" s="1" t="s">
        <v>37</v>
      </c>
      <c r="B32" s="1" t="str">
        <f>VLOOKUP(A32,LISTADHERENT!A$5:H$51,2)</f>
        <v>NJEPDJIO MBOUKAM DELUXE</v>
      </c>
      <c r="C32" s="6">
        <f t="shared" si="0"/>
        <v>9322.2391952276521</v>
      </c>
      <c r="D32" s="6">
        <f>TONT20000JUIN!C32+TONT20000JUIN!D32+TONT20000JUIL!G32</f>
        <v>453745.56961197947</v>
      </c>
      <c r="E32" s="1"/>
      <c r="F32" s="7">
        <f t="shared" si="1"/>
        <v>20000</v>
      </c>
      <c r="G32" s="7">
        <v>3000</v>
      </c>
      <c r="H32" s="7">
        <v>500</v>
      </c>
      <c r="I32" s="7">
        <v>1000</v>
      </c>
      <c r="J32" s="7">
        <v>2500</v>
      </c>
      <c r="K32" s="7"/>
      <c r="L32" s="7">
        <v>13000</v>
      </c>
      <c r="N32" s="7">
        <f t="shared" si="2"/>
        <v>0</v>
      </c>
    </row>
    <row r="33" spans="1:15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1015.1838522210095</v>
      </c>
      <c r="D33" s="6">
        <f>TONT20000JUIN!C33+TONT20000JUIN!D33+TONT20000JUIL!G33</f>
        <v>49412.503331036518</v>
      </c>
      <c r="E33" s="1"/>
      <c r="F33" s="7">
        <f t="shared" si="1"/>
        <v>23000</v>
      </c>
      <c r="G33" s="7">
        <v>6000</v>
      </c>
      <c r="H33" s="7">
        <v>500</v>
      </c>
      <c r="I33" s="7">
        <v>1000</v>
      </c>
      <c r="J33" s="7">
        <v>2500</v>
      </c>
      <c r="K33" s="7"/>
      <c r="L33" s="7">
        <v>13000</v>
      </c>
      <c r="M33" s="11"/>
      <c r="N33" s="7">
        <f t="shared" si="2"/>
        <v>0</v>
      </c>
    </row>
    <row r="34" spans="1:15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9980.1871527796702</v>
      </c>
      <c r="D34" s="6">
        <f>TONT20000JUIN!C34+TONT20000JUIN!D34+TONT20000JUIL!G34</f>
        <v>485770.16847952537</v>
      </c>
      <c r="E34" s="1"/>
      <c r="F34" s="10">
        <f>G34+H34+I34+J34+K34+L34</f>
        <v>25000</v>
      </c>
      <c r="G34" s="7">
        <v>8000</v>
      </c>
      <c r="H34" s="7">
        <v>500</v>
      </c>
      <c r="I34" s="7">
        <v>1000</v>
      </c>
      <c r="J34" s="7">
        <v>2500</v>
      </c>
      <c r="K34" s="7"/>
      <c r="L34" s="7">
        <v>13000</v>
      </c>
      <c r="M34"/>
      <c r="N34" s="7">
        <f t="shared" si="2"/>
        <v>0</v>
      </c>
    </row>
    <row r="35" spans="1:15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9117.8447570268345</v>
      </c>
      <c r="D35" s="6">
        <f>TONT20000JUIN!C35+TONT20000JUIN!D35+TONT20000JUIL!G35</f>
        <v>443796.98656828026</v>
      </c>
      <c r="E35" s="1"/>
      <c r="F35" s="7">
        <f t="shared" si="1"/>
        <v>20000</v>
      </c>
      <c r="G35" s="7">
        <v>3000</v>
      </c>
      <c r="H35" s="7">
        <v>500</v>
      </c>
      <c r="I35" s="7">
        <v>1000</v>
      </c>
      <c r="J35" s="7">
        <v>2500</v>
      </c>
      <c r="K35" s="7"/>
      <c r="L35" s="7">
        <v>13000</v>
      </c>
      <c r="N35" s="7">
        <f t="shared" si="2"/>
        <v>0</v>
      </c>
    </row>
    <row r="36" spans="1:15" x14ac:dyDescent="0.25">
      <c r="A36" s="1" t="s">
        <v>41</v>
      </c>
      <c r="B36" s="1" t="str">
        <f>VLOOKUP(A36,LISTADHERENT!A$5:H$51,2)</f>
        <v>NTEPDIE TUEMAC MZ</v>
      </c>
      <c r="C36" s="6">
        <f t="shared" si="0"/>
        <v>129.443361642935</v>
      </c>
      <c r="D36" s="6">
        <f>TONT20000JUIN!C36+TONT20000JUIN!D36+TONT20000JUIL!G36</f>
        <v>6300.4553553218166</v>
      </c>
      <c r="E36" s="1"/>
      <c r="F36" s="7">
        <f t="shared" si="1"/>
        <v>0</v>
      </c>
      <c r="G36" s="7"/>
      <c r="H36" s="7"/>
      <c r="I36" s="7"/>
      <c r="J36" s="7"/>
      <c r="K36" s="7"/>
      <c r="L36" s="7"/>
      <c r="N36" s="7">
        <f t="shared" si="2"/>
        <v>0</v>
      </c>
    </row>
    <row r="37" spans="1:15" x14ac:dyDescent="0.25">
      <c r="A37" s="1" t="s">
        <v>42</v>
      </c>
      <c r="B37" s="1" t="str">
        <f>VLOOKUP(A37,LISTADHERENT!A$5:H$51,2)</f>
        <v>NTOMBOU ADOLPHE</v>
      </c>
      <c r="C37" s="6">
        <f t="shared" si="0"/>
        <v>507.59192611050474</v>
      </c>
      <c r="D37" s="6">
        <f>TONT20000JUIN!C37+TONT20000JUIN!D37+TONT20000JUIL!G37</f>
        <v>24706.251665518259</v>
      </c>
      <c r="E37" s="1"/>
      <c r="F37" s="7">
        <f t="shared" si="1"/>
        <v>20000</v>
      </c>
      <c r="G37" s="7">
        <v>3000</v>
      </c>
      <c r="H37" s="7">
        <v>500</v>
      </c>
      <c r="I37" s="7">
        <v>1000</v>
      </c>
      <c r="J37" s="7">
        <v>2500</v>
      </c>
      <c r="K37" s="7"/>
      <c r="L37" s="7">
        <v>13000</v>
      </c>
      <c r="N37" s="7">
        <f t="shared" si="2"/>
        <v>0</v>
      </c>
    </row>
    <row r="38" spans="1:15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8948.1636074478902</v>
      </c>
      <c r="D38" s="6">
        <f>TONT20000JUIN!C38+TONT20000JUIN!D38+TONT20000JUIL!G38</f>
        <v>435538.01914041932</v>
      </c>
      <c r="E38" s="1"/>
      <c r="F38" s="7">
        <f t="shared" si="1"/>
        <v>20000</v>
      </c>
      <c r="G38" s="7">
        <v>3000</v>
      </c>
      <c r="H38" s="7">
        <v>500</v>
      </c>
      <c r="I38" s="7">
        <v>1000</v>
      </c>
      <c r="J38" s="7">
        <v>2500</v>
      </c>
      <c r="K38" s="7"/>
      <c r="L38" s="7">
        <v>13000</v>
      </c>
      <c r="N38" s="7">
        <f t="shared" si="2"/>
        <v>0</v>
      </c>
    </row>
    <row r="39" spans="1:15" x14ac:dyDescent="0.25">
      <c r="A39" s="1" t="s">
        <v>44</v>
      </c>
      <c r="B39" s="1" t="str">
        <f>VLOOKUP(A39,LISTADHERENT!A$5:H$51,2)</f>
        <v>SEUNOU RICHELOT</v>
      </c>
      <c r="C39" s="6">
        <f t="shared" si="0"/>
        <v>9002.0773425939733</v>
      </c>
      <c r="D39" s="6">
        <f>TONT20000JUIN!C39+TONT20000JUIN!D39+TONT20000JUIL!G39</f>
        <v>438162.1867842073</v>
      </c>
      <c r="E39" s="1"/>
      <c r="F39" s="7">
        <f t="shared" si="1"/>
        <v>20000</v>
      </c>
      <c r="G39" s="7">
        <v>3000</v>
      </c>
      <c r="H39" s="7">
        <v>500</v>
      </c>
      <c r="I39" s="7">
        <v>1000</v>
      </c>
      <c r="J39" s="7">
        <v>2500</v>
      </c>
      <c r="K39" s="7"/>
      <c r="L39" s="7">
        <v>13000</v>
      </c>
      <c r="N39" s="7">
        <f t="shared" si="2"/>
        <v>0</v>
      </c>
    </row>
    <row r="40" spans="1:15" x14ac:dyDescent="0.25">
      <c r="A40" s="1" t="s">
        <v>45</v>
      </c>
      <c r="B40" s="1" t="str">
        <f>VLOOKUP(A40,LISTADHERENT!A$5:H$51,2)</f>
        <v>SIME ABEL</v>
      </c>
      <c r="C40" s="6">
        <f t="shared" si="0"/>
        <v>507.59192611050474</v>
      </c>
      <c r="D40" s="6">
        <f>TONT20000JUIN!C40+TONT20000JUIN!D40+TONT20000JUIL!G40</f>
        <v>24706.251665518259</v>
      </c>
      <c r="E40" s="1"/>
      <c r="F40" s="7">
        <f t="shared" si="1"/>
        <v>20000</v>
      </c>
      <c r="G40" s="7">
        <v>3000</v>
      </c>
      <c r="H40" s="7">
        <v>500</v>
      </c>
      <c r="I40" s="7">
        <v>1000</v>
      </c>
      <c r="J40" s="7">
        <v>2500</v>
      </c>
      <c r="K40" s="7"/>
      <c r="L40" s="7">
        <v>13000</v>
      </c>
      <c r="N40" s="7">
        <f t="shared" si="2"/>
        <v>0</v>
      </c>
    </row>
    <row r="41" spans="1:15" x14ac:dyDescent="0.25">
      <c r="A41" s="1" t="s">
        <v>46</v>
      </c>
      <c r="B41" s="1" t="str">
        <f>VLOOKUP(A41,LISTADHERENT!A$5:H$51,2)</f>
        <v>SIME FONGANG ERIC</v>
      </c>
      <c r="C41" s="6">
        <f t="shared" si="0"/>
        <v>8966.3800460486145</v>
      </c>
      <c r="D41" s="6">
        <f>TONT20000JUIN!C41+TONT20000JUIN!D41+TONT20000JUIL!G41</f>
        <v>436424.67610513425</v>
      </c>
      <c r="E41" s="1"/>
      <c r="F41" s="7">
        <f t="shared" si="1"/>
        <v>20000</v>
      </c>
      <c r="G41" s="7">
        <v>3000</v>
      </c>
      <c r="H41" s="7">
        <v>500</v>
      </c>
      <c r="I41" s="7">
        <v>1000</v>
      </c>
      <c r="J41" s="7">
        <v>2500</v>
      </c>
      <c r="K41" s="7"/>
      <c r="L41" s="7">
        <v>13000</v>
      </c>
      <c r="N41" s="7">
        <f t="shared" si="2"/>
        <v>0</v>
      </c>
    </row>
    <row r="42" spans="1:15" x14ac:dyDescent="0.25">
      <c r="A42" s="1" t="s">
        <v>47</v>
      </c>
      <c r="B42" s="1" t="str">
        <f>VLOOKUP(A42,LISTADHERENT!A$5:H$51,2)</f>
        <v>SIME MATHIEU</v>
      </c>
      <c r="C42" s="6">
        <f t="shared" si="0"/>
        <v>8958.8944311366777</v>
      </c>
      <c r="D42" s="6">
        <f>TONT20000JUIN!C42+TONT20000JUIN!D42+TONT20000JUIL!G42</f>
        <v>436060.32538091647</v>
      </c>
      <c r="E42" s="1"/>
      <c r="F42" s="7">
        <f t="shared" si="1"/>
        <v>20000</v>
      </c>
      <c r="G42" s="7">
        <v>3000</v>
      </c>
      <c r="H42" s="7">
        <v>500</v>
      </c>
      <c r="I42" s="7">
        <v>1000</v>
      </c>
      <c r="J42" s="7">
        <v>2500</v>
      </c>
      <c r="K42" s="7"/>
      <c r="L42" s="7">
        <v>13000</v>
      </c>
      <c r="N42" s="7">
        <f t="shared" si="2"/>
        <v>0</v>
      </c>
    </row>
    <row r="43" spans="1:15" x14ac:dyDescent="0.25">
      <c r="A43" s="1" t="s">
        <v>48</v>
      </c>
      <c r="B43" s="1" t="str">
        <f>VLOOKUP(A43,LISTADHERENT!A$5:H$51,2)</f>
        <v>SIME PIERRE</v>
      </c>
      <c r="C43" s="6">
        <f t="shared" si="0"/>
        <v>13338.975885192451</v>
      </c>
      <c r="D43" s="6">
        <f>TONT20000JUIN!C43+TONT20000JUIN!D43+TONT20000JUIL!G43</f>
        <v>649254.01336682856</v>
      </c>
      <c r="E43" s="1"/>
      <c r="F43" s="7">
        <f t="shared" si="1"/>
        <v>20000</v>
      </c>
      <c r="G43" s="7">
        <v>3000</v>
      </c>
      <c r="H43" s="7">
        <v>500</v>
      </c>
      <c r="I43" s="7">
        <v>1000</v>
      </c>
      <c r="J43" s="7">
        <v>2500</v>
      </c>
      <c r="K43" s="7"/>
      <c r="L43" s="7">
        <v>13000</v>
      </c>
      <c r="M43" s="7">
        <v>70000</v>
      </c>
      <c r="N43" s="7">
        <f t="shared" si="2"/>
        <v>2100</v>
      </c>
      <c r="O43" s="7">
        <v>200000</v>
      </c>
    </row>
    <row r="44" spans="1:15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507.59192611050474</v>
      </c>
      <c r="D44" s="6">
        <f>TONT20000JUIN!C44+TONT20000JUIN!D44+TONT20000JUIL!G44</f>
        <v>24706.251665518259</v>
      </c>
      <c r="E44" s="1"/>
      <c r="F44" s="7">
        <f t="shared" si="1"/>
        <v>20000</v>
      </c>
      <c r="G44" s="7">
        <v>3000</v>
      </c>
      <c r="H44" s="7">
        <v>500</v>
      </c>
      <c r="I44" s="7">
        <v>1000</v>
      </c>
      <c r="J44" s="7">
        <v>2500</v>
      </c>
      <c r="K44" s="7"/>
      <c r="L44" s="7">
        <v>13000</v>
      </c>
      <c r="N44" s="7">
        <f t="shared" si="2"/>
        <v>0</v>
      </c>
    </row>
    <row r="45" spans="1:15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507.59192611050474</v>
      </c>
      <c r="D45" s="6">
        <f>TONT20000JUIN!C45+TONT20000JUIN!D45+TONT20000JUIL!G45</f>
        <v>24706.251665518259</v>
      </c>
      <c r="E45" s="1"/>
      <c r="F45" s="7">
        <f t="shared" si="1"/>
        <v>20000</v>
      </c>
      <c r="G45" s="7">
        <v>3000</v>
      </c>
      <c r="H45" s="7">
        <v>500</v>
      </c>
      <c r="I45" s="7">
        <v>1000</v>
      </c>
      <c r="J45" s="7">
        <v>2500</v>
      </c>
      <c r="K45" s="7"/>
      <c r="L45" s="7">
        <v>13000</v>
      </c>
      <c r="N45" s="7">
        <f t="shared" si="2"/>
        <v>0</v>
      </c>
    </row>
    <row r="46" spans="1:15" x14ac:dyDescent="0.25">
      <c r="A46" s="1" t="s">
        <v>51</v>
      </c>
      <c r="B46" s="1" t="str">
        <f>VLOOKUP(A46,LISTADHERENT!A$5:H$51,2)</f>
        <v>TCHOUAMOU MATHIEU</v>
      </c>
      <c r="C46" s="6">
        <f t="shared" si="0"/>
        <v>9019.4932963630727</v>
      </c>
      <c r="D46" s="6">
        <f>TONT20000JUIN!C46+TONT20000JUIN!D46+TONT20000JUIL!G46</f>
        <v>439009.88138823991</v>
      </c>
      <c r="E46" s="1"/>
      <c r="F46" s="7">
        <f t="shared" si="1"/>
        <v>20000</v>
      </c>
      <c r="G46" s="7">
        <v>3000</v>
      </c>
      <c r="H46" s="7">
        <v>500</v>
      </c>
      <c r="I46" s="7">
        <v>1000</v>
      </c>
      <c r="J46" s="7">
        <v>2500</v>
      </c>
      <c r="K46" s="7"/>
      <c r="L46" s="7">
        <v>13000</v>
      </c>
      <c r="M46" s="7"/>
      <c r="N46" s="7">
        <f t="shared" si="2"/>
        <v>0</v>
      </c>
    </row>
    <row r="47" spans="1:15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6684.4337770284474</v>
      </c>
      <c r="D47" s="6">
        <f>TONT20000JUIN!C47+TONT20000JUIN!D47+TONT20000JUIL!G47</f>
        <v>325354.47205045255</v>
      </c>
      <c r="E47" s="1"/>
      <c r="F47" s="7">
        <f t="shared" si="1"/>
        <v>23000</v>
      </c>
      <c r="G47" s="7">
        <v>6000</v>
      </c>
      <c r="H47" s="7">
        <v>500</v>
      </c>
      <c r="I47" s="7">
        <v>1000</v>
      </c>
      <c r="J47" s="7">
        <v>2500</v>
      </c>
      <c r="K47" s="7"/>
      <c r="L47" s="7">
        <v>13000</v>
      </c>
      <c r="N47" s="7">
        <f t="shared" si="2"/>
        <v>0</v>
      </c>
    </row>
    <row r="48" spans="1:15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253.99698243298027</v>
      </c>
      <c r="D48" s="6">
        <f>TONT20000JUIN!C48+TONT20000JUIN!D48+TONT20000JUIL!G48</f>
        <v>12362.910139956148</v>
      </c>
      <c r="E48" s="1"/>
      <c r="F48" s="7">
        <f t="shared" si="1"/>
        <v>20000</v>
      </c>
      <c r="G48" s="7">
        <v>3000</v>
      </c>
      <c r="H48" s="7">
        <v>500</v>
      </c>
      <c r="I48" s="7">
        <v>1000</v>
      </c>
      <c r="J48" s="7">
        <v>2500</v>
      </c>
      <c r="K48" s="7"/>
      <c r="L48" s="7">
        <v>13000</v>
      </c>
      <c r="N48" s="7">
        <f t="shared" si="2"/>
        <v>0</v>
      </c>
    </row>
    <row r="49" spans="1:17" x14ac:dyDescent="0.25">
      <c r="A49" s="1" t="s">
        <v>54</v>
      </c>
      <c r="B49" s="1" t="str">
        <f>VLOOKUP(A49,LISTADHERENT!A$5:H$51,2)</f>
        <v>TIEYAM ERNEST</v>
      </c>
      <c r="C49" s="6">
        <f t="shared" si="0"/>
        <v>8899.7555554328083</v>
      </c>
      <c r="D49" s="6">
        <f>TONT20000JUIN!C49+TONT20000JUIN!D49+TONT20000JUIL!G49</f>
        <v>433181.83210473001</v>
      </c>
      <c r="E49" s="1"/>
      <c r="F49" s="7">
        <f t="shared" si="1"/>
        <v>20000</v>
      </c>
      <c r="G49" s="7">
        <v>3000</v>
      </c>
      <c r="H49" s="7">
        <v>500</v>
      </c>
      <c r="I49" s="7">
        <v>1000</v>
      </c>
      <c r="J49" s="7">
        <v>2500</v>
      </c>
      <c r="K49" s="7"/>
      <c r="L49" s="7">
        <v>13000</v>
      </c>
      <c r="N49" s="7">
        <f t="shared" si="2"/>
        <v>0</v>
      </c>
    </row>
    <row r="50" spans="1:17" x14ac:dyDescent="0.25">
      <c r="A50" s="1" t="s">
        <v>55</v>
      </c>
      <c r="B50" s="1" t="str">
        <f>VLOOKUP(A50,LISTADHERENT!A$5:H$51,2)</f>
        <v>TUGMA PIERRE LOTI</v>
      </c>
      <c r="C50" s="6">
        <f t="shared" si="0"/>
        <v>9326.6847591797796</v>
      </c>
      <c r="D50" s="6">
        <f>TONT20000JUIN!C50+TONT20000JUIN!D50+TONT20000JUIL!G50</f>
        <v>453961.9505592456</v>
      </c>
      <c r="E50" s="1"/>
      <c r="F50" s="7">
        <f t="shared" si="1"/>
        <v>20000</v>
      </c>
      <c r="G50" s="7">
        <v>3000</v>
      </c>
      <c r="H50" s="7">
        <v>500</v>
      </c>
      <c r="I50" s="7">
        <v>1000</v>
      </c>
      <c r="J50" s="7">
        <v>2500</v>
      </c>
      <c r="K50" s="7"/>
      <c r="L50" s="7">
        <v>13000</v>
      </c>
      <c r="N50" s="7">
        <f t="shared" si="2"/>
        <v>0</v>
      </c>
    </row>
    <row r="51" spans="1:17" ht="18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18058.481476151763</v>
      </c>
      <c r="D51" s="6">
        <f>TONT20000JUIN!C51+TONT20000JUIN!D51+TONT20000JUIL!G51</f>
        <v>878968.64606505772</v>
      </c>
      <c r="E51" s="1"/>
      <c r="F51" s="7">
        <f t="shared" si="1"/>
        <v>20000</v>
      </c>
      <c r="G51" s="7">
        <v>3000</v>
      </c>
      <c r="H51" s="7">
        <v>500</v>
      </c>
      <c r="I51" s="7">
        <v>1000</v>
      </c>
      <c r="J51" s="7">
        <v>2500</v>
      </c>
      <c r="K51" s="7"/>
      <c r="L51" s="7">
        <v>13000</v>
      </c>
      <c r="M51" s="9"/>
      <c r="N51" s="7">
        <f t="shared" si="2"/>
        <v>0</v>
      </c>
    </row>
    <row r="52" spans="1:17" x14ac:dyDescent="0.25">
      <c r="A52" s="1" t="s">
        <v>178</v>
      </c>
      <c r="B52" s="1" t="str">
        <f>VLOOKUP(A52,LISTADHERENT!A$5:H$51,2)</f>
        <v>YOUMBI EMMANUEL</v>
      </c>
      <c r="C52" s="6">
        <f t="shared" si="0"/>
        <v>30650.800188790749</v>
      </c>
      <c r="D52" s="6">
        <f>TONT20000JUIN!C52+TONT20000JUIN!D52+TONT20000JUIL!G52</f>
        <v>1491880.2767735887</v>
      </c>
      <c r="E52" s="1"/>
      <c r="F52" s="7">
        <f t="shared" si="1"/>
        <v>20000</v>
      </c>
      <c r="G52" s="7">
        <v>3000</v>
      </c>
      <c r="H52" s="7">
        <v>500</v>
      </c>
      <c r="I52" s="7">
        <v>1000</v>
      </c>
      <c r="J52" s="7">
        <v>2500</v>
      </c>
      <c r="L52" s="7">
        <v>13000</v>
      </c>
      <c r="N52" s="7">
        <f t="shared" si="2"/>
        <v>0</v>
      </c>
    </row>
    <row r="53" spans="1:17" x14ac:dyDescent="0.25">
      <c r="A53" s="1"/>
      <c r="B53" s="1"/>
      <c r="C53" s="1"/>
      <c r="D53" s="1"/>
      <c r="E53" s="1"/>
      <c r="F53" s="7"/>
      <c r="G53" s="7"/>
      <c r="H53" s="7"/>
      <c r="I53" s="7"/>
      <c r="J53" s="7"/>
      <c r="L53" s="7"/>
      <c r="N53" s="7"/>
    </row>
    <row r="54" spans="1:17" ht="18" x14ac:dyDescent="0.25">
      <c r="A54" s="1"/>
      <c r="B54" s="1" t="s">
        <v>180</v>
      </c>
      <c r="C54" s="1"/>
      <c r="D54" s="1"/>
      <c r="E54" s="1"/>
      <c r="H54" s="4"/>
      <c r="L54" s="7"/>
      <c r="N54" s="7">
        <f t="shared" si="2"/>
        <v>0</v>
      </c>
      <c r="O54" s="9"/>
    </row>
    <row r="55" spans="1:17" ht="18" x14ac:dyDescent="0.25">
      <c r="A55" s="1"/>
      <c r="B55" s="1"/>
      <c r="C55" s="1"/>
      <c r="D55" s="1"/>
      <c r="E55" s="1"/>
      <c r="H55" s="4"/>
      <c r="O55" s="9"/>
    </row>
    <row r="56" spans="1:17" ht="18" x14ac:dyDescent="0.25">
      <c r="A56" s="8" t="s">
        <v>56</v>
      </c>
      <c r="B56" s="8"/>
      <c r="C56" s="9">
        <f>SUM(C5:C52)</f>
        <v>410100.00000000012</v>
      </c>
      <c r="D56" s="9">
        <f t="shared" ref="D56:Q56" si="3">SUM(D5:D52)</f>
        <v>19960982.999999993</v>
      </c>
      <c r="E56" s="9">
        <f t="shared" si="3"/>
        <v>0</v>
      </c>
      <c r="F56" s="9">
        <f t="shared" si="3"/>
        <v>879000</v>
      </c>
      <c r="G56" s="9">
        <f t="shared" si="3"/>
        <v>148000</v>
      </c>
      <c r="H56" s="9">
        <f t="shared" si="3"/>
        <v>21500</v>
      </c>
      <c r="I56" s="9">
        <f t="shared" si="3"/>
        <v>43000</v>
      </c>
      <c r="J56" s="9">
        <f t="shared" si="3"/>
        <v>107500</v>
      </c>
      <c r="K56" s="9">
        <f t="shared" si="3"/>
        <v>0</v>
      </c>
      <c r="L56" s="9">
        <f t="shared" si="3"/>
        <v>559000</v>
      </c>
      <c r="M56" s="9">
        <f t="shared" si="3"/>
        <v>4870000</v>
      </c>
      <c r="N56" s="9">
        <f t="shared" si="3"/>
        <v>410100</v>
      </c>
      <c r="O56" s="9">
        <f t="shared" si="3"/>
        <v>200000</v>
      </c>
      <c r="P56" s="9">
        <f t="shared" si="3"/>
        <v>0</v>
      </c>
      <c r="Q56" s="9">
        <f t="shared" si="3"/>
        <v>0</v>
      </c>
    </row>
  </sheetData>
  <autoFilter ref="A4:O51"/>
  <dataValidations count="1">
    <dataValidation type="list" allowBlank="1" showInputMessage="1" showErrorMessage="1" promptTitle="Saissisez le mode de VERSEMENT" sqref="H6:H53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pane xSplit="2" ySplit="4" topLeftCell="C26" activePane="bottomRight" state="frozen"/>
      <selection activeCell="B22" sqref="B22"/>
      <selection pane="topRight" activeCell="B22" sqref="B22"/>
      <selection pane="bottomLeft" activeCell="B22" sqref="B22"/>
      <selection pane="bottomRight" activeCell="G33" sqref="G3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5" width="29.5703125" customWidth="1"/>
    <col min="6" max="6" width="17.42578125" style="2" customWidth="1"/>
    <col min="7" max="7" width="12.5703125" bestFit="1" customWidth="1"/>
    <col min="8" max="8" width="12.5703125" customWidth="1"/>
    <col min="9" max="9" width="15.7109375" style="2" customWidth="1"/>
    <col min="10" max="10" width="14.7109375" style="2" customWidth="1"/>
    <col min="11" max="11" width="18.140625" style="2" bestFit="1" customWidth="1"/>
    <col min="12" max="12" width="18.140625" customWidth="1"/>
    <col min="13" max="13" width="15" bestFit="1" customWidth="1"/>
    <col min="14" max="14" width="12.5703125" bestFit="1" customWidth="1"/>
    <col min="15" max="16" width="18.140625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</row>
    <row r="2" spans="1:18" x14ac:dyDescent="0.25">
      <c r="A2" s="1" t="s">
        <v>2</v>
      </c>
      <c r="B2" s="1" t="s">
        <v>3</v>
      </c>
      <c r="C2" s="1"/>
      <c r="D2" s="1"/>
      <c r="E2" s="1"/>
    </row>
    <row r="3" spans="1:18" x14ac:dyDescent="0.25">
      <c r="A3" s="1" t="s">
        <v>4</v>
      </c>
      <c r="B3" s="1" t="s">
        <v>5</v>
      </c>
      <c r="C3" s="1"/>
      <c r="D3" s="1"/>
      <c r="E3" s="1"/>
    </row>
    <row r="4" spans="1:18" ht="43.5" x14ac:dyDescent="0.25">
      <c r="A4" s="1" t="s">
        <v>6</v>
      </c>
      <c r="B4" s="1" t="s">
        <v>7</v>
      </c>
      <c r="C4" s="5" t="s">
        <v>186</v>
      </c>
      <c r="D4" s="5" t="s">
        <v>187</v>
      </c>
      <c r="E4" s="1" t="s">
        <v>184</v>
      </c>
      <c r="F4" s="5" t="s">
        <v>65</v>
      </c>
      <c r="G4" s="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8</v>
      </c>
      <c r="P4" s="5" t="s">
        <v>182</v>
      </c>
      <c r="Q4" s="5" t="s">
        <v>181</v>
      </c>
    </row>
    <row r="5" spans="1:18" x14ac:dyDescent="0.25">
      <c r="A5" s="1" t="s">
        <v>185</v>
      </c>
      <c r="B5" s="1" t="str">
        <f>VLOOKUP(A5,LISTADHERENT!A$5:H$52,2,0)</f>
        <v>ASELBY</v>
      </c>
      <c r="C5" s="6">
        <f>$N$56/$D$56*D5</f>
        <v>1655.1432371376136</v>
      </c>
      <c r="D5" s="6">
        <f>TONT20000JUIL!C5+TONT20000JUIL!D5+TONT20000AOUT!G5</f>
        <v>341901.36448675214</v>
      </c>
      <c r="E5" s="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</row>
    <row r="6" spans="1:18" x14ac:dyDescent="0.25">
      <c r="A6" s="1" t="s">
        <v>11</v>
      </c>
      <c r="B6" s="1" t="str">
        <f>VLOOKUP(A6,LISTADHERENT!A$5:H$51,2)</f>
        <v>BAKOP ACHILLE</v>
      </c>
      <c r="C6" s="6">
        <f t="shared" ref="C6:C52" si="0">$N$56/$D$56*D6</f>
        <v>2325.1996328243877</v>
      </c>
      <c r="D6" s="6">
        <f>TONT20000JUIL!C6+TONT20000JUIL!D6+TONT20000AOUT!G6</f>
        <v>480314.27693327516</v>
      </c>
      <c r="E6" s="1"/>
      <c r="F6" s="7">
        <f>G6+H6+I6+J6+K6+L6</f>
        <v>20000</v>
      </c>
      <c r="G6" s="7">
        <v>3000</v>
      </c>
      <c r="H6" s="7">
        <v>500</v>
      </c>
      <c r="I6" s="7">
        <v>1000</v>
      </c>
      <c r="J6" s="7">
        <v>2500</v>
      </c>
      <c r="K6" s="7"/>
      <c r="L6" s="7">
        <v>13000</v>
      </c>
      <c r="M6" s="7">
        <v>500000</v>
      </c>
      <c r="N6" s="7">
        <f>IF(M6&lt;=500000,(M6*1*3/100),(M6*12/100))</f>
        <v>15000</v>
      </c>
      <c r="P6" s="7"/>
    </row>
    <row r="7" spans="1:18" x14ac:dyDescent="0.25">
      <c r="A7" s="1" t="s">
        <v>12</v>
      </c>
      <c r="B7" s="1" t="str">
        <f>VLOOKUP(A7,LISTADHERENT!A$5:H$51,2)</f>
        <v>BOUTCHOUANG WILLIAM</v>
      </c>
      <c r="C7" s="6">
        <f t="shared" si="0"/>
        <v>2174.4156305421038</v>
      </c>
      <c r="D7" s="6">
        <f>TONT20000JUIL!C7+TONT20000JUIL!D7+TONT20000AOUT!G7</f>
        <v>449166.9689744534</v>
      </c>
      <c r="E7" s="1"/>
      <c r="F7" s="7">
        <f t="shared" ref="F7:F52" si="1">G7+H7+I7+J7+K7+L7</f>
        <v>20000</v>
      </c>
      <c r="G7" s="7">
        <v>3000</v>
      </c>
      <c r="H7" s="7">
        <v>500</v>
      </c>
      <c r="I7" s="7">
        <v>1000</v>
      </c>
      <c r="J7" s="7">
        <v>2500</v>
      </c>
      <c r="K7" s="7"/>
      <c r="L7" s="7">
        <v>13000</v>
      </c>
      <c r="M7" s="7"/>
      <c r="N7" s="7">
        <f t="shared" ref="N7:N54" si="2">IF(M7&lt;=500000,(M7*1*3/100),(M7*12/100))</f>
        <v>0</v>
      </c>
      <c r="P7" s="7"/>
    </row>
    <row r="8" spans="1:18" x14ac:dyDescent="0.25">
      <c r="A8" s="1" t="s">
        <v>13</v>
      </c>
      <c r="B8" s="1" t="str">
        <f>VLOOKUP(A8,LISTADHERENT!A$5:H$51,2)</f>
        <v>CHINGUE FABRICE</v>
      </c>
      <c r="C8" s="6">
        <f t="shared" si="0"/>
        <v>2175.1335728851391</v>
      </c>
      <c r="D8" s="6">
        <f>TONT20000JUIL!C8+TONT20000JUIL!D8+TONT20000AOUT!G8</f>
        <v>449315.2736415051</v>
      </c>
      <c r="E8" s="1"/>
      <c r="F8" s="7">
        <f t="shared" si="1"/>
        <v>20000</v>
      </c>
      <c r="G8" s="7">
        <v>3000</v>
      </c>
      <c r="H8" s="7">
        <v>500</v>
      </c>
      <c r="I8" s="7">
        <v>1000</v>
      </c>
      <c r="J8" s="7">
        <v>2500</v>
      </c>
      <c r="K8" s="7"/>
      <c r="L8" s="7">
        <v>13000</v>
      </c>
      <c r="N8" s="7">
        <f t="shared" si="2"/>
        <v>0</v>
      </c>
      <c r="P8" s="7"/>
    </row>
    <row r="9" spans="1:18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2207.9820363193821</v>
      </c>
      <c r="D9" s="6">
        <f>TONT20000JUIL!C9+TONT20000JUIL!D9+TONT20000AOUT!G9</f>
        <v>456100.749494872</v>
      </c>
      <c r="E9" s="1"/>
      <c r="F9" s="7">
        <f t="shared" si="1"/>
        <v>20000</v>
      </c>
      <c r="G9" s="7">
        <v>3000</v>
      </c>
      <c r="H9" s="7">
        <v>500</v>
      </c>
      <c r="I9" s="7">
        <v>1000</v>
      </c>
      <c r="J9" s="7">
        <v>2500</v>
      </c>
      <c r="K9" s="7"/>
      <c r="L9" s="7">
        <v>13000</v>
      </c>
      <c r="M9" s="7">
        <v>100000</v>
      </c>
      <c r="N9" s="7">
        <f t="shared" si="2"/>
        <v>3000</v>
      </c>
      <c r="P9" s="7"/>
    </row>
    <row r="10" spans="1:18" x14ac:dyDescent="0.25">
      <c r="A10" s="1" t="s">
        <v>15</v>
      </c>
      <c r="B10" s="1" t="str">
        <f>VLOOKUP(A10,LISTADHERENT!A$5:H$51,2)</f>
        <v>DJOUKWE GUY</v>
      </c>
      <c r="C10" s="6">
        <f t="shared" si="0"/>
        <v>2398.0385938068221</v>
      </c>
      <c r="D10" s="6">
        <f>TONT20000JUIL!C10+TONT20000JUIL!D10+TONT20000AOUT!G10</f>
        <v>495360.55183499295</v>
      </c>
      <c r="E10" s="1"/>
      <c r="F10" s="7">
        <f t="shared" si="1"/>
        <v>20000</v>
      </c>
      <c r="G10" s="7">
        <v>3000</v>
      </c>
      <c r="H10" s="7">
        <v>500</v>
      </c>
      <c r="I10" s="7">
        <v>1000</v>
      </c>
      <c r="J10" s="7">
        <v>2500</v>
      </c>
      <c r="K10" s="7"/>
      <c r="L10" s="7">
        <v>13000</v>
      </c>
      <c r="N10" s="7">
        <f t="shared" si="2"/>
        <v>0</v>
      </c>
      <c r="P10" s="7"/>
    </row>
    <row r="11" spans="1:18" x14ac:dyDescent="0.25">
      <c r="A11" s="1" t="s">
        <v>16</v>
      </c>
      <c r="B11" s="1" t="str">
        <f>VLOOKUP(A11,LISTADHERENT!A$5:H$51,2)</f>
        <v>DJOSSEU JOSUE</v>
      </c>
      <c r="C11" s="6">
        <f t="shared" si="0"/>
        <v>26.012403733165911</v>
      </c>
      <c r="D11" s="6">
        <f>TONT20000JUIL!C11+TONT20000JUIL!D11+TONT20000AOUT!G11</f>
        <v>5373.3575018741794</v>
      </c>
      <c r="E11" s="1"/>
      <c r="F11" s="7">
        <f t="shared" si="1"/>
        <v>0</v>
      </c>
      <c r="G11" s="7"/>
      <c r="H11" s="7"/>
      <c r="I11" s="7"/>
      <c r="J11" s="7"/>
      <c r="K11" s="7"/>
      <c r="L11" s="7"/>
      <c r="N11" s="7">
        <f t="shared" si="2"/>
        <v>0</v>
      </c>
      <c r="P11" s="7"/>
    </row>
    <row r="12" spans="1:18" x14ac:dyDescent="0.25">
      <c r="A12" s="1" t="s">
        <v>17</v>
      </c>
      <c r="B12" s="1" t="str">
        <f>VLOOKUP(A12,LISTADHERENT!A$5:H$51,2)</f>
        <v>DJOUNKEP SAMUEL</v>
      </c>
      <c r="C12" s="6">
        <f t="shared" si="0"/>
        <v>9912.3700764300756</v>
      </c>
      <c r="D12" s="6">
        <f>TONT20000JUIL!C12+TONT20000JUIL!D12+TONT20000AOUT!G12</f>
        <v>2047588.8602185785</v>
      </c>
      <c r="E12" s="1"/>
      <c r="F12" s="7">
        <f t="shared" si="1"/>
        <v>20000</v>
      </c>
      <c r="G12" s="7">
        <v>3000</v>
      </c>
      <c r="H12" s="7">
        <v>500</v>
      </c>
      <c r="I12" s="7">
        <v>1000</v>
      </c>
      <c r="J12" s="7">
        <v>2500</v>
      </c>
      <c r="K12" s="7"/>
      <c r="L12" s="7">
        <v>13000</v>
      </c>
      <c r="N12" s="7">
        <f t="shared" si="2"/>
        <v>0</v>
      </c>
      <c r="P12" s="7"/>
    </row>
    <row r="13" spans="1:18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1949.6534456816089</v>
      </c>
      <c r="D13" s="6">
        <f>TONT20000JUIL!C13+TONT20000JUIL!D13+TONT20000AOUT!G13</f>
        <v>402738.05819225166</v>
      </c>
      <c r="E13" s="1"/>
      <c r="F13" s="7">
        <f>G13+H13+I13+J13+K13+L13+P13</f>
        <v>51560</v>
      </c>
      <c r="G13" s="7">
        <v>34560</v>
      </c>
      <c r="H13" s="7">
        <v>500</v>
      </c>
      <c r="I13" s="7">
        <v>1000</v>
      </c>
      <c r="J13" s="7">
        <v>2500</v>
      </c>
      <c r="K13" s="7"/>
      <c r="L13" s="7">
        <v>13000</v>
      </c>
      <c r="M13" s="7">
        <v>700000</v>
      </c>
      <c r="N13" s="7">
        <f t="shared" si="2"/>
        <v>84000</v>
      </c>
      <c r="P13" s="7"/>
      <c r="Q13" s="7">
        <v>48440</v>
      </c>
    </row>
    <row r="14" spans="1:18" x14ac:dyDescent="0.25">
      <c r="A14" s="1" t="s">
        <v>19</v>
      </c>
      <c r="B14" s="1" t="str">
        <f>VLOOKUP(A14,LISTADHERENT!A$5:H$51,2)</f>
        <v>DONHOU DAVID</v>
      </c>
      <c r="C14" s="6">
        <f t="shared" si="0"/>
        <v>2398.2783770697301</v>
      </c>
      <c r="D14" s="6">
        <f>TONT20000JUIL!C14+TONT20000JUIL!D14+TONT20000AOUT!G14</f>
        <v>495410.08363558265</v>
      </c>
      <c r="E14" s="1"/>
      <c r="F14" s="7">
        <f t="shared" si="1"/>
        <v>20000</v>
      </c>
      <c r="G14" s="7">
        <v>3000</v>
      </c>
      <c r="H14" s="7">
        <v>500</v>
      </c>
      <c r="I14" s="7">
        <v>1000</v>
      </c>
      <c r="J14" s="7">
        <v>2500</v>
      </c>
      <c r="K14" s="7"/>
      <c r="L14" s="7">
        <v>13000</v>
      </c>
      <c r="N14" s="7">
        <f t="shared" si="2"/>
        <v>0</v>
      </c>
      <c r="P14" s="7"/>
    </row>
    <row r="15" spans="1:18" x14ac:dyDescent="0.25">
      <c r="A15" s="1" t="s">
        <v>20</v>
      </c>
      <c r="B15" s="1" t="str">
        <f>VLOOKUP(A15,LISTADHERENT!A$5:H$51,2)</f>
        <v>FOTSO THOMAS</v>
      </c>
      <c r="C15" s="6">
        <f t="shared" si="0"/>
        <v>2182.8124344671705</v>
      </c>
      <c r="D15" s="6">
        <f>TONT20000JUIL!C15+TONT20000JUIL!D15+TONT20000AOUT!G15</f>
        <v>450901.48877605848</v>
      </c>
      <c r="E15" s="1"/>
      <c r="F15" s="7">
        <f t="shared" si="1"/>
        <v>20000</v>
      </c>
      <c r="G15" s="7">
        <v>3000</v>
      </c>
      <c r="H15" s="7">
        <v>500</v>
      </c>
      <c r="I15" s="7">
        <v>1000</v>
      </c>
      <c r="J15" s="7">
        <v>2500</v>
      </c>
      <c r="K15" s="7"/>
      <c r="L15" s="7">
        <v>13000</v>
      </c>
      <c r="N15" s="7">
        <f t="shared" si="2"/>
        <v>0</v>
      </c>
      <c r="P15" s="7"/>
    </row>
    <row r="16" spans="1:18" x14ac:dyDescent="0.25">
      <c r="A16" s="1" t="s">
        <v>21</v>
      </c>
      <c r="B16" s="1" t="str">
        <f>VLOOKUP(A16,LISTADHERENT!A$5:H$51,2)</f>
        <v>HENGUE PAUL OMER</v>
      </c>
      <c r="C16" s="6">
        <f t="shared" si="0"/>
        <v>2165.5506033498414</v>
      </c>
      <c r="D16" s="6">
        <f>TONT20000JUIL!C16+TONT20000JUIL!D16+TONT20000AOUT!G16</f>
        <v>447335.72873781476</v>
      </c>
      <c r="E16" s="1"/>
      <c r="F16" s="7">
        <f t="shared" si="1"/>
        <v>20000</v>
      </c>
      <c r="G16" s="7">
        <v>3000</v>
      </c>
      <c r="H16" s="7">
        <v>500</v>
      </c>
      <c r="I16" s="7">
        <v>1000</v>
      </c>
      <c r="J16" s="7">
        <v>2500</v>
      </c>
      <c r="K16" s="7"/>
      <c r="L16" s="7">
        <v>13000</v>
      </c>
      <c r="N16" s="7">
        <f t="shared" si="2"/>
        <v>0</v>
      </c>
      <c r="P16" s="7"/>
    </row>
    <row r="17" spans="1:16" x14ac:dyDescent="0.25">
      <c r="A17" s="1" t="s">
        <v>22</v>
      </c>
      <c r="B17" s="1" t="str">
        <f>VLOOKUP(A17,LISTADHERENT!A$5:H$51,2)</f>
        <v>HODIEP JULES</v>
      </c>
      <c r="C17" s="6">
        <f t="shared" si="0"/>
        <v>387.0340303329138</v>
      </c>
      <c r="D17" s="6">
        <f>TONT20000JUIL!C17+TONT20000JUIL!D17+TONT20000AOUT!G17</f>
        <v>79949.25158409607</v>
      </c>
      <c r="E17" s="1"/>
      <c r="F17" s="7">
        <f t="shared" si="1"/>
        <v>20000</v>
      </c>
      <c r="G17" s="7">
        <v>3000</v>
      </c>
      <c r="H17" s="7">
        <v>500</v>
      </c>
      <c r="I17" s="7">
        <v>1000</v>
      </c>
      <c r="J17" s="7">
        <v>2500</v>
      </c>
      <c r="K17" s="7"/>
      <c r="L17" s="7">
        <v>13000</v>
      </c>
      <c r="N17" s="7">
        <f t="shared" si="2"/>
        <v>0</v>
      </c>
      <c r="P17" s="7"/>
    </row>
    <row r="18" spans="1:16" x14ac:dyDescent="0.25">
      <c r="A18" s="1" t="s">
        <v>23</v>
      </c>
      <c r="B18" s="1" t="str">
        <f>VLOOKUP(A18,LISTADHERENT!A$5:H$51,2)</f>
        <v>HOTCHO BENJAMIN</v>
      </c>
      <c r="C18" s="6">
        <f t="shared" si="0"/>
        <v>2210.931842902723</v>
      </c>
      <c r="D18" s="6">
        <f>TONT20000JUIL!C18+TONT20000JUIL!D18+TONT20000AOUT!G18</f>
        <v>456710.0882355845</v>
      </c>
      <c r="E18" s="1"/>
      <c r="F18" s="7">
        <f t="shared" si="1"/>
        <v>20000</v>
      </c>
      <c r="G18" s="7">
        <v>3000</v>
      </c>
      <c r="H18" s="7">
        <v>500</v>
      </c>
      <c r="I18" s="7">
        <v>1000</v>
      </c>
      <c r="J18" s="7">
        <v>2500</v>
      </c>
      <c r="K18" s="7"/>
      <c r="L18" s="7">
        <v>13000</v>
      </c>
      <c r="N18" s="7">
        <f t="shared" si="2"/>
        <v>0</v>
      </c>
      <c r="P18" s="7"/>
    </row>
    <row r="19" spans="1:16" x14ac:dyDescent="0.25">
      <c r="A19" s="1" t="s">
        <v>24</v>
      </c>
      <c r="B19" s="1" t="str">
        <f>VLOOKUP(A19,LISTADHERENT!A$5:H$51,2)</f>
        <v>KEPHE DAVID</v>
      </c>
      <c r="C19" s="6">
        <f t="shared" si="0"/>
        <v>203.14885331607195</v>
      </c>
      <c r="D19" s="6">
        <f>TONT20000JUIL!C19+TONT20000JUIL!D19+TONT20000AOUT!G19</f>
        <v>41964.265438924791</v>
      </c>
      <c r="E19" s="1"/>
      <c r="F19" s="7">
        <f t="shared" si="1"/>
        <v>20000</v>
      </c>
      <c r="G19" s="7">
        <v>3000</v>
      </c>
      <c r="H19" s="7">
        <v>500</v>
      </c>
      <c r="I19" s="7">
        <v>1000</v>
      </c>
      <c r="J19" s="7">
        <v>2500</v>
      </c>
      <c r="K19" s="7"/>
      <c r="L19" s="7">
        <v>13000</v>
      </c>
      <c r="N19" s="7">
        <f t="shared" si="2"/>
        <v>0</v>
      </c>
      <c r="P19" s="7"/>
    </row>
    <row r="20" spans="1:16" x14ac:dyDescent="0.25">
      <c r="A20" s="1" t="s">
        <v>25</v>
      </c>
      <c r="B20" s="1" t="str">
        <f>VLOOKUP(A20,LISTADHERENT!A$5:H$51,2)</f>
        <v>KEPSEU FRANCIS</v>
      </c>
      <c r="C20" s="6">
        <f t="shared" si="0"/>
        <v>5723.7828339691969</v>
      </c>
      <c r="D20" s="6">
        <f>TONT20000JUIL!C20+TONT20000JUIL!D20+TONT20000AOUT!G20</f>
        <v>1182356.376807773</v>
      </c>
      <c r="E20" s="1"/>
      <c r="F20" s="7">
        <f t="shared" si="1"/>
        <v>23000</v>
      </c>
      <c r="G20" s="7">
        <v>6000</v>
      </c>
      <c r="H20" s="7">
        <v>500</v>
      </c>
      <c r="I20" s="7">
        <v>1000</v>
      </c>
      <c r="J20" s="7">
        <v>2500</v>
      </c>
      <c r="K20" s="7"/>
      <c r="L20" s="7">
        <v>13000</v>
      </c>
      <c r="N20" s="7">
        <f t="shared" si="2"/>
        <v>0</v>
      </c>
      <c r="P20" s="7"/>
    </row>
    <row r="21" spans="1:16" x14ac:dyDescent="0.25">
      <c r="A21" s="1" t="s">
        <v>26</v>
      </c>
      <c r="B21" s="1" t="str">
        <f>VLOOKUP(A21,LISTADHERENT!A$5:H$51,2)</f>
        <v>KOUAMOU EMMANUEL</v>
      </c>
      <c r="C21" s="6">
        <f t="shared" si="0"/>
        <v>2179.7169584229232</v>
      </c>
      <c r="D21" s="6">
        <f>TONT20000JUIL!C21+TONT20000JUIL!D21+TONT20000AOUT!G21</f>
        <v>450262.05923333537</v>
      </c>
      <c r="E21" s="1"/>
      <c r="F21" s="7">
        <f t="shared" si="1"/>
        <v>20000</v>
      </c>
      <c r="G21" s="7">
        <v>3000</v>
      </c>
      <c r="H21" s="7">
        <v>500</v>
      </c>
      <c r="I21" s="7">
        <v>1000</v>
      </c>
      <c r="J21" s="7">
        <v>2500</v>
      </c>
      <c r="K21" s="7"/>
      <c r="L21" s="7">
        <v>13000</v>
      </c>
      <c r="N21" s="7">
        <f t="shared" si="2"/>
        <v>0</v>
      </c>
      <c r="P21" s="7"/>
    </row>
    <row r="22" spans="1:16" x14ac:dyDescent="0.25">
      <c r="A22" s="1" t="s">
        <v>27</v>
      </c>
      <c r="B22" s="1" t="str">
        <f>VLOOKUP(A22,LISTADHERENT!A$5:H$51,2)</f>
        <v>KOUAMOU MOISE</v>
      </c>
      <c r="C22" s="6">
        <f t="shared" si="0"/>
        <v>2161.9609316945557</v>
      </c>
      <c r="D22" s="6">
        <f>TONT20000JUIL!C22+TONT20000JUIL!D22+TONT20000AOUT!G22</f>
        <v>446594.21367768978</v>
      </c>
      <c r="E22" s="1"/>
      <c r="F22" s="7">
        <f t="shared" si="1"/>
        <v>20000</v>
      </c>
      <c r="G22" s="7">
        <v>3000</v>
      </c>
      <c r="H22" s="7">
        <v>500</v>
      </c>
      <c r="I22" s="7">
        <v>1000</v>
      </c>
      <c r="J22" s="7">
        <v>2500</v>
      </c>
      <c r="K22" s="7"/>
      <c r="L22" s="7">
        <v>13000</v>
      </c>
      <c r="N22" s="7">
        <f t="shared" si="2"/>
        <v>0</v>
      </c>
      <c r="P22" s="7"/>
    </row>
    <row r="23" spans="1:16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2356.1122706182678</v>
      </c>
      <c r="D23" s="6">
        <f>TONT20000JUIL!C23+TONT20000JUIL!D23+TONT20000AOUT!G23</f>
        <v>486699.87112504453</v>
      </c>
      <c r="E23" s="1"/>
      <c r="F23" s="7">
        <f t="shared" si="1"/>
        <v>20000</v>
      </c>
      <c r="G23" s="7">
        <v>3000</v>
      </c>
      <c r="H23" s="7">
        <v>500</v>
      </c>
      <c r="I23" s="7">
        <v>1000</v>
      </c>
      <c r="J23" s="7">
        <v>2500</v>
      </c>
      <c r="K23" s="7"/>
      <c r="L23" s="7">
        <v>13000</v>
      </c>
      <c r="N23" s="7">
        <f t="shared" si="2"/>
        <v>0</v>
      </c>
      <c r="P23" s="7"/>
    </row>
    <row r="24" spans="1:16" x14ac:dyDescent="0.25">
      <c r="A24" s="1" t="s">
        <v>29</v>
      </c>
      <c r="B24" s="1" t="str">
        <f>VLOOKUP(A24,LISTADHERENT!A$5:H$51,2)</f>
        <v>KOUATCHO MESSACK</v>
      </c>
      <c r="C24" s="6">
        <f t="shared" si="0"/>
        <v>2165.5506033498414</v>
      </c>
      <c r="D24" s="6">
        <f>TONT20000JUIL!C24+TONT20000JUIL!D24+TONT20000AOUT!G24</f>
        <v>447335.72873781476</v>
      </c>
      <c r="E24" s="1"/>
      <c r="F24" s="7">
        <f t="shared" si="1"/>
        <v>20000</v>
      </c>
      <c r="G24" s="7">
        <v>3000</v>
      </c>
      <c r="H24" s="7">
        <v>500</v>
      </c>
      <c r="I24" s="7">
        <v>1000</v>
      </c>
      <c r="J24" s="7">
        <v>2500</v>
      </c>
      <c r="K24" s="7"/>
      <c r="L24" s="7">
        <v>13000</v>
      </c>
      <c r="M24" s="7"/>
      <c r="N24" s="7">
        <f t="shared" si="2"/>
        <v>0</v>
      </c>
      <c r="P24" s="7"/>
    </row>
    <row r="25" spans="1:16" x14ac:dyDescent="0.25">
      <c r="A25" s="1" t="s">
        <v>30</v>
      </c>
      <c r="B25" s="1" t="str">
        <f>VLOOKUP(A25,LISTADHERENT!A$5:H$51,2)</f>
        <v>LOWE JEAN</v>
      </c>
      <c r="C25" s="6">
        <f t="shared" si="0"/>
        <v>2188.0825474635099</v>
      </c>
      <c r="D25" s="6">
        <f>TONT20000JUIL!C25+TONT20000JUIL!D25+TONT20000AOUT!G25</f>
        <v>451990.13100593816</v>
      </c>
      <c r="E25" s="1"/>
      <c r="F25" s="7">
        <f t="shared" si="1"/>
        <v>20000</v>
      </c>
      <c r="G25" s="7">
        <v>3000</v>
      </c>
      <c r="H25" s="7">
        <v>500</v>
      </c>
      <c r="I25" s="7">
        <v>1000</v>
      </c>
      <c r="J25" s="7">
        <v>2500</v>
      </c>
      <c r="K25" s="7"/>
      <c r="L25" s="7">
        <v>13000</v>
      </c>
      <c r="N25" s="7">
        <f t="shared" si="2"/>
        <v>0</v>
      </c>
      <c r="P25" s="7"/>
    </row>
    <row r="26" spans="1:16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2188.4987459232402</v>
      </c>
      <c r="D26" s="6">
        <f>TONT20000JUIL!C26+TONT20000JUIL!D26+TONT20000AOUT!G26</f>
        <v>452076.10472596815</v>
      </c>
      <c r="E26" s="1"/>
      <c r="F26" s="7">
        <f t="shared" si="1"/>
        <v>20000</v>
      </c>
      <c r="G26" s="7">
        <v>3000</v>
      </c>
      <c r="H26" s="7">
        <v>500</v>
      </c>
      <c r="I26" s="7">
        <v>1000</v>
      </c>
      <c r="J26" s="7">
        <v>2500</v>
      </c>
      <c r="K26" s="7"/>
      <c r="L26" s="7">
        <v>13000</v>
      </c>
      <c r="N26" s="7">
        <f t="shared" si="2"/>
        <v>0</v>
      </c>
      <c r="P26" s="7"/>
    </row>
    <row r="27" spans="1:16" x14ac:dyDescent="0.25">
      <c r="A27" s="1" t="s">
        <v>32</v>
      </c>
      <c r="B27" s="1" t="str">
        <f>VLOOKUP(A27,LISTADHERENT!A$5:H$51,2)</f>
        <v>NDJOMO ETIENNE</v>
      </c>
      <c r="C27" s="6">
        <f t="shared" si="0"/>
        <v>2403.9062339594061</v>
      </c>
      <c r="D27" s="6">
        <f>TONT20000JUIL!C27+TONT20000JUIL!D27+TONT20000AOUT!G27</f>
        <v>496572.62468130147</v>
      </c>
      <c r="E27" s="1"/>
      <c r="F27" s="7">
        <f t="shared" si="1"/>
        <v>25000</v>
      </c>
      <c r="G27" s="7">
        <v>8000</v>
      </c>
      <c r="H27" s="7">
        <v>500</v>
      </c>
      <c r="I27" s="7">
        <v>1000</v>
      </c>
      <c r="J27" s="7">
        <v>2500</v>
      </c>
      <c r="K27" s="7"/>
      <c r="L27" s="7">
        <v>13000</v>
      </c>
      <c r="M27" s="7"/>
      <c r="N27" s="7">
        <f t="shared" si="2"/>
        <v>0</v>
      </c>
      <c r="P27" s="7"/>
    </row>
    <row r="28" spans="1:16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TONT20000JUIL!C28+TONT20000JUIL!D28+TONT20000AOUT!G28</f>
        <v>0</v>
      </c>
      <c r="E28" s="1"/>
      <c r="F28" s="7">
        <f t="shared" si="1"/>
        <v>0</v>
      </c>
      <c r="G28" s="7"/>
      <c r="H28" s="7"/>
      <c r="I28" s="7"/>
      <c r="J28" s="7"/>
      <c r="K28" s="7"/>
      <c r="L28" s="7"/>
      <c r="N28" s="7">
        <f t="shared" si="2"/>
        <v>0</v>
      </c>
      <c r="P28" s="7"/>
    </row>
    <row r="29" spans="1:16" x14ac:dyDescent="0.25">
      <c r="A29" s="1" t="s">
        <v>34</v>
      </c>
      <c r="B29" s="1" t="str">
        <f>VLOOKUP(A29,LISTADHERENT!A$5:H$51,2)</f>
        <v>NGONDIEP CLAUDE</v>
      </c>
      <c r="C29" s="6">
        <f t="shared" si="0"/>
        <v>3099.7808809457488</v>
      </c>
      <c r="D29" s="6">
        <f>TONT20000JUIL!C29+TONT20000JUIL!D29+TONT20000AOUT!G29</f>
        <v>640318.78874612565</v>
      </c>
      <c r="E29" s="1"/>
      <c r="F29" s="7">
        <f t="shared" si="1"/>
        <v>20000</v>
      </c>
      <c r="G29" s="7">
        <v>3000</v>
      </c>
      <c r="H29" s="7">
        <v>500</v>
      </c>
      <c r="I29" s="7">
        <v>1000</v>
      </c>
      <c r="J29" s="7">
        <v>2500</v>
      </c>
      <c r="K29" s="7"/>
      <c r="L29" s="7">
        <v>13000</v>
      </c>
      <c r="N29" s="7">
        <f t="shared" si="2"/>
        <v>0</v>
      </c>
      <c r="P29" s="7"/>
    </row>
    <row r="30" spans="1:16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136.58311216290036</v>
      </c>
      <c r="D30" s="6">
        <f>TONT20000JUIL!C30+TONT20000JUIL!D30+TONT20000AOUT!G30</f>
        <v>28213.843591628764</v>
      </c>
      <c r="E30" s="1"/>
      <c r="F30" s="7">
        <f t="shared" si="1"/>
        <v>20000</v>
      </c>
      <c r="G30" s="7">
        <v>3000</v>
      </c>
      <c r="H30" s="7">
        <v>500</v>
      </c>
      <c r="I30" s="7">
        <v>1000</v>
      </c>
      <c r="J30" s="7">
        <v>2500</v>
      </c>
      <c r="K30" s="7"/>
      <c r="L30" s="7">
        <v>13000</v>
      </c>
      <c r="N30" s="7">
        <f t="shared" si="2"/>
        <v>0</v>
      </c>
      <c r="P30" s="7"/>
    </row>
    <row r="31" spans="1:16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815.12505160755416</v>
      </c>
      <c r="D31" s="6">
        <f>TONT20000JUIL!C31+TONT20000JUIL!D31+TONT20000AOUT!G31</f>
        <v>168379.60674263124</v>
      </c>
      <c r="E31" s="1"/>
      <c r="F31" s="7">
        <f t="shared" si="1"/>
        <v>20000</v>
      </c>
      <c r="G31" s="7">
        <v>3000</v>
      </c>
      <c r="H31" s="7">
        <v>500</v>
      </c>
      <c r="I31" s="7">
        <v>1000</v>
      </c>
      <c r="J31" s="7">
        <v>2500</v>
      </c>
      <c r="K31" s="7"/>
      <c r="L31" s="7">
        <v>13000</v>
      </c>
      <c r="N31" s="7">
        <f t="shared" si="2"/>
        <v>0</v>
      </c>
      <c r="P31" s="7"/>
    </row>
    <row r="32" spans="1:16" x14ac:dyDescent="0.25">
      <c r="A32" s="1" t="s">
        <v>37</v>
      </c>
      <c r="B32" s="1" t="str">
        <f>VLOOKUP(A32,LISTADHERENT!A$5:H$51,2)</f>
        <v>NJEPDJIO MBOUKAM DELUXE</v>
      </c>
      <c r="C32" s="6">
        <f t="shared" si="0"/>
        <v>2256.2325334758511</v>
      </c>
      <c r="D32" s="6">
        <f>TONT20000JUIL!C32+TONT20000JUIL!D32+TONT20000AOUT!G32</f>
        <v>466067.80880720716</v>
      </c>
      <c r="E32" s="1"/>
      <c r="F32" s="7">
        <f t="shared" si="1"/>
        <v>20000</v>
      </c>
      <c r="G32" s="7">
        <v>3000</v>
      </c>
      <c r="H32" s="7">
        <v>500</v>
      </c>
      <c r="I32" s="7">
        <v>1000</v>
      </c>
      <c r="J32" s="7">
        <v>2500</v>
      </c>
      <c r="K32" s="7"/>
      <c r="L32" s="7">
        <v>13000</v>
      </c>
      <c r="N32" s="7">
        <f t="shared" si="2"/>
        <v>0</v>
      </c>
      <c r="P32" s="7"/>
    </row>
    <row r="33" spans="1:16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2426.4413742626089</v>
      </c>
      <c r="D33" s="6">
        <f>TONT20000JUIL!C33+TONT20000JUIL!D33+TONT20000AOUT!G33+72000</f>
        <v>501227.68718325754</v>
      </c>
      <c r="E33" s="1"/>
      <c r="F33" s="7">
        <f t="shared" si="1"/>
        <v>395800</v>
      </c>
      <c r="G33" s="7">
        <f>6000+372800</f>
        <v>378800</v>
      </c>
      <c r="H33" s="7">
        <v>500</v>
      </c>
      <c r="I33" s="7">
        <v>1000</v>
      </c>
      <c r="J33" s="7">
        <v>2500</v>
      </c>
      <c r="K33" s="7"/>
      <c r="L33" s="7">
        <v>13000</v>
      </c>
      <c r="M33" s="11"/>
      <c r="N33" s="7">
        <f t="shared" si="2"/>
        <v>0</v>
      </c>
      <c r="P33" s="7"/>
    </row>
    <row r="34" spans="1:16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2438.6536028661694</v>
      </c>
      <c r="D34" s="6">
        <f>TONT20000JUIL!C34+TONT20000JUIL!D34+TONT20000AOUT!G34</f>
        <v>503750.35563230503</v>
      </c>
      <c r="E34" s="1"/>
      <c r="F34" s="7">
        <f t="shared" si="1"/>
        <v>25000</v>
      </c>
      <c r="G34" s="7">
        <v>8000</v>
      </c>
      <c r="H34" s="7">
        <v>500</v>
      </c>
      <c r="I34" s="7">
        <v>1000</v>
      </c>
      <c r="J34" s="7">
        <v>2500</v>
      </c>
      <c r="K34" s="7"/>
      <c r="L34" s="7">
        <v>13000</v>
      </c>
      <c r="M34"/>
      <c r="N34" s="7">
        <f t="shared" si="2"/>
        <v>0</v>
      </c>
      <c r="P34" s="7"/>
    </row>
    <row r="35" spans="1:16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2207.0820071502139</v>
      </c>
      <c r="D35" s="6">
        <f>TONT20000JUIL!C35+TONT20000JUIL!D35+TONT20000AOUT!G35</f>
        <v>455914.83132530708</v>
      </c>
      <c r="E35" s="1"/>
      <c r="F35" s="7">
        <f t="shared" si="1"/>
        <v>20000</v>
      </c>
      <c r="G35" s="7">
        <v>3000</v>
      </c>
      <c r="H35" s="7">
        <v>500</v>
      </c>
      <c r="I35" s="7">
        <v>1000</v>
      </c>
      <c r="J35" s="7">
        <v>2500</v>
      </c>
      <c r="K35" s="7"/>
      <c r="L35" s="7">
        <v>13000</v>
      </c>
      <c r="N35" s="7">
        <f t="shared" si="2"/>
        <v>0</v>
      </c>
      <c r="P35" s="7"/>
    </row>
    <row r="36" spans="1:16" x14ac:dyDescent="0.25">
      <c r="A36" s="1" t="s">
        <v>41</v>
      </c>
      <c r="B36" s="1" t="str">
        <f>VLOOKUP(A36,LISTADHERENT!A$5:H$51,2)</f>
        <v>NTEPDIE TUEMAC MZ</v>
      </c>
      <c r="C36" s="6">
        <f t="shared" si="0"/>
        <v>31.127115835995429</v>
      </c>
      <c r="D36" s="6">
        <f>TONT20000JUIL!C36+TONT20000JUIL!D36+TONT20000AOUT!G36</f>
        <v>6429.8987169647517</v>
      </c>
      <c r="E36" s="1"/>
      <c r="F36" s="7">
        <f t="shared" si="1"/>
        <v>0</v>
      </c>
      <c r="G36" s="7"/>
      <c r="H36" s="7"/>
      <c r="I36" s="7"/>
      <c r="J36" s="7"/>
      <c r="K36" s="7"/>
      <c r="L36" s="7"/>
      <c r="N36" s="7">
        <f t="shared" si="2"/>
        <v>0</v>
      </c>
      <c r="P36" s="7"/>
    </row>
    <row r="37" spans="1:16" x14ac:dyDescent="0.25">
      <c r="A37" s="1" t="s">
        <v>42</v>
      </c>
      <c r="B37" s="1" t="str">
        <f>VLOOKUP(A37,LISTADHERENT!A$5:H$51,2)</f>
        <v>NTOMBOU ADOLPHE</v>
      </c>
      <c r="C37" s="6">
        <f t="shared" si="0"/>
        <v>136.58311216290036</v>
      </c>
      <c r="D37" s="6">
        <f>TONT20000JUIL!C37+TONT20000JUIL!D37+TONT20000AOUT!G37</f>
        <v>28213.843591628764</v>
      </c>
      <c r="E37" s="1"/>
      <c r="F37" s="7">
        <f t="shared" si="1"/>
        <v>20000</v>
      </c>
      <c r="G37" s="7">
        <v>3000</v>
      </c>
      <c r="H37" s="7">
        <v>500</v>
      </c>
      <c r="I37" s="7">
        <v>1000</v>
      </c>
      <c r="J37" s="7">
        <v>2500</v>
      </c>
      <c r="K37" s="7"/>
      <c r="L37" s="7">
        <v>13000</v>
      </c>
      <c r="N37" s="7">
        <f t="shared" si="2"/>
        <v>0</v>
      </c>
      <c r="P37" s="7"/>
    </row>
    <row r="38" spans="1:16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2166.27895065437</v>
      </c>
      <c r="D38" s="6">
        <f>TONT20000JUIL!C38+TONT20000JUIL!D38+TONT20000AOUT!G38</f>
        <v>447486.18274786719</v>
      </c>
      <c r="E38" s="1"/>
      <c r="F38" s="7">
        <f t="shared" si="1"/>
        <v>20000</v>
      </c>
      <c r="G38" s="7">
        <v>3000</v>
      </c>
      <c r="H38" s="7">
        <v>500</v>
      </c>
      <c r="I38" s="7">
        <v>1000</v>
      </c>
      <c r="J38" s="7">
        <v>2500</v>
      </c>
      <c r="K38" s="7"/>
      <c r="L38" s="7">
        <v>13000</v>
      </c>
      <c r="N38" s="7">
        <f t="shared" si="2"/>
        <v>0</v>
      </c>
      <c r="P38" s="7"/>
    </row>
    <row r="39" spans="1:16" x14ac:dyDescent="0.25">
      <c r="A39" s="1" t="s">
        <v>44</v>
      </c>
      <c r="B39" s="1" t="str">
        <f>VLOOKUP(A39,LISTADHERENT!A$5:H$51,2)</f>
        <v>SEUNOU RICHELOT</v>
      </c>
      <c r="C39" s="6">
        <f t="shared" si="0"/>
        <v>2179.2435326749796</v>
      </c>
      <c r="D39" s="6">
        <f>TONT20000JUIL!C39+TONT20000JUIL!D39+TONT20000AOUT!G39</f>
        <v>450164.26412680128</v>
      </c>
      <c r="E39" s="1"/>
      <c r="F39" s="7">
        <f t="shared" si="1"/>
        <v>20000</v>
      </c>
      <c r="G39" s="7">
        <v>3000</v>
      </c>
      <c r="H39" s="7">
        <v>500</v>
      </c>
      <c r="I39" s="7">
        <v>1000</v>
      </c>
      <c r="J39" s="7">
        <v>2500</v>
      </c>
      <c r="K39" s="7"/>
      <c r="L39" s="7">
        <v>13000</v>
      </c>
      <c r="N39" s="7">
        <f t="shared" si="2"/>
        <v>0</v>
      </c>
      <c r="P39" s="7"/>
    </row>
    <row r="40" spans="1:16" x14ac:dyDescent="0.25">
      <c r="A40" s="1" t="s">
        <v>45</v>
      </c>
      <c r="B40" s="1" t="str">
        <f>VLOOKUP(A40,LISTADHERENT!A$5:H$51,2)</f>
        <v>SIME ABEL</v>
      </c>
      <c r="C40" s="6">
        <f t="shared" si="0"/>
        <v>136.58311216290036</v>
      </c>
      <c r="D40" s="6">
        <f>TONT20000JUIL!C40+TONT20000JUIL!D40+TONT20000AOUT!G40</f>
        <v>28213.843591628764</v>
      </c>
      <c r="E40" s="1"/>
      <c r="F40" s="7">
        <f t="shared" si="1"/>
        <v>20000</v>
      </c>
      <c r="G40" s="7">
        <v>3000</v>
      </c>
      <c r="H40" s="7">
        <v>500</v>
      </c>
      <c r="I40" s="7">
        <v>1000</v>
      </c>
      <c r="J40" s="7">
        <v>2500</v>
      </c>
      <c r="K40" s="7"/>
      <c r="L40" s="7">
        <v>13000</v>
      </c>
      <c r="N40" s="7">
        <f t="shared" si="2"/>
        <v>0</v>
      </c>
      <c r="P40" s="7"/>
    </row>
    <row r="41" spans="1:16" x14ac:dyDescent="0.25">
      <c r="A41" s="1" t="s">
        <v>46</v>
      </c>
      <c r="B41" s="1" t="str">
        <f>VLOOKUP(A41,LISTADHERENT!A$5:H$51,2)</f>
        <v>SIME FONGANG ERIC</v>
      </c>
      <c r="C41" s="6">
        <f t="shared" si="0"/>
        <v>2170.6594394430354</v>
      </c>
      <c r="D41" s="6">
        <f>TONT20000JUIL!C41+TONT20000JUIL!D41+TONT20000AOUT!G41</f>
        <v>448391.05615118286</v>
      </c>
      <c r="E41" s="1"/>
      <c r="F41" s="7">
        <f t="shared" si="1"/>
        <v>20000</v>
      </c>
      <c r="G41" s="7">
        <v>3000</v>
      </c>
      <c r="H41" s="7">
        <v>500</v>
      </c>
      <c r="I41" s="7">
        <v>1000</v>
      </c>
      <c r="J41" s="7">
        <v>2500</v>
      </c>
      <c r="K41" s="7"/>
      <c r="L41" s="7">
        <v>13000</v>
      </c>
      <c r="N41" s="7">
        <f t="shared" si="2"/>
        <v>0</v>
      </c>
      <c r="P41" s="7"/>
    </row>
    <row r="42" spans="1:16" x14ac:dyDescent="0.25">
      <c r="A42" s="1" t="s">
        <v>47</v>
      </c>
      <c r="B42" s="1" t="str">
        <f>VLOOKUP(A42,LISTADHERENT!A$5:H$51,2)</f>
        <v>SIME MATHIEU</v>
      </c>
      <c r="C42" s="6">
        <f t="shared" si="0"/>
        <v>2168.8593811046999</v>
      </c>
      <c r="D42" s="6">
        <f>TONT20000JUIL!C42+TONT20000JUIL!D42+TONT20000AOUT!G42</f>
        <v>448019.21981205314</v>
      </c>
      <c r="E42" s="1"/>
      <c r="F42" s="7">
        <f t="shared" si="1"/>
        <v>20000</v>
      </c>
      <c r="G42" s="7">
        <v>3000</v>
      </c>
      <c r="H42" s="7">
        <v>500</v>
      </c>
      <c r="I42" s="7">
        <v>1000</v>
      </c>
      <c r="J42" s="7">
        <v>2500</v>
      </c>
      <c r="K42" s="7"/>
      <c r="L42" s="7">
        <v>13000</v>
      </c>
      <c r="N42" s="7">
        <f t="shared" si="2"/>
        <v>0</v>
      </c>
      <c r="P42" s="7"/>
    </row>
    <row r="43" spans="1:16" x14ac:dyDescent="0.25">
      <c r="A43" s="1" t="s">
        <v>48</v>
      </c>
      <c r="B43" s="1" t="str">
        <f>VLOOKUP(A43,LISTADHERENT!A$5:H$51,2)</f>
        <v>SIME PIERRE</v>
      </c>
      <c r="C43" s="6">
        <f t="shared" si="0"/>
        <v>3222.1331918357323</v>
      </c>
      <c r="D43" s="6">
        <f>TONT20000JUIL!C43+TONT20000JUIL!D43+TONT20000AOUT!G43</f>
        <v>665592.98925202095</v>
      </c>
      <c r="E43" s="1"/>
      <c r="F43" s="7">
        <f t="shared" si="1"/>
        <v>20000</v>
      </c>
      <c r="G43" s="7">
        <v>3000</v>
      </c>
      <c r="H43" s="7">
        <v>500</v>
      </c>
      <c r="I43" s="7">
        <v>1000</v>
      </c>
      <c r="J43" s="7">
        <v>2500</v>
      </c>
      <c r="K43" s="7"/>
      <c r="L43" s="7">
        <v>13000</v>
      </c>
      <c r="N43" s="7">
        <f t="shared" si="2"/>
        <v>0</v>
      </c>
      <c r="P43" s="7"/>
    </row>
    <row r="44" spans="1:16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136.58311216290036</v>
      </c>
      <c r="D44" s="6">
        <f>TONT20000JUIL!C44+TONT20000JUIL!D44+TONT20000AOUT!G44</f>
        <v>28213.843591628764</v>
      </c>
      <c r="E44" s="1"/>
      <c r="F44" s="7">
        <f t="shared" si="1"/>
        <v>20000</v>
      </c>
      <c r="G44" s="7">
        <v>3000</v>
      </c>
      <c r="H44" s="7">
        <v>500</v>
      </c>
      <c r="I44" s="7">
        <v>1000</v>
      </c>
      <c r="J44" s="7">
        <v>2500</v>
      </c>
      <c r="K44" s="7"/>
      <c r="L44" s="7">
        <v>13000</v>
      </c>
      <c r="N44" s="7">
        <f t="shared" si="2"/>
        <v>0</v>
      </c>
      <c r="P44" s="7"/>
    </row>
    <row r="45" spans="1:16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136.58311216290036</v>
      </c>
      <c r="D45" s="6">
        <f>TONT20000JUIL!C45+TONT20000JUIL!D45+TONT20000AOUT!G45</f>
        <v>28213.843591628764</v>
      </c>
      <c r="E45" s="1"/>
      <c r="F45" s="7">
        <f t="shared" si="1"/>
        <v>20000</v>
      </c>
      <c r="G45" s="7">
        <v>3000</v>
      </c>
      <c r="H45" s="7">
        <v>500</v>
      </c>
      <c r="I45" s="7">
        <v>1000</v>
      </c>
      <c r="J45" s="7">
        <v>2500</v>
      </c>
      <c r="K45" s="7"/>
      <c r="L45" s="7">
        <v>13000</v>
      </c>
      <c r="N45" s="7">
        <f t="shared" si="2"/>
        <v>0</v>
      </c>
      <c r="P45" s="7"/>
    </row>
    <row r="46" spans="1:16" x14ac:dyDescent="0.25">
      <c r="A46" s="1" t="s">
        <v>51</v>
      </c>
      <c r="B46" s="1" t="str">
        <f>VLOOKUP(A46,LISTADHERENT!A$5:H$51,2)</f>
        <v>TCHOUAMOU MATHIEU</v>
      </c>
      <c r="C46" s="6">
        <f t="shared" si="0"/>
        <v>2183.4315296760192</v>
      </c>
      <c r="D46" s="6">
        <f>TONT20000JUIL!C46+TONT20000JUIL!D46+TONT20000AOUT!G46</f>
        <v>451029.37468460301</v>
      </c>
      <c r="E46" s="1"/>
      <c r="F46" s="7">
        <f t="shared" si="1"/>
        <v>20000</v>
      </c>
      <c r="G46" s="7">
        <v>3000</v>
      </c>
      <c r="H46" s="7">
        <v>500</v>
      </c>
      <c r="I46" s="7">
        <v>1000</v>
      </c>
      <c r="J46" s="7">
        <v>2500</v>
      </c>
      <c r="K46" s="7"/>
      <c r="L46" s="7">
        <v>13000</v>
      </c>
      <c r="M46" s="7"/>
      <c r="N46" s="7">
        <f t="shared" si="2"/>
        <v>0</v>
      </c>
      <c r="P46" s="7"/>
    </row>
    <row r="47" spans="1:16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1968.5374346128795</v>
      </c>
      <c r="D47" s="6">
        <f>TONT20000JUIL!C47+TONT20000JUIL!D47+TONT20000AOUT!G47+68600</f>
        <v>406638.90582748101</v>
      </c>
      <c r="E47" s="1"/>
      <c r="F47" s="7">
        <f t="shared" si="1"/>
        <v>23000</v>
      </c>
      <c r="G47" s="7">
        <v>6000</v>
      </c>
      <c r="H47" s="7">
        <v>500</v>
      </c>
      <c r="I47" s="7">
        <v>1000</v>
      </c>
      <c r="J47" s="7">
        <v>2500</v>
      </c>
      <c r="K47" s="7"/>
      <c r="L47" s="7">
        <v>13000</v>
      </c>
      <c r="N47" s="7">
        <f t="shared" si="2"/>
        <v>0</v>
      </c>
      <c r="P47" s="7"/>
    </row>
    <row r="48" spans="1:16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75.601389445844561</v>
      </c>
      <c r="D48" s="6">
        <f>TONT20000JUIL!C48+TONT20000JUIL!D48+TONT20000AOUT!G48</f>
        <v>15616.907122389128</v>
      </c>
      <c r="E48" s="1"/>
      <c r="F48" s="7">
        <f t="shared" si="1"/>
        <v>20000</v>
      </c>
      <c r="G48" s="7">
        <v>3000</v>
      </c>
      <c r="H48" s="7">
        <v>500</v>
      </c>
      <c r="I48" s="7">
        <v>1000</v>
      </c>
      <c r="J48" s="7">
        <v>2500</v>
      </c>
      <c r="K48" s="7"/>
      <c r="L48" s="7">
        <v>13000</v>
      </c>
      <c r="N48" s="7">
        <f t="shared" si="2"/>
        <v>0</v>
      </c>
      <c r="P48" s="7"/>
    </row>
    <row r="49" spans="1:17" x14ac:dyDescent="0.25">
      <c r="A49" s="1" t="s">
        <v>54</v>
      </c>
      <c r="B49" s="1" t="str">
        <f>VLOOKUP(A49,LISTADHERENT!A$5:H$51,2)</f>
        <v>TIEYAM ERNEST</v>
      </c>
      <c r="C49" s="6">
        <f t="shared" si="0"/>
        <v>2169.1613036260346</v>
      </c>
      <c r="D49" s="6">
        <f>TONT20000JUIL!C49+TONT20000JUIL!D49+TONT20000AOUT!G49</f>
        <v>448081.58766016283</v>
      </c>
      <c r="E49" s="1"/>
      <c r="F49" s="7">
        <f t="shared" si="1"/>
        <v>40000</v>
      </c>
      <c r="G49" s="7">
        <v>6000</v>
      </c>
      <c r="H49" s="7">
        <v>1000</v>
      </c>
      <c r="I49" s="7">
        <v>2000</v>
      </c>
      <c r="J49" s="7">
        <v>5000</v>
      </c>
      <c r="K49" s="7"/>
      <c r="L49" s="7">
        <v>26000</v>
      </c>
      <c r="N49" s="7">
        <f t="shared" si="2"/>
        <v>0</v>
      </c>
      <c r="P49" s="7"/>
    </row>
    <row r="50" spans="1:17" x14ac:dyDescent="0.25">
      <c r="A50" s="1" t="s">
        <v>55</v>
      </c>
      <c r="B50" s="1" t="str">
        <f>VLOOKUP(A50,LISTADHERENT!A$5:H$51,2)</f>
        <v>TUGMA PIERRE LOTI</v>
      </c>
      <c r="C50" s="6">
        <f t="shared" si="0"/>
        <v>2257.3015537974643</v>
      </c>
      <c r="D50" s="6">
        <f>TONT20000JUIL!C50+TONT20000JUIL!D50+TONT20000AOUT!G50</f>
        <v>466288.63531842537</v>
      </c>
      <c r="E50" s="1"/>
      <c r="F50" s="7">
        <f t="shared" si="1"/>
        <v>20000</v>
      </c>
      <c r="G50" s="7">
        <v>3000</v>
      </c>
      <c r="H50" s="7">
        <v>500</v>
      </c>
      <c r="I50" s="7">
        <v>1000</v>
      </c>
      <c r="J50" s="7">
        <v>2500</v>
      </c>
      <c r="K50" s="7"/>
      <c r="L50" s="7">
        <v>13000</v>
      </c>
      <c r="N50" s="7">
        <f t="shared" si="2"/>
        <v>0</v>
      </c>
      <c r="P50" s="7"/>
    </row>
    <row r="51" spans="1:17" ht="18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4357.0279856193629</v>
      </c>
      <c r="D51" s="6">
        <f>TONT20000JUIL!C51+TONT20000JUIL!D51+TONT20000AOUT!G51</f>
        <v>900027.12754120945</v>
      </c>
      <c r="E51" s="1"/>
      <c r="F51" s="7">
        <f t="shared" si="1"/>
        <v>20000</v>
      </c>
      <c r="G51" s="7">
        <v>3000</v>
      </c>
      <c r="H51" s="7">
        <v>500</v>
      </c>
      <c r="I51" s="7">
        <v>1000</v>
      </c>
      <c r="J51" s="7">
        <v>2500</v>
      </c>
      <c r="K51" s="7"/>
      <c r="L51" s="7">
        <v>13000</v>
      </c>
      <c r="M51" s="9"/>
      <c r="N51" s="7">
        <f t="shared" si="2"/>
        <v>0</v>
      </c>
      <c r="P51" s="7"/>
    </row>
    <row r="52" spans="1:17" x14ac:dyDescent="0.25">
      <c r="A52" s="1" t="s">
        <v>178</v>
      </c>
      <c r="B52" s="1" t="str">
        <f>VLOOKUP(A52,LISTADHERENT!A$5:H$51,2)</f>
        <v>YOUMBI EMMANUEL</v>
      </c>
      <c r="C52" s="6">
        <f t="shared" si="0"/>
        <v>7385.0902843512322</v>
      </c>
      <c r="D52" s="6">
        <f>TONT20000JUIL!C52+TONT20000JUIL!D52+TONT20000AOUT!G52</f>
        <v>1525531.0769623795</v>
      </c>
      <c r="E52" s="1"/>
      <c r="F52" s="7">
        <f t="shared" si="1"/>
        <v>20000</v>
      </c>
      <c r="G52" s="7">
        <v>3000</v>
      </c>
      <c r="H52" s="7">
        <v>500</v>
      </c>
      <c r="I52" s="7">
        <v>1000</v>
      </c>
      <c r="J52" s="7">
        <v>2500</v>
      </c>
      <c r="L52" s="7">
        <v>13000</v>
      </c>
      <c r="N52" s="7">
        <f t="shared" si="2"/>
        <v>0</v>
      </c>
      <c r="P52" s="7"/>
    </row>
    <row r="53" spans="1:17" x14ac:dyDescent="0.25">
      <c r="A53" s="1"/>
      <c r="B53" s="1"/>
      <c r="C53" s="1"/>
      <c r="D53" s="1"/>
      <c r="E53" s="1"/>
      <c r="F53" s="7"/>
      <c r="G53" s="7"/>
      <c r="H53" s="7"/>
      <c r="I53" s="7"/>
      <c r="J53" s="7"/>
      <c r="L53" s="7"/>
      <c r="N53" s="7"/>
      <c r="P53" s="7"/>
    </row>
    <row r="54" spans="1:17" ht="18" x14ac:dyDescent="0.25">
      <c r="A54" s="1"/>
      <c r="B54" s="1" t="s">
        <v>180</v>
      </c>
      <c r="C54" s="1"/>
      <c r="D54" s="1"/>
      <c r="E54" s="1"/>
      <c r="L54" s="7"/>
      <c r="N54" s="7">
        <f t="shared" si="2"/>
        <v>0</v>
      </c>
      <c r="O54" s="9"/>
      <c r="P54" s="7"/>
    </row>
    <row r="55" spans="1:17" ht="18" x14ac:dyDescent="0.25">
      <c r="A55" s="1"/>
      <c r="B55" s="1"/>
      <c r="C55" s="1"/>
      <c r="D55" s="1"/>
      <c r="E55" s="1"/>
      <c r="O55" s="9"/>
    </row>
    <row r="56" spans="1:17" ht="18" x14ac:dyDescent="0.25">
      <c r="A56" s="8" t="s">
        <v>56</v>
      </c>
      <c r="B56" s="8"/>
      <c r="C56" s="9">
        <f>SUM(C5:C52)</f>
        <v>101999.99999999999</v>
      </c>
      <c r="D56" s="9">
        <f t="shared" ref="D56:Q56" si="3">SUM(D5:D52)</f>
        <v>21070043</v>
      </c>
      <c r="E56" s="9">
        <f t="shared" si="3"/>
        <v>0</v>
      </c>
      <c r="F56" s="9">
        <f t="shared" si="3"/>
        <v>1323360</v>
      </c>
      <c r="G56" s="9">
        <f t="shared" si="3"/>
        <v>558360</v>
      </c>
      <c r="H56" s="9">
        <f t="shared" si="3"/>
        <v>22500</v>
      </c>
      <c r="I56" s="9">
        <f t="shared" si="3"/>
        <v>45000</v>
      </c>
      <c r="J56" s="9">
        <f t="shared" si="3"/>
        <v>112500</v>
      </c>
      <c r="K56" s="9">
        <f t="shared" si="3"/>
        <v>0</v>
      </c>
      <c r="L56" s="9">
        <f t="shared" si="3"/>
        <v>585000</v>
      </c>
      <c r="M56" s="9">
        <f t="shared" si="3"/>
        <v>1300000</v>
      </c>
      <c r="N56" s="9">
        <f t="shared" si="3"/>
        <v>102000</v>
      </c>
      <c r="O56" s="9">
        <f t="shared" si="3"/>
        <v>0</v>
      </c>
      <c r="P56" s="9">
        <f t="shared" si="3"/>
        <v>0</v>
      </c>
      <c r="Q56" s="9">
        <f t="shared" si="3"/>
        <v>48440</v>
      </c>
    </row>
  </sheetData>
  <autoFilter ref="A4:O51"/>
  <pageMargins left="0.7" right="0.7" top="0.75" bottom="0.75" header="0.3" footer="0.3"/>
  <pageSetup orientation="portrait" horizontalDpi="4294967295" verticalDpi="4294967295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pane xSplit="2" ySplit="4" topLeftCell="C32" activePane="bottomRight" state="frozen"/>
      <selection activeCell="D29" sqref="D29"/>
      <selection pane="topRight" activeCell="D29" sqref="D29"/>
      <selection pane="bottomLeft" activeCell="D29" sqref="D29"/>
      <selection pane="bottomRight" activeCell="A33" sqref="A33:XFD3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5" width="29.5703125" customWidth="1"/>
    <col min="6" max="6" width="17.42578125" style="2" customWidth="1"/>
    <col min="7" max="7" width="12.5703125" bestFit="1" customWidth="1"/>
    <col min="8" max="8" width="17.5703125" style="3" bestFit="1" customWidth="1"/>
    <col min="9" max="9" width="15.7109375" style="2" customWidth="1"/>
    <col min="10" max="10" width="14.7109375" style="2" customWidth="1"/>
    <col min="11" max="11" width="18.140625" style="2" bestFit="1" customWidth="1"/>
    <col min="12" max="12" width="18.140625" customWidth="1"/>
    <col min="13" max="13" width="15" bestFit="1" customWidth="1"/>
    <col min="14" max="14" width="12.5703125" bestFit="1" customWidth="1"/>
    <col min="15" max="17" width="18.140625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</row>
    <row r="2" spans="1:18" x14ac:dyDescent="0.25">
      <c r="A2" s="1" t="s">
        <v>2</v>
      </c>
      <c r="B2" s="1" t="s">
        <v>3</v>
      </c>
      <c r="C2" s="1"/>
      <c r="D2" s="1"/>
      <c r="E2" s="1"/>
    </row>
    <row r="3" spans="1:18" x14ac:dyDescent="0.25">
      <c r="A3" s="1" t="s">
        <v>4</v>
      </c>
      <c r="B3" s="1" t="s">
        <v>5</v>
      </c>
      <c r="C3" s="1"/>
      <c r="D3" s="1"/>
      <c r="E3" s="1"/>
    </row>
    <row r="4" spans="1:18" ht="29.25" x14ac:dyDescent="0.25">
      <c r="A4" s="1" t="s">
        <v>6</v>
      </c>
      <c r="B4" s="1" t="s">
        <v>7</v>
      </c>
      <c r="C4" s="5" t="s">
        <v>186</v>
      </c>
      <c r="D4" s="5" t="s">
        <v>187</v>
      </c>
      <c r="E4" s="1" t="s">
        <v>184</v>
      </c>
      <c r="F4" s="5" t="s">
        <v>65</v>
      </c>
      <c r="G4" s="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8</v>
      </c>
      <c r="P4" s="5" t="s">
        <v>182</v>
      </c>
      <c r="Q4" s="5" t="s">
        <v>181</v>
      </c>
    </row>
    <row r="5" spans="1:18" x14ac:dyDescent="0.25">
      <c r="A5" s="1" t="s">
        <v>185</v>
      </c>
      <c r="B5" s="1" t="str">
        <f>VLOOKUP(A5,LISTADHERENT!A$5:H$52,2,0)</f>
        <v>ASELBY</v>
      </c>
      <c r="C5" s="6">
        <f>$N$56/$D$56*D5</f>
        <v>3369.7546752234084</v>
      </c>
      <c r="D5" s="6">
        <f>TONT20000AOUT!C5+TONT20000AOUT!D5+TONT20000SEPT!G5</f>
        <v>343556.50772388972</v>
      </c>
      <c r="E5" s="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</row>
    <row r="6" spans="1:18" x14ac:dyDescent="0.25">
      <c r="A6" s="1" t="s">
        <v>11</v>
      </c>
      <c r="B6" s="1" t="str">
        <f>VLOOKUP(A6,LISTADHERENT!A$5:H$51,2)</f>
        <v>BAKOP ACHILLE</v>
      </c>
      <c r="C6" s="6">
        <f t="shared" ref="C6:C52" si="0">$N$56/$D$56*D6</f>
        <v>4733.9421493743985</v>
      </c>
      <c r="D6" s="6">
        <f>TONT20000AOUT!C6+TONT20000AOUT!D6+TONT20000SEPT!G6</f>
        <v>482639.47656609956</v>
      </c>
      <c r="E6" s="1"/>
      <c r="F6" s="7">
        <f t="shared" ref="F6:F52" si="1">G6+H6+I6+J6+K6+L6</f>
        <v>0</v>
      </c>
      <c r="G6" s="7"/>
      <c r="H6" s="7"/>
      <c r="I6" s="7"/>
      <c r="J6" s="7"/>
      <c r="K6" s="7"/>
      <c r="L6" s="7"/>
      <c r="M6" s="7"/>
      <c r="N6" s="7">
        <f>IF(M6&lt;=500000,(M6*1*3/100),(M6*12/100))</f>
        <v>0</v>
      </c>
      <c r="Q6" s="7"/>
    </row>
    <row r="7" spans="1:18" x14ac:dyDescent="0.25">
      <c r="A7" s="1" t="s">
        <v>12</v>
      </c>
      <c r="B7" s="1" t="str">
        <f>VLOOKUP(A7,LISTADHERENT!A$5:H$51,2)</f>
        <v>BOUTCHOUANG WILLIAM</v>
      </c>
      <c r="C7" s="6">
        <f t="shared" si="0"/>
        <v>4456.3819066137821</v>
      </c>
      <c r="D7" s="6">
        <f>TONT20000AOUT!C7+TONT20000AOUT!D7+TONT20000SEPT!G7</f>
        <v>454341.38460499549</v>
      </c>
      <c r="E7" s="1"/>
      <c r="F7" s="7">
        <f t="shared" si="1"/>
        <v>20000</v>
      </c>
      <c r="G7" s="7">
        <v>3000</v>
      </c>
      <c r="H7" s="7">
        <v>500</v>
      </c>
      <c r="I7" s="7">
        <v>1000</v>
      </c>
      <c r="J7" s="7">
        <v>2500</v>
      </c>
      <c r="K7" s="7"/>
      <c r="L7" s="7">
        <v>13000</v>
      </c>
      <c r="M7" s="7"/>
      <c r="N7" s="7">
        <f t="shared" ref="N7:N54" si="2">IF(M7&lt;=500000,(M7*1*3/100),(M7*12/100))</f>
        <v>0</v>
      </c>
      <c r="Q7" s="7"/>
    </row>
    <row r="8" spans="1:18" x14ac:dyDescent="0.25">
      <c r="A8" s="1" t="s">
        <v>13</v>
      </c>
      <c r="B8" s="1" t="str">
        <f>VLOOKUP(A8,LISTADHERENT!A$5:H$51,2)</f>
        <v>CHINGUE FABRICE</v>
      </c>
      <c r="C8" s="6">
        <f t="shared" si="0"/>
        <v>4457.8435864930225</v>
      </c>
      <c r="D8" s="6">
        <f>TONT20000AOUT!C8+TONT20000AOUT!D8+TONT20000SEPT!G8</f>
        <v>454490.40721439023</v>
      </c>
      <c r="E8" s="1"/>
      <c r="F8" s="7">
        <f t="shared" si="1"/>
        <v>20000</v>
      </c>
      <c r="G8" s="7">
        <v>3000</v>
      </c>
      <c r="H8" s="7">
        <v>500</v>
      </c>
      <c r="I8" s="7">
        <v>1000</v>
      </c>
      <c r="J8" s="7">
        <v>2500</v>
      </c>
      <c r="K8" s="7"/>
      <c r="L8" s="7">
        <v>13000</v>
      </c>
      <c r="N8" s="7">
        <f t="shared" si="2"/>
        <v>0</v>
      </c>
      <c r="Q8" s="7"/>
    </row>
    <row r="9" spans="1:18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4524.7207369098487</v>
      </c>
      <c r="D9" s="6">
        <f>TONT20000AOUT!C9+TONT20000AOUT!D9+TONT20000SEPT!G9</f>
        <v>461308.73153119138</v>
      </c>
      <c r="E9" s="1"/>
      <c r="F9" s="7">
        <f t="shared" si="1"/>
        <v>20000</v>
      </c>
      <c r="G9" s="7">
        <v>3000</v>
      </c>
      <c r="H9" s="7">
        <v>500</v>
      </c>
      <c r="I9" s="7">
        <v>1000</v>
      </c>
      <c r="J9" s="7">
        <v>2500</v>
      </c>
      <c r="K9" s="7"/>
      <c r="L9" s="7">
        <v>13000</v>
      </c>
      <c r="N9" s="7">
        <f t="shared" si="2"/>
        <v>0</v>
      </c>
      <c r="Q9" s="7"/>
    </row>
    <row r="10" spans="1:18" x14ac:dyDescent="0.25">
      <c r="A10" s="1" t="s">
        <v>15</v>
      </c>
      <c r="B10" s="1" t="str">
        <f>VLOOKUP(A10,LISTADHERENT!A$5:H$51,2)</f>
        <v>DJOUKWE GUY</v>
      </c>
      <c r="C10" s="6">
        <f t="shared" si="0"/>
        <v>4911.6624581941915</v>
      </c>
      <c r="D10" s="6">
        <f>TONT20000AOUT!C10+TONT20000AOUT!D10+TONT20000SEPT!G10</f>
        <v>500758.5904287998</v>
      </c>
      <c r="E10" s="1"/>
      <c r="F10" s="7">
        <f t="shared" si="1"/>
        <v>20000</v>
      </c>
      <c r="G10" s="7">
        <v>3000</v>
      </c>
      <c r="H10" s="7">
        <v>500</v>
      </c>
      <c r="I10" s="7">
        <v>1000</v>
      </c>
      <c r="J10" s="7">
        <v>2500</v>
      </c>
      <c r="K10" s="7"/>
      <c r="L10" s="7">
        <v>13000</v>
      </c>
      <c r="N10" s="7">
        <f t="shared" si="2"/>
        <v>0</v>
      </c>
      <c r="Q10" s="7"/>
    </row>
    <row r="11" spans="1:18" x14ac:dyDescent="0.25">
      <c r="A11" s="1" t="s">
        <v>16</v>
      </c>
      <c r="B11" s="1" t="str">
        <f>VLOOKUP(A11,LISTADHERENT!A$5:H$51,2)</f>
        <v>DJOSSEU JOSUE</v>
      </c>
      <c r="C11" s="6">
        <f t="shared" si="0"/>
        <v>52.959415914495104</v>
      </c>
      <c r="D11" s="6">
        <f>TONT20000AOUT!C11+TONT20000AOUT!D11+TONT20000SEPT!G11</f>
        <v>5399.3699056073456</v>
      </c>
      <c r="E11" s="1"/>
      <c r="F11" s="7">
        <f t="shared" si="1"/>
        <v>0</v>
      </c>
      <c r="G11" s="7"/>
      <c r="H11" s="7"/>
      <c r="I11" s="7"/>
      <c r="J11" s="7"/>
      <c r="K11" s="7"/>
      <c r="L11" s="7"/>
      <c r="N11" s="7">
        <f t="shared" si="2"/>
        <v>0</v>
      </c>
      <c r="Q11" s="7"/>
    </row>
    <row r="12" spans="1:18" x14ac:dyDescent="0.25">
      <c r="A12" s="1" t="s">
        <v>17</v>
      </c>
      <c r="B12" s="1" t="str">
        <f>VLOOKUP(A12,LISTADHERENT!A$5:H$51,2)</f>
        <v>DJOUNKEP SAMUEL</v>
      </c>
      <c r="C12" s="6">
        <f t="shared" si="0"/>
        <v>20210.310379771541</v>
      </c>
      <c r="D12" s="6">
        <f>TONT20000AOUT!C12+TONT20000AOUT!D12+TONT20000SEPT!G12</f>
        <v>2060501.2302950085</v>
      </c>
      <c r="E12" s="1"/>
      <c r="F12" s="7">
        <f t="shared" si="1"/>
        <v>20000</v>
      </c>
      <c r="G12" s="7">
        <v>3000</v>
      </c>
      <c r="H12" s="7">
        <v>500</v>
      </c>
      <c r="I12" s="7">
        <v>1000</v>
      </c>
      <c r="J12" s="7">
        <v>2500</v>
      </c>
      <c r="K12" s="7"/>
      <c r="L12" s="7">
        <v>13000</v>
      </c>
      <c r="N12" s="7">
        <f t="shared" si="2"/>
        <v>0</v>
      </c>
      <c r="Q12" s="7"/>
    </row>
    <row r="13" spans="1:18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4693.867153968934</v>
      </c>
      <c r="D13" s="6">
        <f>TONT20000AOUT!C13+TONT20000AOUT!D13+TONT20000SEPT!G13+70866</f>
        <v>478553.71163793327</v>
      </c>
      <c r="E13" s="1"/>
      <c r="F13" s="7">
        <f t="shared" si="1"/>
        <v>20000</v>
      </c>
      <c r="G13" s="7">
        <v>3000</v>
      </c>
      <c r="H13" s="7">
        <v>500</v>
      </c>
      <c r="I13" s="7">
        <v>1000</v>
      </c>
      <c r="J13" s="7">
        <v>2500</v>
      </c>
      <c r="K13" s="7"/>
      <c r="L13" s="7">
        <v>13000</v>
      </c>
      <c r="N13" s="7">
        <f t="shared" si="2"/>
        <v>0</v>
      </c>
      <c r="Q13" s="7"/>
    </row>
    <row r="14" spans="1:18" x14ac:dyDescent="0.25">
      <c r="A14" s="1" t="s">
        <v>19</v>
      </c>
      <c r="B14" s="1" t="str">
        <f>VLOOKUP(A14,LISTADHERENT!A$5:H$51,2)</f>
        <v>DONHOU DAVID</v>
      </c>
      <c r="C14" s="6">
        <f t="shared" si="0"/>
        <v>4912.1506399739283</v>
      </c>
      <c r="D14" s="6">
        <f>TONT20000AOUT!C14+TONT20000AOUT!D14+TONT20000SEPT!G14</f>
        <v>500808.36201265239</v>
      </c>
      <c r="E14" s="1"/>
      <c r="F14" s="7">
        <f t="shared" si="1"/>
        <v>20000</v>
      </c>
      <c r="G14" s="7">
        <v>3000</v>
      </c>
      <c r="H14" s="7">
        <v>500</v>
      </c>
      <c r="I14" s="7">
        <v>1000</v>
      </c>
      <c r="J14" s="7">
        <v>2500</v>
      </c>
      <c r="K14" s="7"/>
      <c r="L14" s="7">
        <v>13000</v>
      </c>
      <c r="N14" s="7">
        <f t="shared" si="2"/>
        <v>0</v>
      </c>
      <c r="Q14" s="7"/>
    </row>
    <row r="15" spans="1:18" x14ac:dyDescent="0.25">
      <c r="A15" s="1" t="s">
        <v>20</v>
      </c>
      <c r="B15" s="1" t="str">
        <f>VLOOKUP(A15,LISTADHERENT!A$5:H$51,2)</f>
        <v>FOTSO THOMAS</v>
      </c>
      <c r="C15" s="6">
        <f t="shared" si="0"/>
        <v>4473.4772060709829</v>
      </c>
      <c r="D15" s="6">
        <f>TONT20000AOUT!C15+TONT20000AOUT!D15+TONT20000SEPT!G15</f>
        <v>456084.30121052568</v>
      </c>
      <c r="E15" s="1"/>
      <c r="F15" s="7">
        <f t="shared" si="1"/>
        <v>20000</v>
      </c>
      <c r="G15" s="7">
        <v>3000</v>
      </c>
      <c r="H15" s="7">
        <v>500</v>
      </c>
      <c r="I15" s="7">
        <v>1000</v>
      </c>
      <c r="J15" s="7">
        <v>2500</v>
      </c>
      <c r="K15" s="7"/>
      <c r="L15" s="7">
        <v>13000</v>
      </c>
      <c r="N15" s="7">
        <f t="shared" si="2"/>
        <v>0</v>
      </c>
      <c r="Q15" s="7"/>
    </row>
    <row r="16" spans="1:18" x14ac:dyDescent="0.25">
      <c r="A16" s="1" t="s">
        <v>21</v>
      </c>
      <c r="B16" s="1" t="str">
        <f>VLOOKUP(A16,LISTADHERENT!A$5:H$51,2)</f>
        <v>HENGUE PAUL OMER</v>
      </c>
      <c r="C16" s="6">
        <f t="shared" si="0"/>
        <v>4438.333337670123</v>
      </c>
      <c r="D16" s="6">
        <f>TONT20000AOUT!C16+TONT20000AOUT!D16+TONT20000SEPT!G16</f>
        <v>452501.27934116463</v>
      </c>
      <c r="E16" s="1"/>
      <c r="F16" s="7">
        <f t="shared" si="1"/>
        <v>20000</v>
      </c>
      <c r="G16" s="7">
        <v>3000</v>
      </c>
      <c r="H16" s="7">
        <v>500</v>
      </c>
      <c r="I16" s="7">
        <v>1000</v>
      </c>
      <c r="J16" s="7">
        <v>2500</v>
      </c>
      <c r="K16" s="7"/>
      <c r="L16" s="7">
        <v>13000</v>
      </c>
      <c r="N16" s="7">
        <f t="shared" si="2"/>
        <v>0</v>
      </c>
      <c r="Q16" s="7"/>
    </row>
    <row r="17" spans="1:17" x14ac:dyDescent="0.25">
      <c r="A17" s="1" t="s">
        <v>22</v>
      </c>
      <c r="B17" s="1" t="str">
        <f>VLOOKUP(A17,LISTADHERENT!A$5:H$51,2)</f>
        <v>HODIEP JULES</v>
      </c>
      <c r="C17" s="6">
        <f t="shared" si="0"/>
        <v>817.39926839245811</v>
      </c>
      <c r="D17" s="6">
        <f>TONT20000AOUT!C17+TONT20000AOUT!D17+TONT20000SEPT!G17</f>
        <v>83336.285614428984</v>
      </c>
      <c r="E17" s="1"/>
      <c r="F17" s="7">
        <f t="shared" si="1"/>
        <v>20000</v>
      </c>
      <c r="G17" s="7">
        <v>3000</v>
      </c>
      <c r="H17" s="7">
        <v>500</v>
      </c>
      <c r="I17" s="7">
        <v>1000</v>
      </c>
      <c r="J17" s="7">
        <v>2500</v>
      </c>
      <c r="K17" s="7"/>
      <c r="L17" s="7">
        <v>13000</v>
      </c>
      <c r="N17" s="7">
        <f t="shared" si="2"/>
        <v>0</v>
      </c>
      <c r="Q17" s="7"/>
    </row>
    <row r="18" spans="1:17" x14ac:dyDescent="0.25">
      <c r="A18" s="1" t="s">
        <v>23</v>
      </c>
      <c r="B18" s="1" t="str">
        <f>VLOOKUP(A18,LISTADHERENT!A$5:H$51,2)</f>
        <v>HOTCHO BENJAMIN</v>
      </c>
      <c r="C18" s="6">
        <f t="shared" si="0"/>
        <v>4530.7263346745522</v>
      </c>
      <c r="D18" s="6">
        <f>TONT20000AOUT!C18+TONT20000AOUT!D18+TONT20000SEPT!G18</f>
        <v>461921.02007848723</v>
      </c>
      <c r="E18" s="1"/>
      <c r="F18" s="7">
        <f t="shared" si="1"/>
        <v>20000</v>
      </c>
      <c r="G18" s="7">
        <v>3000</v>
      </c>
      <c r="H18" s="7">
        <v>500</v>
      </c>
      <c r="I18" s="7">
        <v>1000</v>
      </c>
      <c r="J18" s="7">
        <v>2500</v>
      </c>
      <c r="K18" s="7"/>
      <c r="L18" s="7">
        <v>13000</v>
      </c>
      <c r="N18" s="7">
        <f t="shared" si="2"/>
        <v>0</v>
      </c>
      <c r="Q18" s="7"/>
    </row>
    <row r="19" spans="1:17" x14ac:dyDescent="0.25">
      <c r="A19" s="1" t="s">
        <v>24</v>
      </c>
      <c r="B19" s="1" t="str">
        <f>VLOOKUP(A19,LISTADHERENT!A$5:H$51,2)</f>
        <v>KEPHE DAVID</v>
      </c>
      <c r="C19" s="6">
        <f t="shared" si="0"/>
        <v>443.02204166469812</v>
      </c>
      <c r="D19" s="6">
        <f>TONT20000AOUT!C19+TONT20000AOUT!D19+TONT20000SEPT!G19</f>
        <v>45167.414292240865</v>
      </c>
      <c r="E19" s="1"/>
      <c r="F19" s="7">
        <f t="shared" si="1"/>
        <v>20000</v>
      </c>
      <c r="G19" s="7">
        <v>3000</v>
      </c>
      <c r="H19" s="7">
        <v>500</v>
      </c>
      <c r="I19" s="7">
        <v>1000</v>
      </c>
      <c r="J19" s="7">
        <v>2500</v>
      </c>
      <c r="K19" s="7"/>
      <c r="L19" s="7">
        <v>13000</v>
      </c>
      <c r="N19" s="7">
        <f t="shared" si="2"/>
        <v>0</v>
      </c>
      <c r="Q19" s="7"/>
    </row>
    <row r="20" spans="1:17" x14ac:dyDescent="0.25">
      <c r="A20" s="1" t="s">
        <v>25</v>
      </c>
      <c r="B20" s="1" t="str">
        <f>VLOOKUP(A20,LISTADHERENT!A$5:H$51,2)</f>
        <v>KEPSEU FRANCIS</v>
      </c>
      <c r="C20" s="6">
        <f t="shared" si="0"/>
        <v>11712.06805891186</v>
      </c>
      <c r="D20" s="6">
        <f>TONT20000AOUT!C20+TONT20000AOUT!D20+TONT20000SEPT!G20</f>
        <v>1194080.1596417422</v>
      </c>
      <c r="E20" s="1"/>
      <c r="F20" s="7">
        <f t="shared" si="1"/>
        <v>23000</v>
      </c>
      <c r="G20" s="7">
        <v>6000</v>
      </c>
      <c r="H20" s="7">
        <v>500</v>
      </c>
      <c r="I20" s="7">
        <v>1000</v>
      </c>
      <c r="J20" s="7">
        <v>2500</v>
      </c>
      <c r="K20" s="7"/>
      <c r="L20" s="7">
        <v>13000</v>
      </c>
      <c r="N20" s="7">
        <f t="shared" si="2"/>
        <v>0</v>
      </c>
      <c r="Q20" s="7"/>
    </row>
    <row r="21" spans="1:17" x14ac:dyDescent="0.25">
      <c r="A21" s="1" t="s">
        <v>26</v>
      </c>
      <c r="B21" s="1" t="str">
        <f>VLOOKUP(A21,LISTADHERENT!A$5:H$51,2)</f>
        <v>KOUAMOU EMMANUEL</v>
      </c>
      <c r="C21" s="6">
        <f t="shared" si="0"/>
        <v>4467.1750355771565</v>
      </c>
      <c r="D21" s="6">
        <f>TONT20000AOUT!C21+TONT20000AOUT!D21+TONT20000SEPT!G21</f>
        <v>455441.77619175828</v>
      </c>
      <c r="E21" s="1"/>
      <c r="F21" s="7">
        <f t="shared" si="1"/>
        <v>20000</v>
      </c>
      <c r="G21" s="7">
        <v>3000</v>
      </c>
      <c r="H21" s="7">
        <v>500</v>
      </c>
      <c r="I21" s="7">
        <v>1000</v>
      </c>
      <c r="J21" s="7">
        <v>2500</v>
      </c>
      <c r="K21" s="7"/>
      <c r="L21" s="7">
        <v>13000</v>
      </c>
      <c r="N21" s="7">
        <f t="shared" si="2"/>
        <v>0</v>
      </c>
      <c r="Q21" s="7"/>
    </row>
    <row r="22" spans="1:17" x14ac:dyDescent="0.25">
      <c r="A22" s="1" t="s">
        <v>27</v>
      </c>
      <c r="B22" s="1" t="str">
        <f>VLOOKUP(A22,LISTADHERENT!A$5:H$51,2)</f>
        <v>KOUAMOU MOISE</v>
      </c>
      <c r="C22" s="6">
        <f t="shared" si="0"/>
        <v>4431.0250198330305</v>
      </c>
      <c r="D22" s="6">
        <f>TONT20000AOUT!C22+TONT20000AOUT!D22+TONT20000SEPT!G22</f>
        <v>451756.17460938432</v>
      </c>
      <c r="E22" s="1"/>
      <c r="F22" s="7">
        <f t="shared" si="1"/>
        <v>20000</v>
      </c>
      <c r="G22" s="7">
        <v>3000</v>
      </c>
      <c r="H22" s="7">
        <v>500</v>
      </c>
      <c r="I22" s="7">
        <v>1000</v>
      </c>
      <c r="J22" s="7">
        <v>2500</v>
      </c>
      <c r="K22" s="7"/>
      <c r="L22" s="7">
        <v>13000</v>
      </c>
      <c r="N22" s="7">
        <f t="shared" si="2"/>
        <v>0</v>
      </c>
      <c r="Q22" s="7"/>
    </row>
    <row r="23" spans="1:17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4826.3034267765306</v>
      </c>
      <c r="D23" s="6">
        <f>TONT20000AOUT!C23+TONT20000AOUT!D23+TONT20000SEPT!G23</f>
        <v>492055.9833956628</v>
      </c>
      <c r="E23" s="1"/>
      <c r="F23" s="7">
        <f t="shared" si="1"/>
        <v>20000</v>
      </c>
      <c r="G23" s="7">
        <v>3000</v>
      </c>
      <c r="H23" s="7">
        <v>500</v>
      </c>
      <c r="I23" s="7">
        <v>1000</v>
      </c>
      <c r="J23" s="7">
        <v>2500</v>
      </c>
      <c r="K23" s="7"/>
      <c r="L23" s="7">
        <v>13000</v>
      </c>
      <c r="N23" s="7">
        <f t="shared" si="2"/>
        <v>0</v>
      </c>
      <c r="Q23" s="7"/>
    </row>
    <row r="24" spans="1:17" x14ac:dyDescent="0.25">
      <c r="A24" s="1" t="s">
        <v>29</v>
      </c>
      <c r="B24" s="1" t="str">
        <f>VLOOKUP(A24,LISTADHERENT!A$5:H$51,2)</f>
        <v>KOUATCHO MESSACK</v>
      </c>
      <c r="C24" s="6">
        <f t="shared" si="0"/>
        <v>4438.333337670123</v>
      </c>
      <c r="D24" s="6">
        <f>TONT20000AOUT!C24+TONT20000AOUT!D24+TONT20000SEPT!G24</f>
        <v>452501.27934116463</v>
      </c>
      <c r="E24" s="1"/>
      <c r="F24" s="7">
        <f t="shared" si="1"/>
        <v>20000</v>
      </c>
      <c r="G24" s="7">
        <v>3000</v>
      </c>
      <c r="H24" s="7">
        <v>500</v>
      </c>
      <c r="I24" s="7">
        <v>1000</v>
      </c>
      <c r="J24" s="7">
        <v>2500</v>
      </c>
      <c r="K24" s="7"/>
      <c r="L24" s="7">
        <v>13000</v>
      </c>
      <c r="M24" s="7"/>
      <c r="N24" s="7">
        <f t="shared" si="2"/>
        <v>0</v>
      </c>
      <c r="Q24" s="7"/>
    </row>
    <row r="25" spans="1:17" x14ac:dyDescent="0.25">
      <c r="A25" s="1" t="s">
        <v>30</v>
      </c>
      <c r="B25" s="1" t="str">
        <f>VLOOKUP(A25,LISTADHERENT!A$5:H$51,2)</f>
        <v>LOWE JEAN</v>
      </c>
      <c r="C25" s="6">
        <f t="shared" si="0"/>
        <v>4484.2067837352588</v>
      </c>
      <c r="D25" s="6">
        <f>TONT20000AOUT!C25+TONT20000AOUT!D25+TONT20000SEPT!G25</f>
        <v>457178.2135534017</v>
      </c>
      <c r="E25" s="1"/>
      <c r="F25" s="7">
        <f t="shared" si="1"/>
        <v>20000</v>
      </c>
      <c r="G25" s="7">
        <v>3000</v>
      </c>
      <c r="H25" s="7">
        <v>500</v>
      </c>
      <c r="I25" s="7">
        <v>1000</v>
      </c>
      <c r="J25" s="7">
        <v>2500</v>
      </c>
      <c r="K25" s="7"/>
      <c r="L25" s="7">
        <v>13000</v>
      </c>
      <c r="M25" s="7">
        <v>80000</v>
      </c>
      <c r="N25" s="7">
        <f t="shared" si="2"/>
        <v>2400</v>
      </c>
      <c r="O25" s="7">
        <v>80000</v>
      </c>
      <c r="Q25" s="7"/>
    </row>
    <row r="26" spans="1:17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4485.0541343898904</v>
      </c>
      <c r="D26" s="6">
        <f>TONT20000AOUT!C26+TONT20000AOUT!D26+TONT20000SEPT!G26</f>
        <v>457264.60347189137</v>
      </c>
      <c r="E26" s="1"/>
      <c r="F26" s="7">
        <f t="shared" si="1"/>
        <v>20000</v>
      </c>
      <c r="G26" s="7">
        <v>3000</v>
      </c>
      <c r="H26" s="7">
        <v>500</v>
      </c>
      <c r="I26" s="7">
        <v>1000</v>
      </c>
      <c r="J26" s="7">
        <v>2500</v>
      </c>
      <c r="K26" s="7"/>
      <c r="L26" s="7">
        <v>13000</v>
      </c>
      <c r="N26" s="7">
        <f t="shared" si="2"/>
        <v>0</v>
      </c>
      <c r="Q26" s="7"/>
    </row>
    <row r="27" spans="1:17" x14ac:dyDescent="0.25">
      <c r="A27" s="1" t="s">
        <v>32</v>
      </c>
      <c r="B27" s="1" t="str">
        <f>VLOOKUP(A27,LISTADHERENT!A$5:H$51,2)</f>
        <v>NDJOMO ETIENNE</v>
      </c>
      <c r="C27" s="6">
        <f t="shared" si="0"/>
        <v>4972.6507775927366</v>
      </c>
      <c r="D27" s="6">
        <f>TONT20000AOUT!C27+TONT20000AOUT!D27+TONT20000SEPT!G27</f>
        <v>506976.5309152609</v>
      </c>
      <c r="E27" s="1"/>
      <c r="F27" s="7">
        <f t="shared" si="1"/>
        <v>25000</v>
      </c>
      <c r="G27" s="7">
        <v>8000</v>
      </c>
      <c r="H27" s="7">
        <v>500</v>
      </c>
      <c r="I27" s="7">
        <v>1000</v>
      </c>
      <c r="J27" s="7">
        <v>2500</v>
      </c>
      <c r="K27" s="7"/>
      <c r="L27" s="7">
        <v>13000</v>
      </c>
      <c r="M27" s="7">
        <v>400000</v>
      </c>
      <c r="N27" s="7">
        <f t="shared" si="2"/>
        <v>12000</v>
      </c>
      <c r="O27" s="7">
        <v>400000</v>
      </c>
      <c r="P27" s="7"/>
      <c r="Q27" s="7"/>
    </row>
    <row r="28" spans="1:17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TONT20000AOUT!C28+TONT20000AOUT!D28+TONT20000SEPT!G28</f>
        <v>0</v>
      </c>
      <c r="E28" s="1"/>
      <c r="F28" s="7">
        <f t="shared" si="1"/>
        <v>0</v>
      </c>
      <c r="G28" s="7"/>
      <c r="H28" s="7"/>
      <c r="I28" s="7"/>
      <c r="J28" s="7"/>
      <c r="K28" s="7"/>
      <c r="L28" s="7"/>
      <c r="N28" s="7">
        <f t="shared" si="2"/>
        <v>0</v>
      </c>
      <c r="Q28" s="7"/>
    </row>
    <row r="29" spans="1:17" x14ac:dyDescent="0.25">
      <c r="A29" s="1" t="s">
        <v>34</v>
      </c>
      <c r="B29" s="1" t="str">
        <f>VLOOKUP(A29,LISTADHERENT!A$5:H$51,2)</f>
        <v>NGONDIEP CLAUDE</v>
      </c>
      <c r="C29" s="6">
        <f t="shared" si="0"/>
        <v>6340.3601683560328</v>
      </c>
      <c r="D29" s="6">
        <f>TONT20000AOUT!C29+TONT20000AOUT!D29+TONT20000SEPT!G29</f>
        <v>646418.56962707138</v>
      </c>
      <c r="E29" s="1"/>
      <c r="F29" s="7">
        <f t="shared" si="1"/>
        <v>20000</v>
      </c>
      <c r="G29" s="7">
        <v>3000</v>
      </c>
      <c r="H29" s="7">
        <v>500</v>
      </c>
      <c r="I29" s="7">
        <v>1000</v>
      </c>
      <c r="J29" s="7">
        <v>2500</v>
      </c>
      <c r="K29" s="7"/>
      <c r="L29" s="7">
        <v>13000</v>
      </c>
      <c r="N29" s="7">
        <f t="shared" si="2"/>
        <v>0</v>
      </c>
      <c r="Q29" s="7"/>
    </row>
    <row r="30" spans="1:17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307.49889633950511</v>
      </c>
      <c r="D30" s="6">
        <f>TONT20000AOUT!C30+TONT20000AOUT!D30+TONT20000SEPT!G30</f>
        <v>31350.426703791665</v>
      </c>
      <c r="E30" s="1"/>
      <c r="F30" s="7">
        <f t="shared" si="1"/>
        <v>20000</v>
      </c>
      <c r="G30" s="7">
        <v>3000</v>
      </c>
      <c r="H30" s="7">
        <v>500</v>
      </c>
      <c r="I30" s="7">
        <v>1000</v>
      </c>
      <c r="J30" s="7">
        <v>2500</v>
      </c>
      <c r="K30" s="7"/>
      <c r="L30" s="7">
        <v>13000</v>
      </c>
      <c r="N30" s="7">
        <f t="shared" si="2"/>
        <v>0</v>
      </c>
      <c r="Q30" s="7"/>
    </row>
    <row r="31" spans="1:17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9291.0555041436946</v>
      </c>
      <c r="D31" s="6">
        <f>TONT20000AOUT!C31+TONT20000AOUT!D31+TONT20000SEPT!G31+375111</f>
        <v>947250.73179423879</v>
      </c>
      <c r="E31" s="1"/>
      <c r="F31" s="7">
        <f>G31+H31+I31+J31+K31+L31+Q31</f>
        <v>520000</v>
      </c>
      <c r="G31" s="7">
        <v>402945</v>
      </c>
      <c r="H31" s="7">
        <v>500</v>
      </c>
      <c r="I31" s="7">
        <v>1000</v>
      </c>
      <c r="J31" s="7">
        <v>2500</v>
      </c>
      <c r="K31" s="7">
        <v>50000</v>
      </c>
      <c r="L31" s="7">
        <v>13000</v>
      </c>
      <c r="N31" s="7">
        <f t="shared" si="2"/>
        <v>0</v>
      </c>
      <c r="Q31" s="7">
        <v>50055</v>
      </c>
    </row>
    <row r="32" spans="1:17" x14ac:dyDescent="0.25">
      <c r="A32" s="1" t="s">
        <v>37</v>
      </c>
      <c r="B32" s="1" t="str">
        <f>VLOOKUP(A32,LISTADHERENT!A$5:H$51,2)</f>
        <v>NJEPDJIO MBOUKAM DELUXE</v>
      </c>
      <c r="C32" s="6">
        <f t="shared" si="0"/>
        <v>4622.9553396479487</v>
      </c>
      <c r="D32" s="6">
        <f>TONT20000AOUT!C32+TONT20000AOUT!D32+TONT20000SEPT!G32</f>
        <v>471324.041340683</v>
      </c>
      <c r="E32" s="1"/>
      <c r="F32" s="7">
        <f t="shared" si="1"/>
        <v>20000</v>
      </c>
      <c r="G32" s="7">
        <v>3000</v>
      </c>
      <c r="H32" s="7">
        <v>500</v>
      </c>
      <c r="I32" s="7">
        <v>1000</v>
      </c>
      <c r="J32" s="7">
        <v>2500</v>
      </c>
      <c r="K32" s="7"/>
      <c r="L32" s="7">
        <v>13000</v>
      </c>
      <c r="N32" s="7">
        <f t="shared" si="2"/>
        <v>0</v>
      </c>
      <c r="Q32" s="7"/>
    </row>
    <row r="33" spans="1:17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4998.9138434072893</v>
      </c>
      <c r="D33" s="6">
        <f>TONT20000AOUT!C33+TONT20000AOUT!D33+TONT20000SEPT!G33</f>
        <v>509654.12855752016</v>
      </c>
      <c r="E33" s="1"/>
      <c r="F33" s="7">
        <f t="shared" si="1"/>
        <v>23000</v>
      </c>
      <c r="G33" s="7">
        <v>6000</v>
      </c>
      <c r="H33" s="7">
        <v>500</v>
      </c>
      <c r="I33" s="7">
        <v>1000</v>
      </c>
      <c r="J33" s="7">
        <v>2500</v>
      </c>
      <c r="K33" s="7"/>
      <c r="L33" s="7">
        <v>13000</v>
      </c>
      <c r="M33" s="11"/>
      <c r="N33" s="7">
        <f t="shared" si="2"/>
        <v>0</v>
      </c>
      <c r="Q33" s="7"/>
    </row>
    <row r="34" spans="1:17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5043.3939653713196</v>
      </c>
      <c r="D34" s="6">
        <f>TONT20000AOUT!C34+TONT20000AOUT!D34+TONT20000SEPT!G34</f>
        <v>514189.00923517119</v>
      </c>
      <c r="E34" s="1"/>
      <c r="F34" s="10">
        <f>G34+H34+I34+J34+K34+L34</f>
        <v>25000</v>
      </c>
      <c r="G34" s="7">
        <v>8000</v>
      </c>
      <c r="H34" s="7">
        <v>500</v>
      </c>
      <c r="I34" s="7">
        <v>1000</v>
      </c>
      <c r="J34" s="7">
        <v>2500</v>
      </c>
      <c r="K34" s="7"/>
      <c r="L34" s="7">
        <v>13000</v>
      </c>
      <c r="M34"/>
      <c r="N34" s="7">
        <f t="shared" si="2"/>
        <v>0</v>
      </c>
      <c r="Q34" s="7"/>
    </row>
    <row r="35" spans="1:17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4493.4630099192664</v>
      </c>
      <c r="D35" s="6">
        <f>TONT20000AOUT!C35+TONT20000AOUT!D35+TONT20000SEPT!G35</f>
        <v>458121.9133324573</v>
      </c>
      <c r="E35" s="1"/>
      <c r="F35" s="7">
        <f t="shared" si="1"/>
        <v>0</v>
      </c>
      <c r="G35" s="7"/>
      <c r="H35" s="7"/>
      <c r="I35" s="7"/>
      <c r="J35" s="7"/>
      <c r="K35" s="7"/>
      <c r="L35" s="7"/>
      <c r="N35" s="7">
        <f t="shared" si="2"/>
        <v>0</v>
      </c>
      <c r="Q35" s="7"/>
    </row>
    <row r="36" spans="1:17" x14ac:dyDescent="0.25">
      <c r="A36" s="1" t="s">
        <v>41</v>
      </c>
      <c r="B36" s="1" t="str">
        <f>VLOOKUP(A36,LISTADHERENT!A$5:H$51,2)</f>
        <v>NTEPDIE TUEMAC MZ</v>
      </c>
      <c r="C36" s="6">
        <f t="shared" si="0"/>
        <v>92.797939540450287</v>
      </c>
      <c r="D36" s="6">
        <f>TONT20000AOUT!C36+TONT20000AOUT!D36+TONT20000SEPT!G36</f>
        <v>9461.0258328007476</v>
      </c>
      <c r="E36" s="1"/>
      <c r="F36" s="7">
        <f t="shared" si="1"/>
        <v>20000</v>
      </c>
      <c r="G36" s="7">
        <v>3000</v>
      </c>
      <c r="H36" s="7">
        <v>500</v>
      </c>
      <c r="I36" s="7">
        <v>1000</v>
      </c>
      <c r="J36" s="7">
        <v>2500</v>
      </c>
      <c r="K36" s="7"/>
      <c r="L36" s="7">
        <v>13000</v>
      </c>
      <c r="N36" s="7">
        <f t="shared" si="2"/>
        <v>0</v>
      </c>
      <c r="Q36" s="7"/>
    </row>
    <row r="37" spans="1:17" x14ac:dyDescent="0.25">
      <c r="A37" s="1" t="s">
        <v>42</v>
      </c>
      <c r="B37" s="1" t="str">
        <f>VLOOKUP(A37,LISTADHERENT!A$5:H$51,2)</f>
        <v>NTOMBOU ADOLPHE</v>
      </c>
      <c r="C37" s="6">
        <f t="shared" si="0"/>
        <v>278.07356513956506</v>
      </c>
      <c r="D37" s="6">
        <f>TONT20000AOUT!C37+TONT20000AOUT!D37+TONT20000SEPT!G37</f>
        <v>28350.426703791665</v>
      </c>
      <c r="E37" s="1"/>
      <c r="F37" s="7">
        <f t="shared" si="1"/>
        <v>0</v>
      </c>
      <c r="G37" s="7"/>
      <c r="H37" s="7"/>
      <c r="I37" s="7"/>
      <c r="J37" s="7"/>
      <c r="K37" s="7"/>
      <c r="L37" s="7"/>
      <c r="N37" s="7">
        <f t="shared" si="2"/>
        <v>0</v>
      </c>
      <c r="Q37" s="7"/>
    </row>
    <row r="38" spans="1:17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4439.8162013157289</v>
      </c>
      <c r="D38" s="6">
        <f>TONT20000AOUT!C38+TONT20000AOUT!D38+TONT20000SEPT!G38</f>
        <v>452652.46169852157</v>
      </c>
      <c r="E38" s="1"/>
      <c r="F38" s="7">
        <f t="shared" si="1"/>
        <v>20000</v>
      </c>
      <c r="G38" s="7">
        <v>3000</v>
      </c>
      <c r="H38" s="7">
        <v>500</v>
      </c>
      <c r="I38" s="7">
        <v>1000</v>
      </c>
      <c r="J38" s="7">
        <v>2500</v>
      </c>
      <c r="K38" s="7"/>
      <c r="L38" s="7">
        <v>13000</v>
      </c>
      <c r="N38" s="7">
        <f t="shared" si="2"/>
        <v>0</v>
      </c>
      <c r="Q38" s="7"/>
    </row>
    <row r="39" spans="1:17" x14ac:dyDescent="0.25">
      <c r="A39" s="1" t="s">
        <v>44</v>
      </c>
      <c r="B39" s="1" t="str">
        <f>VLOOKUP(A39,LISTADHERENT!A$5:H$51,2)</f>
        <v>SEUNOU RICHELOT</v>
      </c>
      <c r="C39" s="6">
        <f t="shared" si="0"/>
        <v>4466.2111742075131</v>
      </c>
      <c r="D39" s="6">
        <f>TONT20000AOUT!C39+TONT20000AOUT!D39+TONT20000SEPT!G39</f>
        <v>455343.50765947625</v>
      </c>
      <c r="E39" s="1"/>
      <c r="F39" s="7">
        <f t="shared" si="1"/>
        <v>20000</v>
      </c>
      <c r="G39" s="7">
        <v>3000</v>
      </c>
      <c r="H39" s="7">
        <v>500</v>
      </c>
      <c r="I39" s="7">
        <v>1000</v>
      </c>
      <c r="J39" s="7">
        <v>2500</v>
      </c>
      <c r="K39" s="7"/>
      <c r="L39" s="7">
        <v>13000</v>
      </c>
      <c r="N39" s="7">
        <f t="shared" si="2"/>
        <v>0</v>
      </c>
      <c r="Q39" s="7"/>
    </row>
    <row r="40" spans="1:17" x14ac:dyDescent="0.25">
      <c r="A40" s="1" t="s">
        <v>45</v>
      </c>
      <c r="B40" s="1" t="str">
        <f>VLOOKUP(A40,LISTADHERENT!A$5:H$51,2)</f>
        <v>SIME ABEL</v>
      </c>
      <c r="C40" s="6">
        <f t="shared" si="0"/>
        <v>4132.791952331715</v>
      </c>
      <c r="D40" s="6">
        <f>TONT20000AOUT!C40+TONT20000AOUT!D40+TONT20000SEPT!G40+390000</f>
        <v>421350.42670379166</v>
      </c>
      <c r="E40" s="1"/>
      <c r="F40" s="7">
        <f t="shared" si="1"/>
        <v>20000</v>
      </c>
      <c r="G40" s="7">
        <v>3000</v>
      </c>
      <c r="H40" s="7">
        <v>500</v>
      </c>
      <c r="I40" s="7">
        <v>1000</v>
      </c>
      <c r="J40" s="7">
        <v>2500</v>
      </c>
      <c r="K40" s="7"/>
      <c r="L40" s="7">
        <v>13000</v>
      </c>
      <c r="N40" s="7">
        <f t="shared" si="2"/>
        <v>0</v>
      </c>
      <c r="Q40" s="7"/>
    </row>
    <row r="41" spans="1:17" x14ac:dyDescent="0.25">
      <c r="A41" s="1" t="s">
        <v>46</v>
      </c>
      <c r="B41" s="1" t="str">
        <f>VLOOKUP(A41,LISTADHERENT!A$5:H$51,2)</f>
        <v>SIME FONGANG ERIC</v>
      </c>
      <c r="C41" s="6">
        <f t="shared" si="0"/>
        <v>4448.7345669557299</v>
      </c>
      <c r="D41" s="6">
        <f>TONT20000AOUT!C41+TONT20000AOUT!D41+TONT20000SEPT!G41</f>
        <v>453561.71559062588</v>
      </c>
      <c r="E41" s="1"/>
      <c r="F41" s="7">
        <f t="shared" si="1"/>
        <v>20000</v>
      </c>
      <c r="G41" s="7">
        <v>3000</v>
      </c>
      <c r="H41" s="7">
        <v>500</v>
      </c>
      <c r="I41" s="7">
        <v>1000</v>
      </c>
      <c r="J41" s="7">
        <v>2500</v>
      </c>
      <c r="K41" s="7"/>
      <c r="L41" s="7">
        <v>13000</v>
      </c>
      <c r="M41" s="7">
        <v>1000000</v>
      </c>
      <c r="N41" s="7">
        <f t="shared" si="2"/>
        <v>120000</v>
      </c>
      <c r="Q41" s="7"/>
    </row>
    <row r="42" spans="1:17" x14ac:dyDescent="0.25">
      <c r="A42" s="1" t="s">
        <v>47</v>
      </c>
      <c r="B42" s="1" t="str">
        <f>VLOOKUP(A42,LISTADHERENT!A$5:H$51,2)</f>
        <v>SIME MATHIEU</v>
      </c>
      <c r="C42" s="6">
        <f t="shared" si="0"/>
        <v>4445.0697753744471</v>
      </c>
      <c r="D42" s="6">
        <f>TONT20000AOUT!C42+TONT20000AOUT!D42+TONT20000SEPT!G42</f>
        <v>453188.07919315784</v>
      </c>
      <c r="E42" s="1"/>
      <c r="F42" s="7">
        <f t="shared" si="1"/>
        <v>20000</v>
      </c>
      <c r="G42" s="7">
        <v>3000</v>
      </c>
      <c r="H42" s="7">
        <v>500</v>
      </c>
      <c r="I42" s="7">
        <v>1000</v>
      </c>
      <c r="J42" s="7">
        <v>2500</v>
      </c>
      <c r="K42" s="7"/>
      <c r="L42" s="7">
        <v>13000</v>
      </c>
      <c r="M42" s="7">
        <v>800000</v>
      </c>
      <c r="N42" s="7">
        <f t="shared" si="2"/>
        <v>96000</v>
      </c>
      <c r="Q42" s="7"/>
    </row>
    <row r="43" spans="1:17" x14ac:dyDescent="0.25">
      <c r="A43" s="1" t="s">
        <v>48</v>
      </c>
      <c r="B43" s="1" t="str">
        <f>VLOOKUP(A43,LISTADHERENT!A$5:H$51,2)</f>
        <v>SIME PIERRE</v>
      </c>
      <c r="C43" s="6">
        <f t="shared" si="0"/>
        <v>11984.104881001938</v>
      </c>
      <c r="D43" s="6">
        <f>TONT20000AOUT!C43+TONT20000AOUT!D43+TONT20000SEPT!G43+550000</f>
        <v>1221815.1224438567</v>
      </c>
      <c r="E43" s="1"/>
      <c r="F43" s="7">
        <f t="shared" si="1"/>
        <v>20000</v>
      </c>
      <c r="G43" s="7">
        <v>3000</v>
      </c>
      <c r="H43" s="7">
        <v>500</v>
      </c>
      <c r="I43" s="7">
        <v>1000</v>
      </c>
      <c r="J43" s="7">
        <v>2500</v>
      </c>
      <c r="K43" s="7"/>
      <c r="L43" s="7">
        <v>13000</v>
      </c>
      <c r="N43" s="7">
        <f t="shared" si="2"/>
        <v>0</v>
      </c>
      <c r="Q43" s="7"/>
    </row>
    <row r="44" spans="1:17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4132.791952331715</v>
      </c>
      <c r="D44" s="6">
        <f>TONT20000AOUT!C44+TONT20000AOUT!D44+TONT20000SEPT!G44+390000</f>
        <v>421350.42670379166</v>
      </c>
      <c r="E44" s="1"/>
      <c r="F44" s="7">
        <f t="shared" si="1"/>
        <v>20000</v>
      </c>
      <c r="G44" s="7">
        <v>3000</v>
      </c>
      <c r="H44" s="7">
        <v>500</v>
      </c>
      <c r="I44" s="7">
        <v>1000</v>
      </c>
      <c r="J44" s="7">
        <v>2500</v>
      </c>
      <c r="K44" s="7"/>
      <c r="L44" s="7">
        <v>13000</v>
      </c>
      <c r="N44" s="7">
        <f t="shared" si="2"/>
        <v>0</v>
      </c>
      <c r="Q44" s="7"/>
    </row>
    <row r="45" spans="1:17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307.49889633950511</v>
      </c>
      <c r="D45" s="6">
        <f>TONT20000AOUT!C45+TONT20000AOUT!D45+TONT20000SEPT!G45</f>
        <v>31350.426703791665</v>
      </c>
      <c r="E45" s="1"/>
      <c r="F45" s="7">
        <f t="shared" si="1"/>
        <v>20000</v>
      </c>
      <c r="G45" s="7">
        <v>3000</v>
      </c>
      <c r="H45" s="7">
        <v>500</v>
      </c>
      <c r="I45" s="7">
        <v>1000</v>
      </c>
      <c r="J45" s="7">
        <v>2500</v>
      </c>
      <c r="K45" s="7"/>
      <c r="L45" s="7">
        <v>13000</v>
      </c>
      <c r="N45" s="7">
        <f t="shared" si="2"/>
        <v>0</v>
      </c>
      <c r="Q45" s="7"/>
    </row>
    <row r="46" spans="1:17" x14ac:dyDescent="0.25">
      <c r="A46" s="1" t="s">
        <v>51</v>
      </c>
      <c r="B46" s="1" t="str">
        <f>VLOOKUP(A46,LISTADHERENT!A$5:H$51,2)</f>
        <v>TCHOUAMOU MATHIEU</v>
      </c>
      <c r="C46" s="6">
        <f t="shared" si="0"/>
        <v>4474.7376401697466</v>
      </c>
      <c r="D46" s="6">
        <f>TONT20000AOUT!C46+TONT20000AOUT!D46+TONT20000SEPT!G46</f>
        <v>456212.80621427903</v>
      </c>
      <c r="E46" s="1"/>
      <c r="F46" s="7">
        <f t="shared" si="1"/>
        <v>20000</v>
      </c>
      <c r="G46" s="7">
        <v>3000</v>
      </c>
      <c r="H46" s="7">
        <v>500</v>
      </c>
      <c r="I46" s="7">
        <v>1000</v>
      </c>
      <c r="J46" s="7">
        <v>2500</v>
      </c>
      <c r="K46" s="7"/>
      <c r="L46" s="7">
        <v>13000</v>
      </c>
      <c r="M46" s="7"/>
      <c r="N46" s="7">
        <f t="shared" si="2"/>
        <v>0</v>
      </c>
      <c r="P46" s="7">
        <v>40750</v>
      </c>
      <c r="Q46" s="7"/>
    </row>
    <row r="47" spans="1:17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4037.228447449218</v>
      </c>
      <c r="D47" s="6">
        <f>TONT20000AOUT!C47+TONT20000AOUT!D47+TONT20000SEPT!G47</f>
        <v>411607.44326209388</v>
      </c>
      <c r="E47" s="1"/>
      <c r="F47" s="7">
        <f t="shared" si="1"/>
        <v>20000</v>
      </c>
      <c r="G47" s="7">
        <v>3000</v>
      </c>
      <c r="H47" s="7">
        <v>500</v>
      </c>
      <c r="I47" s="7">
        <v>1000</v>
      </c>
      <c r="J47" s="7">
        <v>2500</v>
      </c>
      <c r="K47" s="7"/>
      <c r="L47" s="7">
        <v>13000</v>
      </c>
      <c r="N47" s="7">
        <f t="shared" si="2"/>
        <v>0</v>
      </c>
      <c r="Q47" s="7"/>
    </row>
    <row r="48" spans="1:17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183.34441797281437</v>
      </c>
      <c r="D48" s="6">
        <f>TONT20000AOUT!C48+TONT20000AOUT!D48+TONT20000SEPT!G48</f>
        <v>18692.508511834974</v>
      </c>
      <c r="E48" s="1"/>
      <c r="F48" s="7">
        <f t="shared" si="1"/>
        <v>20000</v>
      </c>
      <c r="G48" s="7">
        <v>3000</v>
      </c>
      <c r="H48" s="7">
        <v>500</v>
      </c>
      <c r="I48" s="7">
        <v>1000</v>
      </c>
      <c r="J48" s="7">
        <v>2500</v>
      </c>
      <c r="K48" s="7"/>
      <c r="L48" s="7">
        <v>13000</v>
      </c>
      <c r="N48" s="7">
        <f t="shared" si="2"/>
        <v>0</v>
      </c>
      <c r="Q48" s="7"/>
    </row>
    <row r="49" spans="1:17" x14ac:dyDescent="0.25">
      <c r="A49" s="1" t="s">
        <v>54</v>
      </c>
      <c r="B49" s="1" t="str">
        <f>VLOOKUP(A49,LISTADHERENT!A$5:H$51,2)</f>
        <v>TIEYAM ERNEST</v>
      </c>
      <c r="C49" s="6">
        <f t="shared" si="0"/>
        <v>4445.6844682934607</v>
      </c>
      <c r="D49" s="6">
        <f>TONT20000AOUT!C49+TONT20000AOUT!D49+TONT20000SEPT!G49</f>
        <v>453250.74896378885</v>
      </c>
      <c r="E49" s="1"/>
      <c r="F49" s="7">
        <f t="shared" si="1"/>
        <v>20000</v>
      </c>
      <c r="G49" s="7">
        <v>3000</v>
      </c>
      <c r="H49" s="7">
        <v>500</v>
      </c>
      <c r="I49" s="7">
        <v>1000</v>
      </c>
      <c r="J49" s="7">
        <v>2500</v>
      </c>
      <c r="K49" s="7"/>
      <c r="L49" s="7">
        <v>13000</v>
      </c>
      <c r="N49" s="7">
        <f t="shared" si="2"/>
        <v>0</v>
      </c>
      <c r="Q49" s="7"/>
    </row>
    <row r="50" spans="1:17" x14ac:dyDescent="0.25">
      <c r="A50" s="1" t="s">
        <v>55</v>
      </c>
      <c r="B50" s="1" t="str">
        <f>VLOOKUP(A50,LISTADHERENT!A$5:H$51,2)</f>
        <v>TUGMA PIERRE LOTI</v>
      </c>
      <c r="C50" s="6">
        <f t="shared" si="0"/>
        <v>4625.1317894837302</v>
      </c>
      <c r="D50" s="6">
        <f>TONT20000AOUT!C50+TONT20000AOUT!D50+TONT20000SEPT!G50</f>
        <v>471545.93687222281</v>
      </c>
      <c r="E50" s="1"/>
      <c r="F50" s="7">
        <f t="shared" si="1"/>
        <v>20000</v>
      </c>
      <c r="G50" s="7">
        <v>3000</v>
      </c>
      <c r="H50" s="7">
        <v>500</v>
      </c>
      <c r="I50" s="7">
        <v>1000</v>
      </c>
      <c r="J50" s="7">
        <v>2500</v>
      </c>
      <c r="K50" s="7"/>
      <c r="L50" s="7">
        <v>13000</v>
      </c>
      <c r="N50" s="7">
        <f t="shared" si="2"/>
        <v>0</v>
      </c>
      <c r="Q50" s="7"/>
    </row>
    <row r="51" spans="1:17" ht="18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8900.0264339849582</v>
      </c>
      <c r="D51" s="6">
        <f>TONT20000AOUT!C51+TONT20000AOUT!D51+TONT20000SEPT!G51</f>
        <v>907384.15552682884</v>
      </c>
      <c r="E51" s="1"/>
      <c r="F51" s="7">
        <f t="shared" si="1"/>
        <v>20000</v>
      </c>
      <c r="G51" s="7">
        <v>3000</v>
      </c>
      <c r="H51" s="7">
        <v>500</v>
      </c>
      <c r="I51" s="7">
        <v>1000</v>
      </c>
      <c r="J51" s="7">
        <v>2500</v>
      </c>
      <c r="K51" s="7"/>
      <c r="L51" s="7">
        <v>13000</v>
      </c>
      <c r="M51" s="9"/>
      <c r="N51" s="7">
        <f t="shared" si="2"/>
        <v>0</v>
      </c>
      <c r="Q51" s="7"/>
    </row>
    <row r="52" spans="1:17" x14ac:dyDescent="0.25">
      <c r="A52" s="1" t="s">
        <v>178</v>
      </c>
      <c r="B52" s="1" t="str">
        <f>VLOOKUP(A52,LISTADHERENT!A$5:H$51,2)</f>
        <v>YOUMBI EMMANUEL</v>
      </c>
      <c r="C52" s="6">
        <f t="shared" si="0"/>
        <v>15064.947305525868</v>
      </c>
      <c r="D52" s="6">
        <f>TONT20000AOUT!C52+TONT20000AOUT!D52+TONT20000SEPT!G52</f>
        <v>1535916.1672467308</v>
      </c>
      <c r="E52" s="1"/>
      <c r="F52" s="7">
        <f t="shared" si="1"/>
        <v>20000</v>
      </c>
      <c r="G52" s="7">
        <v>3000</v>
      </c>
      <c r="H52" s="7">
        <v>500</v>
      </c>
      <c r="I52" s="7">
        <v>1000</v>
      </c>
      <c r="J52" s="7">
        <v>2500</v>
      </c>
      <c r="L52" s="7">
        <v>13000</v>
      </c>
      <c r="N52" s="7">
        <f t="shared" si="2"/>
        <v>0</v>
      </c>
      <c r="Q52" s="7"/>
    </row>
    <row r="53" spans="1:17" x14ac:dyDescent="0.25">
      <c r="A53" s="1"/>
      <c r="B53" s="1"/>
      <c r="C53" s="1"/>
      <c r="D53" s="1"/>
      <c r="E53" s="1"/>
      <c r="F53" s="7"/>
      <c r="G53" s="7"/>
      <c r="H53" s="7"/>
      <c r="I53" s="7"/>
      <c r="J53" s="7"/>
      <c r="L53" s="7"/>
      <c r="N53" s="7"/>
      <c r="Q53" s="7"/>
    </row>
    <row r="54" spans="1:17" ht="18" x14ac:dyDescent="0.25">
      <c r="A54" s="1"/>
      <c r="B54" s="1" t="s">
        <v>180</v>
      </c>
      <c r="C54" s="1"/>
      <c r="D54" s="1"/>
      <c r="E54" s="1"/>
      <c r="H54" s="4"/>
      <c r="L54" s="7"/>
      <c r="N54" s="7">
        <f t="shared" si="2"/>
        <v>0</v>
      </c>
      <c r="O54" s="9"/>
      <c r="P54" s="9"/>
      <c r="Q54" s="7"/>
    </row>
    <row r="55" spans="1:17" ht="18" x14ac:dyDescent="0.25">
      <c r="A55" s="1"/>
      <c r="B55" s="1"/>
      <c r="C55" s="1"/>
      <c r="D55" s="1"/>
      <c r="E55" s="1"/>
      <c r="H55" s="4"/>
      <c r="O55" s="9"/>
      <c r="P55" s="9"/>
    </row>
    <row r="56" spans="1:17" ht="18" x14ac:dyDescent="0.25">
      <c r="A56" s="8" t="s">
        <v>56</v>
      </c>
      <c r="B56" s="8"/>
      <c r="C56" s="9">
        <f>SUM(C5:C52)</f>
        <v>230400.00000000009</v>
      </c>
      <c r="D56" s="9">
        <f t="shared" ref="D56:Q56" si="3">SUM(D5:D52)</f>
        <v>23489964.999999989</v>
      </c>
      <c r="E56" s="9">
        <f t="shared" si="3"/>
        <v>0</v>
      </c>
      <c r="F56" s="9">
        <f t="shared" si="3"/>
        <v>1356000</v>
      </c>
      <c r="G56" s="9">
        <f t="shared" si="3"/>
        <v>541945</v>
      </c>
      <c r="H56" s="9">
        <f t="shared" si="3"/>
        <v>21000</v>
      </c>
      <c r="I56" s="9">
        <f t="shared" si="3"/>
        <v>42000</v>
      </c>
      <c r="J56" s="9">
        <f t="shared" si="3"/>
        <v>105000</v>
      </c>
      <c r="K56" s="9">
        <f t="shared" si="3"/>
        <v>50000</v>
      </c>
      <c r="L56" s="9">
        <f t="shared" si="3"/>
        <v>546000</v>
      </c>
      <c r="M56" s="9">
        <f t="shared" si="3"/>
        <v>2280000</v>
      </c>
      <c r="N56" s="9">
        <f t="shared" si="3"/>
        <v>230400</v>
      </c>
      <c r="O56" s="9">
        <f t="shared" si="3"/>
        <v>480000</v>
      </c>
      <c r="P56" s="9">
        <f t="shared" si="3"/>
        <v>40750</v>
      </c>
      <c r="Q56" s="9">
        <f t="shared" si="3"/>
        <v>50055</v>
      </c>
    </row>
  </sheetData>
  <autoFilter ref="A4:O51"/>
  <dataValidations disablePrompts="1" count="1">
    <dataValidation type="list" allowBlank="1" showInputMessage="1" showErrorMessage="1" promptTitle="Saissisez le mode de VERSEMENT" sqref="H6:H53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6"/>
  <sheetViews>
    <sheetView workbookViewId="0">
      <pane xSplit="2" ySplit="4" topLeftCell="C26" activePane="bottomRight" state="frozen"/>
      <selection activeCell="D29" sqref="D29"/>
      <selection pane="topRight" activeCell="D29" sqref="D29"/>
      <selection pane="bottomLeft" activeCell="D29" sqref="D29"/>
      <selection pane="bottomRight" activeCell="A33" sqref="A33:XFD3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5" width="29.5703125" customWidth="1"/>
    <col min="6" max="6" width="17.42578125" style="2" customWidth="1"/>
    <col min="7" max="7" width="12.5703125" bestFit="1" customWidth="1"/>
    <col min="8" max="8" width="12.5703125" customWidth="1"/>
    <col min="9" max="9" width="15.7109375" style="2" customWidth="1"/>
    <col min="10" max="10" width="14.7109375" style="2" customWidth="1"/>
    <col min="11" max="11" width="18.140625" style="2" bestFit="1" customWidth="1"/>
    <col min="12" max="12" width="18.140625" customWidth="1"/>
    <col min="13" max="13" width="15" bestFit="1" customWidth="1"/>
    <col min="14" max="14" width="12.5703125" bestFit="1" customWidth="1"/>
    <col min="15" max="15" width="18.140625" customWidth="1"/>
  </cols>
  <sheetData>
    <row r="1" spans="1:18" x14ac:dyDescent="0.25">
      <c r="A1" s="1" t="s">
        <v>0</v>
      </c>
      <c r="B1" s="1" t="s">
        <v>1</v>
      </c>
      <c r="C1" s="1"/>
      <c r="D1" s="1"/>
      <c r="E1" s="1"/>
    </row>
    <row r="2" spans="1:18" x14ac:dyDescent="0.25">
      <c r="A2" s="1" t="s">
        <v>2</v>
      </c>
      <c r="B2" s="1" t="s">
        <v>3</v>
      </c>
      <c r="C2" s="1"/>
      <c r="D2" s="1"/>
      <c r="E2" s="1"/>
    </row>
    <row r="3" spans="1:18" x14ac:dyDescent="0.25">
      <c r="A3" s="1" t="s">
        <v>4</v>
      </c>
      <c r="B3" s="1" t="s">
        <v>5</v>
      </c>
      <c r="C3" s="1"/>
      <c r="D3" s="1"/>
      <c r="E3" s="1"/>
    </row>
    <row r="4" spans="1:18" ht="43.5" x14ac:dyDescent="0.25">
      <c r="A4" s="1" t="s">
        <v>6</v>
      </c>
      <c r="B4" s="1" t="s">
        <v>7</v>
      </c>
      <c r="C4" s="5" t="s">
        <v>186</v>
      </c>
      <c r="D4" s="5" t="s">
        <v>187</v>
      </c>
      <c r="E4" s="1" t="s">
        <v>184</v>
      </c>
      <c r="F4" s="5" t="s">
        <v>65</v>
      </c>
      <c r="G4" s="1" t="s">
        <v>57</v>
      </c>
      <c r="H4" s="5" t="s">
        <v>58</v>
      </c>
      <c r="I4" s="5" t="s">
        <v>59</v>
      </c>
      <c r="J4" s="5" t="s">
        <v>60</v>
      </c>
      <c r="K4" s="5" t="s">
        <v>61</v>
      </c>
      <c r="L4" s="5" t="s">
        <v>62</v>
      </c>
      <c r="M4" s="5" t="s">
        <v>63</v>
      </c>
      <c r="N4" s="5" t="s">
        <v>64</v>
      </c>
      <c r="O4" s="5" t="s">
        <v>8</v>
      </c>
      <c r="P4" s="5" t="s">
        <v>182</v>
      </c>
      <c r="Q4" s="5" t="s">
        <v>181</v>
      </c>
    </row>
    <row r="5" spans="1:18" x14ac:dyDescent="0.25">
      <c r="A5" s="1" t="s">
        <v>185</v>
      </c>
      <c r="B5" s="1" t="str">
        <f>VLOOKUP(A5,LISTADHERENT!A$5:H$52,2,0)</f>
        <v>ASELBY</v>
      </c>
      <c r="C5" s="6">
        <f>$N$56/$D$56*D5</f>
        <v>2815.3424170785856</v>
      </c>
      <c r="D5" s="6">
        <f>TONT20000SEPT!C5+TONT20000SEPT!D5+TONT20000OCT!G5</f>
        <v>346926.26239911315</v>
      </c>
      <c r="E5" s="1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2"/>
    </row>
    <row r="6" spans="1:18" x14ac:dyDescent="0.25">
      <c r="A6" s="1" t="s">
        <v>11</v>
      </c>
      <c r="B6" s="1" t="str">
        <f>VLOOKUP(A6,LISTADHERENT!A$5:H$51,2)</f>
        <v>BAKOP ACHILLE</v>
      </c>
      <c r="C6" s="6">
        <f t="shared" ref="C6:C52" si="0">$N$56/$D$56*D6</f>
        <v>4003.7762017877671</v>
      </c>
      <c r="D6" s="6">
        <f>TONT20000SEPT!C6+TONT20000SEPT!D6+TONT20000OCT!G6</f>
        <v>493373.41871547396</v>
      </c>
      <c r="E6" s="1"/>
      <c r="F6" s="7">
        <f t="shared" ref="F6:F52" si="1">G6+H6+I6+J6+K6+L6</f>
        <v>65000</v>
      </c>
      <c r="G6" s="7">
        <v>6000</v>
      </c>
      <c r="H6" s="7">
        <v>1000</v>
      </c>
      <c r="I6" s="7">
        <v>2000</v>
      </c>
      <c r="J6" s="7">
        <v>5000</v>
      </c>
      <c r="K6" s="7">
        <v>25000</v>
      </c>
      <c r="L6" s="7">
        <v>26000</v>
      </c>
      <c r="M6" s="7"/>
      <c r="N6" s="7">
        <f>IF(M6&lt;=500000,(M6*1*3/100),(M6*12/100))</f>
        <v>0</v>
      </c>
    </row>
    <row r="7" spans="1:18" x14ac:dyDescent="0.25">
      <c r="A7" s="1" t="s">
        <v>12</v>
      </c>
      <c r="B7" s="1" t="str">
        <f>VLOOKUP(A7,LISTADHERENT!A$5:H$51,2)</f>
        <v>BOUTCHOUANG WILLIAM</v>
      </c>
      <c r="C7" s="6">
        <f t="shared" si="0"/>
        <v>3747.5365260085014</v>
      </c>
      <c r="D7" s="6">
        <f>TONT20000SEPT!C7+TONT20000SEPT!D7+TONT20000OCT!G7</f>
        <v>461797.76651160925</v>
      </c>
      <c r="E7" s="1"/>
      <c r="F7" s="7">
        <f t="shared" si="1"/>
        <v>20000</v>
      </c>
      <c r="G7" s="7">
        <v>3000</v>
      </c>
      <c r="H7" s="7">
        <v>500</v>
      </c>
      <c r="I7" s="7">
        <v>1000</v>
      </c>
      <c r="J7" s="7">
        <v>2500</v>
      </c>
      <c r="K7" s="7"/>
      <c r="L7" s="7">
        <v>13000</v>
      </c>
      <c r="M7" s="7"/>
      <c r="N7" s="7">
        <f t="shared" ref="N7:N54" si="2">IF(M7&lt;=500000,(M7*1*3/100),(M7*12/100))</f>
        <v>0</v>
      </c>
    </row>
    <row r="8" spans="1:18" x14ac:dyDescent="0.25">
      <c r="A8" s="1" t="s">
        <v>13</v>
      </c>
      <c r="B8" s="1" t="str">
        <f>VLOOKUP(A8,LISTADHERENT!A$5:H$51,2)</f>
        <v>CHINGUE FABRICE</v>
      </c>
      <c r="C8" s="6">
        <f t="shared" si="0"/>
        <v>3748.757721543735</v>
      </c>
      <c r="D8" s="6">
        <f>TONT20000SEPT!C8+TONT20000SEPT!D8+TONT20000OCT!G8</f>
        <v>461948.25080088328</v>
      </c>
      <c r="E8" s="1"/>
      <c r="F8" s="7">
        <f t="shared" si="1"/>
        <v>20000</v>
      </c>
      <c r="G8" s="7">
        <v>3000</v>
      </c>
      <c r="H8" s="7">
        <v>500</v>
      </c>
      <c r="I8" s="7">
        <v>1000</v>
      </c>
      <c r="J8" s="7">
        <v>2500</v>
      </c>
      <c r="K8" s="7"/>
      <c r="L8" s="7">
        <v>13000</v>
      </c>
      <c r="N8" s="7">
        <f t="shared" si="2"/>
        <v>0</v>
      </c>
    </row>
    <row r="9" spans="1:18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3845.2073578289496</v>
      </c>
      <c r="D9" s="6">
        <f>TONT20000SEPT!C9+TONT20000SEPT!D9+TONT20000OCT!G9</f>
        <v>473833.45226810122</v>
      </c>
      <c r="E9" s="1"/>
      <c r="F9" s="7">
        <f t="shared" si="1"/>
        <v>25000</v>
      </c>
      <c r="G9" s="7">
        <v>8000</v>
      </c>
      <c r="H9" s="7">
        <v>500</v>
      </c>
      <c r="I9" s="7">
        <v>1000</v>
      </c>
      <c r="J9" s="7">
        <v>2500</v>
      </c>
      <c r="K9" s="7"/>
      <c r="L9" s="7">
        <v>13000</v>
      </c>
      <c r="N9" s="7">
        <f t="shared" si="2"/>
        <v>0</v>
      </c>
    </row>
    <row r="10" spans="1:18" x14ac:dyDescent="0.25">
      <c r="A10" s="1" t="s">
        <v>15</v>
      </c>
      <c r="B10" s="1" t="str">
        <f>VLOOKUP(A10,LISTADHERENT!A$5:H$51,2)</f>
        <v>DJOUKWE GUY</v>
      </c>
      <c r="C10" s="6">
        <f t="shared" si="0"/>
        <v>4127.9115894989272</v>
      </c>
      <c r="D10" s="6">
        <f>TONT20000SEPT!C10+TONT20000SEPT!D10+TONT20000OCT!G10</f>
        <v>508670.25288699399</v>
      </c>
      <c r="E10" s="1"/>
      <c r="F10" s="7">
        <f t="shared" si="1"/>
        <v>20000</v>
      </c>
      <c r="G10" s="7">
        <v>3000</v>
      </c>
      <c r="H10" s="7">
        <v>500</v>
      </c>
      <c r="I10" s="7">
        <v>1000</v>
      </c>
      <c r="J10" s="7">
        <v>2500</v>
      </c>
      <c r="K10" s="7"/>
      <c r="L10" s="7">
        <v>13000</v>
      </c>
      <c r="N10" s="7">
        <f t="shared" si="2"/>
        <v>0</v>
      </c>
    </row>
    <row r="11" spans="1:18" x14ac:dyDescent="0.25">
      <c r="A11" s="1" t="s">
        <v>16</v>
      </c>
      <c r="B11" s="1" t="str">
        <f>VLOOKUP(A11,LISTADHERENT!A$5:H$51,2)</f>
        <v>DJOSSEU JOSUE</v>
      </c>
      <c r="C11" s="6">
        <f t="shared" si="0"/>
        <v>44.246215044690096</v>
      </c>
      <c r="D11" s="6">
        <f>TONT20000SEPT!C11+TONT20000SEPT!D11+TONT20000OCT!G11</f>
        <v>5452.3293215218409</v>
      </c>
      <c r="E11" s="1"/>
      <c r="F11" s="7">
        <f t="shared" si="1"/>
        <v>0</v>
      </c>
      <c r="G11" s="7"/>
      <c r="H11" s="7"/>
      <c r="I11" s="7"/>
      <c r="J11" s="7"/>
      <c r="K11" s="7"/>
      <c r="L11" s="7"/>
      <c r="N11" s="7">
        <f t="shared" si="2"/>
        <v>0</v>
      </c>
    </row>
    <row r="12" spans="1:18" x14ac:dyDescent="0.25">
      <c r="A12" s="1" t="s">
        <v>17</v>
      </c>
      <c r="B12" s="1" t="str">
        <f>VLOOKUP(A12,LISTADHERENT!A$5:H$51,2)</f>
        <v>DJOUNKEP SAMUEL</v>
      </c>
      <c r="C12" s="6">
        <f t="shared" si="0"/>
        <v>16909.53416109231</v>
      </c>
      <c r="D12" s="6">
        <f>TONT20000SEPT!C12+TONT20000SEPT!D12+TONT20000OCT!G12</f>
        <v>2083711.54067478</v>
      </c>
      <c r="E12" s="1"/>
      <c r="F12" s="7">
        <f t="shared" si="1"/>
        <v>20000</v>
      </c>
      <c r="G12" s="7">
        <v>3000</v>
      </c>
      <c r="H12" s="7">
        <v>500</v>
      </c>
      <c r="I12" s="7">
        <v>1000</v>
      </c>
      <c r="J12" s="7">
        <v>2500</v>
      </c>
      <c r="K12" s="7"/>
      <c r="L12" s="7">
        <v>13000</v>
      </c>
      <c r="N12" s="7">
        <f t="shared" si="2"/>
        <v>0</v>
      </c>
    </row>
    <row r="13" spans="1:18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3945.9492755256556</v>
      </c>
      <c r="D13" s="6">
        <f>TONT20000SEPT!C13+TONT20000SEPT!D13+TONT20000OCT!G13</f>
        <v>486247.57879190223</v>
      </c>
      <c r="E13" s="1"/>
      <c r="F13" s="7">
        <f t="shared" si="1"/>
        <v>20000</v>
      </c>
      <c r="G13" s="7">
        <v>3000</v>
      </c>
      <c r="H13" s="7">
        <v>500</v>
      </c>
      <c r="I13" s="7">
        <v>1000</v>
      </c>
      <c r="J13" s="7">
        <v>2500</v>
      </c>
      <c r="K13" s="7"/>
      <c r="L13" s="7">
        <v>13000</v>
      </c>
      <c r="N13" s="7">
        <f t="shared" si="2"/>
        <v>0</v>
      </c>
    </row>
    <row r="14" spans="1:18" x14ac:dyDescent="0.25">
      <c r="A14" s="1" t="s">
        <v>19</v>
      </c>
      <c r="B14" s="1" t="str">
        <f>VLOOKUP(A14,LISTADHERENT!A$5:H$51,2)</f>
        <v>DONHOU DAVID</v>
      </c>
      <c r="C14" s="6">
        <f t="shared" si="0"/>
        <v>4128.3194526831057</v>
      </c>
      <c r="D14" s="6">
        <f>TONT20000SEPT!C14+TONT20000SEPT!D14+TONT20000OCT!G14</f>
        <v>508720.51265262632</v>
      </c>
      <c r="E14" s="1"/>
      <c r="F14" s="7">
        <f t="shared" si="1"/>
        <v>20000</v>
      </c>
      <c r="G14" s="7">
        <v>3000</v>
      </c>
      <c r="H14" s="7">
        <v>500</v>
      </c>
      <c r="I14" s="7">
        <v>1000</v>
      </c>
      <c r="J14" s="7">
        <v>2500</v>
      </c>
      <c r="K14" s="7"/>
      <c r="L14" s="7">
        <v>13000</v>
      </c>
      <c r="N14" s="7">
        <f t="shared" si="2"/>
        <v>0</v>
      </c>
    </row>
    <row r="15" spans="1:18" x14ac:dyDescent="0.25">
      <c r="A15" s="1" t="s">
        <v>20</v>
      </c>
      <c r="B15" s="1" t="str">
        <f>VLOOKUP(A15,LISTADHERENT!A$5:H$51,2)</f>
        <v>FOTSO THOMAS</v>
      </c>
      <c r="C15" s="6">
        <f t="shared" si="0"/>
        <v>3761.8192042249289</v>
      </c>
      <c r="D15" s="6">
        <f>TONT20000SEPT!C15+TONT20000SEPT!D15+TONT20000OCT!G15</f>
        <v>463557.77841659664</v>
      </c>
      <c r="E15" s="1"/>
      <c r="F15" s="7">
        <f t="shared" si="1"/>
        <v>20000</v>
      </c>
      <c r="G15" s="7">
        <v>3000</v>
      </c>
      <c r="H15" s="7">
        <v>500</v>
      </c>
      <c r="I15" s="7">
        <v>1000</v>
      </c>
      <c r="J15" s="7">
        <v>2500</v>
      </c>
      <c r="K15" s="7"/>
      <c r="L15" s="7">
        <v>13000</v>
      </c>
      <c r="N15" s="7">
        <f t="shared" si="2"/>
        <v>0</v>
      </c>
    </row>
    <row r="16" spans="1:18" x14ac:dyDescent="0.25">
      <c r="A16" s="1" t="s">
        <v>21</v>
      </c>
      <c r="B16" s="1" t="str">
        <f>VLOOKUP(A16,LISTADHERENT!A$5:H$51,2)</f>
        <v>HENGUE PAUL OMER</v>
      </c>
      <c r="C16" s="6">
        <f t="shared" si="0"/>
        <v>3708.1121063652054</v>
      </c>
      <c r="D16" s="6">
        <f>TONT20000SEPT!C16+TONT20000SEPT!D16+TONT20000OCT!G16</f>
        <v>456939.61267883476</v>
      </c>
      <c r="E16" s="1"/>
      <c r="F16" s="7">
        <f t="shared" si="1"/>
        <v>0</v>
      </c>
      <c r="G16" s="7"/>
      <c r="H16" s="7"/>
      <c r="I16" s="7"/>
      <c r="J16" s="7"/>
      <c r="K16" s="7"/>
      <c r="L16" s="7"/>
      <c r="N16" s="7">
        <f t="shared" si="2"/>
        <v>0</v>
      </c>
    </row>
    <row r="17" spans="1:14" x14ac:dyDescent="0.25">
      <c r="A17" s="1" t="s">
        <v>22</v>
      </c>
      <c r="B17" s="1" t="str">
        <f>VLOOKUP(A17,LISTADHERENT!A$5:H$51,2)</f>
        <v>HODIEP JULES</v>
      </c>
      <c r="C17" s="6">
        <f t="shared" si="0"/>
        <v>707.26114580806995</v>
      </c>
      <c r="D17" s="6">
        <f>TONT20000SEPT!C17+TONT20000SEPT!D17+TONT20000OCT!G17</f>
        <v>87153.684882821442</v>
      </c>
      <c r="E17" s="1"/>
      <c r="F17" s="7">
        <f t="shared" si="1"/>
        <v>20000</v>
      </c>
      <c r="G17" s="7">
        <v>3000</v>
      </c>
      <c r="H17" s="7">
        <v>500</v>
      </c>
      <c r="I17" s="7">
        <v>1000</v>
      </c>
      <c r="J17" s="7">
        <v>2500</v>
      </c>
      <c r="K17" s="7"/>
      <c r="L17" s="7">
        <v>13000</v>
      </c>
      <c r="N17" s="7">
        <f t="shared" si="2"/>
        <v>0</v>
      </c>
    </row>
    <row r="18" spans="1:14" x14ac:dyDescent="0.25">
      <c r="A18" s="1" t="s">
        <v>23</v>
      </c>
      <c r="B18" s="1" t="str">
        <f>VLOOKUP(A18,LISTADHERENT!A$5:H$51,2)</f>
        <v>HOTCHO BENJAMIN</v>
      </c>
      <c r="C18" s="6">
        <f t="shared" si="0"/>
        <v>4199.1743155853119</v>
      </c>
      <c r="D18" s="6">
        <f>TONT20000SEPT!C18+TONT20000SEPT!D18+TONT20000OCT!G18</f>
        <v>517451.7464131618</v>
      </c>
      <c r="E18" s="1"/>
      <c r="F18" s="7">
        <f t="shared" si="1"/>
        <v>118000</v>
      </c>
      <c r="G18" s="7">
        <v>51000</v>
      </c>
      <c r="H18" s="7">
        <v>500</v>
      </c>
      <c r="I18" s="7">
        <v>1000</v>
      </c>
      <c r="J18" s="7">
        <v>2500</v>
      </c>
      <c r="K18" s="7">
        <v>50000</v>
      </c>
      <c r="L18" s="7">
        <v>13000</v>
      </c>
      <c r="N18" s="7">
        <f t="shared" si="2"/>
        <v>0</v>
      </c>
    </row>
    <row r="19" spans="1:14" x14ac:dyDescent="0.25">
      <c r="A19" s="1" t="s">
        <v>24</v>
      </c>
      <c r="B19" s="1" t="str">
        <f>VLOOKUP(A19,LISTADHERENT!A$5:H$51,2)</f>
        <v>KEPHE DAVID</v>
      </c>
      <c r="C19" s="6">
        <f t="shared" si="0"/>
        <v>394.47870673480679</v>
      </c>
      <c r="D19" s="6">
        <f>TONT20000SEPT!C19+TONT20000SEPT!D19+TONT20000OCT!G19</f>
        <v>48610.436333905564</v>
      </c>
      <c r="E19" s="1"/>
      <c r="F19" s="7">
        <f t="shared" si="1"/>
        <v>20000</v>
      </c>
      <c r="G19" s="7">
        <v>3000</v>
      </c>
      <c r="H19" s="7">
        <v>500</v>
      </c>
      <c r="I19" s="7">
        <v>1000</v>
      </c>
      <c r="J19" s="7">
        <v>2500</v>
      </c>
      <c r="K19" s="7"/>
      <c r="L19" s="7">
        <v>13000</v>
      </c>
      <c r="N19" s="7">
        <f t="shared" si="2"/>
        <v>0</v>
      </c>
    </row>
    <row r="20" spans="1:14" x14ac:dyDescent="0.25">
      <c r="A20" s="1" t="s">
        <v>25</v>
      </c>
      <c r="B20" s="1" t="str">
        <f>VLOOKUP(A20,LISTADHERENT!A$5:H$51,2)</f>
        <v>KEPSEU FRANCIS</v>
      </c>
      <c r="C20" s="6">
        <f t="shared" si="0"/>
        <v>9833.8189670028405</v>
      </c>
      <c r="D20" s="6">
        <f>TONT20000SEPT!C20+TONT20000SEPT!D20+TONT20000OCT!G20</f>
        <v>1211792.2277006542</v>
      </c>
      <c r="E20" s="1"/>
      <c r="F20" s="7">
        <f t="shared" si="1"/>
        <v>23000</v>
      </c>
      <c r="G20" s="7">
        <v>6000</v>
      </c>
      <c r="H20" s="7">
        <v>500</v>
      </c>
      <c r="I20" s="7">
        <v>1000</v>
      </c>
      <c r="J20" s="7">
        <v>2500</v>
      </c>
      <c r="K20" s="7"/>
      <c r="L20" s="7">
        <v>13000</v>
      </c>
      <c r="N20" s="7">
        <f t="shared" si="2"/>
        <v>0</v>
      </c>
    </row>
    <row r="21" spans="1:14" x14ac:dyDescent="0.25">
      <c r="A21" s="1" t="s">
        <v>26</v>
      </c>
      <c r="B21" s="1" t="str">
        <f>VLOOKUP(A21,LISTADHERENT!A$5:H$51,2)</f>
        <v>KOUAMOU EMMANUEL</v>
      </c>
      <c r="C21" s="6">
        <f t="shared" si="0"/>
        <v>3756.5539046346098</v>
      </c>
      <c r="D21" s="6">
        <f>TONT20000SEPT!C21+TONT20000SEPT!D21+TONT20000OCT!G21</f>
        <v>462908.95122733543</v>
      </c>
      <c r="E21" s="1"/>
      <c r="F21" s="7">
        <f t="shared" si="1"/>
        <v>20000</v>
      </c>
      <c r="G21" s="7">
        <v>3000</v>
      </c>
      <c r="H21" s="7">
        <v>500</v>
      </c>
      <c r="I21" s="7">
        <v>1000</v>
      </c>
      <c r="J21" s="7">
        <v>2500</v>
      </c>
      <c r="K21" s="7"/>
      <c r="L21" s="7">
        <v>13000</v>
      </c>
      <c r="N21" s="7">
        <f t="shared" si="2"/>
        <v>0</v>
      </c>
    </row>
    <row r="22" spans="1:14" x14ac:dyDescent="0.25">
      <c r="A22" s="1" t="s">
        <v>27</v>
      </c>
      <c r="B22" s="1" t="str">
        <f>VLOOKUP(A22,LISTADHERENT!A$5:H$51,2)</f>
        <v>KOUAMOU MOISE</v>
      </c>
      <c r="C22" s="6">
        <f t="shared" si="0"/>
        <v>3726.3515063856189</v>
      </c>
      <c r="D22" s="6">
        <f>TONT20000SEPT!C22+TONT20000SEPT!D22+TONT20000OCT!G22</f>
        <v>459187.19962921733</v>
      </c>
      <c r="E22" s="1"/>
      <c r="F22" s="7">
        <f t="shared" si="1"/>
        <v>20000</v>
      </c>
      <c r="G22" s="7">
        <v>3000</v>
      </c>
      <c r="H22" s="7">
        <v>500</v>
      </c>
      <c r="I22" s="7">
        <v>1000</v>
      </c>
      <c r="J22" s="7">
        <v>2500</v>
      </c>
      <c r="K22" s="7"/>
      <c r="L22" s="7">
        <v>13000</v>
      </c>
      <c r="N22" s="7">
        <f t="shared" si="2"/>
        <v>0</v>
      </c>
    </row>
    <row r="23" spans="1:14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4056.5963380956623</v>
      </c>
      <c r="D23" s="6">
        <f>TONT20000SEPT!C23+TONT20000SEPT!D23+TONT20000OCT!G23</f>
        <v>499882.28682243935</v>
      </c>
      <c r="E23" s="1"/>
      <c r="F23" s="7">
        <f t="shared" si="1"/>
        <v>20000</v>
      </c>
      <c r="G23" s="7">
        <v>3000</v>
      </c>
      <c r="H23" s="7">
        <v>500</v>
      </c>
      <c r="I23" s="7">
        <v>1000</v>
      </c>
      <c r="J23" s="7">
        <v>2500</v>
      </c>
      <c r="K23" s="7"/>
      <c r="L23" s="7">
        <v>13000</v>
      </c>
      <c r="N23" s="7">
        <f t="shared" si="2"/>
        <v>0</v>
      </c>
    </row>
    <row r="24" spans="1:14" x14ac:dyDescent="0.25">
      <c r="A24" s="1" t="s">
        <v>29</v>
      </c>
      <c r="B24" s="1" t="str">
        <f>VLOOKUP(A24,LISTADHERENT!A$5:H$51,2)</f>
        <v>KOUATCHO MESSACK</v>
      </c>
      <c r="C24" s="6">
        <f t="shared" si="0"/>
        <v>3732.4574159212725</v>
      </c>
      <c r="D24" s="6">
        <f>TONT20000SEPT!C24+TONT20000SEPT!D24+TONT20000OCT!G24</f>
        <v>459939.61267883476</v>
      </c>
      <c r="E24" s="1"/>
      <c r="F24" s="7">
        <f t="shared" si="1"/>
        <v>20000</v>
      </c>
      <c r="G24" s="7">
        <v>3000</v>
      </c>
      <c r="H24" s="7">
        <v>500</v>
      </c>
      <c r="I24" s="7">
        <v>1000</v>
      </c>
      <c r="J24" s="7">
        <v>2500</v>
      </c>
      <c r="K24" s="7"/>
      <c r="L24" s="7">
        <v>13000</v>
      </c>
      <c r="M24" s="7"/>
      <c r="N24" s="7">
        <f t="shared" si="2"/>
        <v>0</v>
      </c>
    </row>
    <row r="25" spans="1:14" x14ac:dyDescent="0.25">
      <c r="A25" s="1" t="s">
        <v>30</v>
      </c>
      <c r="B25" s="1" t="str">
        <f>VLOOKUP(A25,LISTADHERENT!A$5:H$51,2)</f>
        <v>LOWE JEAN</v>
      </c>
      <c r="C25" s="6">
        <f t="shared" si="0"/>
        <v>3770.7834873929828</v>
      </c>
      <c r="D25" s="6">
        <f>TONT20000SEPT!C25+TONT20000SEPT!D25+TONT20000OCT!G25</f>
        <v>464662.42033713695</v>
      </c>
      <c r="E25" s="1"/>
      <c r="F25" s="7">
        <f t="shared" si="1"/>
        <v>20000</v>
      </c>
      <c r="G25" s="7">
        <v>3000</v>
      </c>
      <c r="H25" s="7">
        <v>500</v>
      </c>
      <c r="I25" s="7">
        <v>1000</v>
      </c>
      <c r="J25" s="7">
        <v>2500</v>
      </c>
      <c r="K25" s="7"/>
      <c r="L25" s="7">
        <v>13000</v>
      </c>
      <c r="N25" s="7">
        <f t="shared" si="2"/>
        <v>0</v>
      </c>
    </row>
    <row r="26" spans="1:14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3771.4914268336975</v>
      </c>
      <c r="D26" s="6">
        <f>TONT20000SEPT!C26+TONT20000SEPT!D26+TONT20000OCT!G26</f>
        <v>464749.65760628128</v>
      </c>
      <c r="E26" s="1"/>
      <c r="F26" s="7">
        <f t="shared" si="1"/>
        <v>20000</v>
      </c>
      <c r="G26" s="7">
        <v>3000</v>
      </c>
      <c r="H26" s="7">
        <v>500</v>
      </c>
      <c r="I26" s="7">
        <v>1000</v>
      </c>
      <c r="J26" s="7">
        <v>2500</v>
      </c>
      <c r="K26" s="7"/>
      <c r="L26" s="7">
        <v>13000</v>
      </c>
      <c r="N26" s="7">
        <f t="shared" si="2"/>
        <v>0</v>
      </c>
    </row>
    <row r="27" spans="1:14" x14ac:dyDescent="0.25">
      <c r="A27" s="1" t="s">
        <v>32</v>
      </c>
      <c r="B27" s="1" t="str">
        <f>VLOOKUP(A27,LISTADHERENT!A$5:H$51,2)</f>
        <v>NDJOMO ETIENNE</v>
      </c>
      <c r="C27" s="6">
        <f t="shared" si="0"/>
        <v>4219.4412605787584</v>
      </c>
      <c r="D27" s="6">
        <f>TONT20000SEPT!C27+TONT20000SEPT!D27+TONT20000OCT!G27</f>
        <v>519949.18169285363</v>
      </c>
      <c r="E27" s="1"/>
      <c r="F27" s="7">
        <f t="shared" si="1"/>
        <v>25000</v>
      </c>
      <c r="G27" s="7">
        <v>8000</v>
      </c>
      <c r="H27" s="7">
        <v>500</v>
      </c>
      <c r="I27" s="7">
        <v>1000</v>
      </c>
      <c r="J27" s="7">
        <v>2500</v>
      </c>
      <c r="K27" s="7"/>
      <c r="L27" s="7">
        <v>13000</v>
      </c>
      <c r="M27" s="7"/>
      <c r="N27" s="7">
        <f t="shared" si="2"/>
        <v>0</v>
      </c>
    </row>
    <row r="28" spans="1:14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TONT20000SEPT!C28+TONT20000SEPT!D28+TONT20000OCT!G28</f>
        <v>0</v>
      </c>
      <c r="E28" s="1"/>
      <c r="F28" s="7">
        <f t="shared" si="1"/>
        <v>0</v>
      </c>
      <c r="G28" s="7"/>
      <c r="H28" s="7"/>
      <c r="I28" s="7"/>
      <c r="J28" s="7"/>
      <c r="K28" s="7"/>
      <c r="L28" s="7"/>
      <c r="N28" s="7">
        <f t="shared" si="2"/>
        <v>0</v>
      </c>
    </row>
    <row r="29" spans="1:14" x14ac:dyDescent="0.25">
      <c r="A29" s="1" t="s">
        <v>34</v>
      </c>
      <c r="B29" s="1" t="str">
        <f>VLOOKUP(A29,LISTADHERENT!A$5:H$51,2)</f>
        <v>NGONDIEP CLAUDE</v>
      </c>
      <c r="C29" s="6">
        <f t="shared" si="0"/>
        <v>5321.5513800083081</v>
      </c>
      <c r="D29" s="6">
        <f>TONT20000SEPT!C29+TONT20000SEPT!D29+TONT20000OCT!G29</f>
        <v>655758.92979542736</v>
      </c>
      <c r="E29" s="1"/>
      <c r="F29" s="7">
        <f t="shared" si="1"/>
        <v>20000</v>
      </c>
      <c r="G29" s="7">
        <v>3000</v>
      </c>
      <c r="H29" s="7">
        <v>500</v>
      </c>
      <c r="I29" s="7">
        <v>1000</v>
      </c>
      <c r="J29" s="7">
        <v>2500</v>
      </c>
      <c r="K29" s="7"/>
      <c r="L29" s="7">
        <v>13000</v>
      </c>
      <c r="N29" s="7">
        <f t="shared" si="2"/>
        <v>0</v>
      </c>
    </row>
    <row r="30" spans="1:14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281.25264243544484</v>
      </c>
      <c r="D30" s="6">
        <f>TONT20000SEPT!C30+TONT20000SEPT!D30+TONT20000OCT!G30</f>
        <v>34657.925600131173</v>
      </c>
      <c r="E30" s="1"/>
      <c r="F30" s="7">
        <f t="shared" si="1"/>
        <v>20000</v>
      </c>
      <c r="G30" s="7">
        <v>3000</v>
      </c>
      <c r="H30" s="7">
        <v>500</v>
      </c>
      <c r="I30" s="7">
        <v>1000</v>
      </c>
      <c r="J30" s="7">
        <v>2500</v>
      </c>
      <c r="K30" s="7"/>
      <c r="L30" s="7">
        <v>13000</v>
      </c>
      <c r="N30" s="7">
        <f t="shared" si="2"/>
        <v>0</v>
      </c>
    </row>
    <row r="31" spans="1:14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7786.7806145869918</v>
      </c>
      <c r="D31" s="6">
        <f>TONT20000SEPT!C31+TONT20000SEPT!D31+TONT20000OCT!G31</f>
        <v>959541.78729838249</v>
      </c>
      <c r="E31" s="1"/>
      <c r="F31" s="7">
        <f t="shared" si="1"/>
        <v>20000</v>
      </c>
      <c r="G31" s="7">
        <v>3000</v>
      </c>
      <c r="H31" s="7">
        <v>500</v>
      </c>
      <c r="I31" s="7">
        <v>1000</v>
      </c>
      <c r="J31" s="7">
        <v>2500</v>
      </c>
      <c r="K31" s="7"/>
      <c r="L31" s="7">
        <v>13000</v>
      </c>
      <c r="N31" s="7">
        <f t="shared" si="2"/>
        <v>0</v>
      </c>
    </row>
    <row r="32" spans="1:14" x14ac:dyDescent="0.25">
      <c r="A32" s="1" t="s">
        <v>37</v>
      </c>
      <c r="B32" s="1" t="str">
        <f>VLOOKUP(A32,LISTADHERENT!A$5:H$51,2)</f>
        <v>NJEPDJIO MBOUKAM DELUXE</v>
      </c>
      <c r="C32" s="6">
        <f t="shared" si="0"/>
        <v>3886.704298377093</v>
      </c>
      <c r="D32" s="6">
        <f>TONT20000SEPT!C32+TONT20000SEPT!D32+TONT20000OCT!G32</f>
        <v>478946.99668033095</v>
      </c>
      <c r="E32" s="1"/>
      <c r="F32" s="7">
        <f t="shared" si="1"/>
        <v>20000</v>
      </c>
      <c r="G32" s="7">
        <v>3000</v>
      </c>
      <c r="H32" s="7">
        <v>500</v>
      </c>
      <c r="I32" s="7">
        <v>1000</v>
      </c>
      <c r="J32" s="7">
        <v>2500</v>
      </c>
      <c r="K32" s="7"/>
      <c r="L32" s="7">
        <v>13000</v>
      </c>
      <c r="N32" s="7">
        <f t="shared" si="2"/>
        <v>0</v>
      </c>
    </row>
    <row r="33" spans="1:16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4225.1531628528955</v>
      </c>
      <c r="D33" s="6">
        <f>TONT20000SEPT!C33+TONT20000SEPT!D33+TONT20000OCT!G33</f>
        <v>520653.04240092746</v>
      </c>
      <c r="E33" s="1"/>
      <c r="F33" s="7">
        <f t="shared" si="1"/>
        <v>23000</v>
      </c>
      <c r="G33" s="7">
        <v>6000</v>
      </c>
      <c r="H33" s="7">
        <v>500</v>
      </c>
      <c r="I33" s="7">
        <v>1000</v>
      </c>
      <c r="J33" s="7">
        <v>2500</v>
      </c>
      <c r="K33" s="7"/>
      <c r="L33" s="7">
        <v>13000</v>
      </c>
      <c r="M33" s="11"/>
      <c r="N33" s="7">
        <f t="shared" si="2"/>
        <v>0</v>
      </c>
    </row>
    <row r="34" spans="1:16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4278.5453546354565</v>
      </c>
      <c r="D34" s="6">
        <f>TONT20000SEPT!C34+TONT20000SEPT!D34+TONT20000OCT!G34</f>
        <v>527232.40320054255</v>
      </c>
      <c r="E34" s="1"/>
      <c r="F34" s="10">
        <f>G34+H34+I34+J34+K34+L34</f>
        <v>50000</v>
      </c>
      <c r="G34" s="7">
        <v>8000</v>
      </c>
      <c r="H34" s="7">
        <v>500</v>
      </c>
      <c r="I34" s="7">
        <v>1000</v>
      </c>
      <c r="J34" s="7">
        <v>2500</v>
      </c>
      <c r="K34" s="7">
        <v>25000</v>
      </c>
      <c r="L34" s="7">
        <v>13000</v>
      </c>
      <c r="M34" s="7">
        <v>600000</v>
      </c>
      <c r="N34" s="7">
        <f t="shared" si="2"/>
        <v>72000</v>
      </c>
    </row>
    <row r="35" spans="1:16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3754.1715141505397</v>
      </c>
      <c r="D35" s="6">
        <f>TONT20000SEPT!C35+TONT20000SEPT!D35+TONT20000OCT!G35</f>
        <v>462615.37634237658</v>
      </c>
      <c r="E35" s="1"/>
      <c r="F35" s="7">
        <f t="shared" si="1"/>
        <v>0</v>
      </c>
      <c r="G35" s="7"/>
      <c r="H35" s="7"/>
      <c r="I35" s="7"/>
      <c r="J35" s="7"/>
      <c r="K35" s="7"/>
      <c r="L35" s="7"/>
      <c r="N35" s="7">
        <f t="shared" si="2"/>
        <v>0</v>
      </c>
    </row>
    <row r="36" spans="1:16" x14ac:dyDescent="0.25">
      <c r="A36" s="1" t="s">
        <v>41</v>
      </c>
      <c r="B36" s="1" t="str">
        <f>VLOOKUP(A36,LISTADHERENT!A$5:H$51,2)</f>
        <v>NTEPDIE TUEMAC MZ</v>
      </c>
      <c r="C36" s="6">
        <f t="shared" si="0"/>
        <v>101.87557528331999</v>
      </c>
      <c r="D36" s="6">
        <f>TONT20000SEPT!C36+TONT20000SEPT!D36+TONT20000OCT!G36</f>
        <v>12553.823772341198</v>
      </c>
      <c r="E36" s="1"/>
      <c r="F36" s="7">
        <f t="shared" si="1"/>
        <v>20000</v>
      </c>
      <c r="G36" s="7">
        <v>3000</v>
      </c>
      <c r="H36" s="7">
        <v>500</v>
      </c>
      <c r="I36" s="7">
        <v>1000</v>
      </c>
      <c r="J36" s="7">
        <v>2500</v>
      </c>
      <c r="K36" s="7"/>
      <c r="L36" s="7">
        <v>13000</v>
      </c>
      <c r="N36" s="7">
        <f t="shared" si="2"/>
        <v>0</v>
      </c>
    </row>
    <row r="37" spans="1:16" x14ac:dyDescent="0.25">
      <c r="A37" s="1" t="s">
        <v>42</v>
      </c>
      <c r="B37" s="1" t="str">
        <f>VLOOKUP(A37,LISTADHERENT!A$5:H$51,2)</f>
        <v>NTOMBOU ADOLPHE</v>
      </c>
      <c r="C37" s="6">
        <f t="shared" si="0"/>
        <v>232.32323372435994</v>
      </c>
      <c r="D37" s="6">
        <f>TONT20000SEPT!C37+TONT20000SEPT!D37+TONT20000OCT!G37</f>
        <v>28628.500268931231</v>
      </c>
      <c r="E37" s="1"/>
      <c r="F37" s="7">
        <f t="shared" si="1"/>
        <v>0</v>
      </c>
      <c r="G37" s="7"/>
      <c r="H37" s="7"/>
      <c r="I37" s="7"/>
      <c r="J37" s="7"/>
      <c r="K37" s="7"/>
      <c r="L37" s="7"/>
      <c r="N37" s="7">
        <f t="shared" si="2"/>
        <v>0</v>
      </c>
    </row>
    <row r="38" spans="1:16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3733.6963099425229</v>
      </c>
      <c r="D38" s="6">
        <f>TONT20000SEPT!C38+TONT20000SEPT!D38+TONT20000OCT!G38</f>
        <v>460092.2778998373</v>
      </c>
      <c r="E38" s="1"/>
      <c r="F38" s="7">
        <f t="shared" si="1"/>
        <v>20000</v>
      </c>
      <c r="G38" s="7">
        <v>3000</v>
      </c>
      <c r="H38" s="7">
        <v>500</v>
      </c>
      <c r="I38" s="7">
        <v>1000</v>
      </c>
      <c r="J38" s="7">
        <v>2500</v>
      </c>
      <c r="K38" s="7"/>
      <c r="L38" s="7">
        <v>13000</v>
      </c>
      <c r="N38" s="7">
        <f t="shared" si="2"/>
        <v>0</v>
      </c>
    </row>
    <row r="39" spans="1:16" x14ac:dyDescent="0.25">
      <c r="A39" s="1" t="s">
        <v>44</v>
      </c>
      <c r="B39" s="1" t="str">
        <f>VLOOKUP(A39,LISTADHERENT!A$5:H$51,2)</f>
        <v>SEUNOU RICHELOT</v>
      </c>
      <c r="C39" s="6">
        <f t="shared" si="0"/>
        <v>3755.7486235207966</v>
      </c>
      <c r="D39" s="6">
        <f>TONT20000SEPT!C39+TONT20000SEPT!D39+TONT20000OCT!G39</f>
        <v>462809.71883368376</v>
      </c>
      <c r="E39" s="1"/>
      <c r="F39" s="7">
        <f t="shared" si="1"/>
        <v>20000</v>
      </c>
      <c r="G39" s="7">
        <v>3000</v>
      </c>
      <c r="H39" s="7">
        <v>500</v>
      </c>
      <c r="I39" s="7">
        <v>1000</v>
      </c>
      <c r="J39" s="7">
        <v>2500</v>
      </c>
      <c r="K39" s="7"/>
      <c r="L39" s="7">
        <v>13000</v>
      </c>
      <c r="M39" s="7">
        <v>1000000</v>
      </c>
      <c r="N39" s="7">
        <f t="shared" si="2"/>
        <v>120000</v>
      </c>
    </row>
    <row r="40" spans="1:16" x14ac:dyDescent="0.25">
      <c r="A40" s="1" t="s">
        <v>45</v>
      </c>
      <c r="B40" s="1" t="str">
        <f>VLOOKUP(A40,LISTADHERENT!A$5:H$51,2)</f>
        <v>SIME ABEL</v>
      </c>
      <c r="C40" s="6">
        <f t="shared" si="0"/>
        <v>3477.1855325877636</v>
      </c>
      <c r="D40" s="6">
        <f>TONT20000SEPT!C40+TONT20000SEPT!D40+TONT20000OCT!G40</f>
        <v>428483.21865612338</v>
      </c>
      <c r="E40" s="1"/>
      <c r="F40" s="7">
        <f t="shared" si="1"/>
        <v>20000</v>
      </c>
      <c r="G40" s="7">
        <v>3000</v>
      </c>
      <c r="H40" s="7">
        <v>500</v>
      </c>
      <c r="I40" s="7">
        <v>1000</v>
      </c>
      <c r="J40" s="7">
        <v>2500</v>
      </c>
      <c r="K40" s="7"/>
      <c r="L40" s="7">
        <v>13000</v>
      </c>
      <c r="N40" s="7">
        <f t="shared" si="2"/>
        <v>0</v>
      </c>
    </row>
    <row r="41" spans="1:16" x14ac:dyDescent="0.25">
      <c r="A41" s="1" t="s">
        <v>46</v>
      </c>
      <c r="B41" s="1" t="str">
        <f>VLOOKUP(A41,LISTADHERENT!A$5:H$51,2)</f>
        <v>SIME FONGANG ERIC</v>
      </c>
      <c r="C41" s="6">
        <f t="shared" si="0"/>
        <v>3741.147372556049</v>
      </c>
      <c r="D41" s="6">
        <f>TONT20000SEPT!C41+TONT20000SEPT!D41+TONT20000OCT!G41</f>
        <v>461010.4501575816</v>
      </c>
      <c r="E41" s="1"/>
      <c r="F41" s="7">
        <f t="shared" si="1"/>
        <v>20000</v>
      </c>
      <c r="G41" s="7">
        <v>3000</v>
      </c>
      <c r="H41" s="7">
        <v>500</v>
      </c>
      <c r="I41" s="7">
        <v>1000</v>
      </c>
      <c r="J41" s="7">
        <v>2500</v>
      </c>
      <c r="K41" s="7"/>
      <c r="L41" s="7">
        <v>13000</v>
      </c>
      <c r="N41" s="7">
        <f t="shared" si="2"/>
        <v>0</v>
      </c>
    </row>
    <row r="42" spans="1:16" x14ac:dyDescent="0.25">
      <c r="A42" s="1" t="s">
        <v>47</v>
      </c>
      <c r="B42" s="1" t="str">
        <f>VLOOKUP(A42,LISTADHERENT!A$5:H$51,2)</f>
        <v>SIME MATHIEU</v>
      </c>
      <c r="C42" s="6">
        <f t="shared" si="0"/>
        <v>3738.0855344749566</v>
      </c>
      <c r="D42" s="6">
        <f>TONT20000SEPT!C42+TONT20000SEPT!D42+TONT20000OCT!G42</f>
        <v>460633.14896853227</v>
      </c>
      <c r="E42" s="1"/>
      <c r="F42" s="7">
        <f t="shared" si="1"/>
        <v>20000</v>
      </c>
      <c r="G42" s="7">
        <v>3000</v>
      </c>
      <c r="H42" s="7">
        <v>500</v>
      </c>
      <c r="I42" s="7">
        <v>1000</v>
      </c>
      <c r="J42" s="7">
        <v>2500</v>
      </c>
      <c r="K42" s="7"/>
      <c r="L42" s="7">
        <v>13000</v>
      </c>
      <c r="N42" s="7">
        <f t="shared" si="2"/>
        <v>0</v>
      </c>
    </row>
    <row r="43" spans="1:16" x14ac:dyDescent="0.25">
      <c r="A43" s="1" t="s">
        <v>48</v>
      </c>
      <c r="B43" s="1" t="str">
        <f>VLOOKUP(A43,LISTADHERENT!A$5:H$51,2)</f>
        <v>SIME PIERRE</v>
      </c>
      <c r="C43" s="6">
        <f t="shared" si="0"/>
        <v>10036.753349309411</v>
      </c>
      <c r="D43" s="6">
        <f>TONT20000SEPT!C43+TONT20000SEPT!D43+TONT20000OCT!G43</f>
        <v>1236799.2273248585</v>
      </c>
      <c r="E43" s="1"/>
      <c r="F43" s="7">
        <f t="shared" si="1"/>
        <v>20000</v>
      </c>
      <c r="G43" s="7">
        <v>3000</v>
      </c>
      <c r="H43" s="7">
        <v>500</v>
      </c>
      <c r="I43" s="7">
        <v>1000</v>
      </c>
      <c r="J43" s="7">
        <v>2500</v>
      </c>
      <c r="K43" s="7"/>
      <c r="L43" s="7">
        <v>13000</v>
      </c>
      <c r="M43" s="7">
        <v>70000</v>
      </c>
      <c r="N43" s="7">
        <f t="shared" si="2"/>
        <v>2100</v>
      </c>
      <c r="O43" s="7">
        <v>70000</v>
      </c>
    </row>
    <row r="44" spans="1:16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3477.1855325877636</v>
      </c>
      <c r="D44" s="6">
        <f>TONT20000SEPT!C44+TONT20000SEPT!D44+TONT20000OCT!G44</f>
        <v>428483.21865612338</v>
      </c>
      <c r="E44" s="1"/>
      <c r="F44" s="7">
        <f t="shared" si="1"/>
        <v>20000</v>
      </c>
      <c r="G44" s="7">
        <v>3000</v>
      </c>
      <c r="H44" s="7">
        <v>500</v>
      </c>
      <c r="I44" s="7">
        <v>1000</v>
      </c>
      <c r="J44" s="7">
        <v>2500</v>
      </c>
      <c r="K44" s="7"/>
      <c r="L44" s="7">
        <v>13000</v>
      </c>
      <c r="N44" s="7">
        <f t="shared" si="2"/>
        <v>0</v>
      </c>
    </row>
    <row r="45" spans="1:16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281.25264243544484</v>
      </c>
      <c r="D45" s="6">
        <f>TONT20000SEPT!C45+TONT20000SEPT!D45+TONT20000OCT!G45</f>
        <v>34657.925600131173</v>
      </c>
      <c r="E45" s="1"/>
      <c r="F45" s="7">
        <f t="shared" si="1"/>
        <v>20000</v>
      </c>
      <c r="G45" s="7">
        <v>3000</v>
      </c>
      <c r="H45" s="7">
        <v>500</v>
      </c>
      <c r="I45" s="7">
        <v>1000</v>
      </c>
      <c r="J45" s="7">
        <v>2500</v>
      </c>
      <c r="K45" s="7"/>
      <c r="L45" s="7">
        <v>13000</v>
      </c>
      <c r="N45" s="7">
        <f t="shared" si="2"/>
        <v>0</v>
      </c>
    </row>
    <row r="46" spans="1:16" x14ac:dyDescent="0.25">
      <c r="A46" s="1" t="s">
        <v>51</v>
      </c>
      <c r="B46" s="1" t="str">
        <f>VLOOKUP(A46,LISTADHERENT!A$5:H$51,2)</f>
        <v>TCHOUAMOU MATHIEU</v>
      </c>
      <c r="C46" s="6">
        <f t="shared" si="0"/>
        <v>3762.8722641429913</v>
      </c>
      <c r="D46" s="6">
        <f>TONT20000SEPT!C46+TONT20000SEPT!D46+TONT20000OCT!G46</f>
        <v>463687.54385444877</v>
      </c>
      <c r="E46" s="1"/>
      <c r="F46" s="7">
        <f t="shared" si="1"/>
        <v>20000</v>
      </c>
      <c r="G46" s="7">
        <v>3000</v>
      </c>
      <c r="H46" s="7">
        <v>500</v>
      </c>
      <c r="I46" s="7">
        <v>1000</v>
      </c>
      <c r="J46" s="7">
        <v>2500</v>
      </c>
      <c r="K46" s="7"/>
      <c r="L46" s="7">
        <v>13000</v>
      </c>
      <c r="M46" s="7"/>
      <c r="N46" s="7">
        <f t="shared" si="2"/>
        <v>0</v>
      </c>
      <c r="P46" s="7">
        <v>54075</v>
      </c>
    </row>
    <row r="47" spans="1:16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3397.3447089222987</v>
      </c>
      <c r="D47" s="6">
        <f>TONT20000SEPT!C47+TONT20000SEPT!D47+TONT20000OCT!G47</f>
        <v>418644.67170954309</v>
      </c>
      <c r="E47" s="1"/>
      <c r="F47" s="7">
        <f t="shared" si="1"/>
        <v>20000</v>
      </c>
      <c r="G47" s="7">
        <v>3000</v>
      </c>
      <c r="H47" s="7">
        <v>500</v>
      </c>
      <c r="I47" s="7">
        <v>1000</v>
      </c>
      <c r="J47" s="7">
        <v>2500</v>
      </c>
      <c r="K47" s="7"/>
      <c r="L47" s="7">
        <v>13000</v>
      </c>
      <c r="N47" s="7">
        <f t="shared" si="2"/>
        <v>0</v>
      </c>
    </row>
    <row r="48" spans="1:16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177.5248037930557</v>
      </c>
      <c r="D48" s="6">
        <f>TONT20000SEPT!C48+TONT20000SEPT!D48+TONT20000OCT!G48</f>
        <v>21875.852929807788</v>
      </c>
      <c r="E48" s="1"/>
      <c r="F48" s="7">
        <f t="shared" si="1"/>
        <v>20000</v>
      </c>
      <c r="G48" s="7">
        <v>3000</v>
      </c>
      <c r="H48" s="7">
        <v>500</v>
      </c>
      <c r="I48" s="7">
        <v>1000</v>
      </c>
      <c r="J48" s="7">
        <v>2500</v>
      </c>
      <c r="K48" s="7"/>
      <c r="L48" s="7">
        <v>13000</v>
      </c>
      <c r="N48" s="7">
        <f t="shared" si="2"/>
        <v>0</v>
      </c>
    </row>
    <row r="49" spans="1:17" x14ac:dyDescent="0.25">
      <c r="A49" s="1" t="s">
        <v>54</v>
      </c>
      <c r="B49" s="1" t="str">
        <f>VLOOKUP(A49,LISTADHERENT!A$5:H$51,2)</f>
        <v>TIEYAM ERNEST</v>
      </c>
      <c r="C49" s="6">
        <f t="shared" si="0"/>
        <v>3738.5990944266946</v>
      </c>
      <c r="D49" s="6">
        <f>TONT20000SEPT!C49+TONT20000SEPT!D49+TONT20000OCT!G49</f>
        <v>460696.4334320823</v>
      </c>
      <c r="E49" s="1"/>
      <c r="F49" s="7">
        <f t="shared" si="1"/>
        <v>20000</v>
      </c>
      <c r="G49" s="7">
        <v>3000</v>
      </c>
      <c r="H49" s="7">
        <v>500</v>
      </c>
      <c r="I49" s="7">
        <v>1000</v>
      </c>
      <c r="J49" s="7">
        <v>2500</v>
      </c>
      <c r="K49" s="7"/>
      <c r="L49" s="7">
        <v>13000</v>
      </c>
      <c r="N49" s="7">
        <f t="shared" si="2"/>
        <v>0</v>
      </c>
    </row>
    <row r="50" spans="1:17" x14ac:dyDescent="0.25">
      <c r="A50" s="1" t="s">
        <v>55</v>
      </c>
      <c r="B50" s="1" t="str">
        <f>VLOOKUP(A50,LISTADHERENT!A$5:H$51,2)</f>
        <v>TUGMA PIERRE LOTI</v>
      </c>
      <c r="C50" s="6">
        <f t="shared" si="0"/>
        <v>3888.5226656269028</v>
      </c>
      <c r="D50" s="6">
        <f>TONT20000SEPT!C50+TONT20000SEPT!D50+TONT20000OCT!G50</f>
        <v>479171.06866170652</v>
      </c>
      <c r="E50" s="1"/>
      <c r="F50" s="7">
        <f t="shared" si="1"/>
        <v>20000</v>
      </c>
      <c r="G50" s="7">
        <v>3000</v>
      </c>
      <c r="H50" s="7">
        <v>500</v>
      </c>
      <c r="I50" s="7">
        <v>1000</v>
      </c>
      <c r="J50" s="7">
        <v>2500</v>
      </c>
      <c r="K50" s="7"/>
      <c r="L50" s="7">
        <v>13000</v>
      </c>
      <c r="N50" s="7">
        <f t="shared" si="2"/>
        <v>0</v>
      </c>
    </row>
    <row r="51" spans="1:17" ht="18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7460.0859932772964</v>
      </c>
      <c r="D51" s="6">
        <f>TONT20000SEPT!C51+TONT20000SEPT!D51+TONT20000OCT!G51</f>
        <v>919284.18196081382</v>
      </c>
      <c r="E51" s="1"/>
      <c r="F51" s="7">
        <f t="shared" si="1"/>
        <v>20000</v>
      </c>
      <c r="G51" s="7">
        <v>3000</v>
      </c>
      <c r="H51" s="7">
        <v>500</v>
      </c>
      <c r="I51" s="7">
        <v>1000</v>
      </c>
      <c r="J51" s="7">
        <v>2500</v>
      </c>
      <c r="K51" s="7"/>
      <c r="L51" s="7">
        <v>13000</v>
      </c>
      <c r="M51" s="9"/>
      <c r="N51" s="7">
        <f t="shared" si="2"/>
        <v>0</v>
      </c>
    </row>
    <row r="52" spans="1:17" x14ac:dyDescent="0.25">
      <c r="A52" s="1" t="s">
        <v>178</v>
      </c>
      <c r="B52" s="1" t="str">
        <f>VLOOKUP(A52,LISTADHERENT!A$5:H$51,2)</f>
        <v>YOUMBI EMMANUEL</v>
      </c>
      <c r="C52" s="6">
        <f t="shared" si="0"/>
        <v>12610.717092685598</v>
      </c>
      <c r="D52" s="6">
        <f>TONT20000SEPT!C52+TONT20000SEPT!D52+TONT20000OCT!G52</f>
        <v>1553981.1145522567</v>
      </c>
      <c r="E52" s="1"/>
      <c r="F52" s="7">
        <f t="shared" si="1"/>
        <v>20000</v>
      </c>
      <c r="G52" s="7">
        <v>3000</v>
      </c>
      <c r="H52" s="7">
        <v>500</v>
      </c>
      <c r="I52" s="7">
        <v>1000</v>
      </c>
      <c r="J52" s="7">
        <v>2500</v>
      </c>
      <c r="L52" s="7">
        <v>13000</v>
      </c>
      <c r="N52" s="7">
        <f t="shared" si="2"/>
        <v>0</v>
      </c>
    </row>
    <row r="53" spans="1:17" x14ac:dyDescent="0.25">
      <c r="A53" s="1"/>
      <c r="B53" s="1"/>
      <c r="C53" s="1"/>
      <c r="D53" s="1"/>
      <c r="E53" s="1"/>
      <c r="F53" s="7"/>
      <c r="G53" s="7"/>
      <c r="H53" s="7"/>
      <c r="I53" s="7"/>
      <c r="J53" s="7"/>
      <c r="L53" s="7"/>
      <c r="N53" s="7"/>
    </row>
    <row r="54" spans="1:17" ht="18" x14ac:dyDescent="0.25">
      <c r="A54" s="1"/>
      <c r="B54" s="1" t="s">
        <v>180</v>
      </c>
      <c r="C54" s="1"/>
      <c r="D54" s="1"/>
      <c r="E54" s="1"/>
      <c r="L54" s="7"/>
      <c r="N54" s="7">
        <f t="shared" si="2"/>
        <v>0</v>
      </c>
      <c r="O54" s="9"/>
    </row>
    <row r="55" spans="1:17" ht="18" x14ac:dyDescent="0.25">
      <c r="A55" s="1"/>
      <c r="B55" s="1"/>
      <c r="C55" s="1"/>
      <c r="D55" s="1"/>
      <c r="E55" s="1"/>
      <c r="O55" s="9"/>
    </row>
    <row r="56" spans="1:17" ht="18" x14ac:dyDescent="0.25">
      <c r="A56" s="8" t="s">
        <v>56</v>
      </c>
      <c r="B56" s="8"/>
      <c r="C56" s="9">
        <f>SUM(C5:C52)</f>
        <v>194099.99999999994</v>
      </c>
      <c r="D56" s="9">
        <f t="shared" ref="D56:Q56" si="3">SUM(D5:D52)</f>
        <v>23918365.000000004</v>
      </c>
      <c r="E56" s="9">
        <f t="shared" si="3"/>
        <v>0</v>
      </c>
      <c r="F56" s="9">
        <f t="shared" si="3"/>
        <v>1029000</v>
      </c>
      <c r="G56" s="9">
        <f t="shared" si="3"/>
        <v>198000</v>
      </c>
      <c r="H56" s="9">
        <f t="shared" si="3"/>
        <v>21500</v>
      </c>
      <c r="I56" s="9">
        <f t="shared" si="3"/>
        <v>43000</v>
      </c>
      <c r="J56" s="9">
        <f t="shared" si="3"/>
        <v>107500</v>
      </c>
      <c r="K56" s="9">
        <f t="shared" si="3"/>
        <v>100000</v>
      </c>
      <c r="L56" s="9">
        <f t="shared" si="3"/>
        <v>559000</v>
      </c>
      <c r="M56" s="9">
        <f t="shared" si="3"/>
        <v>1670000</v>
      </c>
      <c r="N56" s="9">
        <f t="shared" si="3"/>
        <v>194100</v>
      </c>
      <c r="O56" s="9">
        <f t="shared" si="3"/>
        <v>70000</v>
      </c>
      <c r="P56" s="9">
        <f t="shared" si="3"/>
        <v>54075</v>
      </c>
      <c r="Q56" s="9">
        <f t="shared" si="3"/>
        <v>0</v>
      </c>
    </row>
  </sheetData>
  <autoFilter ref="A4:O51"/>
  <pageMargins left="0.7" right="0.7" top="0.75" bottom="0.75" header="0.3" footer="0.3"/>
  <pageSetup orientation="portrait" horizontalDpi="4294967295" verticalDpi="4294967295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6"/>
  <sheetViews>
    <sheetView workbookViewId="0">
      <pane xSplit="2" ySplit="4" topLeftCell="C23" activePane="bottomRight" state="frozen"/>
      <selection activeCell="D29" sqref="D29"/>
      <selection pane="topRight" activeCell="D29" sqref="D29"/>
      <selection pane="bottomLeft" activeCell="D29" sqref="D29"/>
      <selection pane="bottomRight" activeCell="A33" sqref="A33:XFD3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29.5703125" customWidth="1"/>
    <col min="4" max="5" width="22.42578125" customWidth="1"/>
    <col min="6" max="6" width="14.5703125" customWidth="1"/>
    <col min="7" max="7" width="13.85546875" style="2" customWidth="1"/>
    <col min="8" max="8" width="12.5703125" bestFit="1" customWidth="1"/>
    <col min="9" max="9" width="17.5703125" style="3" bestFit="1" customWidth="1"/>
    <col min="10" max="10" width="15.7109375" style="2" customWidth="1"/>
    <col min="11" max="11" width="14.7109375" style="2" customWidth="1"/>
    <col min="12" max="12" width="18.140625" style="2" bestFit="1" customWidth="1"/>
    <col min="13" max="13" width="18.140625" customWidth="1"/>
    <col min="14" max="14" width="15" bestFit="1" customWidth="1"/>
    <col min="15" max="15" width="12.5703125" bestFit="1" customWidth="1"/>
    <col min="16" max="16" width="18.140625" customWidth="1"/>
  </cols>
  <sheetData>
    <row r="1" spans="1:19" x14ac:dyDescent="0.25">
      <c r="A1" s="1" t="s">
        <v>0</v>
      </c>
      <c r="B1" s="1" t="s">
        <v>1</v>
      </c>
      <c r="C1" s="1"/>
      <c r="D1" s="1"/>
      <c r="E1" s="1"/>
      <c r="F1" s="1"/>
    </row>
    <row r="2" spans="1:19" x14ac:dyDescent="0.25">
      <c r="A2" s="1" t="s">
        <v>2</v>
      </c>
      <c r="B2" s="1" t="s">
        <v>3</v>
      </c>
      <c r="C2" s="1"/>
      <c r="D2" s="1"/>
      <c r="E2" s="1"/>
      <c r="F2" s="1"/>
    </row>
    <row r="3" spans="1:19" x14ac:dyDescent="0.25">
      <c r="A3" s="1" t="s">
        <v>4</v>
      </c>
      <c r="B3" s="1" t="s">
        <v>5</v>
      </c>
      <c r="C3" s="1"/>
      <c r="D3" s="1"/>
      <c r="E3" s="1"/>
      <c r="F3" s="1"/>
    </row>
    <row r="4" spans="1:19" ht="29.25" x14ac:dyDescent="0.25">
      <c r="A4" s="1" t="s">
        <v>6</v>
      </c>
      <c r="B4" s="1" t="s">
        <v>7</v>
      </c>
      <c r="C4" s="5" t="s">
        <v>186</v>
      </c>
      <c r="D4" s="5" t="s">
        <v>187</v>
      </c>
      <c r="E4" s="5" t="s">
        <v>191</v>
      </c>
      <c r="F4" s="1" t="s">
        <v>184</v>
      </c>
      <c r="G4" s="5" t="s">
        <v>65</v>
      </c>
      <c r="H4" s="1" t="s">
        <v>57</v>
      </c>
      <c r="I4" s="5" t="s">
        <v>58</v>
      </c>
      <c r="J4" s="5" t="s">
        <v>59</v>
      </c>
      <c r="K4" s="5" t="s">
        <v>60</v>
      </c>
      <c r="L4" s="5" t="s">
        <v>61</v>
      </c>
      <c r="M4" s="5" t="s">
        <v>62</v>
      </c>
      <c r="N4" s="5" t="s">
        <v>63</v>
      </c>
      <c r="O4" s="5" t="s">
        <v>64</v>
      </c>
      <c r="P4" s="5" t="s">
        <v>8</v>
      </c>
      <c r="Q4" s="5" t="s">
        <v>182</v>
      </c>
      <c r="R4" s="5" t="s">
        <v>181</v>
      </c>
    </row>
    <row r="5" spans="1:19" x14ac:dyDescent="0.25">
      <c r="A5" s="1" t="s">
        <v>185</v>
      </c>
      <c r="B5" s="1" t="str">
        <f>VLOOKUP(A5,LISTADHERENT!A$5:H$52,2,0)</f>
        <v>ASELBY</v>
      </c>
      <c r="C5" s="6">
        <f>$O$56/$D$56*D5</f>
        <v>5355.9105034780441</v>
      </c>
      <c r="D5" s="6">
        <f>TONT20000OCT!C5+TONT20000OCT!D5+TONT20000NOV!H5</f>
        <v>349741.60481619171</v>
      </c>
      <c r="E5" s="6">
        <f>C5+D5</f>
        <v>355097.51531966974</v>
      </c>
      <c r="F5" s="1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2"/>
    </row>
    <row r="6" spans="1:19" x14ac:dyDescent="0.25">
      <c r="A6" s="1" t="s">
        <v>11</v>
      </c>
      <c r="B6" s="1" t="str">
        <f>VLOOKUP(A6,LISTADHERENT!A$5:H$51,2)</f>
        <v>BAKOP ACHILLE</v>
      </c>
      <c r="C6" s="6">
        <f t="shared" ref="C6:C52" si="0">$O$56/$D$56*D6</f>
        <v>7616.788239557136</v>
      </c>
      <c r="D6" s="6">
        <f>TONT20000OCT!C6+TONT20000OCT!D6+TONT20000NOV!H6</f>
        <v>497377.19491726172</v>
      </c>
      <c r="E6" s="6">
        <f t="shared" ref="E6:E52" si="1">C6+D6</f>
        <v>504993.98315681884</v>
      </c>
      <c r="F6" s="1"/>
      <c r="G6" s="7">
        <f t="shared" ref="G6:G52" si="2">H6+I6+J6+K6+L6+M6</f>
        <v>0</v>
      </c>
      <c r="H6" s="7"/>
      <c r="I6" s="7"/>
      <c r="J6" s="7"/>
      <c r="K6" s="7"/>
      <c r="L6" s="7"/>
      <c r="M6" s="7"/>
      <c r="N6" s="7"/>
      <c r="O6" s="7">
        <f>IF(N6&lt;=500000,(N6*1*3/100),(N6*12/100))</f>
        <v>0</v>
      </c>
    </row>
    <row r="7" spans="1:19" x14ac:dyDescent="0.25">
      <c r="A7" s="1" t="s">
        <v>12</v>
      </c>
      <c r="B7" s="1" t="str">
        <f>VLOOKUP(A7,LISTADHERENT!A$5:H$51,2)</f>
        <v>BOUTCHOUANG WILLIAM</v>
      </c>
      <c r="C7" s="6">
        <f t="shared" si="0"/>
        <v>7175.2593209874249</v>
      </c>
      <c r="D7" s="6">
        <f>TONT20000OCT!C7+TONT20000OCT!D7+TONT20000NOV!H7</f>
        <v>468545.30303761776</v>
      </c>
      <c r="E7" s="6">
        <f t="shared" si="1"/>
        <v>475720.56235860521</v>
      </c>
      <c r="F7" s="1"/>
      <c r="G7" s="7">
        <f t="shared" si="2"/>
        <v>20000</v>
      </c>
      <c r="H7" s="7">
        <v>3000</v>
      </c>
      <c r="I7" s="7">
        <v>500</v>
      </c>
      <c r="J7" s="7">
        <v>1000</v>
      </c>
      <c r="K7" s="7">
        <v>2500</v>
      </c>
      <c r="L7" s="7"/>
      <c r="M7" s="7">
        <v>13000</v>
      </c>
      <c r="N7" s="7">
        <v>700000</v>
      </c>
      <c r="O7" s="7">
        <f t="shared" ref="O7:O54" si="3">IF(N7&lt;=500000,(N7*1*3/100),(N7*12/100))</f>
        <v>84000</v>
      </c>
      <c r="P7" s="7">
        <v>1000000</v>
      </c>
    </row>
    <row r="8" spans="1:19" x14ac:dyDescent="0.25">
      <c r="A8" s="1" t="s">
        <v>13</v>
      </c>
      <c r="B8" s="1" t="str">
        <f>VLOOKUP(A8,LISTADHERENT!A$5:H$51,2)</f>
        <v>CHINGUE FABRICE</v>
      </c>
      <c r="C8" s="6">
        <f t="shared" si="0"/>
        <v>7177.5825247136509</v>
      </c>
      <c r="D8" s="6">
        <f>TONT20000OCT!C8+TONT20000OCT!D8+TONT20000NOV!H8</f>
        <v>468697.008522427</v>
      </c>
      <c r="E8" s="6">
        <f t="shared" si="1"/>
        <v>475874.59104714065</v>
      </c>
      <c r="F8" s="1"/>
      <c r="G8" s="7">
        <f t="shared" si="2"/>
        <v>20000</v>
      </c>
      <c r="H8" s="7">
        <v>3000</v>
      </c>
      <c r="I8" s="7">
        <v>500</v>
      </c>
      <c r="J8" s="7">
        <v>1000</v>
      </c>
      <c r="K8" s="7">
        <v>2500</v>
      </c>
      <c r="L8" s="7"/>
      <c r="M8" s="7">
        <v>13000</v>
      </c>
      <c r="O8" s="7">
        <f t="shared" si="3"/>
        <v>0</v>
      </c>
    </row>
    <row r="9" spans="1:19" x14ac:dyDescent="0.25">
      <c r="A9" s="1" t="s">
        <v>14</v>
      </c>
      <c r="B9" s="1" t="str">
        <f>VLOOKUP(A9,LISTADHERENT!A$5:H$51,2)</f>
        <v xml:space="preserve">DJOMO JEAN PAUL </v>
      </c>
      <c r="C9" s="6">
        <f t="shared" si="0"/>
        <v>7391.6962331486939</v>
      </c>
      <c r="D9" s="6">
        <f>TONT20000OCT!C9+TONT20000OCT!D9+TONT20000NOV!H9</f>
        <v>482678.65962593019</v>
      </c>
      <c r="E9" s="6">
        <f t="shared" si="1"/>
        <v>490070.35585907887</v>
      </c>
      <c r="F9" s="1"/>
      <c r="G9" s="7">
        <f t="shared" si="2"/>
        <v>22000</v>
      </c>
      <c r="H9" s="7">
        <v>5000</v>
      </c>
      <c r="I9" s="7">
        <v>500</v>
      </c>
      <c r="J9" s="7">
        <v>1000</v>
      </c>
      <c r="K9" s="7">
        <v>2500</v>
      </c>
      <c r="L9" s="7"/>
      <c r="M9" s="7">
        <v>13000</v>
      </c>
      <c r="N9" s="7">
        <v>100000</v>
      </c>
      <c r="O9" s="7">
        <f t="shared" si="3"/>
        <v>3000</v>
      </c>
    </row>
    <row r="10" spans="1:19" x14ac:dyDescent="0.25">
      <c r="A10" s="1" t="s">
        <v>15</v>
      </c>
      <c r="B10" s="1" t="str">
        <f>VLOOKUP(A10,LISTADHERENT!A$5:H$51,2)</f>
        <v>DJOUKWE GUY</v>
      </c>
      <c r="C10" s="6">
        <f t="shared" si="0"/>
        <v>7898.8852591507512</v>
      </c>
      <c r="D10" s="6">
        <f>TONT20000OCT!C10+TONT20000OCT!D10+TONT20000NOV!H10</f>
        <v>515798.16447649291</v>
      </c>
      <c r="E10" s="6">
        <f t="shared" si="1"/>
        <v>523697.04973564367</v>
      </c>
      <c r="F10" s="1"/>
      <c r="G10" s="7">
        <f t="shared" si="2"/>
        <v>20000</v>
      </c>
      <c r="H10" s="7">
        <v>3000</v>
      </c>
      <c r="I10" s="7">
        <v>500</v>
      </c>
      <c r="J10" s="7">
        <v>1000</v>
      </c>
      <c r="K10" s="7">
        <v>2500</v>
      </c>
      <c r="L10" s="7"/>
      <c r="M10" s="7">
        <v>13000</v>
      </c>
      <c r="O10" s="7">
        <f t="shared" si="3"/>
        <v>0</v>
      </c>
    </row>
    <row r="11" spans="1:19" x14ac:dyDescent="0.25">
      <c r="A11" s="1" t="s">
        <v>16</v>
      </c>
      <c r="B11" s="1" t="str">
        <f>VLOOKUP(A11,LISTADHERENT!A$5:H$51,2)</f>
        <v>DJOSSEU JOSUE</v>
      </c>
      <c r="C11" s="6">
        <f t="shared" si="0"/>
        <v>84.174048051643837</v>
      </c>
      <c r="D11" s="6">
        <f>TONT20000OCT!C11+TONT20000OCT!D11+TONT20000NOV!H11</f>
        <v>5496.5755365665309</v>
      </c>
      <c r="E11" s="6">
        <f t="shared" si="1"/>
        <v>5580.7495846181746</v>
      </c>
      <c r="F11" s="1"/>
      <c r="G11" s="7">
        <f t="shared" si="2"/>
        <v>0</v>
      </c>
      <c r="H11" s="7"/>
      <c r="I11" s="7"/>
      <c r="J11" s="7"/>
      <c r="K11" s="7"/>
      <c r="L11" s="7"/>
      <c r="M11" s="7"/>
      <c r="O11" s="7">
        <f t="shared" si="3"/>
        <v>0</v>
      </c>
    </row>
    <row r="12" spans="1:19" x14ac:dyDescent="0.25">
      <c r="A12" s="1" t="s">
        <v>17</v>
      </c>
      <c r="B12" s="1" t="str">
        <f>VLOOKUP(A12,LISTADHERENT!A$5:H$51,2)</f>
        <v>DJOUNKEP SAMUEL</v>
      </c>
      <c r="C12" s="6">
        <f t="shared" si="0"/>
        <v>32214.658064408843</v>
      </c>
      <c r="D12" s="6">
        <f>TONT20000OCT!C12+TONT20000OCT!D12+TONT20000NOV!H12</f>
        <v>2103621.0748358723</v>
      </c>
      <c r="E12" s="6">
        <f t="shared" si="1"/>
        <v>2135835.732900281</v>
      </c>
      <c r="F12" s="1"/>
      <c r="G12" s="7">
        <f t="shared" si="2"/>
        <v>20000</v>
      </c>
      <c r="H12" s="7">
        <v>3000</v>
      </c>
      <c r="I12" s="7">
        <v>500</v>
      </c>
      <c r="J12" s="7">
        <v>1000</v>
      </c>
      <c r="K12" s="7">
        <v>2500</v>
      </c>
      <c r="L12" s="7"/>
      <c r="M12" s="7">
        <v>13000</v>
      </c>
      <c r="O12" s="7">
        <f t="shared" si="3"/>
        <v>0</v>
      </c>
    </row>
    <row r="13" spans="1:19" x14ac:dyDescent="0.25">
      <c r="A13" s="1" t="s">
        <v>18</v>
      </c>
      <c r="B13" s="1" t="str">
        <f>VLOOKUP(A13,LISTADHERENT!A$5:H$51,2)</f>
        <v>DJUOMBESSY ANTOINE</v>
      </c>
      <c r="C13" s="6">
        <f t="shared" si="0"/>
        <v>7552.719953383822</v>
      </c>
      <c r="D13" s="6">
        <f>TONT20000OCT!C13+TONT20000OCT!D13+TONT20000NOV!H13</f>
        <v>493193.52806742786</v>
      </c>
      <c r="E13" s="6">
        <f t="shared" si="1"/>
        <v>500746.2480208117</v>
      </c>
      <c r="F13" s="1"/>
      <c r="G13" s="7">
        <f t="shared" si="2"/>
        <v>20000</v>
      </c>
      <c r="H13" s="7">
        <v>3000</v>
      </c>
      <c r="I13" s="7">
        <v>500</v>
      </c>
      <c r="J13" s="7">
        <v>1000</v>
      </c>
      <c r="K13" s="7">
        <v>2500</v>
      </c>
      <c r="L13" s="7"/>
      <c r="M13" s="7">
        <v>13000</v>
      </c>
      <c r="O13" s="7">
        <f t="shared" si="3"/>
        <v>0</v>
      </c>
    </row>
    <row r="14" spans="1:19" x14ac:dyDescent="0.25">
      <c r="A14" s="1" t="s">
        <v>19</v>
      </c>
      <c r="B14" s="1" t="str">
        <f>VLOOKUP(A14,LISTADHERENT!A$5:H$51,2)</f>
        <v>DONHOU DAVID</v>
      </c>
      <c r="C14" s="6">
        <f t="shared" si="0"/>
        <v>7899.6611785198738</v>
      </c>
      <c r="D14" s="6">
        <f>TONT20000OCT!C14+TONT20000OCT!D14+TONT20000NOV!H14</f>
        <v>515848.83210530941</v>
      </c>
      <c r="E14" s="6">
        <f t="shared" si="1"/>
        <v>523748.4932838293</v>
      </c>
      <c r="F14" s="1"/>
      <c r="G14" s="7">
        <f t="shared" si="2"/>
        <v>20000</v>
      </c>
      <c r="H14" s="7">
        <v>3000</v>
      </c>
      <c r="I14" s="7">
        <v>500</v>
      </c>
      <c r="J14" s="7">
        <v>1000</v>
      </c>
      <c r="K14" s="7">
        <v>2500</v>
      </c>
      <c r="L14" s="7"/>
      <c r="M14" s="7">
        <v>13000</v>
      </c>
      <c r="O14" s="7">
        <f t="shared" si="3"/>
        <v>0</v>
      </c>
    </row>
    <row r="15" spans="1:19" x14ac:dyDescent="0.25">
      <c r="A15" s="1" t="s">
        <v>20</v>
      </c>
      <c r="B15" s="1" t="str">
        <f>VLOOKUP(A15,LISTADHERENT!A$5:H$51,2)</f>
        <v>FOTSO THOMAS</v>
      </c>
      <c r="C15" s="6">
        <f t="shared" si="0"/>
        <v>7202.4307036984974</v>
      </c>
      <c r="D15" s="6">
        <f>TONT20000OCT!C15+TONT20000OCT!D15+TONT20000NOV!H15</f>
        <v>470319.59762082156</v>
      </c>
      <c r="E15" s="6">
        <f t="shared" si="1"/>
        <v>477522.02832452004</v>
      </c>
      <c r="F15" s="1"/>
      <c r="G15" s="7">
        <f t="shared" si="2"/>
        <v>20000</v>
      </c>
      <c r="H15" s="7">
        <v>3000</v>
      </c>
      <c r="I15" s="7">
        <v>500</v>
      </c>
      <c r="J15" s="7">
        <v>1000</v>
      </c>
      <c r="K15" s="7">
        <v>2500</v>
      </c>
      <c r="L15" s="7"/>
      <c r="M15" s="7">
        <v>13000</v>
      </c>
      <c r="O15" s="7">
        <f t="shared" si="3"/>
        <v>0</v>
      </c>
    </row>
    <row r="16" spans="1:19" x14ac:dyDescent="0.25">
      <c r="A16" s="1" t="s">
        <v>21</v>
      </c>
      <c r="B16" s="1" t="str">
        <f>VLOOKUP(A16,LISTADHERENT!A$5:H$51,2)</f>
        <v>HENGUE PAUL OMER</v>
      </c>
      <c r="C16" s="6">
        <f t="shared" si="0"/>
        <v>7054.3165399980298</v>
      </c>
      <c r="D16" s="6">
        <f>TONT20000OCT!C16+TONT20000OCT!D16+TONT20000NOV!H16</f>
        <v>460647.72478519997</v>
      </c>
      <c r="E16" s="6">
        <f t="shared" si="1"/>
        <v>467702.04132519802</v>
      </c>
      <c r="F16" s="1"/>
      <c r="G16" s="7">
        <f t="shared" si="2"/>
        <v>0</v>
      </c>
      <c r="H16" s="7"/>
      <c r="I16" s="7"/>
      <c r="J16" s="7"/>
      <c r="K16" s="7"/>
      <c r="L16" s="7"/>
      <c r="M16" s="7"/>
      <c r="O16" s="7">
        <f t="shared" si="3"/>
        <v>0</v>
      </c>
    </row>
    <row r="17" spans="1:16" x14ac:dyDescent="0.25">
      <c r="A17" s="1" t="s">
        <v>22</v>
      </c>
      <c r="B17" s="1" t="str">
        <f>VLOOKUP(A17,LISTADHERENT!A$5:H$51,2)</f>
        <v>HODIEP JULES</v>
      </c>
      <c r="C17" s="6">
        <f t="shared" si="0"/>
        <v>1391.4361016512346</v>
      </c>
      <c r="D17" s="6">
        <f>TONT20000OCT!C17+TONT20000OCT!D17+TONT20000NOV!H17</f>
        <v>90860.946028629507</v>
      </c>
      <c r="E17" s="6">
        <f t="shared" si="1"/>
        <v>92252.382130280748</v>
      </c>
      <c r="F17" s="1"/>
      <c r="G17" s="7">
        <f t="shared" si="2"/>
        <v>20000</v>
      </c>
      <c r="H17" s="7">
        <v>3000</v>
      </c>
      <c r="I17" s="7">
        <v>500</v>
      </c>
      <c r="J17" s="7">
        <v>1000</v>
      </c>
      <c r="K17" s="7">
        <v>2500</v>
      </c>
      <c r="L17" s="7"/>
      <c r="M17" s="7">
        <v>13000</v>
      </c>
      <c r="O17" s="7">
        <f t="shared" si="3"/>
        <v>0</v>
      </c>
    </row>
    <row r="18" spans="1:16" x14ac:dyDescent="0.25">
      <c r="A18" s="1" t="s">
        <v>23</v>
      </c>
      <c r="B18" s="1" t="str">
        <f>VLOOKUP(A18,LISTADHERENT!A$5:H$51,2)</f>
        <v>HOTCHO BENJAMIN</v>
      </c>
      <c r="C18" s="6">
        <f t="shared" si="0"/>
        <v>8034.4555474528761</v>
      </c>
      <c r="D18" s="6">
        <f>TONT20000OCT!C18+TONT20000OCT!D18+TONT20000NOV!H18</f>
        <v>524650.92072874703</v>
      </c>
      <c r="E18" s="6">
        <f t="shared" si="1"/>
        <v>532685.37627619994</v>
      </c>
      <c r="F18" s="1"/>
      <c r="G18" s="7">
        <f t="shared" si="2"/>
        <v>20000</v>
      </c>
      <c r="H18" s="7">
        <v>3000</v>
      </c>
      <c r="I18" s="7">
        <v>500</v>
      </c>
      <c r="J18" s="7">
        <v>1000</v>
      </c>
      <c r="K18" s="7">
        <v>2500</v>
      </c>
      <c r="L18" s="7"/>
      <c r="M18" s="7">
        <v>13000</v>
      </c>
      <c r="O18" s="7">
        <f t="shared" si="3"/>
        <v>0</v>
      </c>
    </row>
    <row r="19" spans="1:16" x14ac:dyDescent="0.25">
      <c r="A19" s="1" t="s">
        <v>24</v>
      </c>
      <c r="B19" s="1" t="str">
        <f>VLOOKUP(A19,LISTADHERENT!A$5:H$51,2)</f>
        <v>KEPHE DAVID</v>
      </c>
      <c r="C19" s="6">
        <f t="shared" si="0"/>
        <v>796.39844634736471</v>
      </c>
      <c r="D19" s="6">
        <f>TONT20000OCT!C19+TONT20000OCT!D19+TONT20000NOV!H19</f>
        <v>52004.915040640371</v>
      </c>
      <c r="E19" s="6">
        <f t="shared" si="1"/>
        <v>52801.313486987739</v>
      </c>
      <c r="F19" s="1"/>
      <c r="G19" s="7">
        <f t="shared" si="2"/>
        <v>20000</v>
      </c>
      <c r="H19" s="7">
        <v>3000</v>
      </c>
      <c r="I19" s="7">
        <v>500</v>
      </c>
      <c r="J19" s="7">
        <v>1000</v>
      </c>
      <c r="K19" s="7">
        <v>2500</v>
      </c>
      <c r="L19" s="7"/>
      <c r="M19" s="7">
        <v>13000</v>
      </c>
      <c r="O19" s="7">
        <f t="shared" si="3"/>
        <v>0</v>
      </c>
    </row>
    <row r="20" spans="1:16" x14ac:dyDescent="0.25">
      <c r="A20" s="1" t="s">
        <v>25</v>
      </c>
      <c r="B20" s="1" t="str">
        <f>VLOOKUP(A20,LISTADHERENT!A$5:H$51,2)</f>
        <v>KEPSEU FRANCIS</v>
      </c>
      <c r="C20" s="6">
        <f t="shared" si="0"/>
        <v>18799.751436910352</v>
      </c>
      <c r="D20" s="6">
        <f>TONT20000OCT!C20+TONT20000OCT!D20+TONT20000NOV!H20</f>
        <v>1227626.0466676571</v>
      </c>
      <c r="E20" s="6">
        <f t="shared" si="1"/>
        <v>1246425.7981045675</v>
      </c>
      <c r="F20" s="1"/>
      <c r="G20" s="7">
        <f t="shared" si="2"/>
        <v>23000</v>
      </c>
      <c r="H20" s="7">
        <v>6000</v>
      </c>
      <c r="I20" s="7">
        <v>500</v>
      </c>
      <c r="J20" s="7">
        <v>1000</v>
      </c>
      <c r="K20" s="7">
        <v>2500</v>
      </c>
      <c r="L20" s="7"/>
      <c r="M20" s="7">
        <v>13000</v>
      </c>
      <c r="O20" s="7">
        <f t="shared" si="3"/>
        <v>0</v>
      </c>
    </row>
    <row r="21" spans="1:16" ht="15.75" customHeight="1" x14ac:dyDescent="0.25">
      <c r="A21" s="1" t="s">
        <v>26</v>
      </c>
      <c r="B21" s="1" t="str">
        <f>VLOOKUP(A21,LISTADHERENT!A$5:H$51,2)</f>
        <v>KOUAMOU EMMANUEL</v>
      </c>
      <c r="C21" s="6">
        <f t="shared" si="0"/>
        <v>7192.4139919803511</v>
      </c>
      <c r="D21" s="6">
        <f>TONT20000OCT!C21+TONT20000OCT!D21+TONT20000NOV!H21</f>
        <v>469665.50513197004</v>
      </c>
      <c r="E21" s="6">
        <f t="shared" si="1"/>
        <v>476857.91912395041</v>
      </c>
      <c r="F21" s="1"/>
      <c r="G21" s="7">
        <f t="shared" si="2"/>
        <v>20000</v>
      </c>
      <c r="H21" s="7">
        <v>3000</v>
      </c>
      <c r="I21" s="7">
        <v>500</v>
      </c>
      <c r="J21" s="7">
        <v>1000</v>
      </c>
      <c r="K21" s="7">
        <v>2500</v>
      </c>
      <c r="L21" s="7"/>
      <c r="M21" s="7">
        <v>13000</v>
      </c>
      <c r="O21" s="7">
        <f t="shared" si="3"/>
        <v>0</v>
      </c>
    </row>
    <row r="22" spans="1:16" x14ac:dyDescent="0.25">
      <c r="A22" s="1" t="s">
        <v>27</v>
      </c>
      <c r="B22" s="1" t="str">
        <f>VLOOKUP(A22,LISTADHERENT!A$5:H$51,2)</f>
        <v>KOUAMOU MOISE</v>
      </c>
      <c r="C22" s="6">
        <f t="shared" si="0"/>
        <v>7134.956916410888</v>
      </c>
      <c r="D22" s="6">
        <f>TONT20000OCT!C22+TONT20000OCT!D22+TONT20000NOV!H22</f>
        <v>465913.55113560293</v>
      </c>
      <c r="E22" s="6">
        <f t="shared" si="1"/>
        <v>473048.50805201381</v>
      </c>
      <c r="F22" s="1"/>
      <c r="G22" s="7">
        <f t="shared" si="2"/>
        <v>20000</v>
      </c>
      <c r="H22" s="7">
        <v>3000</v>
      </c>
      <c r="I22" s="7">
        <v>500</v>
      </c>
      <c r="J22" s="7">
        <v>1000</v>
      </c>
      <c r="K22" s="7">
        <v>2500</v>
      </c>
      <c r="L22" s="7"/>
      <c r="M22" s="7">
        <v>13000</v>
      </c>
      <c r="O22" s="7">
        <f t="shared" si="3"/>
        <v>0</v>
      </c>
    </row>
    <row r="23" spans="1:16" x14ac:dyDescent="0.25">
      <c r="A23" s="1" t="s">
        <v>28</v>
      </c>
      <c r="B23" s="1" t="str">
        <f>VLOOKUP(A23,LISTADHERENT!A$5:H$51,2)</f>
        <v>KOUAMOU VICTOR PEGUY</v>
      </c>
      <c r="C23" s="6">
        <f t="shared" si="0"/>
        <v>7747.9011393614119</v>
      </c>
      <c r="D23" s="6">
        <f>TONT20000OCT!C23+TONT20000OCT!D23+TONT20000NOV!H23</f>
        <v>505938.88316053501</v>
      </c>
      <c r="E23" s="6">
        <f t="shared" si="1"/>
        <v>513686.78429989645</v>
      </c>
      <c r="F23" s="1"/>
      <c r="G23" s="7">
        <f t="shared" si="2"/>
        <v>19000</v>
      </c>
      <c r="H23" s="7">
        <v>2000</v>
      </c>
      <c r="I23" s="7">
        <v>500</v>
      </c>
      <c r="J23" s="7">
        <v>1000</v>
      </c>
      <c r="K23" s="7">
        <v>2500</v>
      </c>
      <c r="L23" s="7"/>
      <c r="M23" s="7">
        <v>13000</v>
      </c>
      <c r="N23" s="7">
        <v>800000</v>
      </c>
      <c r="O23" s="7">
        <f t="shared" si="3"/>
        <v>96000</v>
      </c>
      <c r="P23" s="7">
        <v>1000000</v>
      </c>
    </row>
    <row r="24" spans="1:16" x14ac:dyDescent="0.25">
      <c r="A24" s="1" t="s">
        <v>29</v>
      </c>
      <c r="B24" s="1" t="str">
        <f>VLOOKUP(A24,LISTADHERENT!A$5:H$51,2)</f>
        <v>KOUATCHO MESSACK</v>
      </c>
      <c r="C24" s="6">
        <f t="shared" si="0"/>
        <v>7146.572805411427</v>
      </c>
      <c r="D24" s="6">
        <f>TONT20000OCT!C24+TONT20000OCT!D24+TONT20000NOV!H24</f>
        <v>466672.07009475603</v>
      </c>
      <c r="E24" s="6">
        <f t="shared" si="1"/>
        <v>473818.64290016744</v>
      </c>
      <c r="F24" s="1"/>
      <c r="G24" s="7">
        <f t="shared" si="2"/>
        <v>20000</v>
      </c>
      <c r="H24" s="7">
        <v>3000</v>
      </c>
      <c r="I24" s="7">
        <v>500</v>
      </c>
      <c r="J24" s="7">
        <v>1000</v>
      </c>
      <c r="K24" s="7">
        <v>2500</v>
      </c>
      <c r="L24" s="7"/>
      <c r="M24" s="7">
        <v>13000</v>
      </c>
      <c r="N24" s="7"/>
      <c r="O24" s="7">
        <f t="shared" si="3"/>
        <v>0</v>
      </c>
    </row>
    <row r="25" spans="1:16" x14ac:dyDescent="0.25">
      <c r="A25" s="1" t="s">
        <v>30</v>
      </c>
      <c r="B25" s="1" t="str">
        <f>VLOOKUP(A25,LISTADHERENT!A$5:H$51,2)</f>
        <v>LOWE JEAN</v>
      </c>
      <c r="C25" s="6">
        <f t="shared" si="0"/>
        <v>7219.4843658337613</v>
      </c>
      <c r="D25" s="6">
        <f>TONT20000OCT!C25+TONT20000OCT!D25+TONT20000NOV!H25</f>
        <v>471433.20382452995</v>
      </c>
      <c r="E25" s="6">
        <f t="shared" si="1"/>
        <v>478652.6881903637</v>
      </c>
      <c r="F25" s="1"/>
      <c r="G25" s="7">
        <f t="shared" si="2"/>
        <v>20000</v>
      </c>
      <c r="H25" s="7">
        <v>3000</v>
      </c>
      <c r="I25" s="7">
        <v>500</v>
      </c>
      <c r="J25" s="7">
        <v>1000</v>
      </c>
      <c r="K25" s="7">
        <v>2500</v>
      </c>
      <c r="L25" s="7"/>
      <c r="M25" s="7">
        <v>13000</v>
      </c>
      <c r="O25" s="7">
        <f t="shared" si="3"/>
        <v>0</v>
      </c>
    </row>
    <row r="26" spans="1:16" x14ac:dyDescent="0.25">
      <c r="A26" s="1" t="s">
        <v>31</v>
      </c>
      <c r="B26" s="1" t="str">
        <f>VLOOKUP(A26,LISTADHERENT!A$5:H$51,2)</f>
        <v>NANKAM APPOLINAIRE</v>
      </c>
      <c r="C26" s="6">
        <f t="shared" si="0"/>
        <v>7220.8311506025866</v>
      </c>
      <c r="D26" s="6">
        <f>TONT20000OCT!C26+TONT20000OCT!D26+TONT20000NOV!H26</f>
        <v>471521.14903311495</v>
      </c>
      <c r="E26" s="6">
        <f t="shared" si="1"/>
        <v>478741.98018371756</v>
      </c>
      <c r="F26" s="1"/>
      <c r="G26" s="7">
        <f t="shared" si="2"/>
        <v>20000</v>
      </c>
      <c r="H26" s="7">
        <v>3000</v>
      </c>
      <c r="I26" s="7">
        <v>500</v>
      </c>
      <c r="J26" s="7">
        <v>1000</v>
      </c>
      <c r="K26" s="7">
        <v>2500</v>
      </c>
      <c r="L26" s="7"/>
      <c r="M26" s="7">
        <v>13000</v>
      </c>
      <c r="O26" s="7">
        <f t="shared" si="3"/>
        <v>0</v>
      </c>
    </row>
    <row r="27" spans="1:16" x14ac:dyDescent="0.25">
      <c r="A27" s="1" t="s">
        <v>32</v>
      </c>
      <c r="B27" s="1" t="str">
        <f>VLOOKUP(A27,LISTADHERENT!A$5:H$51,2)</f>
        <v>NDJOMO ETIENNE</v>
      </c>
      <c r="C27" s="6">
        <f t="shared" si="0"/>
        <v>8149.5809421807171</v>
      </c>
      <c r="D27" s="6">
        <f>TONT20000OCT!C27+TONT20000OCT!D27+TONT20000NOV!H27</f>
        <v>532168.62295343238</v>
      </c>
      <c r="E27" s="6">
        <f t="shared" si="1"/>
        <v>540318.20389561309</v>
      </c>
      <c r="F27" s="1"/>
      <c r="G27" s="7">
        <f t="shared" si="2"/>
        <v>25000</v>
      </c>
      <c r="H27" s="7">
        <v>8000</v>
      </c>
      <c r="I27" s="7">
        <v>500</v>
      </c>
      <c r="J27" s="7">
        <v>1000</v>
      </c>
      <c r="K27" s="7">
        <v>2500</v>
      </c>
      <c r="L27" s="7"/>
      <c r="M27" s="7">
        <v>13000</v>
      </c>
      <c r="N27" s="7"/>
      <c r="O27" s="7">
        <f t="shared" si="3"/>
        <v>0</v>
      </c>
    </row>
    <row r="28" spans="1:16" x14ac:dyDescent="0.25">
      <c r="A28" s="1" t="s">
        <v>33</v>
      </c>
      <c r="B28" s="1" t="str">
        <f>VLOOKUP(A28,LISTADHERENT!A$5:H$51,2)</f>
        <v>NDOMBOU JEAN CLAUDE</v>
      </c>
      <c r="C28" s="6">
        <f t="shared" si="0"/>
        <v>0</v>
      </c>
      <c r="D28" s="6">
        <f>TONT20000OCT!C28+TONT20000OCT!D28+TONT20000NOV!H28</f>
        <v>0</v>
      </c>
      <c r="E28" s="6">
        <f t="shared" si="1"/>
        <v>0</v>
      </c>
      <c r="F28" s="1"/>
      <c r="G28" s="7">
        <f t="shared" si="2"/>
        <v>0</v>
      </c>
      <c r="H28" s="7"/>
      <c r="I28" s="7"/>
      <c r="J28" s="7"/>
      <c r="K28" s="7"/>
      <c r="L28" s="7"/>
      <c r="M28" s="7"/>
      <c r="O28" s="7">
        <f t="shared" si="3"/>
        <v>0</v>
      </c>
    </row>
    <row r="29" spans="1:16" x14ac:dyDescent="0.25">
      <c r="A29" s="1" t="s">
        <v>34</v>
      </c>
      <c r="B29" s="1" t="str">
        <f>VLOOKUP(A29,LISTADHERENT!A$5:H$51,2)</f>
        <v>NGONDIEP CLAUDE</v>
      </c>
      <c r="C29" s="6">
        <f t="shared" si="0"/>
        <v>10169.666906376606</v>
      </c>
      <c r="D29" s="6">
        <f>TONT20000OCT!C29+TONT20000OCT!D29+TONT20000NOV!H29</f>
        <v>664080.48117543571</v>
      </c>
      <c r="E29" s="6">
        <f t="shared" si="1"/>
        <v>674250.14808181231</v>
      </c>
      <c r="F29" s="1"/>
      <c r="G29" s="7">
        <f t="shared" si="2"/>
        <v>20000</v>
      </c>
      <c r="H29" s="7">
        <v>3000</v>
      </c>
      <c r="I29" s="7">
        <v>500</v>
      </c>
      <c r="J29" s="7">
        <v>1000</v>
      </c>
      <c r="K29" s="7">
        <v>2500</v>
      </c>
      <c r="L29" s="7"/>
      <c r="M29" s="7">
        <v>13000</v>
      </c>
      <c r="O29" s="7">
        <f t="shared" si="3"/>
        <v>0</v>
      </c>
    </row>
    <row r="30" spans="1:16" x14ac:dyDescent="0.25">
      <c r="A30" s="1" t="s">
        <v>35</v>
      </c>
      <c r="B30" s="1" t="str">
        <f>VLOOKUP(A30,LISTADHERENT!A$5:H$51,2)</f>
        <v>NGONGANG JEAN THEODORE</v>
      </c>
      <c r="C30" s="6">
        <f t="shared" si="0"/>
        <v>580.99705738320813</v>
      </c>
      <c r="D30" s="6">
        <f>TONT20000OCT!C30+TONT20000OCT!D30+TONT20000NOV!H30</f>
        <v>37939.178242566617</v>
      </c>
      <c r="E30" s="6">
        <f t="shared" si="1"/>
        <v>38520.175299949828</v>
      </c>
      <c r="F30" s="1"/>
      <c r="G30" s="7">
        <f t="shared" si="2"/>
        <v>20000</v>
      </c>
      <c r="H30" s="7">
        <v>3000</v>
      </c>
      <c r="I30" s="7">
        <v>500</v>
      </c>
      <c r="J30" s="7">
        <v>1000</v>
      </c>
      <c r="K30" s="7">
        <v>2500</v>
      </c>
      <c r="L30" s="7"/>
      <c r="M30" s="7">
        <v>13000</v>
      </c>
      <c r="O30" s="7">
        <f t="shared" si="3"/>
        <v>0</v>
      </c>
    </row>
    <row r="31" spans="1:16" x14ac:dyDescent="0.25">
      <c r="A31" s="1" t="s">
        <v>36</v>
      </c>
      <c r="B31" s="1" t="str">
        <f>VLOOKUP(A31,LISTADHERENT!A$5:H$51,2)</f>
        <v>NGUIEMEGNI MATHIEU BLAISE</v>
      </c>
      <c r="C31" s="6">
        <f t="shared" si="0"/>
        <v>14859.521707293547</v>
      </c>
      <c r="D31" s="6">
        <f>TONT20000OCT!C31+TONT20000OCT!D31+TONT20000NOV!H31</f>
        <v>970328.56791296951</v>
      </c>
      <c r="E31" s="6">
        <f t="shared" si="1"/>
        <v>985188.08962026308</v>
      </c>
      <c r="F31" s="1"/>
      <c r="G31" s="7">
        <f t="shared" si="2"/>
        <v>20000</v>
      </c>
      <c r="H31" s="7">
        <v>3000</v>
      </c>
      <c r="I31" s="7">
        <v>500</v>
      </c>
      <c r="J31" s="7">
        <v>1000</v>
      </c>
      <c r="K31" s="7">
        <v>2500</v>
      </c>
      <c r="L31" s="7"/>
      <c r="M31" s="7">
        <v>13000</v>
      </c>
      <c r="O31" s="7">
        <f t="shared" si="3"/>
        <v>0</v>
      </c>
    </row>
    <row r="32" spans="1:16" x14ac:dyDescent="0.25">
      <c r="A32" s="1" t="s">
        <v>37</v>
      </c>
      <c r="B32" s="1" t="str">
        <f>VLOOKUP(A32,LISTADHERENT!A$5:H$51,2)</f>
        <v>NJEPDJIO MBOUKAM DELUXE</v>
      </c>
      <c r="C32" s="6">
        <f t="shared" si="0"/>
        <v>7440.012243847882</v>
      </c>
      <c r="D32" s="6">
        <f>TONT20000OCT!C32+TONT20000OCT!D32+TONT20000NOV!H32</f>
        <v>485833.70097870805</v>
      </c>
      <c r="E32" s="6">
        <f t="shared" si="1"/>
        <v>493273.71322255593</v>
      </c>
      <c r="F32" s="1"/>
      <c r="G32" s="7">
        <f t="shared" si="2"/>
        <v>20000</v>
      </c>
      <c r="H32" s="7">
        <v>3000</v>
      </c>
      <c r="I32" s="7">
        <v>500</v>
      </c>
      <c r="J32" s="7">
        <v>1000</v>
      </c>
      <c r="K32" s="7">
        <v>2500</v>
      </c>
      <c r="L32" s="7"/>
      <c r="M32" s="7">
        <v>13000</v>
      </c>
      <c r="O32" s="7">
        <f t="shared" si="3"/>
        <v>0</v>
      </c>
    </row>
    <row r="33" spans="1:16" x14ac:dyDescent="0.25">
      <c r="A33" s="1" t="s">
        <v>38</v>
      </c>
      <c r="B33" s="1" t="str">
        <f>VLOOKUP(A33,LISTADHERENT!A$5:H$51,2)</f>
        <v>NKAMGANG JUSTIN DEJOLIE</v>
      </c>
      <c r="C33" s="6">
        <f t="shared" si="0"/>
        <v>8129.8194568011168</v>
      </c>
      <c r="D33" s="6">
        <f>TONT20000OCT!C33+TONT20000OCT!D33+TONT20000NOV!H33</f>
        <v>530878.19556378038</v>
      </c>
      <c r="E33" s="6">
        <f t="shared" si="1"/>
        <v>539008.01502058154</v>
      </c>
      <c r="F33" s="1"/>
      <c r="G33" s="7">
        <f t="shared" si="2"/>
        <v>23000</v>
      </c>
      <c r="H33" s="7">
        <v>6000</v>
      </c>
      <c r="I33" s="7">
        <v>500</v>
      </c>
      <c r="J33" s="7">
        <v>1000</v>
      </c>
      <c r="K33" s="7">
        <v>2500</v>
      </c>
      <c r="L33" s="7"/>
      <c r="M33" s="7">
        <v>13000</v>
      </c>
      <c r="N33" s="7">
        <v>1000000</v>
      </c>
      <c r="O33" s="7">
        <f t="shared" si="3"/>
        <v>120000</v>
      </c>
    </row>
    <row r="34" spans="1:16" s="11" customFormat="1" x14ac:dyDescent="0.25">
      <c r="A34" s="1" t="s">
        <v>39</v>
      </c>
      <c r="B34" s="1" t="str">
        <f>VLOOKUP(A34,LISTADHERENT!A$5:H$51,2)</f>
        <v>NKEPSEU DIEUDONNE</v>
      </c>
      <c r="C34" s="6">
        <f t="shared" si="0"/>
        <v>8262.0206355681039</v>
      </c>
      <c r="D34" s="6">
        <f>TONT20000OCT!C34+TONT20000OCT!D34+TONT20000NOV!H34</f>
        <v>539510.94855517801</v>
      </c>
      <c r="E34" s="6">
        <f t="shared" si="1"/>
        <v>547772.96919074608</v>
      </c>
      <c r="F34" s="1"/>
      <c r="G34" s="10">
        <f>H34+I34+J34+K34+L34+M34</f>
        <v>50000</v>
      </c>
      <c r="H34" s="7">
        <v>8000</v>
      </c>
      <c r="I34" s="7">
        <v>500</v>
      </c>
      <c r="J34" s="7">
        <v>1000</v>
      </c>
      <c r="K34" s="7">
        <v>2500</v>
      </c>
      <c r="L34" s="7">
        <v>25000</v>
      </c>
      <c r="M34" s="7">
        <v>13000</v>
      </c>
      <c r="N34"/>
      <c r="O34" s="7">
        <f t="shared" si="3"/>
        <v>0</v>
      </c>
    </row>
    <row r="35" spans="1:16" x14ac:dyDescent="0.25">
      <c r="A35" s="1" t="s">
        <v>40</v>
      </c>
      <c r="B35" s="1" t="str">
        <f>VLOOKUP(A35,LISTADHERENT!A$5:H$51,2)</f>
        <v>NKEPSEU HENANG RENE</v>
      </c>
      <c r="C35" s="6">
        <f t="shared" si="0"/>
        <v>7141.940007909061</v>
      </c>
      <c r="D35" s="6">
        <f>TONT20000OCT!C35+TONT20000OCT!D35+TONT20000NOV!H35</f>
        <v>466369.54785652709</v>
      </c>
      <c r="E35" s="6">
        <f t="shared" si="1"/>
        <v>473511.48786443617</v>
      </c>
      <c r="F35" s="1"/>
      <c r="G35" s="7">
        <f t="shared" si="2"/>
        <v>0</v>
      </c>
      <c r="H35" s="7"/>
      <c r="I35" s="7"/>
      <c r="J35" s="7"/>
      <c r="K35" s="7"/>
      <c r="L35" s="7"/>
      <c r="M35" s="7"/>
      <c r="O35" s="7">
        <f t="shared" si="3"/>
        <v>0</v>
      </c>
    </row>
    <row r="36" spans="1:16" x14ac:dyDescent="0.25">
      <c r="A36" s="1" t="s">
        <v>41</v>
      </c>
      <c r="B36" s="1" t="str">
        <f>VLOOKUP(A36,LISTADHERENT!A$5:H$51,2)</f>
        <v>NTEPDIE TUEMAC MZ</v>
      </c>
      <c r="C36" s="6">
        <f t="shared" si="0"/>
        <v>239.74992800557587</v>
      </c>
      <c r="D36" s="6">
        <f>TONT20000OCT!C36+TONT20000OCT!D36+TONT20000NOV!H36</f>
        <v>15655.699347624519</v>
      </c>
      <c r="E36" s="6">
        <f t="shared" si="1"/>
        <v>15895.449275630095</v>
      </c>
      <c r="F36" s="1"/>
      <c r="G36" s="7">
        <f t="shared" si="2"/>
        <v>20000</v>
      </c>
      <c r="H36" s="7">
        <v>3000</v>
      </c>
      <c r="I36" s="7">
        <v>500</v>
      </c>
      <c r="J36" s="7">
        <v>1000</v>
      </c>
      <c r="K36" s="7">
        <v>2500</v>
      </c>
      <c r="L36" s="7"/>
      <c r="M36" s="7">
        <v>13000</v>
      </c>
      <c r="O36" s="7">
        <f t="shared" si="3"/>
        <v>0</v>
      </c>
    </row>
    <row r="37" spans="1:16" x14ac:dyDescent="0.25">
      <c r="A37" s="1" t="s">
        <v>42</v>
      </c>
      <c r="B37" s="1" t="str">
        <f>VLOOKUP(A37,LISTADHERENT!A$5:H$51,2)</f>
        <v>NTOMBOU ADOLPHE</v>
      </c>
      <c r="C37" s="6">
        <f t="shared" si="0"/>
        <v>441.97197476158777</v>
      </c>
      <c r="D37" s="6">
        <f>TONT20000OCT!C37+TONT20000OCT!D37+TONT20000NOV!H37</f>
        <v>28860.823502655592</v>
      </c>
      <c r="E37" s="6">
        <f t="shared" si="1"/>
        <v>29302.795477417181</v>
      </c>
      <c r="F37" s="1"/>
      <c r="G37" s="7">
        <f t="shared" si="2"/>
        <v>0</v>
      </c>
      <c r="H37" s="7"/>
      <c r="I37" s="7"/>
      <c r="J37" s="7"/>
      <c r="K37" s="7"/>
      <c r="L37" s="7"/>
      <c r="M37" s="7"/>
      <c r="O37" s="7">
        <f t="shared" si="3"/>
        <v>0</v>
      </c>
    </row>
    <row r="38" spans="1:16" x14ac:dyDescent="0.25">
      <c r="A38" s="1" t="s">
        <v>43</v>
      </c>
      <c r="B38" s="1" t="str">
        <f>VLOOKUP(A38,LISTADHERENT!A$5:H$51,2)</f>
        <v>PATEGO NJOSSU GUSTAVE</v>
      </c>
      <c r="C38" s="6">
        <f t="shared" si="0"/>
        <v>7148.9296787568719</v>
      </c>
      <c r="D38" s="6">
        <f>TONT20000OCT!C38+TONT20000OCT!D38+TONT20000NOV!H38</f>
        <v>466825.97420977982</v>
      </c>
      <c r="E38" s="6">
        <f t="shared" si="1"/>
        <v>473974.90388853668</v>
      </c>
      <c r="F38" s="1"/>
      <c r="G38" s="7">
        <f t="shared" si="2"/>
        <v>20000</v>
      </c>
      <c r="H38" s="7">
        <v>3000</v>
      </c>
      <c r="I38" s="7">
        <v>500</v>
      </c>
      <c r="J38" s="7">
        <v>1000</v>
      </c>
      <c r="K38" s="7">
        <v>2500</v>
      </c>
      <c r="L38" s="7"/>
      <c r="M38" s="7">
        <v>13000</v>
      </c>
      <c r="O38" s="7">
        <f t="shared" si="3"/>
        <v>0</v>
      </c>
    </row>
    <row r="39" spans="1:16" x14ac:dyDescent="0.25">
      <c r="A39" s="1" t="s">
        <v>44</v>
      </c>
      <c r="B39" s="1" t="str">
        <f>VLOOKUP(A39,LISTADHERENT!A$5:H$51,2)</f>
        <v>SEUNOU RICHELOT</v>
      </c>
      <c r="C39" s="6">
        <f t="shared" si="0"/>
        <v>7190.8820243058108</v>
      </c>
      <c r="D39" s="6">
        <f>TONT20000OCT!C39+TONT20000OCT!D39+TONT20000NOV!H39</f>
        <v>469565.46745720453</v>
      </c>
      <c r="E39" s="6">
        <f t="shared" si="1"/>
        <v>476756.34948151035</v>
      </c>
      <c r="F39" s="1"/>
      <c r="G39" s="7">
        <f t="shared" si="2"/>
        <v>20000</v>
      </c>
      <c r="H39" s="7">
        <v>3000</v>
      </c>
      <c r="I39" s="7">
        <v>500</v>
      </c>
      <c r="J39" s="7">
        <v>1000</v>
      </c>
      <c r="K39" s="7">
        <v>2500</v>
      </c>
      <c r="L39" s="7"/>
      <c r="M39" s="7">
        <v>13000</v>
      </c>
      <c r="O39" s="7">
        <f t="shared" si="3"/>
        <v>0</v>
      </c>
    </row>
    <row r="40" spans="1:16" x14ac:dyDescent="0.25">
      <c r="A40" s="1" t="s">
        <v>45</v>
      </c>
      <c r="B40" s="1" t="str">
        <f>VLOOKUP(A40,LISTADHERENT!A$5:H$51,2)</f>
        <v>SIME ABEL</v>
      </c>
      <c r="C40" s="6">
        <f t="shared" si="0"/>
        <v>6660.9432944522287</v>
      </c>
      <c r="D40" s="6">
        <f>TONT20000OCT!C40+TONT20000OCT!D40+TONT20000NOV!H40</f>
        <v>434960.40418871114</v>
      </c>
      <c r="E40" s="6">
        <f t="shared" si="1"/>
        <v>441621.34748316335</v>
      </c>
      <c r="F40" s="1"/>
      <c r="G40" s="7">
        <f t="shared" si="2"/>
        <v>20000</v>
      </c>
      <c r="H40" s="7">
        <v>3000</v>
      </c>
      <c r="I40" s="7">
        <v>500</v>
      </c>
      <c r="J40" s="7">
        <v>1000</v>
      </c>
      <c r="K40" s="7">
        <v>2500</v>
      </c>
      <c r="L40" s="7"/>
      <c r="M40" s="7">
        <v>13000</v>
      </c>
      <c r="O40" s="7">
        <f t="shared" si="3"/>
        <v>0</v>
      </c>
    </row>
    <row r="41" spans="1:16" x14ac:dyDescent="0.25">
      <c r="A41" s="1" t="s">
        <v>46</v>
      </c>
      <c r="B41" s="1" t="str">
        <f>VLOOKUP(A41,LISTADHERENT!A$5:H$51,2)</f>
        <v>SIME FONGANG ERIC</v>
      </c>
      <c r="C41" s="6">
        <f t="shared" si="0"/>
        <v>7163.1045884487694</v>
      </c>
      <c r="D41" s="6">
        <f>TONT20000OCT!C41+TONT20000OCT!D41+TONT20000NOV!H41</f>
        <v>467751.59753013763</v>
      </c>
      <c r="E41" s="6">
        <f t="shared" si="1"/>
        <v>474914.7021185864</v>
      </c>
      <c r="F41" s="1"/>
      <c r="G41" s="7">
        <f t="shared" si="2"/>
        <v>20000</v>
      </c>
      <c r="H41" s="7">
        <v>3000</v>
      </c>
      <c r="I41" s="7">
        <v>500</v>
      </c>
      <c r="J41" s="7">
        <v>1000</v>
      </c>
      <c r="K41" s="7">
        <v>2500</v>
      </c>
      <c r="L41" s="7"/>
      <c r="M41" s="7">
        <v>13000</v>
      </c>
      <c r="O41" s="7">
        <f t="shared" si="3"/>
        <v>0</v>
      </c>
    </row>
    <row r="42" spans="1:16" x14ac:dyDescent="0.25">
      <c r="A42" s="1" t="s">
        <v>47</v>
      </c>
      <c r="B42" s="1" t="str">
        <f>VLOOKUP(A42,LISTADHERENT!A$5:H$51,2)</f>
        <v>SIME MATHIEU</v>
      </c>
      <c r="C42" s="6">
        <f t="shared" si="0"/>
        <v>7157.279744323595</v>
      </c>
      <c r="D42" s="6">
        <f>TONT20000OCT!C42+TONT20000OCT!D42+TONT20000NOV!H42</f>
        <v>467371.2345030072</v>
      </c>
      <c r="E42" s="6">
        <f t="shared" si="1"/>
        <v>474528.51424733078</v>
      </c>
      <c r="F42" s="1"/>
      <c r="G42" s="7">
        <f t="shared" si="2"/>
        <v>20000</v>
      </c>
      <c r="H42" s="7">
        <v>3000</v>
      </c>
      <c r="I42" s="7">
        <v>500</v>
      </c>
      <c r="J42" s="7">
        <v>1000</v>
      </c>
      <c r="K42" s="7">
        <v>2500</v>
      </c>
      <c r="L42" s="7"/>
      <c r="M42" s="7">
        <v>13000</v>
      </c>
      <c r="O42" s="7">
        <f t="shared" si="3"/>
        <v>0</v>
      </c>
    </row>
    <row r="43" spans="1:16" x14ac:dyDescent="0.25">
      <c r="A43" s="1" t="s">
        <v>48</v>
      </c>
      <c r="B43" s="1" t="str">
        <f>VLOOKUP(A43,LISTADHERENT!A$5:H$51,2)</f>
        <v>SIME PIERRE</v>
      </c>
      <c r="C43" s="6">
        <f t="shared" si="0"/>
        <v>19139.872306686604</v>
      </c>
      <c r="D43" s="6">
        <f>TONT20000OCT!C43+TONT20000OCT!D43+TONT20000NOV!H43</f>
        <v>1249835.9806741679</v>
      </c>
      <c r="E43" s="6">
        <f t="shared" si="1"/>
        <v>1268975.8529808545</v>
      </c>
      <c r="F43" s="1"/>
      <c r="G43" s="7">
        <f t="shared" si="2"/>
        <v>30000</v>
      </c>
      <c r="H43" s="7">
        <v>3000</v>
      </c>
      <c r="I43" s="7">
        <v>500</v>
      </c>
      <c r="J43" s="7">
        <v>1000</v>
      </c>
      <c r="K43" s="7">
        <v>2500</v>
      </c>
      <c r="L43" s="7">
        <v>10000</v>
      </c>
      <c r="M43" s="7">
        <v>13000</v>
      </c>
      <c r="N43" s="7">
        <v>570000</v>
      </c>
      <c r="O43" s="7">
        <f t="shared" si="3"/>
        <v>68400</v>
      </c>
      <c r="P43" s="7">
        <v>70000</v>
      </c>
    </row>
    <row r="44" spans="1:16" x14ac:dyDescent="0.25">
      <c r="A44" s="1" t="s">
        <v>49</v>
      </c>
      <c r="B44" s="1" t="str">
        <f>VLOOKUP(A44,LISTADHERENT!A$5:H$51,2)</f>
        <v>TAGNE NANGUEN MARTIN</v>
      </c>
      <c r="C44" s="6">
        <f t="shared" si="0"/>
        <v>6660.9432944522287</v>
      </c>
      <c r="D44" s="6">
        <f>TONT20000OCT!C44+TONT20000OCT!D44+TONT20000NOV!H44</f>
        <v>434960.40418871114</v>
      </c>
      <c r="E44" s="6">
        <f t="shared" si="1"/>
        <v>441621.34748316335</v>
      </c>
      <c r="F44" s="1"/>
      <c r="G44" s="7">
        <f t="shared" si="2"/>
        <v>20000</v>
      </c>
      <c r="H44" s="7">
        <v>3000</v>
      </c>
      <c r="I44" s="7">
        <v>500</v>
      </c>
      <c r="J44" s="7">
        <v>1000</v>
      </c>
      <c r="K44" s="7">
        <v>2500</v>
      </c>
      <c r="L44" s="7"/>
      <c r="M44" s="7">
        <v>13000</v>
      </c>
      <c r="O44" s="7">
        <f t="shared" si="3"/>
        <v>0</v>
      </c>
    </row>
    <row r="45" spans="1:16" x14ac:dyDescent="0.25">
      <c r="A45" s="1" t="s">
        <v>50</v>
      </c>
      <c r="B45" s="1" t="str">
        <f>VLOOKUP(A45,LISTADHERENT!A$5:H$51,2)</f>
        <v>TCHOUAMOU JEAN PAUL</v>
      </c>
      <c r="C45" s="6">
        <f t="shared" si="0"/>
        <v>580.99705738320813</v>
      </c>
      <c r="D45" s="6">
        <f>TONT20000OCT!C45+TONT20000OCT!D45+TONT20000NOV!H45</f>
        <v>37939.178242566617</v>
      </c>
      <c r="E45" s="6">
        <f t="shared" si="1"/>
        <v>38520.175299949828</v>
      </c>
      <c r="F45" s="1"/>
      <c r="G45" s="7">
        <f t="shared" si="2"/>
        <v>70000</v>
      </c>
      <c r="H45" s="7">
        <v>3000</v>
      </c>
      <c r="I45" s="7">
        <v>500</v>
      </c>
      <c r="J45" s="7">
        <v>1000</v>
      </c>
      <c r="K45" s="7">
        <v>2500</v>
      </c>
      <c r="L45" s="7">
        <v>50000</v>
      </c>
      <c r="M45" s="7">
        <v>13000</v>
      </c>
      <c r="O45" s="7">
        <f t="shared" si="3"/>
        <v>0</v>
      </c>
    </row>
    <row r="46" spans="1:16" x14ac:dyDescent="0.25">
      <c r="A46" s="1" t="s">
        <v>51</v>
      </c>
      <c r="B46" s="1" t="str">
        <f>VLOOKUP(A46,LISTADHERENT!A$5:H$51,2)</f>
        <v>TCHOUAMOU MATHIEU</v>
      </c>
      <c r="C46" s="6">
        <f t="shared" si="0"/>
        <v>7204.4340460421254</v>
      </c>
      <c r="D46" s="6">
        <f>TONT20000OCT!C46+TONT20000OCT!D46+TONT20000NOV!H46</f>
        <v>470450.41611859173</v>
      </c>
      <c r="E46" s="6">
        <f t="shared" si="1"/>
        <v>477654.85016463388</v>
      </c>
      <c r="F46" s="1"/>
      <c r="G46" s="7">
        <f t="shared" si="2"/>
        <v>20000</v>
      </c>
      <c r="H46" s="7">
        <v>3000</v>
      </c>
      <c r="I46" s="7">
        <v>500</v>
      </c>
      <c r="J46" s="7">
        <v>1000</v>
      </c>
      <c r="K46" s="7">
        <v>2500</v>
      </c>
      <c r="L46" s="7"/>
      <c r="M46" s="7">
        <v>13000</v>
      </c>
      <c r="N46" s="7"/>
      <c r="O46" s="7">
        <f t="shared" si="3"/>
        <v>0</v>
      </c>
    </row>
    <row r="47" spans="1:16" x14ac:dyDescent="0.25">
      <c r="A47" s="1" t="s">
        <v>52</v>
      </c>
      <c r="B47" s="1" t="str">
        <f>VLOOKUP(A47,LISTADHERENT!A$5:H$51,2)</f>
        <v>TCHOUANTE FRANCOIS</v>
      </c>
      <c r="C47" s="6">
        <f t="shared" si="0"/>
        <v>6509.0540239030597</v>
      </c>
      <c r="D47" s="6">
        <f>TONT20000OCT!C47+TONT20000OCT!D47+TONT20000NOV!H47</f>
        <v>425042.01641846541</v>
      </c>
      <c r="E47" s="6">
        <f t="shared" si="1"/>
        <v>431551.07044236845</v>
      </c>
      <c r="F47" s="1"/>
      <c r="G47" s="7">
        <f t="shared" si="2"/>
        <v>20000</v>
      </c>
      <c r="H47" s="7">
        <v>3000</v>
      </c>
      <c r="I47" s="7">
        <v>500</v>
      </c>
      <c r="J47" s="7">
        <v>1000</v>
      </c>
      <c r="K47" s="7">
        <v>2500</v>
      </c>
      <c r="L47" s="7"/>
      <c r="M47" s="7">
        <v>13000</v>
      </c>
      <c r="O47" s="7">
        <f t="shared" si="3"/>
        <v>0</v>
      </c>
    </row>
    <row r="48" spans="1:16" x14ac:dyDescent="0.25">
      <c r="A48" s="1" t="s">
        <v>53</v>
      </c>
      <c r="B48" s="1" t="str">
        <f>VLOOKUP(A48,LISTADHERENT!A$5:H$51,2)</f>
        <v>TCHOUTOU NANA CLAUDE</v>
      </c>
      <c r="C48" s="6">
        <f t="shared" si="0"/>
        <v>383.66510333111938</v>
      </c>
      <c r="D48" s="6">
        <f>TONT20000OCT!C48+TONT20000OCT!D48+TONT20000NOV!H48</f>
        <v>25053.377733600842</v>
      </c>
      <c r="E48" s="6">
        <f t="shared" si="1"/>
        <v>25437.042836931963</v>
      </c>
      <c r="F48" s="1"/>
      <c r="G48" s="7">
        <f t="shared" si="2"/>
        <v>20000</v>
      </c>
      <c r="H48" s="7">
        <v>3000</v>
      </c>
      <c r="I48" s="7">
        <v>500</v>
      </c>
      <c r="J48" s="7">
        <v>1000</v>
      </c>
      <c r="K48" s="7">
        <v>2500</v>
      </c>
      <c r="L48" s="7"/>
      <c r="M48" s="7">
        <v>13000</v>
      </c>
      <c r="O48" s="7">
        <f t="shared" si="3"/>
        <v>0</v>
      </c>
    </row>
    <row r="49" spans="1:18" x14ac:dyDescent="0.25">
      <c r="A49" s="1" t="s">
        <v>54</v>
      </c>
      <c r="B49" s="1" t="str">
        <f>VLOOKUP(A49,LISTADHERENT!A$5:H$51,2)</f>
        <v>TIEYAM ERNEST</v>
      </c>
      <c r="C49" s="6">
        <f t="shared" si="0"/>
        <v>7158.2567413393026</v>
      </c>
      <c r="D49" s="6">
        <f>TONT20000OCT!C49+TONT20000OCT!D49+TONT20000NOV!H49</f>
        <v>467435.03252650896</v>
      </c>
      <c r="E49" s="6">
        <f t="shared" si="1"/>
        <v>474593.28926784825</v>
      </c>
      <c r="F49" s="1"/>
      <c r="G49" s="7">
        <f t="shared" si="2"/>
        <v>20000</v>
      </c>
      <c r="H49" s="7">
        <v>3000</v>
      </c>
      <c r="I49" s="7">
        <v>500</v>
      </c>
      <c r="J49" s="7">
        <v>1000</v>
      </c>
      <c r="K49" s="7">
        <v>2500</v>
      </c>
      <c r="L49" s="7"/>
      <c r="M49" s="7">
        <v>13000</v>
      </c>
      <c r="O49" s="7">
        <f t="shared" si="3"/>
        <v>0</v>
      </c>
    </row>
    <row r="50" spans="1:18" x14ac:dyDescent="0.25">
      <c r="A50" s="1" t="s">
        <v>55</v>
      </c>
      <c r="B50" s="1" t="str">
        <f>VLOOKUP(A50,LISTADHERENT!A$5:H$51,2)</f>
        <v>TUGMA PIERRE LOTI</v>
      </c>
      <c r="C50" s="6">
        <f t="shared" si="0"/>
        <v>7443.4715076991843</v>
      </c>
      <c r="D50" s="6">
        <f>TONT20000OCT!C50+TONT20000OCT!D50+TONT20000NOV!H50</f>
        <v>486059.59132733342</v>
      </c>
      <c r="E50" s="6">
        <f t="shared" si="1"/>
        <v>493503.06283503259</v>
      </c>
      <c r="F50" s="1"/>
      <c r="G50" s="7">
        <f t="shared" si="2"/>
        <v>20000</v>
      </c>
      <c r="H50" s="7">
        <v>3000</v>
      </c>
      <c r="I50" s="7">
        <v>500</v>
      </c>
      <c r="J50" s="7">
        <v>1000</v>
      </c>
      <c r="K50" s="7">
        <v>2500</v>
      </c>
      <c r="L50" s="7"/>
      <c r="M50" s="7">
        <v>13000</v>
      </c>
      <c r="O50" s="7">
        <f t="shared" si="3"/>
        <v>0</v>
      </c>
    </row>
    <row r="51" spans="1:18" ht="18" x14ac:dyDescent="0.25">
      <c r="A51" s="1" t="s">
        <v>66</v>
      </c>
      <c r="B51" s="1" t="str">
        <f>VLOOKUP(A51,LISTADHERENT!A$5:H$51,2)</f>
        <v>YEPMOU JEAN JACQUES</v>
      </c>
      <c r="C51" s="6">
        <f t="shared" si="0"/>
        <v>14238.017501237484</v>
      </c>
      <c r="D51" s="6">
        <f>TONT20000OCT!C51+TONT20000OCT!D51+TONT20000NOV!H51</f>
        <v>929744.26795409108</v>
      </c>
      <c r="E51" s="6">
        <f t="shared" si="1"/>
        <v>943982.28545532853</v>
      </c>
      <c r="F51" s="1"/>
      <c r="G51" s="7">
        <f t="shared" si="2"/>
        <v>20000</v>
      </c>
      <c r="H51" s="7">
        <v>3000</v>
      </c>
      <c r="I51" s="7">
        <v>500</v>
      </c>
      <c r="J51" s="7">
        <v>1000</v>
      </c>
      <c r="K51" s="7">
        <v>2500</v>
      </c>
      <c r="L51" s="7"/>
      <c r="M51" s="7">
        <v>13000</v>
      </c>
      <c r="N51" s="9"/>
      <c r="O51" s="7">
        <f t="shared" si="3"/>
        <v>0</v>
      </c>
    </row>
    <row r="52" spans="1:18" x14ac:dyDescent="0.25">
      <c r="A52" s="1" t="s">
        <v>178</v>
      </c>
      <c r="B52" s="1" t="str">
        <f>VLOOKUP(A52,LISTADHERENT!A$5:H$51,2)</f>
        <v>YOUMBI EMMANUEL</v>
      </c>
      <c r="C52" s="6">
        <f t="shared" si="0"/>
        <v>24036.583756452459</v>
      </c>
      <c r="D52" s="6">
        <f>TONT20000OCT!C52+TONT20000OCT!D52+TONT20000NOV!H52</f>
        <v>1569591.8316449423</v>
      </c>
      <c r="E52" s="6">
        <f t="shared" si="1"/>
        <v>1593628.4154013947</v>
      </c>
      <c r="F52" s="1"/>
      <c r="G52" s="7">
        <f t="shared" si="2"/>
        <v>20000</v>
      </c>
      <c r="H52" s="7">
        <v>3000</v>
      </c>
      <c r="I52" s="7">
        <v>500</v>
      </c>
      <c r="J52" s="7">
        <v>1000</v>
      </c>
      <c r="K52" s="7">
        <v>2500</v>
      </c>
      <c r="M52" s="7">
        <v>13000</v>
      </c>
      <c r="O52" s="7">
        <f t="shared" si="3"/>
        <v>0</v>
      </c>
    </row>
    <row r="53" spans="1:18" x14ac:dyDescent="0.25">
      <c r="A53" s="1"/>
      <c r="B53" s="1"/>
      <c r="C53" s="1"/>
      <c r="D53" s="1"/>
      <c r="E53" s="1"/>
      <c r="F53" s="1"/>
      <c r="G53" s="7"/>
      <c r="H53" s="7"/>
      <c r="I53" s="7"/>
      <c r="J53" s="7"/>
      <c r="K53" s="7"/>
      <c r="M53" s="7"/>
      <c r="O53" s="7"/>
    </row>
    <row r="54" spans="1:18" ht="18" x14ac:dyDescent="0.25">
      <c r="A54" s="1"/>
      <c r="B54" s="1" t="s">
        <v>180</v>
      </c>
      <c r="C54" s="1"/>
      <c r="D54" s="1"/>
      <c r="E54" s="1"/>
      <c r="F54" s="1"/>
      <c r="I54" s="4"/>
      <c r="M54" s="7">
        <v>22500</v>
      </c>
      <c r="O54" s="7">
        <f t="shared" si="3"/>
        <v>0</v>
      </c>
      <c r="P54" s="9"/>
    </row>
    <row r="55" spans="1:18" ht="18" x14ac:dyDescent="0.25">
      <c r="A55" s="1"/>
      <c r="B55" s="1"/>
      <c r="C55" s="1"/>
      <c r="D55" s="1"/>
      <c r="E55" s="1"/>
      <c r="F55" s="1"/>
      <c r="I55" s="4"/>
      <c r="P55" s="9"/>
    </row>
    <row r="56" spans="1:18" ht="18" x14ac:dyDescent="0.25">
      <c r="A56" s="8" t="s">
        <v>56</v>
      </c>
      <c r="B56" s="8"/>
      <c r="C56" s="9">
        <f>SUM(C5:C52)</f>
        <v>371399.99999999994</v>
      </c>
      <c r="D56" s="9">
        <f t="shared" ref="D56:R56" si="4">SUM(D5:D52)</f>
        <v>24252464.999999993</v>
      </c>
      <c r="E56" s="9">
        <f t="shared" si="4"/>
        <v>24623865</v>
      </c>
      <c r="F56" s="9">
        <f t="shared" si="4"/>
        <v>0</v>
      </c>
      <c r="G56" s="9">
        <f t="shared" si="4"/>
        <v>922000</v>
      </c>
      <c r="H56" s="9">
        <f t="shared" si="4"/>
        <v>140000</v>
      </c>
      <c r="I56" s="9">
        <f t="shared" si="4"/>
        <v>20500</v>
      </c>
      <c r="J56" s="9">
        <f t="shared" si="4"/>
        <v>41000</v>
      </c>
      <c r="K56" s="9">
        <f t="shared" si="4"/>
        <v>102500</v>
      </c>
      <c r="L56" s="9">
        <f t="shared" si="4"/>
        <v>85000</v>
      </c>
      <c r="M56" s="9">
        <f t="shared" si="4"/>
        <v>533000</v>
      </c>
      <c r="N56" s="9">
        <f t="shared" si="4"/>
        <v>3170000</v>
      </c>
      <c r="O56" s="9">
        <f t="shared" si="4"/>
        <v>371400</v>
      </c>
      <c r="P56" s="9">
        <f t="shared" si="4"/>
        <v>2070000</v>
      </c>
      <c r="Q56" s="9">
        <f t="shared" si="4"/>
        <v>0</v>
      </c>
      <c r="R56" s="9">
        <f t="shared" si="4"/>
        <v>0</v>
      </c>
    </row>
  </sheetData>
  <autoFilter ref="A4:P51"/>
  <dataValidations count="1">
    <dataValidation type="list" allowBlank="1" showInputMessage="1" showErrorMessage="1" promptTitle="Saissisez le mode de VERSEMENT" sqref="I6:I53">
      <formula1>MODEPAID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6"/>
  <sheetViews>
    <sheetView workbookViewId="0">
      <pane xSplit="2" ySplit="4" topLeftCell="C26" activePane="bottomRight" state="frozen"/>
      <selection pane="topRight" activeCell="C1" sqref="C1"/>
      <selection pane="bottomLeft" activeCell="A6" sqref="A6"/>
      <selection pane="bottomRight" activeCell="C33" sqref="C33"/>
    </sheetView>
  </sheetViews>
  <sheetFormatPr baseColWidth="10" defaultRowHeight="15" x14ac:dyDescent="0.25"/>
  <cols>
    <col min="1" max="1" width="13.85546875" customWidth="1"/>
    <col min="2" max="2" width="29.5703125" bestFit="1" customWidth="1"/>
    <col min="3" max="3" width="17.28515625" style="2" customWidth="1"/>
    <col min="4" max="7" width="17.28515625" customWidth="1"/>
    <col min="8" max="8" width="13.140625" customWidth="1"/>
    <col min="9" max="9" width="16.85546875" style="2" bestFit="1" customWidth="1"/>
    <col min="10" max="10" width="15" bestFit="1" customWidth="1"/>
    <col min="11" max="11" width="17.5703125" style="3" bestFit="1" customWidth="1"/>
    <col min="12" max="12" width="15.7109375" style="2" customWidth="1"/>
    <col min="13" max="13" width="15" style="2" bestFit="1" customWidth="1"/>
    <col min="14" max="14" width="18.140625" style="2" bestFit="1" customWidth="1"/>
    <col min="15" max="20" width="18.140625" customWidth="1"/>
    <col min="21" max="21" width="21.28515625" style="2" bestFit="1" customWidth="1"/>
    <col min="22" max="22" width="19" bestFit="1" customWidth="1"/>
  </cols>
  <sheetData>
    <row r="1" spans="1:22" x14ac:dyDescent="0.25">
      <c r="A1" s="1" t="s">
        <v>0</v>
      </c>
      <c r="B1" s="1" t="s">
        <v>1</v>
      </c>
      <c r="C1" s="6"/>
      <c r="D1" s="1"/>
      <c r="E1" s="1"/>
      <c r="F1" s="1"/>
      <c r="G1" s="1"/>
      <c r="H1" s="1"/>
    </row>
    <row r="2" spans="1:22" x14ac:dyDescent="0.25">
      <c r="A2" s="1" t="s">
        <v>2</v>
      </c>
      <c r="B2" s="1" t="s">
        <v>3</v>
      </c>
      <c r="C2" s="6"/>
      <c r="D2" s="1"/>
      <c r="E2" s="1"/>
      <c r="F2" s="1"/>
      <c r="G2" s="1"/>
      <c r="H2" s="1"/>
    </row>
    <row r="3" spans="1:22" x14ac:dyDescent="0.25">
      <c r="A3" s="1" t="s">
        <v>4</v>
      </c>
      <c r="B3" s="1" t="s">
        <v>5</v>
      </c>
      <c r="C3" s="6"/>
      <c r="D3" s="1"/>
      <c r="E3" s="1"/>
      <c r="F3" s="1"/>
      <c r="G3" s="1"/>
      <c r="H3" s="1"/>
    </row>
    <row r="4" spans="1:22" ht="43.5" x14ac:dyDescent="0.25">
      <c r="A4" s="1" t="s">
        <v>6</v>
      </c>
      <c r="B4" s="1" t="s">
        <v>7</v>
      </c>
      <c r="C4" s="5" t="s">
        <v>188</v>
      </c>
      <c r="D4" s="5" t="s">
        <v>183</v>
      </c>
      <c r="E4" s="5" t="s">
        <v>186</v>
      </c>
      <c r="F4" s="5" t="s">
        <v>187</v>
      </c>
      <c r="G4" s="5" t="s">
        <v>189</v>
      </c>
      <c r="H4" s="5" t="s">
        <v>184</v>
      </c>
      <c r="I4" s="5" t="s">
        <v>65</v>
      </c>
      <c r="J4" s="5" t="s">
        <v>57</v>
      </c>
      <c r="K4" s="5" t="s">
        <v>58</v>
      </c>
      <c r="L4" s="5" t="s">
        <v>59</v>
      </c>
      <c r="M4" s="5" t="s">
        <v>60</v>
      </c>
      <c r="N4" s="5" t="s">
        <v>61</v>
      </c>
      <c r="O4" s="5" t="s">
        <v>62</v>
      </c>
      <c r="P4" s="5" t="s">
        <v>63</v>
      </c>
      <c r="Q4" s="5" t="s">
        <v>64</v>
      </c>
      <c r="R4" s="5" t="s">
        <v>8</v>
      </c>
      <c r="S4" s="5" t="s">
        <v>182</v>
      </c>
      <c r="T4" s="5" t="s">
        <v>181</v>
      </c>
      <c r="U4" s="6" t="s">
        <v>9</v>
      </c>
      <c r="V4" s="1" t="s">
        <v>10</v>
      </c>
    </row>
    <row r="5" spans="1:22" x14ac:dyDescent="0.25">
      <c r="A5" s="1" t="s">
        <v>185</v>
      </c>
      <c r="B5" s="1" t="str">
        <f>VLOOKUP(A5,LISTADHERENT!A$5:H$52,2,0)</f>
        <v>ASELBY</v>
      </c>
      <c r="C5" s="1">
        <f>VLOOKUP(A5,FONDSDECAISSE!A$5:C$52,3,0)</f>
        <v>0</v>
      </c>
      <c r="D5" s="1">
        <v>318145</v>
      </c>
      <c r="E5" s="1"/>
      <c r="F5" s="1"/>
      <c r="G5" s="1"/>
      <c r="H5" s="1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 spans="1:22" x14ac:dyDescent="0.25">
      <c r="A6" s="1" t="s">
        <v>11</v>
      </c>
      <c r="B6" s="1" t="str">
        <f>VLOOKUP(A6,LISTADHERENT!A$5:H$52,2,0)</f>
        <v>BAKOP ACHILLE</v>
      </c>
      <c r="C6" s="1">
        <f>VLOOKUP(A6,FONDSDECAISSE!A$5:C$52,3,0)</f>
        <v>390000</v>
      </c>
      <c r="D6" s="6">
        <v>33536</v>
      </c>
      <c r="E6" s="6"/>
      <c r="F6" s="6"/>
      <c r="G6" s="6"/>
      <c r="H6" s="6"/>
      <c r="I6" s="7">
        <f>J6+K6+L6+M6+N6+O6+T6</f>
        <v>225000</v>
      </c>
      <c r="J6" s="7">
        <f>TONT20000DEC2015!I6+TONT20000JANV!G6+TONT20000FEV!G6+TONT20000MARS!G6+TONT20000AVRIL!G6+TONT20000MAI!G6+TONT20000JUIN!G6+TONT20000JUIL!G6+TONT20000AOUT!G6+TONT20000SEPT!G6+TONT20000OCT!G6+TONT20000NOV!H6</f>
        <v>30000</v>
      </c>
      <c r="K6" s="7">
        <f>TONT20000DEC2015!J6+TONT20000JANV!H6+TONT20000FEV!H6+TONT20000MARS!H6+TONT20000AVRIL!H6+TONT20000MAI!H6+TONT20000JUIN!H6+TONT20000JUIL!H6+TONT20000AOUT!H6+TONT20000SEPT!H6+TONT20000OCT!H6+TONT20000NOV!I6</f>
        <v>5000</v>
      </c>
      <c r="L6" s="7">
        <f>TONT20000DEC2015!K6+TONT20000JANV!I6+TONT20000FEV!I6+TONT20000MARS!I6+TONT20000AVRIL!I6+TONT20000MAI!I6+TONT20000JUIN!I6+TONT20000JUIL!I6+TONT20000AOUT!I6+TONT20000SEPT!I6+TONT20000OCT!I6+TONT20000NOV!J6</f>
        <v>10000</v>
      </c>
      <c r="M6" s="7">
        <f>TONT20000DEC2015!L6+TONT20000JANV!J6+TONT20000FEV!J6+TONT20000MARS!J6+TONT20000AVRIL!J6+TONT20000MAI!J6+TONT20000JUIN!J6+TONT20000JUIL!J6+TONT20000AOUT!J6+TONT20000SEPT!J6+TONT20000OCT!J6+TONT20000NOV!K6</f>
        <v>25000</v>
      </c>
      <c r="N6" s="7">
        <f>TONT20000DEC2015!M6+TONT20000JANV!K6+TONT20000FEV!K6+TONT20000MARS!K6+TONT20000AVRIL!K6+TONT20000MAI!K6+TONT20000JUIN!K6+TONT20000JUIL!K6+TONT20000AOUT!K6+TONT20000SEPT!K6+TONT20000OCT!K6+TONT20000NOV!L6</f>
        <v>25000</v>
      </c>
      <c r="O6" s="7">
        <f>TONT20000DEC2015!N6+TONT20000JANV!L6+TONT20000FEV!L6+TONT20000MARS!L6+TONT20000AVRIL!L6+TONT20000MAI!L6+TONT20000JUIN!L6+TONT20000JUIL!L6+TONT20000AOUT!L6+TONT20000SEPT!L6+TONT20000OCT!L6+TONT20000NOV!M6</f>
        <v>130000</v>
      </c>
      <c r="P6" s="7">
        <f>TONT20000DEC2015!O6+TONT20000JANV!M6+TONT20000FEV!M6+TONT20000MARS!M6+TONT20000AVRIL!M6+TONT20000MAI!M6+TONT20000JUIN!M6+TONT20000JUIL!M6+TONT20000AOUT!M6+TONT20000SEPT!M6+TONT20000OCT!M6+TONT20000NOV!N6</f>
        <v>500000</v>
      </c>
      <c r="Q6" s="7">
        <f>TONT20000DEC2015!P6+TONT20000JANV!N6+TONT20000FEV!N6+TONT20000MARS!N6+TONT20000AVRIL!N6+TONT20000MAI!N6+TONT20000JUIN!N6+TONT20000JUIL!N6+TONT20000AOUT!N6+TONT20000SEPT!N6+TONT20000OCT!N6+TONT20000NOV!O6</f>
        <v>15000</v>
      </c>
      <c r="R6" s="7">
        <f>TONT20000DEC2015!Q6+TONT20000JANV!O6+TONT20000FEV!O6+TONT20000MARS!O6+TONT20000AVRIL!O6+TONT20000MAI!O6+TONT20000JUIN!O6+TONT20000JUIL!O6+TONT20000AOUT!O6+TONT20000SEPT!O6+TONT20000OCT!O6+TONT20000NOV!P6</f>
        <v>0</v>
      </c>
      <c r="S6" s="7">
        <f>TONT20000DEC2015!R6+TONT20000JANV!P6+TONT20000FEV!P6+TONT20000MARS!P6+TONT20000AVRIL!P6+TONT20000MAI!P6+TONT20000JUIN!P6+TONT20000JUIL!P6+TONT20000AOUT!P6+TONT20000SEPT!Q6+TONT20000OCT!P6+TONT20000NOV!Q6</f>
        <v>0</v>
      </c>
      <c r="T6" s="7">
        <f>TONT20000DEC2015!R6+TONT20000JANV!P6+TONT20000FEV!P6+TONT20000MARS!P6+TONT20000AVRIL!P6+TONT20000MAI!P6+TONT20000JUIN!P6+TONT20000JUIL!P6+TONT20000AOUT!P6+TONT20000SEPT!Q6+TONT20000OCT!P6+TONT20000NOV!Q6</f>
        <v>0</v>
      </c>
      <c r="U6" s="7"/>
    </row>
    <row r="7" spans="1:22" x14ac:dyDescent="0.25">
      <c r="A7" s="1" t="s">
        <v>12</v>
      </c>
      <c r="B7" s="1" t="str">
        <f>VLOOKUP(A7,LISTADHERENT!A$5:H$52,2,0)</f>
        <v>BOUTCHOUANG WILLIAM</v>
      </c>
      <c r="C7" s="1">
        <f>VLOOKUP(A7,FONDSDECAISSE!A$5:C$52,3,0)</f>
        <v>390000</v>
      </c>
      <c r="D7" s="6">
        <v>1704</v>
      </c>
      <c r="E7" s="6"/>
      <c r="F7" s="6"/>
      <c r="G7" s="6"/>
      <c r="H7" s="6"/>
      <c r="I7" s="7">
        <f t="shared" ref="I7:I54" si="0">J7+K7+L7+M7+N7+O7+T7</f>
        <v>240000</v>
      </c>
      <c r="J7" s="7">
        <f>TONT20000DEC2015!I7+TONT20000JANV!G7+TONT20000FEV!G7+TONT20000MARS!G7+TONT20000AVRIL!G7+TONT20000MAI!G7+TONT20000JUIN!G7+TONT20000JUIL!G7+TONT20000AOUT!G7+TONT20000SEPT!G7+TONT20000OCT!G7+TONT20000NOV!H7</f>
        <v>36000</v>
      </c>
      <c r="K7" s="7">
        <f>TONT20000DEC2015!J7+TONT20000JANV!H7+TONT20000FEV!H7+TONT20000MARS!H7+TONT20000AVRIL!H7+TONT20000MAI!H7+TONT20000JUIN!H7+TONT20000JUIL!H7+TONT20000AOUT!H7+TONT20000SEPT!H7+TONT20000OCT!H7+TONT20000NOV!I7</f>
        <v>6000</v>
      </c>
      <c r="L7" s="7">
        <f>TONT20000DEC2015!K7+TONT20000JANV!I7+TONT20000FEV!I7+TONT20000MARS!I7+TONT20000AVRIL!I7+TONT20000MAI!I7+TONT20000JUIN!I7+TONT20000JUIL!I7+TONT20000AOUT!I7+TONT20000SEPT!I7+TONT20000OCT!I7+TONT20000NOV!J7</f>
        <v>12000</v>
      </c>
      <c r="M7" s="7">
        <f>TONT20000DEC2015!L7+TONT20000JANV!J7+TONT20000FEV!J7+TONT20000MARS!J7+TONT20000AVRIL!J7+TONT20000MAI!J7+TONT20000JUIN!J7+TONT20000JUIL!J7+TONT20000AOUT!J7+TONT20000SEPT!J7+TONT20000OCT!J7+TONT20000NOV!K7</f>
        <v>30000</v>
      </c>
      <c r="N7" s="7">
        <f>TONT20000DEC2015!M7+TONT20000JANV!K7+TONT20000FEV!K7+TONT20000MARS!K7+TONT20000AVRIL!K7+TONT20000MAI!K7+TONT20000JUIN!K7+TONT20000JUIL!K7+TONT20000AOUT!K7+TONT20000SEPT!K7+TONT20000OCT!K7+TONT20000NOV!L7</f>
        <v>0</v>
      </c>
      <c r="O7" s="7">
        <f>TONT20000DEC2015!N7+TONT20000JANV!L7+TONT20000FEV!L7+TONT20000MARS!L7+TONT20000AVRIL!L7+TONT20000MAI!L7+TONT20000JUIN!L7+TONT20000JUIL!L7+TONT20000AOUT!L7+TONT20000SEPT!L7+TONT20000OCT!L7+TONT20000NOV!M7</f>
        <v>156000</v>
      </c>
      <c r="P7" s="7">
        <f>TONT20000DEC2015!O7+TONT20000JANV!M7+TONT20000FEV!M7+TONT20000MARS!M7+TONT20000AVRIL!M7+TONT20000MAI!M7+TONT20000JUIN!M7+TONT20000JUIL!M7+TONT20000AOUT!M7+TONT20000SEPT!M7+TONT20000OCT!M7+TONT20000NOV!N7</f>
        <v>1700000</v>
      </c>
      <c r="Q7" s="7">
        <f>TONT20000DEC2015!P7+TONT20000JANV!N7+TONT20000FEV!N7+TONT20000MARS!N7+TONT20000AVRIL!N7+TONT20000MAI!N7+TONT20000JUIN!N7+TONT20000JUIL!N7+TONT20000AOUT!N7+TONT20000SEPT!N7+TONT20000OCT!N7+TONT20000NOV!O7</f>
        <v>124000</v>
      </c>
      <c r="R7" s="7">
        <f>TONT20000DEC2015!Q7+TONT20000JANV!O7+TONT20000FEV!O7+TONT20000MARS!O7+TONT20000AVRIL!O7+TONT20000MAI!O7+TONT20000JUIN!O7+TONT20000JUIL!O7+TONT20000AOUT!O7+TONT20000SEPT!O7+TONT20000OCT!O7+TONT20000NOV!P7</f>
        <v>1000000</v>
      </c>
      <c r="S7" s="7">
        <f>TONT20000DEC2015!R7+TONT20000JANV!P7+TONT20000FEV!P7+TONT20000MARS!P7+TONT20000AVRIL!P7+TONT20000MAI!P7+TONT20000JUIN!P7+TONT20000JUIL!P7+TONT20000AOUT!P7+TONT20000SEPT!Q7+TONT20000OCT!P7+TONT20000NOV!Q7</f>
        <v>0</v>
      </c>
      <c r="T7" s="7">
        <f>TONT20000DEC2015!R7+TONT20000JANV!P7+TONT20000FEV!P7+TONT20000MARS!P7+TONT20000AVRIL!P7+TONT20000MAI!P7+TONT20000JUIN!P7+TONT20000JUIL!P7+TONT20000AOUT!P7+TONT20000SEPT!Q7+TONT20000OCT!P7+TONT20000NOV!Q7</f>
        <v>0</v>
      </c>
      <c r="U7" s="7"/>
    </row>
    <row r="8" spans="1:22" x14ac:dyDescent="0.25">
      <c r="A8" s="1" t="s">
        <v>13</v>
      </c>
      <c r="B8" s="1" t="str">
        <f>VLOOKUP(A8,LISTADHERENT!A$5:H$52,2,0)</f>
        <v>CHINGUE FABRICE</v>
      </c>
      <c r="C8" s="1">
        <f>VLOOKUP(A8,FONDSDECAISSE!A$5:C$52,3,0)</f>
        <v>390000</v>
      </c>
      <c r="D8" s="6">
        <v>1842</v>
      </c>
      <c r="E8" s="6"/>
      <c r="F8" s="6"/>
      <c r="G8" s="6"/>
      <c r="H8" s="6"/>
      <c r="I8" s="7">
        <f t="shared" si="0"/>
        <v>240000</v>
      </c>
      <c r="J8" s="7">
        <f>TONT20000DEC2015!I8+TONT20000JANV!G8+TONT20000FEV!G8+TONT20000MARS!G8+TONT20000AVRIL!G8+TONT20000MAI!G8+TONT20000JUIN!G8+TONT20000JUIL!G8+TONT20000AOUT!G8+TONT20000SEPT!G8+TONT20000OCT!G8+TONT20000NOV!H8</f>
        <v>36000</v>
      </c>
      <c r="K8" s="7">
        <f>TONT20000DEC2015!J8+TONT20000JANV!H8+TONT20000FEV!H8+TONT20000MARS!H8+TONT20000AVRIL!H8+TONT20000MAI!H8+TONT20000JUIN!H8+TONT20000JUIL!H8+TONT20000AOUT!H8+TONT20000SEPT!H8+TONT20000OCT!H8+TONT20000NOV!I8</f>
        <v>6000</v>
      </c>
      <c r="L8" s="7">
        <f>TONT20000DEC2015!K8+TONT20000JANV!I8+TONT20000FEV!I8+TONT20000MARS!I8+TONT20000AVRIL!I8+TONT20000MAI!I8+TONT20000JUIN!I8+TONT20000JUIL!I8+TONT20000AOUT!I8+TONT20000SEPT!I8+TONT20000OCT!I8+TONT20000NOV!J8</f>
        <v>12000</v>
      </c>
      <c r="M8" s="7">
        <f>TONT20000DEC2015!L8+TONT20000JANV!J8+TONT20000FEV!J8+TONT20000MARS!J8+TONT20000AVRIL!J8+TONT20000MAI!J8+TONT20000JUIN!J8+TONT20000JUIL!J8+TONT20000AOUT!J8+TONT20000SEPT!J8+TONT20000OCT!J8+TONT20000NOV!K8</f>
        <v>30000</v>
      </c>
      <c r="N8" s="7">
        <f>TONT20000DEC2015!M8+TONT20000JANV!K8+TONT20000FEV!K8+TONT20000MARS!K8+TONT20000AVRIL!K8+TONT20000MAI!K8+TONT20000JUIN!K8+TONT20000JUIL!K8+TONT20000AOUT!K8+TONT20000SEPT!K8+TONT20000OCT!K8+TONT20000NOV!L8</f>
        <v>0</v>
      </c>
      <c r="O8" s="7">
        <f>TONT20000DEC2015!N8+TONT20000JANV!L8+TONT20000FEV!L8+TONT20000MARS!L8+TONT20000AVRIL!L8+TONT20000MAI!L8+TONT20000JUIN!L8+TONT20000JUIL!L8+TONT20000AOUT!L8+TONT20000SEPT!L8+TONT20000OCT!L8+TONT20000NOV!M8</f>
        <v>156000</v>
      </c>
      <c r="P8" s="7">
        <f>TONT20000DEC2015!O8+TONT20000JANV!M8+TONT20000FEV!M8+TONT20000MARS!M8+TONT20000AVRIL!M8+TONT20000MAI!M8+TONT20000JUIN!M8+TONT20000JUIL!M8+TONT20000AOUT!M8+TONT20000SEPT!M8+TONT20000OCT!M8+TONT20000NOV!N8</f>
        <v>2000000</v>
      </c>
      <c r="Q8" s="7">
        <f>TONT20000DEC2015!P8+TONT20000JANV!N8+TONT20000FEV!N8+TONT20000MARS!N8+TONT20000AVRIL!N8+TONT20000MAI!N8+TONT20000JUIN!N8+TONT20000JUIL!N8+TONT20000AOUT!N8+TONT20000SEPT!N8+TONT20000OCT!N8+TONT20000NOV!O8</f>
        <v>180000</v>
      </c>
      <c r="R8" s="7">
        <f>TONT20000DEC2015!Q8+TONT20000JANV!O8+TONT20000FEV!O8+TONT20000MARS!O8+TONT20000AVRIL!O8+TONT20000MAI!O8+TONT20000JUIN!O8+TONT20000JUIL!O8+TONT20000AOUT!O8+TONT20000SEPT!O8+TONT20000OCT!O8+TONT20000NOV!P8</f>
        <v>1000000</v>
      </c>
      <c r="S8" s="7">
        <f>TONT20000DEC2015!R8+TONT20000JANV!P8+TONT20000FEV!P8+TONT20000MARS!P8+TONT20000AVRIL!P8+TONT20000MAI!P8+TONT20000JUIN!P8+TONT20000JUIL!P8+TONT20000AOUT!P8+TONT20000SEPT!Q8+TONT20000OCT!P8+TONT20000NOV!Q8</f>
        <v>0</v>
      </c>
      <c r="T8" s="7">
        <f>TONT20000DEC2015!R8+TONT20000JANV!P8+TONT20000FEV!P8+TONT20000MARS!P8+TONT20000AVRIL!P8+TONT20000MAI!P8+TONT20000JUIN!P8+TONT20000JUIL!P8+TONT20000AOUT!P8+TONT20000SEPT!Q8+TONT20000OCT!P8+TONT20000NOV!Q8</f>
        <v>0</v>
      </c>
      <c r="U8" s="7"/>
    </row>
    <row r="9" spans="1:22" x14ac:dyDescent="0.25">
      <c r="A9" s="1" t="s">
        <v>14</v>
      </c>
      <c r="B9" s="1" t="str">
        <f>VLOOKUP(A9,LISTADHERENT!A$5:H$52,2,0)</f>
        <v xml:space="preserve">DJOMO JEAN PAUL </v>
      </c>
      <c r="C9" s="1">
        <f>VLOOKUP(A9,FONDSDECAISSE!A$5:C$52,3,0)</f>
        <v>390000</v>
      </c>
      <c r="D9" s="6">
        <v>8156</v>
      </c>
      <c r="E9" s="6"/>
      <c r="F9" s="6"/>
      <c r="G9" s="6"/>
      <c r="H9" s="6"/>
      <c r="I9" s="7">
        <f t="shared" si="0"/>
        <v>247000</v>
      </c>
      <c r="J9" s="7">
        <f>TONT20000DEC2015!I9+TONT20000JANV!G9+TONT20000FEV!G9+TONT20000MARS!G9+TONT20000AVRIL!G9+TONT20000MAI!G9+TONT20000JUIN!G9+TONT20000JUIL!G9+TONT20000AOUT!G9+TONT20000SEPT!G9+TONT20000OCT!G9+TONT20000NOV!H9</f>
        <v>43000</v>
      </c>
      <c r="K9" s="7">
        <f>TONT20000DEC2015!J9+TONT20000JANV!H9+TONT20000FEV!H9+TONT20000MARS!H9+TONT20000AVRIL!H9+TONT20000MAI!H9+TONT20000JUIN!H9+TONT20000JUIL!H9+TONT20000AOUT!H9+TONT20000SEPT!H9+TONT20000OCT!H9+TONT20000NOV!I9</f>
        <v>6000</v>
      </c>
      <c r="L9" s="7">
        <f>TONT20000DEC2015!K9+TONT20000JANV!I9+TONT20000FEV!I9+TONT20000MARS!I9+TONT20000AVRIL!I9+TONT20000MAI!I9+TONT20000JUIN!I9+TONT20000JUIL!I9+TONT20000AOUT!I9+TONT20000SEPT!I9+TONT20000OCT!I9+TONT20000NOV!J9</f>
        <v>12000</v>
      </c>
      <c r="M9" s="7">
        <f>TONT20000DEC2015!L9+TONT20000JANV!J9+TONT20000FEV!J9+TONT20000MARS!J9+TONT20000AVRIL!J9+TONT20000MAI!J9+TONT20000JUIN!J9+TONT20000JUIL!J9+TONT20000AOUT!J9+TONT20000SEPT!J9+TONT20000OCT!J9+TONT20000NOV!K9</f>
        <v>30000</v>
      </c>
      <c r="N9" s="7">
        <f>TONT20000DEC2015!M9+TONT20000JANV!K9+TONT20000FEV!K9+TONT20000MARS!K9+TONT20000AVRIL!K9+TONT20000MAI!K9+TONT20000JUIN!K9+TONT20000JUIL!K9+TONT20000AOUT!K9+TONT20000SEPT!K9+TONT20000OCT!K9+TONT20000NOV!L9</f>
        <v>0</v>
      </c>
      <c r="O9" s="7">
        <f>TONT20000DEC2015!N9+TONT20000JANV!L9+TONT20000FEV!L9+TONT20000MARS!L9+TONT20000AVRIL!L9+TONT20000MAI!L9+TONT20000JUIN!L9+TONT20000JUIL!L9+TONT20000AOUT!L9+TONT20000SEPT!L9+TONT20000OCT!L9+TONT20000NOV!M9</f>
        <v>156000</v>
      </c>
      <c r="P9" s="7">
        <f>TONT20000DEC2015!O9+TONT20000JANV!M9+TONT20000FEV!M9+TONT20000MARS!M9+TONT20000AVRIL!M9+TONT20000MAI!M9+TONT20000JUIN!M9+TONT20000JUIL!M9+TONT20000AOUT!M9+TONT20000SEPT!M9+TONT20000OCT!M9+TONT20000NOV!N9</f>
        <v>200000</v>
      </c>
      <c r="Q9" s="7">
        <f>TONT20000DEC2015!P9+TONT20000JANV!N9+TONT20000FEV!N9+TONT20000MARS!N9+TONT20000AVRIL!N9+TONT20000MAI!N9+TONT20000JUIN!N9+TONT20000JUIL!N9+TONT20000AOUT!N9+TONT20000SEPT!N9+TONT20000OCT!N9+TONT20000NOV!O9</f>
        <v>6000</v>
      </c>
      <c r="R9" s="7">
        <f>TONT20000DEC2015!Q9+TONT20000JANV!O9+TONT20000FEV!O9+TONT20000MARS!O9+TONT20000AVRIL!O9+TONT20000MAI!O9+TONT20000JUIN!O9+TONT20000JUIL!O9+TONT20000AOUT!O9+TONT20000SEPT!O9+TONT20000OCT!O9+TONT20000NOV!P9</f>
        <v>0</v>
      </c>
      <c r="S9" s="7">
        <f>TONT20000DEC2015!R9+TONT20000JANV!P9+TONT20000FEV!P9+TONT20000MARS!P9+TONT20000AVRIL!P9+TONT20000MAI!P9+TONT20000JUIN!P9+TONT20000JUIL!P9+TONT20000AOUT!P9+TONT20000SEPT!Q9+TONT20000OCT!P9+TONT20000NOV!Q9</f>
        <v>0</v>
      </c>
      <c r="T9" s="7">
        <f>TONT20000DEC2015!R9+TONT20000JANV!P9+TONT20000FEV!P9+TONT20000MARS!P9+TONT20000AVRIL!P9+TONT20000MAI!P9+TONT20000JUIN!P9+TONT20000JUIL!P9+TONT20000AOUT!P9+TONT20000SEPT!Q9+TONT20000OCT!P9+TONT20000NOV!Q9</f>
        <v>0</v>
      </c>
      <c r="U9" s="7"/>
    </row>
    <row r="10" spans="1:22" x14ac:dyDescent="0.25">
      <c r="A10" s="1" t="s">
        <v>15</v>
      </c>
      <c r="B10" s="1" t="str">
        <f>VLOOKUP(A10,LISTADHERENT!A$5:H$52,2,0)</f>
        <v>DJOUKWE GUY</v>
      </c>
      <c r="C10" s="1">
        <f>VLOOKUP(A10,FONDSDECAISSE!A$5:C$52,3,0)</f>
        <v>390000</v>
      </c>
      <c r="D10" s="6">
        <v>5905</v>
      </c>
      <c r="E10" s="6"/>
      <c r="F10" s="6"/>
      <c r="G10" s="6"/>
      <c r="H10" s="6"/>
      <c r="I10" s="7">
        <f t="shared" si="0"/>
        <v>280000</v>
      </c>
      <c r="J10" s="7">
        <f>TONT20000DEC2015!I10+TONT20000JANV!G10+TONT20000FEV!G10+TONT20000MARS!G10+TONT20000AVRIL!G10+TONT20000MAI!G10+TONT20000JUIN!G10+TONT20000JUIL!G10+TONT20000AOUT!G10+TONT20000SEPT!G10+TONT20000OCT!G10+TONT20000NOV!H10</f>
        <v>76000</v>
      </c>
      <c r="K10" s="7">
        <f>TONT20000DEC2015!J10+TONT20000JANV!H10+TONT20000FEV!H10+TONT20000MARS!H10+TONT20000AVRIL!H10+TONT20000MAI!H10+TONT20000JUIN!H10+TONT20000JUIL!H10+TONT20000AOUT!H10+TONT20000SEPT!H10+TONT20000OCT!H10+TONT20000NOV!I10</f>
        <v>6000</v>
      </c>
      <c r="L10" s="7">
        <f>TONT20000DEC2015!K10+TONT20000JANV!I10+TONT20000FEV!I10+TONT20000MARS!I10+TONT20000AVRIL!I10+TONT20000MAI!I10+TONT20000JUIN!I10+TONT20000JUIL!I10+TONT20000AOUT!I10+TONT20000SEPT!I10+TONT20000OCT!I10+TONT20000NOV!J10</f>
        <v>12000</v>
      </c>
      <c r="M10" s="7">
        <f>TONT20000DEC2015!L10+TONT20000JANV!J10+TONT20000FEV!J10+TONT20000MARS!J10+TONT20000AVRIL!J10+TONT20000MAI!J10+TONT20000JUIN!J10+TONT20000JUIL!J10+TONT20000AOUT!J10+TONT20000SEPT!J10+TONT20000OCT!J10+TONT20000NOV!K10</f>
        <v>30000</v>
      </c>
      <c r="N10" s="7">
        <f>TONT20000DEC2015!M10+TONT20000JANV!K10+TONT20000FEV!K10+TONT20000MARS!K10+TONT20000AVRIL!K10+TONT20000MAI!K10+TONT20000JUIN!K10+TONT20000JUIL!K10+TONT20000AOUT!K10+TONT20000SEPT!K10+TONT20000OCT!K10+TONT20000NOV!L10</f>
        <v>0</v>
      </c>
      <c r="O10" s="7">
        <f>TONT20000DEC2015!N10+TONT20000JANV!L10+TONT20000FEV!L10+TONT20000MARS!L10+TONT20000AVRIL!L10+TONT20000MAI!L10+TONT20000JUIN!L10+TONT20000JUIL!L10+TONT20000AOUT!L10+TONT20000SEPT!L10+TONT20000OCT!L10+TONT20000NOV!M10</f>
        <v>156000</v>
      </c>
      <c r="P10" s="7">
        <f>TONT20000DEC2015!O10+TONT20000JANV!M10+TONT20000FEV!M10+TONT20000MARS!M10+TONT20000AVRIL!M10+TONT20000MAI!M10+TONT20000JUIN!M10+TONT20000JUIL!M10+TONT20000AOUT!M10+TONT20000SEPT!M10+TONT20000OCT!M10+TONT20000NOV!N10</f>
        <v>250000</v>
      </c>
      <c r="Q10" s="7">
        <f>TONT20000DEC2015!P10+TONT20000JANV!N10+TONT20000FEV!N10+TONT20000MARS!N10+TONT20000AVRIL!N10+TONT20000MAI!N10+TONT20000JUIN!N10+TONT20000JUIL!N10+TONT20000AOUT!N10+TONT20000SEPT!N10+TONT20000OCT!N10+TONT20000NOV!O10</f>
        <v>7500</v>
      </c>
      <c r="R10" s="7">
        <f>TONT20000DEC2015!Q10+TONT20000JANV!O10+TONT20000FEV!O10+TONT20000MARS!O10+TONT20000AVRIL!O10+TONT20000MAI!O10+TONT20000JUIN!O10+TONT20000JUIL!O10+TONT20000AOUT!O10+TONT20000SEPT!O10+TONT20000OCT!O10+TONT20000NOV!P10</f>
        <v>0</v>
      </c>
      <c r="S10" s="7">
        <f>TONT20000DEC2015!R10+TONT20000JANV!P10+TONT20000FEV!P10+TONT20000MARS!P10+TONT20000AVRIL!P10+TONT20000MAI!P10+TONT20000JUIN!P10+TONT20000JUIL!P10+TONT20000AOUT!P10+TONT20000SEPT!Q10+TONT20000OCT!P10+TONT20000NOV!Q10</f>
        <v>0</v>
      </c>
      <c r="T10" s="7">
        <f>TONT20000DEC2015!R10+TONT20000JANV!P10+TONT20000FEV!P10+TONT20000MARS!P10+TONT20000AVRIL!P10+TONT20000MAI!P10+TONT20000JUIN!P10+TONT20000JUIL!P10+TONT20000AOUT!P10+TONT20000SEPT!Q10+TONT20000OCT!P10+TONT20000NOV!Q10</f>
        <v>0</v>
      </c>
      <c r="U10" s="7"/>
    </row>
    <row r="11" spans="1:22" x14ac:dyDescent="0.25">
      <c r="A11" s="1" t="s">
        <v>16</v>
      </c>
      <c r="B11" s="1" t="str">
        <f>VLOOKUP(A11,LISTADHERENT!A$5:H$52,2,0)</f>
        <v>DJOSSEU JOSUE</v>
      </c>
      <c r="C11" s="1">
        <f>VLOOKUP(A11,FONDSDECAISSE!A$5:C$52,3,0)</f>
        <v>0</v>
      </c>
      <c r="D11" s="6">
        <v>0</v>
      </c>
      <c r="E11" s="6"/>
      <c r="F11" s="6"/>
      <c r="G11" s="6"/>
      <c r="H11" s="6"/>
      <c r="I11" s="7">
        <f t="shared" si="0"/>
        <v>22000</v>
      </c>
      <c r="J11" s="7">
        <f>TONT20000DEC2015!I11+TONT20000JANV!G11+TONT20000FEV!G11+TONT20000MARS!G11+TONT20000AVRIL!G11+TONT20000MAI!G11+TONT20000JUIN!G11+TONT20000JUIL!G11+TONT20000AOUT!G11+TONT20000SEPT!G11+TONT20000OCT!G11+TONT20000NOV!H11</f>
        <v>5000</v>
      </c>
      <c r="K11" s="7">
        <f>TONT20000DEC2015!J11+TONT20000JANV!H11+TONT20000FEV!H11+TONT20000MARS!H11+TONT20000AVRIL!H11+TONT20000MAI!H11+TONT20000JUIN!H11+TONT20000JUIL!H11+TONT20000AOUT!H11+TONT20000SEPT!H11+TONT20000OCT!H11+TONT20000NOV!I11</f>
        <v>500</v>
      </c>
      <c r="L11" s="7">
        <f>TONT20000DEC2015!K11+TONT20000JANV!I11+TONT20000FEV!I11+TONT20000MARS!I11+TONT20000AVRIL!I11+TONT20000MAI!I11+TONT20000JUIN!I11+TONT20000JUIL!I11+TONT20000AOUT!I11+TONT20000SEPT!I11+TONT20000OCT!I11+TONT20000NOV!J11</f>
        <v>1000</v>
      </c>
      <c r="M11" s="7">
        <f>TONT20000DEC2015!L11+TONT20000JANV!J11+TONT20000FEV!J11+TONT20000MARS!J11+TONT20000AVRIL!J11+TONT20000MAI!J11+TONT20000JUIN!J11+TONT20000JUIL!J11+TONT20000AOUT!J11+TONT20000SEPT!J11+TONT20000OCT!J11+TONT20000NOV!K11</f>
        <v>2500</v>
      </c>
      <c r="N11" s="7">
        <f>TONT20000DEC2015!M11+TONT20000JANV!K11+TONT20000FEV!K11+TONT20000MARS!K11+TONT20000AVRIL!K11+TONT20000MAI!K11+TONT20000JUIN!K11+TONT20000JUIL!K11+TONT20000AOUT!K11+TONT20000SEPT!K11+TONT20000OCT!K11+TONT20000NOV!L11</f>
        <v>0</v>
      </c>
      <c r="O11" s="7">
        <f>TONT20000DEC2015!N11+TONT20000JANV!L11+TONT20000FEV!L11+TONT20000MARS!L11+TONT20000AVRIL!L11+TONT20000MAI!L11+TONT20000JUIN!L11+TONT20000JUIL!L11+TONT20000AOUT!L11+TONT20000SEPT!L11+TONT20000OCT!L11+TONT20000NOV!M11</f>
        <v>13000</v>
      </c>
      <c r="P11" s="7">
        <f>TONT20000DEC2015!O11+TONT20000JANV!M11+TONT20000FEV!M11+TONT20000MARS!M11+TONT20000AVRIL!M11+TONT20000MAI!M11+TONT20000JUIN!M11+TONT20000JUIL!M11+TONT20000AOUT!M11+TONT20000SEPT!M11+TONT20000OCT!M11+TONT20000NOV!N11</f>
        <v>0</v>
      </c>
      <c r="Q11" s="7">
        <f>TONT20000DEC2015!P11+TONT20000JANV!N11+TONT20000FEV!N11+TONT20000MARS!N11+TONT20000AVRIL!N11+TONT20000MAI!N11+TONT20000JUIN!N11+TONT20000JUIL!N11+TONT20000AOUT!N11+TONT20000SEPT!N11+TONT20000OCT!N11+TONT20000NOV!O11</f>
        <v>0</v>
      </c>
      <c r="R11" s="7">
        <f>TONT20000DEC2015!Q11+TONT20000JANV!O11+TONT20000FEV!O11+TONT20000MARS!O11+TONT20000AVRIL!O11+TONT20000MAI!O11+TONT20000JUIN!O11+TONT20000JUIL!O11+TONT20000AOUT!O11+TONT20000SEPT!O11+TONT20000OCT!O11+TONT20000NOV!P11</f>
        <v>0</v>
      </c>
      <c r="S11" s="7">
        <f>TONT20000DEC2015!R11+TONT20000JANV!P11+TONT20000FEV!P11+TONT20000MARS!P11+TONT20000AVRIL!P11+TONT20000MAI!P11+TONT20000JUIN!P11+TONT20000JUIL!P11+TONT20000AOUT!P11+TONT20000SEPT!Q11+TONT20000OCT!P11+TONT20000NOV!Q11</f>
        <v>0</v>
      </c>
      <c r="T11" s="7">
        <f>TONT20000DEC2015!R11+TONT20000JANV!P11+TONT20000FEV!P11+TONT20000MARS!P11+TONT20000AVRIL!P11+TONT20000MAI!P11+TONT20000JUIN!P11+TONT20000JUIL!P11+TONT20000AOUT!P11+TONT20000SEPT!Q11+TONT20000OCT!P11+TONT20000NOV!Q11</f>
        <v>0</v>
      </c>
      <c r="U11" s="7"/>
    </row>
    <row r="12" spans="1:22" x14ac:dyDescent="0.25">
      <c r="A12" s="1" t="s">
        <v>17</v>
      </c>
      <c r="B12" s="1" t="str">
        <f>VLOOKUP(A12,LISTADHERENT!A$5:H$52,2,0)</f>
        <v>DJOUNKEP SAMUEL</v>
      </c>
      <c r="C12" s="1">
        <f>VLOOKUP(A12,FONDSDECAISSE!A$5:C$52,3,0)</f>
        <v>390000</v>
      </c>
      <c r="D12" s="6">
        <f>1055294-69705</f>
        <v>985589</v>
      </c>
      <c r="E12" s="6"/>
      <c r="F12" s="6"/>
      <c r="G12" s="6"/>
      <c r="H12" s="6"/>
      <c r="I12" s="7">
        <f t="shared" si="0"/>
        <v>760000</v>
      </c>
      <c r="J12" s="7">
        <f>TONT20000DEC2015!I12+TONT20000JANV!G12+TONT20000FEV!G12+TONT20000MARS!G12+TONT20000AVRIL!G12+TONT20000MAI!G12+TONT20000JUIN!G12+TONT20000JUIL!G12+TONT20000AOUT!G12+TONT20000SEPT!G12+TONT20000OCT!G12+TONT20000NOV!H12</f>
        <v>556000</v>
      </c>
      <c r="K12" s="7">
        <f>TONT20000DEC2015!J12+TONT20000JANV!H12+TONT20000FEV!H12+TONT20000MARS!H12+TONT20000AVRIL!H12+TONT20000MAI!H12+TONT20000JUIN!H12+TONT20000JUIL!H12+TONT20000AOUT!H12+TONT20000SEPT!H12+TONT20000OCT!H12+TONT20000NOV!I12</f>
        <v>6000</v>
      </c>
      <c r="L12" s="7">
        <f>TONT20000DEC2015!K12+TONT20000JANV!I12+TONT20000FEV!I12+TONT20000MARS!I12+TONT20000AVRIL!I12+TONT20000MAI!I12+TONT20000JUIN!I12+TONT20000JUIL!I12+TONT20000AOUT!I12+TONT20000SEPT!I12+TONT20000OCT!I12+TONT20000NOV!J12</f>
        <v>12000</v>
      </c>
      <c r="M12" s="7">
        <f>TONT20000DEC2015!L12+TONT20000JANV!J12+TONT20000FEV!J12+TONT20000MARS!J12+TONT20000AVRIL!J12+TONT20000MAI!J12+TONT20000JUIN!J12+TONT20000JUIL!J12+TONT20000AOUT!J12+TONT20000SEPT!J12+TONT20000OCT!J12+TONT20000NOV!K12</f>
        <v>30000</v>
      </c>
      <c r="N12" s="7">
        <f>TONT20000DEC2015!M12+TONT20000JANV!K12+TONT20000FEV!K12+TONT20000MARS!K12+TONT20000AVRIL!K12+TONT20000MAI!K12+TONT20000JUIN!K12+TONT20000JUIL!K12+TONT20000AOUT!K12+TONT20000SEPT!K12+TONT20000OCT!K12+TONT20000NOV!L12</f>
        <v>0</v>
      </c>
      <c r="O12" s="7">
        <f>TONT20000DEC2015!N12+TONT20000JANV!L12+TONT20000FEV!L12+TONT20000MARS!L12+TONT20000AVRIL!L12+TONT20000MAI!L12+TONT20000JUIN!L12+TONT20000JUIL!L12+TONT20000AOUT!L12+TONT20000SEPT!L12+TONT20000OCT!L12+TONT20000NOV!M12</f>
        <v>156000</v>
      </c>
      <c r="P12" s="7">
        <f>TONT20000DEC2015!O12+TONT20000JANV!M12+TONT20000FEV!M12+TONT20000MARS!M12+TONT20000AVRIL!M12+TONT20000MAI!M12+TONT20000JUIN!M12+TONT20000JUIL!M12+TONT20000AOUT!M12+TONT20000SEPT!M12+TONT20000OCT!M12+TONT20000NOV!N12</f>
        <v>0</v>
      </c>
      <c r="Q12" s="7">
        <f>TONT20000DEC2015!P12+TONT20000JANV!N12+TONT20000FEV!N12+TONT20000MARS!N12+TONT20000AVRIL!N12+TONT20000MAI!N12+TONT20000JUIN!N12+TONT20000JUIL!N12+TONT20000AOUT!N12+TONT20000SEPT!N12+TONT20000OCT!N12+TONT20000NOV!O12</f>
        <v>0</v>
      </c>
      <c r="R12" s="7">
        <f>TONT20000DEC2015!Q12+TONT20000JANV!O12+TONT20000FEV!O12+TONT20000MARS!O12+TONT20000AVRIL!O12+TONT20000MAI!O12+TONT20000JUIN!O12+TONT20000JUIL!O12+TONT20000AOUT!O12+TONT20000SEPT!O12+TONT20000OCT!O12+TONT20000NOV!P12</f>
        <v>0</v>
      </c>
      <c r="S12" s="7">
        <f>TONT20000DEC2015!R12+TONT20000JANV!P12+TONT20000FEV!P12+TONT20000MARS!P12+TONT20000AVRIL!P12+TONT20000MAI!P12+TONT20000JUIN!P12+TONT20000JUIL!P12+TONT20000AOUT!P12+TONT20000SEPT!Q12+TONT20000OCT!P12+TONT20000NOV!Q12</f>
        <v>0</v>
      </c>
      <c r="T12" s="7">
        <f>TONT20000DEC2015!R12+TONT20000JANV!P12+TONT20000FEV!P12+TONT20000MARS!P12+TONT20000AVRIL!P12+TONT20000MAI!P12+TONT20000JUIN!P12+TONT20000JUIL!P12+TONT20000AOUT!P12+TONT20000SEPT!Q12+TONT20000OCT!P12+TONT20000NOV!Q12</f>
        <v>0</v>
      </c>
      <c r="U12" s="7"/>
    </row>
    <row r="13" spans="1:22" x14ac:dyDescent="0.25">
      <c r="A13" s="1" t="s">
        <v>18</v>
      </c>
      <c r="B13" s="1" t="str">
        <f>VLOOKUP(A13,LISTADHERENT!A$5:H$52,2,0)</f>
        <v>DJUOMBESSY ANTOINE</v>
      </c>
      <c r="C13" s="1">
        <f>VLOOKUP(A13,FONDSDECAISSE!A$5:C$52,3,0)</f>
        <v>319134</v>
      </c>
      <c r="D13" s="6">
        <v>0</v>
      </c>
      <c r="E13" s="6"/>
      <c r="F13" s="6"/>
      <c r="G13" s="6"/>
      <c r="H13" s="6"/>
      <c r="I13" s="7">
        <f t="shared" si="0"/>
        <v>271560</v>
      </c>
      <c r="J13" s="7">
        <f>TONT20000DEC2015!I13+TONT20000JANV!G13+TONT20000FEV!G13+TONT20000MARS!G13+TONT20000AVRIL!G13+TONT20000MAI!G13+TONT20000JUIN!G13+TONT20000JUIL!G13+TONT20000AOUT!G13+TONT20000SEPT!G13+TONT20000OCT!G13+TONT20000NOV!H13</f>
        <v>67560</v>
      </c>
      <c r="K13" s="7">
        <f>TONT20000DEC2015!J13+TONT20000JANV!H13+TONT20000FEV!H13+TONT20000MARS!H13+TONT20000AVRIL!H13+TONT20000MAI!H13+TONT20000JUIN!H13+TONT20000JUIL!H13+TONT20000AOUT!H13+TONT20000SEPT!H13+TONT20000OCT!H13+TONT20000NOV!I13</f>
        <v>6000</v>
      </c>
      <c r="L13" s="7">
        <f>TONT20000DEC2015!K13+TONT20000JANV!I13+TONT20000FEV!I13+TONT20000MARS!I13+TONT20000AVRIL!I13+TONT20000MAI!I13+TONT20000JUIN!I13+TONT20000JUIL!I13+TONT20000AOUT!I13+TONT20000SEPT!I13+TONT20000OCT!I13+TONT20000NOV!J13</f>
        <v>12000</v>
      </c>
      <c r="M13" s="7">
        <f>TONT20000DEC2015!L13+TONT20000JANV!J13+TONT20000FEV!J13+TONT20000MARS!J13+TONT20000AVRIL!J13+TONT20000MAI!J13+TONT20000JUIN!J13+TONT20000JUIL!J13+TONT20000AOUT!J13+TONT20000SEPT!J13+TONT20000OCT!J13+TONT20000NOV!K13</f>
        <v>30000</v>
      </c>
      <c r="N13" s="7">
        <f>TONT20000DEC2015!M13+TONT20000JANV!K13+TONT20000FEV!K13+TONT20000MARS!K13+TONT20000AVRIL!K13+TONT20000MAI!K13+TONT20000JUIN!K13+TONT20000JUIL!K13+TONT20000AOUT!K13+TONT20000SEPT!K13+TONT20000OCT!K13+TONT20000NOV!L13</f>
        <v>0</v>
      </c>
      <c r="O13" s="7">
        <f>TONT20000DEC2015!N13+TONT20000JANV!L13+TONT20000FEV!L13+TONT20000MARS!L13+TONT20000AVRIL!L13+TONT20000MAI!L13+TONT20000JUIN!L13+TONT20000JUIL!L13+TONT20000AOUT!L13+TONT20000SEPT!L13+TONT20000OCT!L13+TONT20000NOV!M13</f>
        <v>156000</v>
      </c>
      <c r="P13" s="7">
        <f>TONT20000DEC2015!O13+TONT20000JANV!M13+TONT20000FEV!M13+TONT20000MARS!M13+TONT20000AVRIL!M13+TONT20000MAI!M13+TONT20000JUIN!M13+TONT20000JUIL!M13+TONT20000AOUT!M13+TONT20000SEPT!M13+TONT20000OCT!M13+TONT20000NOV!N13</f>
        <v>700000</v>
      </c>
      <c r="Q13" s="7">
        <f>TONT20000DEC2015!P13+TONT20000JANV!N13+TONT20000FEV!N13+TONT20000MARS!N13+TONT20000AVRIL!N13+TONT20000MAI!N13+TONT20000JUIN!N13+TONT20000JUIL!N13+TONT20000AOUT!N13+TONT20000SEPT!N13+TONT20000OCT!N13+TONT20000NOV!O13</f>
        <v>84000</v>
      </c>
      <c r="R13" s="7">
        <f>TONT20000DEC2015!Q13+TONT20000JANV!O13+TONT20000FEV!O13+TONT20000MARS!O13+TONT20000AVRIL!O13+TONT20000MAI!O13+TONT20000JUIN!O13+TONT20000JUIL!O13+TONT20000AOUT!O13+TONT20000SEPT!O13+TONT20000OCT!O13+TONT20000NOV!P13</f>
        <v>0</v>
      </c>
      <c r="S13" s="7">
        <f>TONT20000DEC2015!R13+TONT20000JANV!P13+TONT20000FEV!P13+TONT20000MARS!P13+TONT20000AVRIL!P13+TONT20000MAI!P13+TONT20000JUIN!P13+TONT20000JUIL!P13+TONT20000AOUT!P13+TONT20000SEPT!Q13+TONT20000OCT!P13+TONT20000NOV!Q13</f>
        <v>0</v>
      </c>
      <c r="T13" s="7">
        <f>TONT20000DEC2015!R13+TONT20000JANV!P13+TONT20000FEV!P13+TONT20000MARS!P13+TONT20000AVRIL!P13+TONT20000MAI!P13+TONT20000JUIN!P13+TONT20000JUIL!P13+TONT20000AOUT!P13+TONT20000SEPT!Q13+TONT20000OCT!P13+TONT20000NOV!Q13</f>
        <v>0</v>
      </c>
      <c r="U13" s="7"/>
    </row>
    <row r="14" spans="1:22" x14ac:dyDescent="0.25">
      <c r="A14" s="1" t="s">
        <v>19</v>
      </c>
      <c r="B14" s="1" t="str">
        <f>VLOOKUP(A14,LISTADHERENT!A$5:H$52,2,0)</f>
        <v>DONHOU DAVID</v>
      </c>
      <c r="C14" s="1">
        <f>VLOOKUP(A14,FONDSDECAISSE!A$5:C$52,3,0)</f>
        <v>390000</v>
      </c>
      <c r="D14" s="6">
        <v>44734</v>
      </c>
      <c r="E14" s="6"/>
      <c r="F14" s="6"/>
      <c r="G14" s="6"/>
      <c r="H14" s="6"/>
      <c r="I14" s="7">
        <f t="shared" si="0"/>
        <v>240000</v>
      </c>
      <c r="J14" s="7">
        <f>TONT20000DEC2015!I14+TONT20000JANV!G14+TONT20000FEV!G14+TONT20000MARS!G14+TONT20000AVRIL!G14+TONT20000MAI!G14+TONT20000JUIN!G14+TONT20000JUIL!G14+TONT20000AOUT!G14+TONT20000SEPT!G14+TONT20000OCT!G14+TONT20000NOV!H14</f>
        <v>36000</v>
      </c>
      <c r="K14" s="7">
        <f>TONT20000DEC2015!J14+TONT20000JANV!H14+TONT20000FEV!H14+TONT20000MARS!H14+TONT20000AVRIL!H14+TONT20000MAI!H14+TONT20000JUIN!H14+TONT20000JUIL!H14+TONT20000AOUT!H14+TONT20000SEPT!H14+TONT20000OCT!H14+TONT20000NOV!I14</f>
        <v>6000</v>
      </c>
      <c r="L14" s="7">
        <f>TONT20000DEC2015!K14+TONT20000JANV!I14+TONT20000FEV!I14+TONT20000MARS!I14+TONT20000AVRIL!I14+TONT20000MAI!I14+TONT20000JUIN!I14+TONT20000JUIL!I14+TONT20000AOUT!I14+TONT20000SEPT!I14+TONT20000OCT!I14+TONT20000NOV!J14</f>
        <v>12000</v>
      </c>
      <c r="M14" s="7">
        <f>TONT20000DEC2015!L14+TONT20000JANV!J14+TONT20000FEV!J14+TONT20000MARS!J14+TONT20000AVRIL!J14+TONT20000MAI!J14+TONT20000JUIN!J14+TONT20000JUIL!J14+TONT20000AOUT!J14+TONT20000SEPT!J14+TONT20000OCT!J14+TONT20000NOV!K14</f>
        <v>30000</v>
      </c>
      <c r="N14" s="7">
        <f>TONT20000DEC2015!M14+TONT20000JANV!K14+TONT20000FEV!K14+TONT20000MARS!K14+TONT20000AVRIL!K14+TONT20000MAI!K14+TONT20000JUIN!K14+TONT20000JUIL!K14+TONT20000AOUT!K14+TONT20000SEPT!K14+TONT20000OCT!K14+TONT20000NOV!L14</f>
        <v>0</v>
      </c>
      <c r="O14" s="7">
        <f>TONT20000DEC2015!N14+TONT20000JANV!L14+TONT20000FEV!L14+TONT20000MARS!L14+TONT20000AVRIL!L14+TONT20000MAI!L14+TONT20000JUIN!L14+TONT20000JUIL!L14+TONT20000AOUT!L14+TONT20000SEPT!L14+TONT20000OCT!L14+TONT20000NOV!M14</f>
        <v>156000</v>
      </c>
      <c r="P14" s="7">
        <f>TONT20000DEC2015!O14+TONT20000JANV!M14+TONT20000FEV!M14+TONT20000MARS!M14+TONT20000AVRIL!M14+TONT20000MAI!M14+TONT20000JUIN!M14+TONT20000JUIL!M14+TONT20000AOUT!M14+TONT20000SEPT!M14+TONT20000OCT!M14+TONT20000NOV!N14</f>
        <v>0</v>
      </c>
      <c r="Q14" s="7">
        <f>TONT20000DEC2015!P14+TONT20000JANV!N14+TONT20000FEV!N14+TONT20000MARS!N14+TONT20000AVRIL!N14+TONT20000MAI!N14+TONT20000JUIN!N14+TONT20000JUIL!N14+TONT20000AOUT!N14+TONT20000SEPT!N14+TONT20000OCT!N14+TONT20000NOV!O14</f>
        <v>0</v>
      </c>
      <c r="R14" s="7">
        <f>TONT20000DEC2015!Q14+TONT20000JANV!O14+TONT20000FEV!O14+TONT20000MARS!O14+TONT20000AVRIL!O14+TONT20000MAI!O14+TONT20000JUIN!O14+TONT20000JUIL!O14+TONT20000AOUT!O14+TONT20000SEPT!O14+TONT20000OCT!O14+TONT20000NOV!P14</f>
        <v>0</v>
      </c>
      <c r="S14" s="7">
        <f>TONT20000DEC2015!R14+TONT20000JANV!P14+TONT20000FEV!P14+TONT20000MARS!P14+TONT20000AVRIL!P14+TONT20000MAI!P14+TONT20000JUIN!P14+TONT20000JUIL!P14+TONT20000AOUT!P14+TONT20000SEPT!Q14+TONT20000OCT!P14+TONT20000NOV!Q14</f>
        <v>0</v>
      </c>
      <c r="T14" s="7">
        <f>TONT20000DEC2015!R14+TONT20000JANV!P14+TONT20000FEV!P14+TONT20000MARS!P14+TONT20000AVRIL!P14+TONT20000MAI!P14+TONT20000JUIN!P14+TONT20000JUIL!P14+TONT20000AOUT!P14+TONT20000SEPT!Q14+TONT20000OCT!P14+TONT20000NOV!Q14</f>
        <v>0</v>
      </c>
      <c r="U14" s="7"/>
    </row>
    <row r="15" spans="1:22" x14ac:dyDescent="0.25">
      <c r="A15" s="1" t="s">
        <v>20</v>
      </c>
      <c r="B15" s="1" t="str">
        <f>VLOOKUP(A15,LISTADHERENT!A$5:H$52,2,0)</f>
        <v>FOTSO THOMAS</v>
      </c>
      <c r="C15" s="1">
        <f>VLOOKUP(A15,FONDSDECAISSE!A$5:C$52,3,0)</f>
        <v>390000</v>
      </c>
      <c r="D15" s="6">
        <v>3318</v>
      </c>
      <c r="E15" s="6"/>
      <c r="F15" s="6"/>
      <c r="G15" s="6"/>
      <c r="H15" s="6"/>
      <c r="I15" s="7">
        <f t="shared" si="0"/>
        <v>240000</v>
      </c>
      <c r="J15" s="7">
        <f>TONT20000DEC2015!I15+TONT20000JANV!G15+TONT20000FEV!G15+TONT20000MARS!G15+TONT20000AVRIL!G15+TONT20000MAI!G15+TONT20000JUIN!G15+TONT20000JUIL!G15+TONT20000AOUT!G15+TONT20000SEPT!G15+TONT20000OCT!G15+TONT20000NOV!H15</f>
        <v>36000</v>
      </c>
      <c r="K15" s="7">
        <f>TONT20000DEC2015!J15+TONT20000JANV!H15+TONT20000FEV!H15+TONT20000MARS!H15+TONT20000AVRIL!H15+TONT20000MAI!H15+TONT20000JUIN!H15+TONT20000JUIL!H15+TONT20000AOUT!H15+TONT20000SEPT!H15+TONT20000OCT!H15+TONT20000NOV!I15</f>
        <v>6000</v>
      </c>
      <c r="L15" s="7">
        <f>TONT20000DEC2015!K15+TONT20000JANV!I15+TONT20000FEV!I15+TONT20000MARS!I15+TONT20000AVRIL!I15+TONT20000MAI!I15+TONT20000JUIN!I15+TONT20000JUIL!I15+TONT20000AOUT!I15+TONT20000SEPT!I15+TONT20000OCT!I15+TONT20000NOV!J15</f>
        <v>12000</v>
      </c>
      <c r="M15" s="7">
        <f>TONT20000DEC2015!L15+TONT20000JANV!J15+TONT20000FEV!J15+TONT20000MARS!J15+TONT20000AVRIL!J15+TONT20000MAI!J15+TONT20000JUIN!J15+TONT20000JUIL!J15+TONT20000AOUT!J15+TONT20000SEPT!J15+TONT20000OCT!J15+TONT20000NOV!K15</f>
        <v>30000</v>
      </c>
      <c r="N15" s="7">
        <f>TONT20000DEC2015!M15+TONT20000JANV!K15+TONT20000FEV!K15+TONT20000MARS!K15+TONT20000AVRIL!K15+TONT20000MAI!K15+TONT20000JUIN!K15+TONT20000JUIL!K15+TONT20000AOUT!K15+TONT20000SEPT!K15+TONT20000OCT!K15+TONT20000NOV!L15</f>
        <v>0</v>
      </c>
      <c r="O15" s="7">
        <f>TONT20000DEC2015!N15+TONT20000JANV!L15+TONT20000FEV!L15+TONT20000MARS!L15+TONT20000AVRIL!L15+TONT20000MAI!L15+TONT20000JUIN!L15+TONT20000JUIL!L15+TONT20000AOUT!L15+TONT20000SEPT!L15+TONT20000OCT!L15+TONT20000NOV!M15</f>
        <v>156000</v>
      </c>
      <c r="P15" s="7">
        <f>TONT20000DEC2015!O15+TONT20000JANV!M15+TONT20000FEV!M15+TONT20000MARS!M15+TONT20000AVRIL!M15+TONT20000MAI!M15+TONT20000JUIN!M15+TONT20000JUIL!M15+TONT20000AOUT!M15+TONT20000SEPT!M15+TONT20000OCT!M15+TONT20000NOV!N15</f>
        <v>1000000</v>
      </c>
      <c r="Q15" s="7">
        <f>TONT20000DEC2015!P15+TONT20000JANV!N15+TONT20000FEV!N15+TONT20000MARS!N15+TONT20000AVRIL!N15+TONT20000MAI!N15+TONT20000JUIN!N15+TONT20000JUIL!N15+TONT20000AOUT!N15+TONT20000SEPT!N15+TONT20000OCT!N15+TONT20000NOV!O15</f>
        <v>120000</v>
      </c>
      <c r="R15" s="7">
        <f>TONT20000DEC2015!Q15+TONT20000JANV!O15+TONT20000FEV!O15+TONT20000MARS!O15+TONT20000AVRIL!O15+TONT20000MAI!O15+TONT20000JUIN!O15+TONT20000JUIL!O15+TONT20000AOUT!O15+TONT20000SEPT!O15+TONT20000OCT!O15+TONT20000NOV!P15</f>
        <v>0</v>
      </c>
      <c r="S15" s="7">
        <f>TONT20000DEC2015!R15+TONT20000JANV!P15+TONT20000FEV!P15+TONT20000MARS!P15+TONT20000AVRIL!P15+TONT20000MAI!P15+TONT20000JUIN!P15+TONT20000JUIL!P15+TONT20000AOUT!P15+TONT20000SEPT!Q15+TONT20000OCT!P15+TONT20000NOV!Q15</f>
        <v>0</v>
      </c>
      <c r="T15" s="7">
        <f>TONT20000DEC2015!R15+TONT20000JANV!P15+TONT20000FEV!P15+TONT20000MARS!P15+TONT20000AVRIL!P15+TONT20000MAI!P15+TONT20000JUIN!P15+TONT20000JUIL!P15+TONT20000AOUT!P15+TONT20000SEPT!Q15+TONT20000OCT!P15+TONT20000NOV!Q15</f>
        <v>0</v>
      </c>
      <c r="U15" s="7"/>
    </row>
    <row r="16" spans="1:22" x14ac:dyDescent="0.25">
      <c r="A16" s="1" t="s">
        <v>21</v>
      </c>
      <c r="B16" s="1" t="str">
        <f>VLOOKUP(A16,LISTADHERENT!A$5:H$52,2,0)</f>
        <v>HENGUE PAUL OMER</v>
      </c>
      <c r="C16" s="1">
        <f>VLOOKUP(A16,FONDSDECAISSE!A$5:C$52,3,0)</f>
        <v>390000</v>
      </c>
      <c r="D16" s="6"/>
      <c r="E16" s="6"/>
      <c r="F16" s="6"/>
      <c r="G16" s="6"/>
      <c r="H16" s="6"/>
      <c r="I16" s="7">
        <f t="shared" si="0"/>
        <v>200000</v>
      </c>
      <c r="J16" s="7">
        <f>TONT20000DEC2015!I16+TONT20000JANV!G16+TONT20000FEV!G16+TONT20000MARS!G16+TONT20000AVRIL!G16+TONT20000MAI!G16+TONT20000JUIN!G16+TONT20000JUIL!G16+TONT20000AOUT!G16+TONT20000SEPT!G16+TONT20000OCT!G16+TONT20000NOV!H16</f>
        <v>30000</v>
      </c>
      <c r="K16" s="7">
        <f>TONT20000DEC2015!J16+TONT20000JANV!H16+TONT20000FEV!H16+TONT20000MARS!H16+TONT20000AVRIL!H16+TONT20000MAI!H16+TONT20000JUIN!H16+TONT20000JUIL!H16+TONT20000AOUT!H16+TONT20000SEPT!H16+TONT20000OCT!H16+TONT20000NOV!I16</f>
        <v>5000</v>
      </c>
      <c r="L16" s="7">
        <f>TONT20000DEC2015!K16+TONT20000JANV!I16+TONT20000FEV!I16+TONT20000MARS!I16+TONT20000AVRIL!I16+TONT20000MAI!I16+TONT20000JUIN!I16+TONT20000JUIL!I16+TONT20000AOUT!I16+TONT20000SEPT!I16+TONT20000OCT!I16+TONT20000NOV!J16</f>
        <v>10000</v>
      </c>
      <c r="M16" s="7">
        <f>TONT20000DEC2015!L16+TONT20000JANV!J16+TONT20000FEV!J16+TONT20000MARS!J16+TONT20000AVRIL!J16+TONT20000MAI!J16+TONT20000JUIN!J16+TONT20000JUIL!J16+TONT20000AOUT!J16+TONT20000SEPT!J16+TONT20000OCT!J16+TONT20000NOV!K16</f>
        <v>25000</v>
      </c>
      <c r="N16" s="7">
        <f>TONT20000DEC2015!M16+TONT20000JANV!K16+TONT20000FEV!K16+TONT20000MARS!K16+TONT20000AVRIL!K16+TONT20000MAI!K16+TONT20000JUIN!K16+TONT20000JUIL!K16+TONT20000AOUT!K16+TONT20000SEPT!K16+TONT20000OCT!K16+TONT20000NOV!L16</f>
        <v>0</v>
      </c>
      <c r="O16" s="7">
        <f>TONT20000DEC2015!N16+TONT20000JANV!L16+TONT20000FEV!L16+TONT20000MARS!L16+TONT20000AVRIL!L16+TONT20000MAI!L16+TONT20000JUIN!L16+TONT20000JUIL!L16+TONT20000AOUT!L16+TONT20000SEPT!L16+TONT20000OCT!L16+TONT20000NOV!M16</f>
        <v>130000</v>
      </c>
      <c r="P16" s="7">
        <f>TONT20000DEC2015!O16+TONT20000JANV!M16+TONT20000FEV!M16+TONT20000MARS!M16+TONT20000AVRIL!M16+TONT20000MAI!M16+TONT20000JUIN!M16+TONT20000JUIL!M16+TONT20000AOUT!M16+TONT20000SEPT!M16+TONT20000OCT!M16+TONT20000NOV!N16</f>
        <v>0</v>
      </c>
      <c r="Q16" s="7">
        <f>TONT20000DEC2015!P16+TONT20000JANV!N16+TONT20000FEV!N16+TONT20000MARS!N16+TONT20000AVRIL!N16+TONT20000MAI!N16+TONT20000JUIN!N16+TONT20000JUIL!N16+TONT20000AOUT!N16+TONT20000SEPT!N16+TONT20000OCT!N16+TONT20000NOV!O16</f>
        <v>0</v>
      </c>
      <c r="R16" s="7">
        <f>TONT20000DEC2015!Q16+TONT20000JANV!O16+TONT20000FEV!O16+TONT20000MARS!O16+TONT20000AVRIL!O16+TONT20000MAI!O16+TONT20000JUIN!O16+TONT20000JUIL!O16+TONT20000AOUT!O16+TONT20000SEPT!O16+TONT20000OCT!O16+TONT20000NOV!P16</f>
        <v>0</v>
      </c>
      <c r="S16" s="7">
        <f>TONT20000DEC2015!R16+TONT20000JANV!P16+TONT20000FEV!P16+TONT20000MARS!P16+TONT20000AVRIL!P16+TONT20000MAI!P16+TONT20000JUIN!P16+TONT20000JUIL!P16+TONT20000AOUT!P16+TONT20000SEPT!Q16+TONT20000OCT!P16+TONT20000NOV!Q16</f>
        <v>0</v>
      </c>
      <c r="T16" s="7">
        <f>TONT20000DEC2015!R16+TONT20000JANV!P16+TONT20000FEV!P16+TONT20000MARS!P16+TONT20000AVRIL!P16+TONT20000MAI!P16+TONT20000JUIN!P16+TONT20000JUIL!P16+TONT20000AOUT!P16+TONT20000SEPT!Q16+TONT20000OCT!P16+TONT20000NOV!Q16</f>
        <v>0</v>
      </c>
      <c r="U16" s="7"/>
    </row>
    <row r="17" spans="1:21" x14ac:dyDescent="0.25">
      <c r="A17" s="1" t="s">
        <v>22</v>
      </c>
      <c r="B17" s="1" t="str">
        <f>VLOOKUP(A17,LISTADHERENT!A$5:H$52,2,0)</f>
        <v>HODIEP JULES</v>
      </c>
      <c r="C17" s="1">
        <f>VLOOKUP(A17,FONDSDECAISSE!A$5:C$52,3,0)</f>
        <v>0</v>
      </c>
      <c r="D17" s="6">
        <v>0</v>
      </c>
      <c r="E17" s="6"/>
      <c r="F17" s="6"/>
      <c r="G17" s="6"/>
      <c r="H17" s="6"/>
      <c r="I17" s="7">
        <f t="shared" si="0"/>
        <v>240000</v>
      </c>
      <c r="J17" s="7">
        <f>TONT20000DEC2015!I17+TONT20000JANV!G17+TONT20000FEV!G17+TONT20000MARS!G17+TONT20000AVRIL!G17+TONT20000MAI!G17+TONT20000JUIN!G17+TONT20000JUIL!G17+TONT20000AOUT!G17+TONT20000SEPT!G17+TONT20000OCT!G17+TONT20000NOV!H17</f>
        <v>36000</v>
      </c>
      <c r="K17" s="7">
        <f>TONT20000DEC2015!J17+TONT20000JANV!H17+TONT20000FEV!H17+TONT20000MARS!H17+TONT20000AVRIL!H17+TONT20000MAI!H17+TONT20000JUIN!H17+TONT20000JUIL!H17+TONT20000AOUT!H17+TONT20000SEPT!H17+TONT20000OCT!H17+TONT20000NOV!I17</f>
        <v>6000</v>
      </c>
      <c r="L17" s="7">
        <f>TONT20000DEC2015!K17+TONT20000JANV!I17+TONT20000FEV!I17+TONT20000MARS!I17+TONT20000AVRIL!I17+TONT20000MAI!I17+TONT20000JUIN!I17+TONT20000JUIL!I17+TONT20000AOUT!I17+TONT20000SEPT!I17+TONT20000OCT!I17+TONT20000NOV!J17</f>
        <v>12000</v>
      </c>
      <c r="M17" s="7">
        <f>TONT20000DEC2015!L17+TONT20000JANV!J17+TONT20000FEV!J17+TONT20000MARS!J17+TONT20000AVRIL!J17+TONT20000MAI!J17+TONT20000JUIN!J17+TONT20000JUIL!J17+TONT20000AOUT!J17+TONT20000SEPT!J17+TONT20000OCT!J17+TONT20000NOV!K17</f>
        <v>30000</v>
      </c>
      <c r="N17" s="7">
        <f>TONT20000DEC2015!M17+TONT20000JANV!K17+TONT20000FEV!K17+TONT20000MARS!K17+TONT20000AVRIL!K17+TONT20000MAI!K17+TONT20000JUIN!K17+TONT20000JUIL!K17+TONT20000AOUT!K17+TONT20000SEPT!K17+TONT20000OCT!K17+TONT20000NOV!L17</f>
        <v>0</v>
      </c>
      <c r="O17" s="7">
        <f>TONT20000DEC2015!N17+TONT20000JANV!L17+TONT20000FEV!L17+TONT20000MARS!L17+TONT20000AVRIL!L17+TONT20000MAI!L17+TONT20000JUIN!L17+TONT20000JUIL!L17+TONT20000AOUT!L17+TONT20000SEPT!L17+TONT20000OCT!L17+TONT20000NOV!M17</f>
        <v>156000</v>
      </c>
      <c r="P17" s="7">
        <f>TONT20000DEC2015!O17+TONT20000JANV!M17+TONT20000FEV!M17+TONT20000MARS!M17+TONT20000AVRIL!M17+TONT20000MAI!M17+TONT20000JUIN!M17+TONT20000JUIL!M17+TONT20000AOUT!M17+TONT20000SEPT!M17+TONT20000OCT!M17+TONT20000NOV!N17</f>
        <v>0</v>
      </c>
      <c r="Q17" s="7">
        <f>TONT20000DEC2015!P17+TONT20000JANV!N17+TONT20000FEV!N17+TONT20000MARS!N17+TONT20000AVRIL!N17+TONT20000MAI!N17+TONT20000JUIN!N17+TONT20000JUIL!N17+TONT20000AOUT!N17+TONT20000SEPT!N17+TONT20000OCT!N17+TONT20000NOV!O17</f>
        <v>0</v>
      </c>
      <c r="R17" s="7">
        <f>TONT20000DEC2015!Q17+TONT20000JANV!O17+TONT20000FEV!O17+TONT20000MARS!O17+TONT20000AVRIL!O17+TONT20000MAI!O17+TONT20000JUIN!O17+TONT20000JUIL!O17+TONT20000AOUT!O17+TONT20000SEPT!O17+TONT20000OCT!O17+TONT20000NOV!P17</f>
        <v>0</v>
      </c>
      <c r="S17" s="7">
        <f>TONT20000DEC2015!R17+TONT20000JANV!P17+TONT20000FEV!P17+TONT20000MARS!P17+TONT20000AVRIL!P17+TONT20000MAI!P17+TONT20000JUIN!P17+TONT20000JUIL!P17+TONT20000AOUT!P17+TONT20000SEPT!Q17+TONT20000OCT!P17+TONT20000NOV!Q17</f>
        <v>0</v>
      </c>
      <c r="T17" s="7">
        <f>TONT20000DEC2015!R17+TONT20000JANV!P17+TONT20000FEV!P17+TONT20000MARS!P17+TONT20000AVRIL!P17+TONT20000MAI!P17+TONT20000JUIN!P17+TONT20000JUIL!P17+TONT20000AOUT!P17+TONT20000SEPT!Q17+TONT20000OCT!P17+TONT20000NOV!Q17</f>
        <v>0</v>
      </c>
      <c r="U17" s="7"/>
    </row>
    <row r="18" spans="1:21" x14ac:dyDescent="0.25">
      <c r="A18" s="1" t="s">
        <v>23</v>
      </c>
      <c r="B18" s="1" t="str">
        <f>VLOOKUP(A18,LISTADHERENT!A$5:H$52,2,0)</f>
        <v>HOTCHO BENJAMIN</v>
      </c>
      <c r="C18" s="1">
        <f>VLOOKUP(A18,FONDSDECAISSE!A$5:C$52,3,0)</f>
        <v>390000</v>
      </c>
      <c r="D18" s="6">
        <v>8723</v>
      </c>
      <c r="E18" s="6"/>
      <c r="F18" s="6"/>
      <c r="G18" s="6"/>
      <c r="H18" s="6"/>
      <c r="I18" s="7">
        <f t="shared" si="0"/>
        <v>338000</v>
      </c>
      <c r="J18" s="7">
        <f>TONT20000DEC2015!I18+TONT20000JANV!G18+TONT20000FEV!G18+TONT20000MARS!G18+TONT20000AVRIL!G18+TONT20000MAI!G18+TONT20000JUIN!G18+TONT20000JUIL!G18+TONT20000AOUT!G18+TONT20000SEPT!G18+TONT20000OCT!G18+TONT20000NOV!H18</f>
        <v>84000</v>
      </c>
      <c r="K18" s="7">
        <f>TONT20000DEC2015!J18+TONT20000JANV!H18+TONT20000FEV!H18+TONT20000MARS!H18+TONT20000AVRIL!H18+TONT20000MAI!H18+TONT20000JUIN!H18+TONT20000JUIL!H18+TONT20000AOUT!H18+TONT20000SEPT!H18+TONT20000OCT!H18+TONT20000NOV!I18</f>
        <v>6000</v>
      </c>
      <c r="L18" s="7">
        <f>TONT20000DEC2015!K18+TONT20000JANV!I18+TONT20000FEV!I18+TONT20000MARS!I18+TONT20000AVRIL!I18+TONT20000MAI!I18+TONT20000JUIN!I18+TONT20000JUIL!I18+TONT20000AOUT!I18+TONT20000SEPT!I18+TONT20000OCT!I18+TONT20000NOV!J18</f>
        <v>12000</v>
      </c>
      <c r="M18" s="7">
        <f>TONT20000DEC2015!L18+TONT20000JANV!J18+TONT20000FEV!J18+TONT20000MARS!J18+TONT20000AVRIL!J18+TONT20000MAI!J18+TONT20000JUIN!J18+TONT20000JUIL!J18+TONT20000AOUT!J18+TONT20000SEPT!J18+TONT20000OCT!J18+TONT20000NOV!K18</f>
        <v>30000</v>
      </c>
      <c r="N18" s="7">
        <f>TONT20000DEC2015!M18+TONT20000JANV!K18+TONT20000FEV!K18+TONT20000MARS!K18+TONT20000AVRIL!K18+TONT20000MAI!K18+TONT20000JUIN!K18+TONT20000JUIL!K18+TONT20000AOUT!K18+TONT20000SEPT!K18+TONT20000OCT!K18+TONT20000NOV!L18</f>
        <v>50000</v>
      </c>
      <c r="O18" s="7">
        <f>TONT20000DEC2015!N18+TONT20000JANV!L18+TONT20000FEV!L18+TONT20000MARS!L18+TONT20000AVRIL!L18+TONT20000MAI!L18+TONT20000JUIN!L18+TONT20000JUIL!L18+TONT20000AOUT!L18+TONT20000SEPT!L18+TONT20000OCT!L18+TONT20000NOV!M18</f>
        <v>156000</v>
      </c>
      <c r="P18" s="7">
        <f>TONT20000DEC2015!O18+TONT20000JANV!M18+TONT20000FEV!M18+TONT20000MARS!M18+TONT20000AVRIL!M18+TONT20000MAI!M18+TONT20000JUIN!M18+TONT20000JUIL!M18+TONT20000AOUT!M18+TONT20000SEPT!M18+TONT20000OCT!M18+TONT20000NOV!N18</f>
        <v>0</v>
      </c>
      <c r="Q18" s="7">
        <f>TONT20000DEC2015!P18+TONT20000JANV!N18+TONT20000FEV!N18+TONT20000MARS!N18+TONT20000AVRIL!N18+TONT20000MAI!N18+TONT20000JUIN!N18+TONT20000JUIL!N18+TONT20000AOUT!N18+TONT20000SEPT!N18+TONT20000OCT!N18+TONT20000NOV!O18</f>
        <v>0</v>
      </c>
      <c r="R18" s="7">
        <f>TONT20000DEC2015!Q18+TONT20000JANV!O18+TONT20000FEV!O18+TONT20000MARS!O18+TONT20000AVRIL!O18+TONT20000MAI!O18+TONT20000JUIN!O18+TONT20000JUIL!O18+TONT20000AOUT!O18+TONT20000SEPT!O18+TONT20000OCT!O18+TONT20000NOV!P18</f>
        <v>0</v>
      </c>
      <c r="S18" s="7">
        <f>TONT20000DEC2015!R18+TONT20000JANV!P18+TONT20000FEV!P18+TONT20000MARS!P18+TONT20000AVRIL!P18+TONT20000MAI!P18+TONT20000JUIN!P18+TONT20000JUIL!P18+TONT20000AOUT!P18+TONT20000SEPT!Q18+TONT20000OCT!P18+TONT20000NOV!Q18</f>
        <v>0</v>
      </c>
      <c r="T18" s="7">
        <f>TONT20000DEC2015!R18+TONT20000JANV!P18+TONT20000FEV!P18+TONT20000MARS!P18+TONT20000AVRIL!P18+TONT20000MAI!P18+TONT20000JUIN!P18+TONT20000JUIL!P18+TONT20000AOUT!P18+TONT20000SEPT!Q18+TONT20000OCT!P18+TONT20000NOV!Q18</f>
        <v>0</v>
      </c>
      <c r="U18" s="7"/>
    </row>
    <row r="19" spans="1:21" x14ac:dyDescent="0.25">
      <c r="A19" s="1" t="s">
        <v>24</v>
      </c>
      <c r="B19" s="1" t="str">
        <f>VLOOKUP(A19,LISTADHERENT!A$5:H$52,2,0)</f>
        <v>KEPHE DAVID</v>
      </c>
      <c r="C19" s="1">
        <f>VLOOKUP(A19,FONDSDECAISSE!A$5:C$52,3,0)</f>
        <v>0</v>
      </c>
      <c r="D19" s="6">
        <v>12795</v>
      </c>
      <c r="E19" s="6"/>
      <c r="F19" s="6"/>
      <c r="G19" s="6"/>
      <c r="H19" s="6"/>
      <c r="I19" s="7">
        <f t="shared" si="0"/>
        <v>240000</v>
      </c>
      <c r="J19" s="7">
        <f>TONT20000DEC2015!I19+TONT20000JANV!G19+TONT20000FEV!G19+TONT20000MARS!G19+TONT20000AVRIL!G19+TONT20000MAI!G19+TONT20000JUIN!G19+TONT20000JUIL!G19+TONT20000AOUT!G19+TONT20000SEPT!G19+TONT20000OCT!G19+TONT20000NOV!H19</f>
        <v>36000</v>
      </c>
      <c r="K19" s="7">
        <f>TONT20000DEC2015!J19+TONT20000JANV!H19+TONT20000FEV!H19+TONT20000MARS!H19+TONT20000AVRIL!H19+TONT20000MAI!H19+TONT20000JUIN!H19+TONT20000JUIL!H19+TONT20000AOUT!H19+TONT20000SEPT!H19+TONT20000OCT!H19+TONT20000NOV!I19</f>
        <v>6000</v>
      </c>
      <c r="L19" s="7">
        <f>TONT20000DEC2015!K19+TONT20000JANV!I19+TONT20000FEV!I19+TONT20000MARS!I19+TONT20000AVRIL!I19+TONT20000MAI!I19+TONT20000JUIN!I19+TONT20000JUIL!I19+TONT20000AOUT!I19+TONT20000SEPT!I19+TONT20000OCT!I19+TONT20000NOV!J19</f>
        <v>12000</v>
      </c>
      <c r="M19" s="7">
        <f>TONT20000DEC2015!L19+TONT20000JANV!J19+TONT20000FEV!J19+TONT20000MARS!J19+TONT20000AVRIL!J19+TONT20000MAI!J19+TONT20000JUIN!J19+TONT20000JUIL!J19+TONT20000AOUT!J19+TONT20000SEPT!J19+TONT20000OCT!J19+TONT20000NOV!K19</f>
        <v>30000</v>
      </c>
      <c r="N19" s="7">
        <f>TONT20000DEC2015!M19+TONT20000JANV!K19+TONT20000FEV!K19+TONT20000MARS!K19+TONT20000AVRIL!K19+TONT20000MAI!K19+TONT20000JUIN!K19+TONT20000JUIL!K19+TONT20000AOUT!K19+TONT20000SEPT!K19+TONT20000OCT!K19+TONT20000NOV!L19</f>
        <v>0</v>
      </c>
      <c r="O19" s="7">
        <f>TONT20000DEC2015!N19+TONT20000JANV!L19+TONT20000FEV!L19+TONT20000MARS!L19+TONT20000AVRIL!L19+TONT20000MAI!L19+TONT20000JUIN!L19+TONT20000JUIL!L19+TONT20000AOUT!L19+TONT20000SEPT!L19+TONT20000OCT!L19+TONT20000NOV!M19</f>
        <v>156000</v>
      </c>
      <c r="P19" s="7">
        <f>TONT20000DEC2015!O19+TONT20000JANV!M19+TONT20000FEV!M19+TONT20000MARS!M19+TONT20000AVRIL!M19+TONT20000MAI!M19+TONT20000JUIN!M19+TONT20000JUIL!M19+TONT20000AOUT!M19+TONT20000SEPT!M19+TONT20000OCT!M19+TONT20000NOV!N19</f>
        <v>0</v>
      </c>
      <c r="Q19" s="7">
        <f>TONT20000DEC2015!P19+TONT20000JANV!N19+TONT20000FEV!N19+TONT20000MARS!N19+TONT20000AVRIL!N19+TONT20000MAI!N19+TONT20000JUIN!N19+TONT20000JUIL!N19+TONT20000AOUT!N19+TONT20000SEPT!N19+TONT20000OCT!N19+TONT20000NOV!O19</f>
        <v>0</v>
      </c>
      <c r="R19" s="7">
        <f>TONT20000DEC2015!Q19+TONT20000JANV!O19+TONT20000FEV!O19+TONT20000MARS!O19+TONT20000AVRIL!O19+TONT20000MAI!O19+TONT20000JUIN!O19+TONT20000JUIL!O19+TONT20000AOUT!O19+TONT20000SEPT!O19+TONT20000OCT!O19+TONT20000NOV!P19</f>
        <v>0</v>
      </c>
      <c r="S19" s="7">
        <f>TONT20000DEC2015!R19+TONT20000JANV!P19+TONT20000FEV!P19+TONT20000MARS!P19+TONT20000AVRIL!P19+TONT20000MAI!P19+TONT20000JUIN!P19+TONT20000JUIL!P19+TONT20000AOUT!P19+TONT20000SEPT!Q19+TONT20000OCT!P19+TONT20000NOV!Q19</f>
        <v>0</v>
      </c>
      <c r="T19" s="7">
        <f>TONT20000DEC2015!R19+TONT20000JANV!P19+TONT20000FEV!P19+TONT20000MARS!P19+TONT20000AVRIL!P19+TONT20000MAI!P19+TONT20000JUIN!P19+TONT20000JUIL!P19+TONT20000AOUT!P19+TONT20000SEPT!Q19+TONT20000OCT!P19+TONT20000NOV!Q19</f>
        <v>0</v>
      </c>
      <c r="U19" s="7"/>
    </row>
    <row r="20" spans="1:21" x14ac:dyDescent="0.25">
      <c r="A20" s="1" t="s">
        <v>25</v>
      </c>
      <c r="B20" s="1" t="str">
        <f>VLOOKUP(A20,LISTADHERENT!A$5:H$52,2,0)</f>
        <v>KEPSEU FRANCIS</v>
      </c>
      <c r="C20" s="1">
        <f>VLOOKUP(A20,FONDSDECAISSE!A$5:C$52,3,0)</f>
        <v>390000</v>
      </c>
      <c r="D20" s="6">
        <v>186997</v>
      </c>
      <c r="E20" s="6"/>
      <c r="F20" s="6"/>
      <c r="G20" s="6"/>
      <c r="H20" s="6"/>
      <c r="I20" s="7">
        <f t="shared" si="0"/>
        <v>756000</v>
      </c>
      <c r="J20" s="7">
        <f>TONT20000DEC2015!I20+TONT20000JANV!G20+TONT20000FEV!G20+TONT20000MARS!G20+TONT20000AVRIL!G20+TONT20000MAI!G20+TONT20000JUIN!G20+TONT20000JUIL!G20+TONT20000AOUT!G20+TONT20000SEPT!G20+TONT20000OCT!G20+TONT20000NOV!H20</f>
        <v>552000</v>
      </c>
      <c r="K20" s="7">
        <f>TONT20000DEC2015!J20+TONT20000JANV!H20+TONT20000FEV!H20+TONT20000MARS!H20+TONT20000AVRIL!H20+TONT20000MAI!H20+TONT20000JUIN!H20+TONT20000JUIL!H20+TONT20000AOUT!H20+TONT20000SEPT!H20+TONT20000OCT!H20+TONT20000NOV!I20</f>
        <v>6000</v>
      </c>
      <c r="L20" s="7">
        <f>TONT20000DEC2015!K20+TONT20000JANV!I20+TONT20000FEV!I20+TONT20000MARS!I20+TONT20000AVRIL!I20+TONT20000MAI!I20+TONT20000JUIN!I20+TONT20000JUIL!I20+TONT20000AOUT!I20+TONT20000SEPT!I20+TONT20000OCT!I20+TONT20000NOV!J20</f>
        <v>12000</v>
      </c>
      <c r="M20" s="7">
        <f>TONT20000DEC2015!L20+TONT20000JANV!J20+TONT20000FEV!J20+TONT20000MARS!J20+TONT20000AVRIL!J20+TONT20000MAI!J20+TONT20000JUIN!J20+TONT20000JUIL!J20+TONT20000AOUT!J20+TONT20000SEPT!J20+TONT20000OCT!J20+TONT20000NOV!K20</f>
        <v>30000</v>
      </c>
      <c r="N20" s="7">
        <f>TONT20000DEC2015!M20+TONT20000JANV!K20+TONT20000FEV!K20+TONT20000MARS!K20+TONT20000AVRIL!K20+TONT20000MAI!K20+TONT20000JUIN!K20+TONT20000JUIL!K20+TONT20000AOUT!K20+TONT20000SEPT!K20+TONT20000OCT!K20+TONT20000NOV!L20</f>
        <v>0</v>
      </c>
      <c r="O20" s="7">
        <f>TONT20000DEC2015!N20+TONT20000JANV!L20+TONT20000FEV!L20+TONT20000MARS!L20+TONT20000AVRIL!L20+TONT20000MAI!L20+TONT20000JUIN!L20+TONT20000JUIL!L20+TONT20000AOUT!L20+TONT20000SEPT!L20+TONT20000OCT!L20+TONT20000NOV!M20</f>
        <v>156000</v>
      </c>
      <c r="P20" s="7">
        <f>TONT20000DEC2015!O20+TONT20000JANV!M20+TONT20000FEV!M20+TONT20000MARS!M20+TONT20000AVRIL!M20+TONT20000MAI!M20+TONT20000JUIN!M20+TONT20000JUIL!M20+TONT20000AOUT!M20+TONT20000SEPT!M20+TONT20000OCT!M20+TONT20000NOV!N20</f>
        <v>0</v>
      </c>
      <c r="Q20" s="7">
        <f>TONT20000DEC2015!P20+TONT20000JANV!N20+TONT20000FEV!N20+TONT20000MARS!N20+TONT20000AVRIL!N20+TONT20000MAI!N20+TONT20000JUIN!N20+TONT20000JUIL!N20+TONT20000AOUT!N20+TONT20000SEPT!N20+TONT20000OCT!N20+TONT20000NOV!O20</f>
        <v>0</v>
      </c>
      <c r="R20" s="7">
        <f>TONT20000DEC2015!Q20+TONT20000JANV!O20+TONT20000FEV!O20+TONT20000MARS!O20+TONT20000AVRIL!O20+TONT20000MAI!O20+TONT20000JUIN!O20+TONT20000JUIL!O20+TONT20000AOUT!O20+TONT20000SEPT!O20+TONT20000OCT!O20+TONT20000NOV!P20</f>
        <v>0</v>
      </c>
      <c r="S20" s="7">
        <f>TONT20000DEC2015!R20+TONT20000JANV!P20+TONT20000FEV!P20+TONT20000MARS!P20+TONT20000AVRIL!P20+TONT20000MAI!P20+TONT20000JUIN!P20+TONT20000JUIL!P20+TONT20000AOUT!P20+TONT20000SEPT!Q20+TONT20000OCT!P20+TONT20000NOV!Q20</f>
        <v>0</v>
      </c>
      <c r="T20" s="7">
        <f>TONT20000DEC2015!R20+TONT20000JANV!P20+TONT20000FEV!P20+TONT20000MARS!P20+TONT20000AVRIL!P20+TONT20000MAI!P20+TONT20000JUIN!P20+TONT20000JUIL!P20+TONT20000AOUT!P20+TONT20000SEPT!Q20+TONT20000OCT!P20+TONT20000NOV!Q20</f>
        <v>0</v>
      </c>
      <c r="U20" s="7"/>
    </row>
    <row r="21" spans="1:21" x14ac:dyDescent="0.25">
      <c r="A21" s="1" t="s">
        <v>26</v>
      </c>
      <c r="B21" s="1" t="str">
        <f>VLOOKUP(A21,LISTADHERENT!A$5:H$52,2,0)</f>
        <v>KOUAMOU EMMANUEL</v>
      </c>
      <c r="C21" s="1">
        <f>VLOOKUP(A21,FONDSDECAISSE!A$5:C$52,3,0)</f>
        <v>390000</v>
      </c>
      <c r="D21" s="6">
        <v>2723</v>
      </c>
      <c r="E21" s="6"/>
      <c r="F21" s="6"/>
      <c r="G21" s="6"/>
      <c r="H21" s="6"/>
      <c r="I21" s="7">
        <f t="shared" si="0"/>
        <v>240000</v>
      </c>
      <c r="J21" s="7">
        <f>TONT20000DEC2015!I21+TONT20000JANV!G21+TONT20000FEV!G21+TONT20000MARS!G21+TONT20000AVRIL!G21+TONT20000MAI!G21+TONT20000JUIN!G21+TONT20000JUIL!G21+TONT20000AOUT!G21+TONT20000SEPT!G21+TONT20000OCT!G21+TONT20000NOV!H21</f>
        <v>36000</v>
      </c>
      <c r="K21" s="7">
        <f>TONT20000DEC2015!J21+TONT20000JANV!H21+TONT20000FEV!H21+TONT20000MARS!H21+TONT20000AVRIL!H21+TONT20000MAI!H21+TONT20000JUIN!H21+TONT20000JUIL!H21+TONT20000AOUT!H21+TONT20000SEPT!H21+TONT20000OCT!H21+TONT20000NOV!I21</f>
        <v>6000</v>
      </c>
      <c r="L21" s="7">
        <f>TONT20000DEC2015!K21+TONT20000JANV!I21+TONT20000FEV!I21+TONT20000MARS!I21+TONT20000AVRIL!I21+TONT20000MAI!I21+TONT20000JUIN!I21+TONT20000JUIL!I21+TONT20000AOUT!I21+TONT20000SEPT!I21+TONT20000OCT!I21+TONT20000NOV!J21</f>
        <v>12000</v>
      </c>
      <c r="M21" s="7">
        <f>TONT20000DEC2015!L21+TONT20000JANV!J21+TONT20000FEV!J21+TONT20000MARS!J21+TONT20000AVRIL!J21+TONT20000MAI!J21+TONT20000JUIN!J21+TONT20000JUIL!J21+TONT20000AOUT!J21+TONT20000SEPT!J21+TONT20000OCT!J21+TONT20000NOV!K21</f>
        <v>30000</v>
      </c>
      <c r="N21" s="7">
        <f>TONT20000DEC2015!M21+TONT20000JANV!K21+TONT20000FEV!K21+TONT20000MARS!K21+TONT20000AVRIL!K21+TONT20000MAI!K21+TONT20000JUIN!K21+TONT20000JUIL!K21+TONT20000AOUT!K21+TONT20000SEPT!K21+TONT20000OCT!K21+TONT20000NOV!L21</f>
        <v>0</v>
      </c>
      <c r="O21" s="7">
        <f>TONT20000DEC2015!N21+TONT20000JANV!L21+TONT20000FEV!L21+TONT20000MARS!L21+TONT20000AVRIL!L21+TONT20000MAI!L21+TONT20000JUIN!L21+TONT20000JUIL!L21+TONT20000AOUT!L21+TONT20000SEPT!L21+TONT20000OCT!L21+TONT20000NOV!M21</f>
        <v>156000</v>
      </c>
      <c r="P21" s="7">
        <f>TONT20000DEC2015!O21+TONT20000JANV!M21+TONT20000FEV!M21+TONT20000MARS!M21+TONT20000AVRIL!M21+TONT20000MAI!M21+TONT20000JUIN!M21+TONT20000JUIL!M21+TONT20000AOUT!M21+TONT20000SEPT!M21+TONT20000OCT!M21+TONT20000NOV!N21</f>
        <v>1000000</v>
      </c>
      <c r="Q21" s="7">
        <f>TONT20000DEC2015!P21+TONT20000JANV!N21+TONT20000FEV!N21+TONT20000MARS!N21+TONT20000AVRIL!N21+TONT20000MAI!N21+TONT20000JUIN!N21+TONT20000JUIL!N21+TONT20000AOUT!N21+TONT20000SEPT!N21+TONT20000OCT!N21+TONT20000NOV!O21</f>
        <v>120000</v>
      </c>
      <c r="R21" s="7">
        <f>TONT20000DEC2015!Q21+TONT20000JANV!O21+TONT20000FEV!O21+TONT20000MARS!O21+TONT20000AVRIL!O21+TONT20000MAI!O21+TONT20000JUIN!O21+TONT20000JUIL!O21+TONT20000AOUT!O21+TONT20000SEPT!O21+TONT20000OCT!O21+TONT20000NOV!P21</f>
        <v>0</v>
      </c>
      <c r="S21" s="7">
        <f>TONT20000DEC2015!R21+TONT20000JANV!P21+TONT20000FEV!P21+TONT20000MARS!P21+TONT20000AVRIL!P21+TONT20000MAI!P21+TONT20000JUIN!P21+TONT20000JUIL!P21+TONT20000AOUT!P21+TONT20000SEPT!Q21+TONT20000OCT!P21+TONT20000NOV!Q21</f>
        <v>0</v>
      </c>
      <c r="T21" s="7">
        <f>TONT20000DEC2015!R21+TONT20000JANV!P21+TONT20000FEV!P21+TONT20000MARS!P21+TONT20000AVRIL!P21+TONT20000MAI!P21+TONT20000JUIN!P21+TONT20000JUIL!P21+TONT20000AOUT!P21+TONT20000SEPT!Q21+TONT20000OCT!P21+TONT20000NOV!Q21</f>
        <v>0</v>
      </c>
      <c r="U21" s="7"/>
    </row>
    <row r="22" spans="1:21" ht="12.75" customHeight="1" x14ac:dyDescent="0.25">
      <c r="A22" s="1" t="s">
        <v>27</v>
      </c>
      <c r="B22" s="1" t="str">
        <f>VLOOKUP(A22,LISTADHERENT!A$5:H$52,2,0)</f>
        <v>KOUAMOU MOISE</v>
      </c>
      <c r="C22" s="1">
        <f>VLOOKUP(A22,FONDSDECAISSE!A$5:C$52,3,0)</f>
        <v>315000</v>
      </c>
      <c r="D22" s="6">
        <v>2099</v>
      </c>
      <c r="E22" s="6"/>
      <c r="F22" s="6"/>
      <c r="G22" s="6"/>
      <c r="H22" s="6"/>
      <c r="I22" s="7">
        <f t="shared" si="0"/>
        <v>240000</v>
      </c>
      <c r="J22" s="7">
        <f>TONT20000DEC2015!I22+TONT20000JANV!G22+TONT20000FEV!G22+TONT20000MARS!G22+TONT20000AVRIL!G22+TONT20000MAI!G22+TONT20000JUIN!G22+TONT20000JUIL!G22+TONT20000AOUT!G22+TONT20000SEPT!G22+TONT20000OCT!G22+TONT20000NOV!H22</f>
        <v>36000</v>
      </c>
      <c r="K22" s="7">
        <f>TONT20000DEC2015!J22+TONT20000JANV!H22+TONT20000FEV!H22+TONT20000MARS!H22+TONT20000AVRIL!H22+TONT20000MAI!H22+TONT20000JUIN!H22+TONT20000JUIL!H22+TONT20000AOUT!H22+TONT20000SEPT!H22+TONT20000OCT!H22+TONT20000NOV!I22</f>
        <v>6000</v>
      </c>
      <c r="L22" s="7">
        <f>TONT20000DEC2015!K22+TONT20000JANV!I22+TONT20000FEV!I22+TONT20000MARS!I22+TONT20000AVRIL!I22+TONT20000MAI!I22+TONT20000JUIN!I22+TONT20000JUIL!I22+TONT20000AOUT!I22+TONT20000SEPT!I22+TONT20000OCT!I22+TONT20000NOV!J22</f>
        <v>12000</v>
      </c>
      <c r="M22" s="7">
        <f>TONT20000DEC2015!L22+TONT20000JANV!J22+TONT20000FEV!J22+TONT20000MARS!J22+TONT20000AVRIL!J22+TONT20000MAI!J22+TONT20000JUIN!J22+TONT20000JUIL!J22+TONT20000AOUT!J22+TONT20000SEPT!J22+TONT20000OCT!J22+TONT20000NOV!K22</f>
        <v>30000</v>
      </c>
      <c r="N22" s="7">
        <f>TONT20000DEC2015!M22+TONT20000JANV!K22+TONT20000FEV!K22+TONT20000MARS!K22+TONT20000AVRIL!K22+TONT20000MAI!K22+TONT20000JUIN!K22+TONT20000JUIL!K22+TONT20000AOUT!K22+TONT20000SEPT!K22+TONT20000OCT!K22+TONT20000NOV!L22</f>
        <v>0</v>
      </c>
      <c r="O22" s="7">
        <f>TONT20000DEC2015!N22+TONT20000JANV!L22+TONT20000FEV!L22+TONT20000MARS!L22+TONT20000AVRIL!L22+TONT20000MAI!L22+TONT20000JUIN!L22+TONT20000JUIL!L22+TONT20000AOUT!L22+TONT20000SEPT!L22+TONT20000OCT!L22+TONT20000NOV!M22</f>
        <v>156000</v>
      </c>
      <c r="P22" s="7">
        <f>TONT20000DEC2015!O22+TONT20000JANV!M22+TONT20000FEV!M22+TONT20000MARS!M22+TONT20000AVRIL!M22+TONT20000MAI!M22+TONT20000JUIN!M22+TONT20000JUIL!M22+TONT20000AOUT!M22+TONT20000SEPT!M22+TONT20000OCT!M22+TONT20000NOV!N22</f>
        <v>860000</v>
      </c>
      <c r="Q22" s="7">
        <f>TONT20000DEC2015!P22+TONT20000JANV!N22+TONT20000FEV!N22+TONT20000MARS!N22+TONT20000AVRIL!N22+TONT20000MAI!N22+TONT20000JUIN!N22+TONT20000JUIL!N22+TONT20000AOUT!N22+TONT20000SEPT!N22+TONT20000OCT!N22+TONT20000NOV!O22</f>
        <v>97800</v>
      </c>
      <c r="R22" s="7">
        <f>TONT20000DEC2015!Q22+TONT20000JANV!O22+TONT20000FEV!O22+TONT20000MARS!O22+TONT20000AVRIL!O22+TONT20000MAI!O22+TONT20000JUIN!O22+TONT20000JUIL!O22+TONT20000AOUT!O22+TONT20000SEPT!O22+TONT20000OCT!O22+TONT20000NOV!P22</f>
        <v>0</v>
      </c>
      <c r="S22" s="7">
        <f>TONT20000DEC2015!R22+TONT20000JANV!P22+TONT20000FEV!P22+TONT20000MARS!P22+TONT20000AVRIL!P22+TONT20000MAI!P22+TONT20000JUIN!P22+TONT20000JUIL!P22+TONT20000AOUT!P22+TONT20000SEPT!Q22+TONT20000OCT!P22+TONT20000NOV!Q22</f>
        <v>0</v>
      </c>
      <c r="T22" s="7">
        <f>TONT20000DEC2015!R22+TONT20000JANV!P22+TONT20000FEV!P22+TONT20000MARS!P22+TONT20000AVRIL!P22+TONT20000MAI!P22+TONT20000JUIN!P22+TONT20000JUIL!P22+TONT20000AOUT!P22+TONT20000SEPT!Q22+TONT20000OCT!P22+TONT20000NOV!Q22</f>
        <v>0</v>
      </c>
      <c r="U22" s="7"/>
    </row>
    <row r="23" spans="1:21" x14ac:dyDescent="0.25">
      <c r="A23" s="1" t="s">
        <v>28</v>
      </c>
      <c r="B23" s="1" t="str">
        <f>VLOOKUP(A23,LISTADHERENT!A$5:H$52,2,0)</f>
        <v>KOUAMOU VICTOR PEGUY</v>
      </c>
      <c r="C23" s="1">
        <f>VLOOKUP(A23,FONDSDECAISSE!A$5:C$52,3,0)</f>
        <v>390000</v>
      </c>
      <c r="D23" s="6">
        <v>36629</v>
      </c>
      <c r="E23" s="6"/>
      <c r="F23" s="6"/>
      <c r="G23" s="6"/>
      <c r="H23" s="6"/>
      <c r="I23" s="7">
        <f t="shared" si="0"/>
        <v>239000</v>
      </c>
      <c r="J23" s="7">
        <f>TONT20000DEC2015!I23+TONT20000JANV!G23+TONT20000FEV!G23+TONT20000MARS!G23+TONT20000AVRIL!G23+TONT20000MAI!G23+TONT20000JUIN!G23+TONT20000JUIL!G23+TONT20000AOUT!G23+TONT20000SEPT!G23+TONT20000OCT!G23+TONT20000NOV!H23</f>
        <v>35000</v>
      </c>
      <c r="K23" s="7">
        <f>TONT20000DEC2015!J23+TONT20000JANV!H23+TONT20000FEV!H23+TONT20000MARS!H23+TONT20000AVRIL!H23+TONT20000MAI!H23+TONT20000JUIN!H23+TONT20000JUIL!H23+TONT20000AOUT!H23+TONT20000SEPT!H23+TONT20000OCT!H23+TONT20000NOV!I23</f>
        <v>6000</v>
      </c>
      <c r="L23" s="7">
        <f>TONT20000DEC2015!K23+TONT20000JANV!I23+TONT20000FEV!I23+TONT20000MARS!I23+TONT20000AVRIL!I23+TONT20000MAI!I23+TONT20000JUIN!I23+TONT20000JUIL!I23+TONT20000AOUT!I23+TONT20000SEPT!I23+TONT20000OCT!I23+TONT20000NOV!J23</f>
        <v>12000</v>
      </c>
      <c r="M23" s="7">
        <f>TONT20000DEC2015!L23+TONT20000JANV!J23+TONT20000FEV!J23+TONT20000MARS!J23+TONT20000AVRIL!J23+TONT20000MAI!J23+TONT20000JUIN!J23+TONT20000JUIL!J23+TONT20000AOUT!J23+TONT20000SEPT!J23+TONT20000OCT!J23+TONT20000NOV!K23</f>
        <v>30000</v>
      </c>
      <c r="N23" s="7">
        <f>TONT20000DEC2015!M23+TONT20000JANV!K23+TONT20000FEV!K23+TONT20000MARS!K23+TONT20000AVRIL!K23+TONT20000MAI!K23+TONT20000JUIN!K23+TONT20000JUIL!K23+TONT20000AOUT!K23+TONT20000SEPT!K23+TONT20000OCT!K23+TONT20000NOV!L23</f>
        <v>0</v>
      </c>
      <c r="O23" s="7">
        <f>TONT20000DEC2015!N23+TONT20000JANV!L23+TONT20000FEV!L23+TONT20000MARS!L23+TONT20000AVRIL!L23+TONT20000MAI!L23+TONT20000JUIN!L23+TONT20000JUIL!L23+TONT20000AOUT!L23+TONT20000SEPT!L23+TONT20000OCT!L23+TONT20000NOV!M23</f>
        <v>156000</v>
      </c>
      <c r="P23" s="7">
        <f>TONT20000DEC2015!O23+TONT20000JANV!M23+TONT20000FEV!M23+TONT20000MARS!M23+TONT20000AVRIL!M23+TONT20000MAI!M23+TONT20000JUIN!M23+TONT20000JUIL!M23+TONT20000AOUT!M23+TONT20000SEPT!M23+TONT20000OCT!M23+TONT20000NOV!N23</f>
        <v>1800000</v>
      </c>
      <c r="Q23" s="7">
        <f>TONT20000DEC2015!P23+TONT20000JANV!N23+TONT20000FEV!N23+TONT20000MARS!N23+TONT20000AVRIL!N23+TONT20000MAI!N23+TONT20000JUIN!N23+TONT20000JUIL!N23+TONT20000AOUT!N23+TONT20000SEPT!N23+TONT20000OCT!N23+TONT20000NOV!O23</f>
        <v>128000</v>
      </c>
      <c r="R23" s="7">
        <f>TONT20000DEC2015!Q23+TONT20000JANV!O23+TONT20000FEV!O23+TONT20000MARS!O23+TONT20000AVRIL!O23+TONT20000MAI!O23+TONT20000JUIN!O23+TONT20000JUIL!O23+TONT20000AOUT!O23+TONT20000SEPT!O23+TONT20000OCT!O23+TONT20000NOV!P23</f>
        <v>1000000</v>
      </c>
      <c r="S23" s="7">
        <f>TONT20000DEC2015!R23+TONT20000JANV!P23+TONT20000FEV!P23+TONT20000MARS!P23+TONT20000AVRIL!P23+TONT20000MAI!P23+TONT20000JUIN!P23+TONT20000JUIL!P23+TONT20000AOUT!P23+TONT20000SEPT!Q23+TONT20000OCT!P23+TONT20000NOV!Q23</f>
        <v>0</v>
      </c>
      <c r="T23" s="7">
        <f>TONT20000DEC2015!R23+TONT20000JANV!P23+TONT20000FEV!P23+TONT20000MARS!P23+TONT20000AVRIL!P23+TONT20000MAI!P23+TONT20000JUIN!P23+TONT20000JUIL!P23+TONT20000AOUT!P23+TONT20000SEPT!Q23+TONT20000OCT!P23+TONT20000NOV!Q23</f>
        <v>0</v>
      </c>
      <c r="U23" s="7"/>
    </row>
    <row r="24" spans="1:21" x14ac:dyDescent="0.25">
      <c r="A24" s="1" t="s">
        <v>29</v>
      </c>
      <c r="B24" s="1" t="str">
        <f>VLOOKUP(A24,LISTADHERENT!A$5:H$52,2,0)</f>
        <v>KOUATCHO MESSACK</v>
      </c>
      <c r="C24" s="1">
        <f>VLOOKUP(A24,FONDSDECAISSE!A$5:C$52,3,0)</f>
        <v>390000</v>
      </c>
      <c r="D24" s="6">
        <v>0</v>
      </c>
      <c r="E24" s="6"/>
      <c r="F24" s="6"/>
      <c r="G24" s="6"/>
      <c r="H24" s="6"/>
      <c r="I24" s="7">
        <f t="shared" si="0"/>
        <v>240000</v>
      </c>
      <c r="J24" s="7">
        <f>TONT20000DEC2015!I24+TONT20000JANV!G24+TONT20000FEV!G24+TONT20000MARS!G24+TONT20000AVRIL!G24+TONT20000MAI!G24+TONT20000JUIN!G24+TONT20000JUIL!G24+TONT20000AOUT!G24+TONT20000SEPT!G24+TONT20000OCT!G24+TONT20000NOV!H24</f>
        <v>36000</v>
      </c>
      <c r="K24" s="7">
        <f>TONT20000DEC2015!J24+TONT20000JANV!H24+TONT20000FEV!H24+TONT20000MARS!H24+TONT20000AVRIL!H24+TONT20000MAI!H24+TONT20000JUIN!H24+TONT20000JUIL!H24+TONT20000AOUT!H24+TONT20000SEPT!H24+TONT20000OCT!H24+TONT20000NOV!I24</f>
        <v>6000</v>
      </c>
      <c r="L24" s="7">
        <f>TONT20000DEC2015!K24+TONT20000JANV!I24+TONT20000FEV!I24+TONT20000MARS!I24+TONT20000AVRIL!I24+TONT20000MAI!I24+TONT20000JUIN!I24+TONT20000JUIL!I24+TONT20000AOUT!I24+TONT20000SEPT!I24+TONT20000OCT!I24+TONT20000NOV!J24</f>
        <v>12000</v>
      </c>
      <c r="M24" s="7">
        <f>TONT20000DEC2015!L24+TONT20000JANV!J24+TONT20000FEV!J24+TONT20000MARS!J24+TONT20000AVRIL!J24+TONT20000MAI!J24+TONT20000JUIN!J24+TONT20000JUIL!J24+TONT20000AOUT!J24+TONT20000SEPT!J24+TONT20000OCT!J24+TONT20000NOV!K24</f>
        <v>30000</v>
      </c>
      <c r="N24" s="7">
        <f>TONT20000DEC2015!M24+TONT20000JANV!K24+TONT20000FEV!K24+TONT20000MARS!K24+TONT20000AVRIL!K24+TONT20000MAI!K24+TONT20000JUIN!K24+TONT20000JUIL!K24+TONT20000AOUT!K24+TONT20000SEPT!K24+TONT20000OCT!K24+TONT20000NOV!L24</f>
        <v>0</v>
      </c>
      <c r="O24" s="7">
        <f>TONT20000DEC2015!N24+TONT20000JANV!L24+TONT20000FEV!L24+TONT20000MARS!L24+TONT20000AVRIL!L24+TONT20000MAI!L24+TONT20000JUIN!L24+TONT20000JUIL!L24+TONT20000AOUT!L24+TONT20000SEPT!L24+TONT20000OCT!L24+TONT20000NOV!M24</f>
        <v>156000</v>
      </c>
      <c r="P24" s="7">
        <f>TONT20000DEC2015!O24+TONT20000JANV!M24+TONT20000FEV!M24+TONT20000MARS!M24+TONT20000AVRIL!M24+TONT20000MAI!M24+TONT20000JUIN!M24+TONT20000JUIL!M24+TONT20000AOUT!M24+TONT20000SEPT!M24+TONT20000OCT!M24+TONT20000NOV!N24</f>
        <v>1600000</v>
      </c>
      <c r="Q24" s="7">
        <f>TONT20000DEC2015!P24+TONT20000JANV!N24+TONT20000FEV!N24+TONT20000MARS!N24+TONT20000AVRIL!N24+TONT20000MAI!N24+TONT20000JUIN!N24+TONT20000JUIL!N24+TONT20000AOUT!N24+TONT20000SEPT!N24+TONT20000OCT!N24+TONT20000NOV!O24</f>
        <v>192000</v>
      </c>
      <c r="R24" s="7">
        <f>TONT20000DEC2015!Q24+TONT20000JANV!O24+TONT20000FEV!O24+TONT20000MARS!O24+TONT20000AVRIL!O24+TONT20000MAI!O24+TONT20000JUIN!O24+TONT20000JUIL!O24+TONT20000AOUT!O24+TONT20000SEPT!O24+TONT20000OCT!O24+TONT20000NOV!P24</f>
        <v>0</v>
      </c>
      <c r="S24" s="7">
        <f>TONT20000DEC2015!R24+TONT20000JANV!P24+TONT20000FEV!P24+TONT20000MARS!P24+TONT20000AVRIL!P24+TONT20000MAI!P24+TONT20000JUIN!P24+TONT20000JUIL!P24+TONT20000AOUT!P24+TONT20000SEPT!Q24+TONT20000OCT!P24+TONT20000NOV!Q24</f>
        <v>0</v>
      </c>
      <c r="T24" s="7">
        <f>TONT20000DEC2015!R24+TONT20000JANV!P24+TONT20000FEV!P24+TONT20000MARS!P24+TONT20000AVRIL!P24+TONT20000MAI!P24+TONT20000JUIN!P24+TONT20000JUIL!P24+TONT20000AOUT!P24+TONT20000SEPT!Q24+TONT20000OCT!P24+TONT20000NOV!Q24</f>
        <v>0</v>
      </c>
      <c r="U24" s="7"/>
    </row>
    <row r="25" spans="1:21" x14ac:dyDescent="0.25">
      <c r="A25" s="1" t="s">
        <v>30</v>
      </c>
      <c r="B25" s="1" t="str">
        <f>VLOOKUP(A25,LISTADHERENT!A$5:H$52,2,0)</f>
        <v>LOWE JEAN</v>
      </c>
      <c r="C25" s="1">
        <f>VLOOKUP(A25,FONDSDECAISSE!A$5:C$52,3,0)</f>
        <v>390000</v>
      </c>
      <c r="D25" s="6">
        <v>4331</v>
      </c>
      <c r="E25" s="6"/>
      <c r="F25" s="6"/>
      <c r="G25" s="6"/>
      <c r="H25" s="6"/>
      <c r="I25" s="7">
        <f t="shared" si="0"/>
        <v>240000</v>
      </c>
      <c r="J25" s="7">
        <f>TONT20000DEC2015!I25+TONT20000JANV!G25+TONT20000FEV!G25+TONT20000MARS!G25+TONT20000AVRIL!G25+TONT20000MAI!G25+TONT20000JUIN!G25+TONT20000JUIL!G25+TONT20000AOUT!G25+TONT20000SEPT!G25+TONT20000OCT!G25+TONT20000NOV!H25</f>
        <v>36000</v>
      </c>
      <c r="K25" s="7">
        <f>TONT20000DEC2015!J25+TONT20000JANV!H25+TONT20000FEV!H25+TONT20000MARS!H25+TONT20000AVRIL!H25+TONT20000MAI!H25+TONT20000JUIN!H25+TONT20000JUIL!H25+TONT20000AOUT!H25+TONT20000SEPT!H25+TONT20000OCT!H25+TONT20000NOV!I25</f>
        <v>6000</v>
      </c>
      <c r="L25" s="7">
        <f>TONT20000DEC2015!K25+TONT20000JANV!I25+TONT20000FEV!I25+TONT20000MARS!I25+TONT20000AVRIL!I25+TONT20000MAI!I25+TONT20000JUIN!I25+TONT20000JUIL!I25+TONT20000AOUT!I25+TONT20000SEPT!I25+TONT20000OCT!I25+TONT20000NOV!J25</f>
        <v>12000</v>
      </c>
      <c r="M25" s="7">
        <f>TONT20000DEC2015!L25+TONT20000JANV!J25+TONT20000FEV!J25+TONT20000MARS!J25+TONT20000AVRIL!J25+TONT20000MAI!J25+TONT20000JUIN!J25+TONT20000JUIL!J25+TONT20000AOUT!J25+TONT20000SEPT!J25+TONT20000OCT!J25+TONT20000NOV!K25</f>
        <v>30000</v>
      </c>
      <c r="N25" s="7">
        <f>TONT20000DEC2015!M25+TONT20000JANV!K25+TONT20000FEV!K25+TONT20000MARS!K25+TONT20000AVRIL!K25+TONT20000MAI!K25+TONT20000JUIN!K25+TONT20000JUIL!K25+TONT20000AOUT!K25+TONT20000SEPT!K25+TONT20000OCT!K25+TONT20000NOV!L25</f>
        <v>0</v>
      </c>
      <c r="O25" s="7">
        <f>TONT20000DEC2015!N25+TONT20000JANV!L25+TONT20000FEV!L25+TONT20000MARS!L25+TONT20000AVRIL!L25+TONT20000MAI!L25+TONT20000JUIN!L25+TONT20000JUIL!L25+TONT20000AOUT!L25+TONT20000SEPT!L25+TONT20000OCT!L25+TONT20000NOV!M25</f>
        <v>156000</v>
      </c>
      <c r="P25" s="7">
        <f>TONT20000DEC2015!O25+TONT20000JANV!M25+TONT20000FEV!M25+TONT20000MARS!M25+TONT20000AVRIL!M25+TONT20000MAI!M25+TONT20000JUIN!M25+TONT20000JUIL!M25+TONT20000AOUT!M25+TONT20000SEPT!M25+TONT20000OCT!M25+TONT20000NOV!N25</f>
        <v>240000</v>
      </c>
      <c r="Q25" s="7">
        <f>TONT20000DEC2015!P25+TONT20000JANV!N25+TONT20000FEV!N25+TONT20000MARS!N25+TONT20000AVRIL!N25+TONT20000MAI!N25+TONT20000JUIN!N25+TONT20000JUIL!N25+TONT20000AOUT!N25+TONT20000SEPT!N25+TONT20000OCT!N25+TONT20000NOV!O25</f>
        <v>7200</v>
      </c>
      <c r="R25" s="7">
        <f>TONT20000DEC2015!Q25+TONT20000JANV!O25+TONT20000FEV!O25+TONT20000MARS!O25+TONT20000AVRIL!O25+TONT20000MAI!O25+TONT20000JUIN!O25+TONT20000JUIL!O25+TONT20000AOUT!O25+TONT20000SEPT!O25+TONT20000OCT!O25+TONT20000NOV!P25</f>
        <v>160000</v>
      </c>
      <c r="S25" s="7">
        <f>TONT20000DEC2015!R25+TONT20000JANV!P25+TONT20000FEV!P25+TONT20000MARS!P25+TONT20000AVRIL!P25+TONT20000MAI!P25+TONT20000JUIN!P25+TONT20000JUIL!P25+TONT20000AOUT!P25+TONT20000SEPT!Q25+TONT20000OCT!P25+TONT20000NOV!Q25</f>
        <v>0</v>
      </c>
      <c r="T25" s="7">
        <f>TONT20000DEC2015!R25+TONT20000JANV!P25+TONT20000FEV!P25+TONT20000MARS!P25+TONT20000AVRIL!P25+TONT20000MAI!P25+TONT20000JUIN!P25+TONT20000JUIL!P25+TONT20000AOUT!P25+TONT20000SEPT!Q25+TONT20000OCT!P25+TONT20000NOV!Q25</f>
        <v>0</v>
      </c>
      <c r="U25" s="7"/>
    </row>
    <row r="26" spans="1:21" x14ac:dyDescent="0.25">
      <c r="A26" s="1" t="s">
        <v>31</v>
      </c>
      <c r="B26" s="1" t="str">
        <f>VLOOKUP(A26,LISTADHERENT!A$5:H$52,2,0)</f>
        <v>NANKAM APPOLINAIRE</v>
      </c>
      <c r="C26" s="1">
        <f>VLOOKUP(A26,FONDSDECAISSE!A$5:C$52,3,0)</f>
        <v>390000</v>
      </c>
      <c r="D26" s="6">
        <v>4411</v>
      </c>
      <c r="E26" s="6"/>
      <c r="F26" s="6"/>
      <c r="G26" s="6"/>
      <c r="H26" s="6"/>
      <c r="I26" s="7">
        <f t="shared" si="0"/>
        <v>240000</v>
      </c>
      <c r="J26" s="7">
        <f>TONT20000DEC2015!I26+TONT20000JANV!G26+TONT20000FEV!G26+TONT20000MARS!G26+TONT20000AVRIL!G26+TONT20000MAI!G26+TONT20000JUIN!G26+TONT20000JUIL!G26+TONT20000AOUT!G26+TONT20000SEPT!G26+TONT20000OCT!G26+TONT20000NOV!H26</f>
        <v>36000</v>
      </c>
      <c r="K26" s="7">
        <f>TONT20000DEC2015!J26+TONT20000JANV!H26+TONT20000FEV!H26+TONT20000MARS!H26+TONT20000AVRIL!H26+TONT20000MAI!H26+TONT20000JUIN!H26+TONT20000JUIL!H26+TONT20000AOUT!H26+TONT20000SEPT!H26+TONT20000OCT!H26+TONT20000NOV!I26</f>
        <v>6000</v>
      </c>
      <c r="L26" s="7">
        <f>TONT20000DEC2015!K26+TONT20000JANV!I26+TONT20000FEV!I26+TONT20000MARS!I26+TONT20000AVRIL!I26+TONT20000MAI!I26+TONT20000JUIN!I26+TONT20000JUIL!I26+TONT20000AOUT!I26+TONT20000SEPT!I26+TONT20000OCT!I26+TONT20000NOV!J26</f>
        <v>12000</v>
      </c>
      <c r="M26" s="7">
        <f>TONT20000DEC2015!L26+TONT20000JANV!J26+TONT20000FEV!J26+TONT20000MARS!J26+TONT20000AVRIL!J26+TONT20000MAI!J26+TONT20000JUIN!J26+TONT20000JUIL!J26+TONT20000AOUT!J26+TONT20000SEPT!J26+TONT20000OCT!J26+TONT20000NOV!K26</f>
        <v>30000</v>
      </c>
      <c r="N26" s="7">
        <f>TONT20000DEC2015!M26+TONT20000JANV!K26+TONT20000FEV!K26+TONT20000MARS!K26+TONT20000AVRIL!K26+TONT20000MAI!K26+TONT20000JUIN!K26+TONT20000JUIL!K26+TONT20000AOUT!K26+TONT20000SEPT!K26+TONT20000OCT!K26+TONT20000NOV!L26</f>
        <v>0</v>
      </c>
      <c r="O26" s="7">
        <f>TONT20000DEC2015!N26+TONT20000JANV!L26+TONT20000FEV!L26+TONT20000MARS!L26+TONT20000AVRIL!L26+TONT20000MAI!L26+TONT20000JUIN!L26+TONT20000JUIL!L26+TONT20000AOUT!L26+TONT20000SEPT!L26+TONT20000OCT!L26+TONT20000NOV!M26</f>
        <v>156000</v>
      </c>
      <c r="P26" s="7">
        <f>TONT20000DEC2015!O26+TONT20000JANV!M26+TONT20000FEV!M26+TONT20000MARS!M26+TONT20000AVRIL!M26+TONT20000MAI!M26+TONT20000JUIN!M26+TONT20000JUIL!M26+TONT20000AOUT!M26+TONT20000SEPT!M26+TONT20000OCT!M26+TONT20000NOV!N26</f>
        <v>1000000</v>
      </c>
      <c r="Q26" s="7">
        <f>TONT20000DEC2015!P26+TONT20000JANV!N26+TONT20000FEV!N26+TONT20000MARS!N26+TONT20000AVRIL!N26+TONT20000MAI!N26+TONT20000JUIN!N26+TONT20000JUIL!N26+TONT20000AOUT!N26+TONT20000SEPT!N26+TONT20000OCT!N26+TONT20000NOV!O26</f>
        <v>120000</v>
      </c>
      <c r="R26" s="7">
        <f>TONT20000DEC2015!Q26+TONT20000JANV!O26+TONT20000FEV!O26+TONT20000MARS!O26+TONT20000AVRIL!O26+TONT20000MAI!O26+TONT20000JUIN!O26+TONT20000JUIL!O26+TONT20000AOUT!O26+TONT20000SEPT!O26+TONT20000OCT!O26+TONT20000NOV!P26</f>
        <v>0</v>
      </c>
      <c r="S26" s="7">
        <f>TONT20000DEC2015!R26+TONT20000JANV!P26+TONT20000FEV!P26+TONT20000MARS!P26+TONT20000AVRIL!P26+TONT20000MAI!P26+TONT20000JUIN!P26+TONT20000JUIL!P26+TONT20000AOUT!P26+TONT20000SEPT!Q26+TONT20000OCT!P26+TONT20000NOV!Q26</f>
        <v>0</v>
      </c>
      <c r="T26" s="7">
        <f>TONT20000DEC2015!R26+TONT20000JANV!P26+TONT20000FEV!P26+TONT20000MARS!P26+TONT20000AVRIL!P26+TONT20000MAI!P26+TONT20000JUIN!P26+TONT20000JUIL!P26+TONT20000AOUT!P26+TONT20000SEPT!Q26+TONT20000OCT!P26+TONT20000NOV!Q26</f>
        <v>0</v>
      </c>
      <c r="U26" s="7"/>
    </row>
    <row r="27" spans="1:21" x14ac:dyDescent="0.25">
      <c r="A27" s="1" t="s">
        <v>32</v>
      </c>
      <c r="B27" s="1" t="str">
        <f>VLOOKUP(A27,LISTADHERENT!A$5:H$52,2,0)</f>
        <v>NDJOMO ETIENNE</v>
      </c>
      <c r="C27" s="1">
        <f>VLOOKUP(A27,FONDSDECAISSE!A$5:C$52,3,0)</f>
        <v>390000</v>
      </c>
      <c r="D27" s="6">
        <v>2060</v>
      </c>
      <c r="E27" s="6"/>
      <c r="F27" s="6"/>
      <c r="G27" s="6"/>
      <c r="H27" s="6"/>
      <c r="I27" s="7">
        <f t="shared" si="0"/>
        <v>300000</v>
      </c>
      <c r="J27" s="7">
        <f>TONT20000DEC2015!I27+TONT20000JANV!G27+TONT20000FEV!G27+TONT20000MARS!G27+TONT20000AVRIL!G27+TONT20000MAI!G27+TONT20000JUIN!G27+TONT20000JUIL!G27+TONT20000AOUT!G27+TONT20000SEPT!G27+TONT20000OCT!G27+TONT20000NOV!H27</f>
        <v>96000</v>
      </c>
      <c r="K27" s="7">
        <f>TONT20000DEC2015!J27+TONT20000JANV!H27+TONT20000FEV!H27+TONT20000MARS!H27+TONT20000AVRIL!H27+TONT20000MAI!H27+TONT20000JUIN!H27+TONT20000JUIL!H27+TONT20000AOUT!H27+TONT20000SEPT!H27+TONT20000OCT!H27+TONT20000NOV!I27</f>
        <v>6000</v>
      </c>
      <c r="L27" s="7">
        <f>TONT20000DEC2015!K27+TONT20000JANV!I27+TONT20000FEV!I27+TONT20000MARS!I27+TONT20000AVRIL!I27+TONT20000MAI!I27+TONT20000JUIN!I27+TONT20000JUIL!I27+TONT20000AOUT!I27+TONT20000SEPT!I27+TONT20000OCT!I27+TONT20000NOV!J27</f>
        <v>12000</v>
      </c>
      <c r="M27" s="7">
        <f>TONT20000DEC2015!L27+TONT20000JANV!J27+TONT20000FEV!J27+TONT20000MARS!J27+TONT20000AVRIL!J27+TONT20000MAI!J27+TONT20000JUIN!J27+TONT20000JUIL!J27+TONT20000AOUT!J27+TONT20000SEPT!J27+TONT20000OCT!J27+TONT20000NOV!K27</f>
        <v>30000</v>
      </c>
      <c r="N27" s="7">
        <f>TONT20000DEC2015!M27+TONT20000JANV!K27+TONT20000FEV!K27+TONT20000MARS!K27+TONT20000AVRIL!K27+TONT20000MAI!K27+TONT20000JUIN!K27+TONT20000JUIL!K27+TONT20000AOUT!K27+TONT20000SEPT!K27+TONT20000OCT!K27+TONT20000NOV!L27</f>
        <v>0</v>
      </c>
      <c r="O27" s="7">
        <f>TONT20000DEC2015!N27+TONT20000JANV!L27+TONT20000FEV!L27+TONT20000MARS!L27+TONT20000AVRIL!L27+TONT20000MAI!L27+TONT20000JUIN!L27+TONT20000JUIL!L27+TONT20000AOUT!L27+TONT20000SEPT!L27+TONT20000OCT!L27+TONT20000NOV!M27</f>
        <v>156000</v>
      </c>
      <c r="P27" s="7">
        <f>TONT20000DEC2015!O27+TONT20000JANV!M27+TONT20000FEV!M27+TONT20000MARS!M27+TONT20000AVRIL!M27+TONT20000MAI!M27+TONT20000JUIN!M27+TONT20000JUIL!M27+TONT20000AOUT!M27+TONT20000SEPT!M27+TONT20000OCT!M27+TONT20000NOV!N27</f>
        <v>1600000</v>
      </c>
      <c r="Q27" s="7">
        <f>TONT20000DEC2015!P27+TONT20000JANV!N27+TONT20000FEV!N27+TONT20000MARS!N27+TONT20000AVRIL!N27+TONT20000MAI!N27+TONT20000JUIN!N27+TONT20000JUIL!N27+TONT20000AOUT!N27+TONT20000SEPT!N27+TONT20000OCT!N27+TONT20000NOV!O27</f>
        <v>48000</v>
      </c>
      <c r="R27" s="7">
        <f>TONT20000DEC2015!Q27+TONT20000JANV!O27+TONT20000FEV!O27+TONT20000MARS!O27+TONT20000AVRIL!O27+TONT20000MAI!O27+TONT20000JUIN!O27+TONT20000JUIL!O27+TONT20000AOUT!O27+TONT20000SEPT!O27+TONT20000OCT!O27+TONT20000NOV!P27</f>
        <v>1200000</v>
      </c>
      <c r="S27" s="7">
        <f>TONT20000DEC2015!R27+TONT20000JANV!P27+TONT20000FEV!P27+TONT20000MARS!P27+TONT20000AVRIL!P27+TONT20000MAI!P27+TONT20000JUIN!P27+TONT20000JUIL!P27+TONT20000AOUT!P27+TONT20000SEPT!Q27+TONT20000OCT!P27+TONT20000NOV!Q27</f>
        <v>0</v>
      </c>
      <c r="T27" s="7">
        <f>TONT20000DEC2015!R27+TONT20000JANV!P27+TONT20000FEV!P27+TONT20000MARS!P27+TONT20000AVRIL!P27+TONT20000MAI!P27+TONT20000JUIN!P27+TONT20000JUIL!P27+TONT20000AOUT!P27+TONT20000SEPT!Q27+TONT20000OCT!P27+TONT20000NOV!Q27</f>
        <v>0</v>
      </c>
      <c r="U27" s="7"/>
    </row>
    <row r="28" spans="1:21" x14ac:dyDescent="0.25">
      <c r="A28" s="1" t="s">
        <v>33</v>
      </c>
      <c r="B28" s="1" t="str">
        <f>VLOOKUP(A28,LISTADHERENT!A$5:H$52,2,0)</f>
        <v>NDOMBOU JEAN CLAUDE</v>
      </c>
      <c r="C28" s="1">
        <f>VLOOKUP(A28,FONDSDECAISSE!A$5:C$52,3,0)</f>
        <v>0</v>
      </c>
      <c r="D28" s="6">
        <v>0</v>
      </c>
      <c r="E28" s="6"/>
      <c r="F28" s="6"/>
      <c r="G28" s="6"/>
      <c r="H28" s="6"/>
      <c r="I28" s="7">
        <f t="shared" si="0"/>
        <v>0</v>
      </c>
      <c r="J28" s="7">
        <f>TONT20000DEC2015!I28+TONT20000JANV!G28+TONT20000FEV!G28+TONT20000MARS!G28+TONT20000AVRIL!G28+TONT20000MAI!G28+TONT20000JUIN!G28+TONT20000JUIL!G28+TONT20000AOUT!G28+TONT20000SEPT!G28+TONT20000OCT!G28+TONT20000NOV!H28</f>
        <v>0</v>
      </c>
      <c r="K28" s="7">
        <f>TONT20000DEC2015!J28+TONT20000JANV!H28+TONT20000FEV!H28+TONT20000MARS!H28+TONT20000AVRIL!H28+TONT20000MAI!H28+TONT20000JUIN!H28+TONT20000JUIL!H28+TONT20000AOUT!H28+TONT20000SEPT!H28+TONT20000OCT!H28+TONT20000NOV!I28</f>
        <v>0</v>
      </c>
      <c r="L28" s="7">
        <f>TONT20000DEC2015!K28+TONT20000JANV!I28+TONT20000FEV!I28+TONT20000MARS!I28+TONT20000AVRIL!I28+TONT20000MAI!I28+TONT20000JUIN!I28+TONT20000JUIL!I28+TONT20000AOUT!I28+TONT20000SEPT!I28+TONT20000OCT!I28+TONT20000NOV!J28</f>
        <v>0</v>
      </c>
      <c r="M28" s="7">
        <f>TONT20000DEC2015!L28+TONT20000JANV!J28+TONT20000FEV!J28+TONT20000MARS!J28+TONT20000AVRIL!J28+TONT20000MAI!J28+TONT20000JUIN!J28+TONT20000JUIL!J28+TONT20000AOUT!J28+TONT20000SEPT!J28+TONT20000OCT!J28+TONT20000NOV!K28</f>
        <v>0</v>
      </c>
      <c r="N28" s="7">
        <f>TONT20000DEC2015!M28+TONT20000JANV!K28+TONT20000FEV!K28+TONT20000MARS!K28+TONT20000AVRIL!K28+TONT20000MAI!K28+TONT20000JUIN!K28+TONT20000JUIL!K28+TONT20000AOUT!K28+TONT20000SEPT!K28+TONT20000OCT!K28+TONT20000NOV!L28</f>
        <v>0</v>
      </c>
      <c r="O28" s="7">
        <f>TONT20000DEC2015!N28+TONT20000JANV!L28+TONT20000FEV!L28+TONT20000MARS!L28+TONT20000AVRIL!L28+TONT20000MAI!L28+TONT20000JUIN!L28+TONT20000JUIL!L28+TONT20000AOUT!L28+TONT20000SEPT!L28+TONT20000OCT!L28+TONT20000NOV!M28</f>
        <v>0</v>
      </c>
      <c r="P28" s="7">
        <f>TONT20000DEC2015!O28+TONT20000JANV!M28+TONT20000FEV!M28+TONT20000MARS!M28+TONT20000AVRIL!M28+TONT20000MAI!M28+TONT20000JUIN!M28+TONT20000JUIL!M28+TONT20000AOUT!M28+TONT20000SEPT!M28+TONT20000OCT!M28+TONT20000NOV!N28</f>
        <v>0</v>
      </c>
      <c r="Q28" s="7">
        <f>TONT20000DEC2015!P28+TONT20000JANV!N28+TONT20000FEV!N28+TONT20000MARS!N28+TONT20000AVRIL!N28+TONT20000MAI!N28+TONT20000JUIN!N28+TONT20000JUIL!N28+TONT20000AOUT!N28+TONT20000SEPT!N28+TONT20000OCT!N28+TONT20000NOV!O28</f>
        <v>0</v>
      </c>
      <c r="R28" s="7">
        <f>TONT20000DEC2015!Q28+TONT20000JANV!O28+TONT20000FEV!O28+TONT20000MARS!O28+TONT20000AVRIL!O28+TONT20000MAI!O28+TONT20000JUIN!O28+TONT20000JUIL!O28+TONT20000AOUT!O28+TONT20000SEPT!O28+TONT20000OCT!O28+TONT20000NOV!P28</f>
        <v>0</v>
      </c>
      <c r="S28" s="7">
        <f>TONT20000DEC2015!R28+TONT20000JANV!P28+TONT20000FEV!P28+TONT20000MARS!P28+TONT20000AVRIL!P28+TONT20000MAI!P28+TONT20000JUIN!P28+TONT20000JUIL!P28+TONT20000AOUT!P28+TONT20000SEPT!Q28+TONT20000OCT!P28+TONT20000NOV!Q28</f>
        <v>0</v>
      </c>
      <c r="T28" s="7">
        <f>TONT20000DEC2015!R28+TONT20000JANV!P28+TONT20000FEV!P28+TONT20000MARS!P28+TONT20000AVRIL!P28+TONT20000MAI!P28+TONT20000JUIN!P28+TONT20000JUIL!P28+TONT20000AOUT!P28+TONT20000SEPT!Q28+TONT20000OCT!P28+TONT20000NOV!Q28</f>
        <v>0</v>
      </c>
      <c r="U28" s="7"/>
    </row>
    <row r="29" spans="1:21" x14ac:dyDescent="0.25">
      <c r="A29" s="1" t="s">
        <v>34</v>
      </c>
      <c r="B29" s="1" t="str">
        <f>VLOOKUP(A29,LISTADHERENT!A$5:H$52,2,0)</f>
        <v>NGONDIEP CLAUDE</v>
      </c>
      <c r="C29" s="1">
        <f>VLOOKUP(A29,FONDSDECAISSE!A$5:C$52,3,0)</f>
        <v>390000</v>
      </c>
      <c r="D29" s="6">
        <v>179574</v>
      </c>
      <c r="E29" s="6"/>
      <c r="F29" s="6"/>
      <c r="G29" s="6"/>
      <c r="H29" s="6"/>
      <c r="I29" s="7">
        <f t="shared" si="0"/>
        <v>240000</v>
      </c>
      <c r="J29" s="7">
        <f>TONT20000DEC2015!I29+TONT20000JANV!G29+TONT20000FEV!G29+TONT20000MARS!G29+TONT20000AVRIL!G29+TONT20000MAI!G29+TONT20000JUIN!G29+TONT20000JUIL!G29+TONT20000AOUT!G29+TONT20000SEPT!G29+TONT20000OCT!G29+TONT20000NOV!H29</f>
        <v>36000</v>
      </c>
      <c r="K29" s="7">
        <f>TONT20000DEC2015!J29+TONT20000JANV!H29+TONT20000FEV!H29+TONT20000MARS!H29+TONT20000AVRIL!H29+TONT20000MAI!H29+TONT20000JUIN!H29+TONT20000JUIL!H29+TONT20000AOUT!H29+TONT20000SEPT!H29+TONT20000OCT!H29+TONT20000NOV!I29</f>
        <v>6000</v>
      </c>
      <c r="L29" s="7">
        <f>TONT20000DEC2015!K29+TONT20000JANV!I29+TONT20000FEV!I29+TONT20000MARS!I29+TONT20000AVRIL!I29+TONT20000MAI!I29+TONT20000JUIN!I29+TONT20000JUIL!I29+TONT20000AOUT!I29+TONT20000SEPT!I29+TONT20000OCT!I29+TONT20000NOV!J29</f>
        <v>12000</v>
      </c>
      <c r="M29" s="7">
        <f>TONT20000DEC2015!L29+TONT20000JANV!J29+TONT20000FEV!J29+TONT20000MARS!J29+TONT20000AVRIL!J29+TONT20000MAI!J29+TONT20000JUIN!J29+TONT20000JUIL!J29+TONT20000AOUT!J29+TONT20000SEPT!J29+TONT20000OCT!J29+TONT20000NOV!K29</f>
        <v>30000</v>
      </c>
      <c r="N29" s="7">
        <f>TONT20000DEC2015!M29+TONT20000JANV!K29+TONT20000FEV!K29+TONT20000MARS!K29+TONT20000AVRIL!K29+TONT20000MAI!K29+TONT20000JUIN!K29+TONT20000JUIL!K29+TONT20000AOUT!K29+TONT20000SEPT!K29+TONT20000OCT!K29+TONT20000NOV!L29</f>
        <v>0</v>
      </c>
      <c r="O29" s="7">
        <f>TONT20000DEC2015!N29+TONT20000JANV!L29+TONT20000FEV!L29+TONT20000MARS!L29+TONT20000AVRIL!L29+TONT20000MAI!L29+TONT20000JUIN!L29+TONT20000JUIL!L29+TONT20000AOUT!L29+TONT20000SEPT!L29+TONT20000OCT!L29+TONT20000NOV!M29</f>
        <v>156000</v>
      </c>
      <c r="P29" s="7">
        <f>TONT20000DEC2015!O29+TONT20000JANV!M29+TONT20000FEV!M29+TONT20000MARS!M29+TONT20000AVRIL!M29+TONT20000MAI!M29+TONT20000JUIN!M29+TONT20000JUIL!M29+TONT20000AOUT!M29+TONT20000SEPT!M29+TONT20000OCT!M29+TONT20000NOV!N29</f>
        <v>0</v>
      </c>
      <c r="Q29" s="7">
        <f>TONT20000DEC2015!P29+TONT20000JANV!N29+TONT20000FEV!N29+TONT20000MARS!N29+TONT20000AVRIL!N29+TONT20000MAI!N29+TONT20000JUIN!N29+TONT20000JUIL!N29+TONT20000AOUT!N29+TONT20000SEPT!N29+TONT20000OCT!N29+TONT20000NOV!O29</f>
        <v>0</v>
      </c>
      <c r="R29" s="7">
        <f>TONT20000DEC2015!Q29+TONT20000JANV!O29+TONT20000FEV!O29+TONT20000MARS!O29+TONT20000AVRIL!O29+TONT20000MAI!O29+TONT20000JUIN!O29+TONT20000JUIL!O29+TONT20000AOUT!O29+TONT20000SEPT!O29+TONT20000OCT!O29+TONT20000NOV!P29</f>
        <v>0</v>
      </c>
      <c r="S29" s="7">
        <f>TONT20000DEC2015!R29+TONT20000JANV!P29+TONT20000FEV!P29+TONT20000MARS!P29+TONT20000AVRIL!P29+TONT20000MAI!P29+TONT20000JUIN!P29+TONT20000JUIL!P29+TONT20000AOUT!P29+TONT20000SEPT!Q29+TONT20000OCT!P29+TONT20000NOV!Q29</f>
        <v>0</v>
      </c>
      <c r="T29" s="7">
        <f>TONT20000DEC2015!R29+TONT20000JANV!P29+TONT20000FEV!P29+TONT20000MARS!P29+TONT20000AVRIL!P29+TONT20000MAI!P29+TONT20000JUIN!P29+TONT20000JUIL!P29+TONT20000AOUT!P29+TONT20000SEPT!Q29+TONT20000OCT!P29+TONT20000NOV!Q29</f>
        <v>0</v>
      </c>
      <c r="U29" s="7"/>
    </row>
    <row r="30" spans="1:21" x14ac:dyDescent="0.25">
      <c r="A30" s="1" t="s">
        <v>35</v>
      </c>
      <c r="B30" s="1" t="str">
        <f>VLOOKUP(A30,LISTADHERENT!A$5:H$52,2,0)</f>
        <v>NGONGANG JEAN THEODORE</v>
      </c>
      <c r="C30" s="1">
        <f>VLOOKUP(A30,FONDSDECAISSE!A$5:C$52,3,0)</f>
        <v>0</v>
      </c>
      <c r="D30" s="6">
        <v>0</v>
      </c>
      <c r="E30" s="6"/>
      <c r="F30" s="6"/>
      <c r="G30" s="6"/>
      <c r="H30" s="6"/>
      <c r="I30" s="7">
        <f t="shared" si="0"/>
        <v>240000</v>
      </c>
      <c r="J30" s="7">
        <f>TONT20000DEC2015!I30+TONT20000JANV!G30+TONT20000FEV!G30+TONT20000MARS!G30+TONT20000AVRIL!G30+TONT20000MAI!G30+TONT20000JUIN!G30+TONT20000JUIL!G30+TONT20000AOUT!G30+TONT20000SEPT!G30+TONT20000OCT!G30+TONT20000NOV!H30</f>
        <v>36000</v>
      </c>
      <c r="K30" s="7">
        <f>TONT20000DEC2015!J30+TONT20000JANV!H30+TONT20000FEV!H30+TONT20000MARS!H30+TONT20000AVRIL!H30+TONT20000MAI!H30+TONT20000JUIN!H30+TONT20000JUIL!H30+TONT20000AOUT!H30+TONT20000SEPT!H30+TONT20000OCT!H30+TONT20000NOV!I30</f>
        <v>6000</v>
      </c>
      <c r="L30" s="7">
        <f>TONT20000DEC2015!K30+TONT20000JANV!I30+TONT20000FEV!I30+TONT20000MARS!I30+TONT20000AVRIL!I30+TONT20000MAI!I30+TONT20000JUIN!I30+TONT20000JUIL!I30+TONT20000AOUT!I30+TONT20000SEPT!I30+TONT20000OCT!I30+TONT20000NOV!J30</f>
        <v>12000</v>
      </c>
      <c r="M30" s="7">
        <f>TONT20000DEC2015!L30+TONT20000JANV!J30+TONT20000FEV!J30+TONT20000MARS!J30+TONT20000AVRIL!J30+TONT20000MAI!J30+TONT20000JUIN!J30+TONT20000JUIL!J30+TONT20000AOUT!J30+TONT20000SEPT!J30+TONT20000OCT!J30+TONT20000NOV!K30</f>
        <v>30000</v>
      </c>
      <c r="N30" s="7">
        <f>TONT20000DEC2015!M30+TONT20000JANV!K30+TONT20000FEV!K30+TONT20000MARS!K30+TONT20000AVRIL!K30+TONT20000MAI!K30+TONT20000JUIN!K30+TONT20000JUIL!K30+TONT20000AOUT!K30+TONT20000SEPT!K30+TONT20000OCT!K30+TONT20000NOV!L30</f>
        <v>0</v>
      </c>
      <c r="O30" s="7">
        <f>TONT20000DEC2015!N30+TONT20000JANV!L30+TONT20000FEV!L30+TONT20000MARS!L30+TONT20000AVRIL!L30+TONT20000MAI!L30+TONT20000JUIN!L30+TONT20000JUIL!L30+TONT20000AOUT!L30+TONT20000SEPT!L30+TONT20000OCT!L30+TONT20000NOV!M30</f>
        <v>156000</v>
      </c>
      <c r="P30" s="7">
        <f>TONT20000DEC2015!O30+TONT20000JANV!M30+TONT20000FEV!M30+TONT20000MARS!M30+TONT20000AVRIL!M30+TONT20000MAI!M30+TONT20000JUIN!M30+TONT20000JUIL!M30+TONT20000AOUT!M30+TONT20000SEPT!M30+TONT20000OCT!M30+TONT20000NOV!N30</f>
        <v>0</v>
      </c>
      <c r="Q30" s="7">
        <f>TONT20000DEC2015!P30+TONT20000JANV!N30+TONT20000FEV!N30+TONT20000MARS!N30+TONT20000AVRIL!N30+TONT20000MAI!N30+TONT20000JUIN!N30+TONT20000JUIL!N30+TONT20000AOUT!N30+TONT20000SEPT!N30+TONT20000OCT!N30+TONT20000NOV!O30</f>
        <v>0</v>
      </c>
      <c r="R30" s="7">
        <f>TONT20000DEC2015!Q30+TONT20000JANV!O30+TONT20000FEV!O30+TONT20000MARS!O30+TONT20000AVRIL!O30+TONT20000MAI!O30+TONT20000JUIN!O30+TONT20000JUIL!O30+TONT20000AOUT!O30+TONT20000SEPT!O30+TONT20000OCT!O30+TONT20000NOV!P30</f>
        <v>0</v>
      </c>
      <c r="S30" s="7">
        <f>TONT20000DEC2015!R30+TONT20000JANV!P30+TONT20000FEV!P30+TONT20000MARS!P30+TONT20000AVRIL!P30+TONT20000MAI!P30+TONT20000JUIN!P30+TONT20000JUIL!P30+TONT20000AOUT!P30+TONT20000SEPT!Q30+TONT20000OCT!P30+TONT20000NOV!Q30</f>
        <v>0</v>
      </c>
      <c r="T30" s="7">
        <f>TONT20000DEC2015!R30+TONT20000JANV!P30+TONT20000FEV!P30+TONT20000MARS!P30+TONT20000AVRIL!P30+TONT20000MAI!P30+TONT20000JUIN!P30+TONT20000JUIL!P30+TONT20000AOUT!P30+TONT20000SEPT!Q30+TONT20000OCT!P30+TONT20000NOV!Q30</f>
        <v>0</v>
      </c>
      <c r="U30" s="7"/>
    </row>
    <row r="31" spans="1:21" x14ac:dyDescent="0.25">
      <c r="A31" s="1" t="s">
        <v>36</v>
      </c>
      <c r="B31" s="1" t="str">
        <f>VLOOKUP(A31,LISTADHERENT!A$5:H$52,2,0)</f>
        <v>NGUIEMEGNI MATHIEU BLAISE</v>
      </c>
      <c r="C31" s="1">
        <f>VLOOKUP(A31,FONDSDECAISSE!A$5:C$52,3,0)</f>
        <v>14889</v>
      </c>
      <c r="D31" s="6">
        <v>0</v>
      </c>
      <c r="E31" s="6"/>
      <c r="F31" s="6"/>
      <c r="G31" s="6"/>
      <c r="H31" s="6"/>
      <c r="I31" s="7">
        <f t="shared" si="0"/>
        <v>860000</v>
      </c>
      <c r="J31" s="7">
        <f>TONT20000DEC2015!I31+TONT20000JANV!G31+TONT20000FEV!G31+TONT20000MARS!G31+TONT20000AVRIL!G31+TONT20000MAI!G31+TONT20000JUIN!G31+TONT20000JUIL!G31+TONT20000AOUT!G31+TONT20000SEPT!G31+TONT20000OCT!G31+TONT20000NOV!H31</f>
        <v>555945</v>
      </c>
      <c r="K31" s="7">
        <f>TONT20000DEC2015!J31+TONT20000JANV!H31+TONT20000FEV!H31+TONT20000MARS!H31+TONT20000AVRIL!H31+TONT20000MAI!H31+TONT20000JUIN!H31+TONT20000JUIL!H31+TONT20000AOUT!H31+TONT20000SEPT!H31+TONT20000OCT!H31+TONT20000NOV!I31</f>
        <v>6000</v>
      </c>
      <c r="L31" s="7">
        <f>TONT20000DEC2015!K31+TONT20000JANV!I31+TONT20000FEV!I31+TONT20000MARS!I31+TONT20000AVRIL!I31+TONT20000MAI!I31+TONT20000JUIN!I31+TONT20000JUIL!I31+TONT20000AOUT!I31+TONT20000SEPT!I31+TONT20000OCT!I31+TONT20000NOV!J31</f>
        <v>12000</v>
      </c>
      <c r="M31" s="7">
        <f>TONT20000DEC2015!L31+TONT20000JANV!J31+TONT20000FEV!J31+TONT20000MARS!J31+TONT20000AVRIL!J31+TONT20000MAI!J31+TONT20000JUIN!J31+TONT20000JUIL!J31+TONT20000AOUT!J31+TONT20000SEPT!J31+TONT20000OCT!J31+TONT20000NOV!K31</f>
        <v>30000</v>
      </c>
      <c r="N31" s="7">
        <f>TONT20000DEC2015!M31+TONT20000JANV!K31+TONT20000FEV!K31+TONT20000MARS!K31+TONT20000AVRIL!K31+TONT20000MAI!K31+TONT20000JUIN!K31+TONT20000JUIL!K31+TONT20000AOUT!K31+TONT20000SEPT!K31+TONT20000OCT!K31+TONT20000NOV!L31</f>
        <v>50000</v>
      </c>
      <c r="O31" s="7">
        <f>TONT20000DEC2015!N31+TONT20000JANV!L31+TONT20000FEV!L31+TONT20000MARS!L31+TONT20000AVRIL!L31+TONT20000MAI!L31+TONT20000JUIN!L31+TONT20000JUIL!L31+TONT20000AOUT!L31+TONT20000SEPT!L31+TONT20000OCT!L31+TONT20000NOV!M31</f>
        <v>156000</v>
      </c>
      <c r="P31" s="7">
        <f>TONT20000DEC2015!O31+TONT20000JANV!M31+TONT20000FEV!M31+TONT20000MARS!M31+TONT20000AVRIL!M31+TONT20000MAI!M31+TONT20000JUIN!M31+TONT20000JUIL!M31+TONT20000AOUT!M31+TONT20000SEPT!M31+TONT20000OCT!M31+TONT20000NOV!N31</f>
        <v>0</v>
      </c>
      <c r="Q31" s="7">
        <f>TONT20000DEC2015!P31+TONT20000JANV!N31+TONT20000FEV!N31+TONT20000MARS!N31+TONT20000AVRIL!N31+TONT20000MAI!N31+TONT20000JUIN!N31+TONT20000JUIL!N31+TONT20000AOUT!N31+TONT20000SEPT!N31+TONT20000OCT!N31+TONT20000NOV!O31</f>
        <v>0</v>
      </c>
      <c r="R31" s="7">
        <f>TONT20000DEC2015!Q31+TONT20000JANV!O31+TONT20000FEV!O31+TONT20000MARS!O31+TONT20000AVRIL!O31+TONT20000MAI!O31+TONT20000JUIN!O31+TONT20000JUIL!O31+TONT20000AOUT!O31+TONT20000SEPT!O31+TONT20000OCT!O31+TONT20000NOV!P31</f>
        <v>0</v>
      </c>
      <c r="S31" s="7">
        <f>TONT20000DEC2015!R31+TONT20000JANV!P31+TONT20000FEV!P31+TONT20000MARS!P31+TONT20000AVRIL!P31+TONT20000MAI!P31+TONT20000JUIN!P31+TONT20000JUIL!P31+TONT20000AOUT!P31+TONT20000SEPT!Q31+TONT20000OCT!P31+TONT20000NOV!Q31</f>
        <v>50055</v>
      </c>
      <c r="T31" s="7">
        <f>TONT20000DEC2015!R31+TONT20000JANV!P31+TONT20000FEV!P31+TONT20000MARS!P31+TONT20000AVRIL!P31+TONT20000MAI!P31+TONT20000JUIN!P31+TONT20000JUIL!P31+TONT20000AOUT!P31+TONT20000SEPT!Q31+TONT20000OCT!P31+TONT20000NOV!Q31</f>
        <v>50055</v>
      </c>
      <c r="U31" s="7"/>
    </row>
    <row r="32" spans="1:21" x14ac:dyDescent="0.25">
      <c r="A32" s="1" t="s">
        <v>37</v>
      </c>
      <c r="B32" s="1" t="str">
        <f>VLOOKUP(A32,LISTADHERENT!A$5:H$52,2,0)</f>
        <v>NJEPDJIO MBOUKAM DELUXE</v>
      </c>
      <c r="C32" s="1">
        <f>VLOOKUP(A32,FONDSDECAISSE!A$5:C$52,3,0)</f>
        <v>390000</v>
      </c>
      <c r="D32" s="6">
        <v>1734</v>
      </c>
      <c r="E32" s="6"/>
      <c r="F32" s="6"/>
      <c r="G32" s="6"/>
      <c r="H32" s="6"/>
      <c r="I32" s="7">
        <f t="shared" si="0"/>
        <v>256000</v>
      </c>
      <c r="J32" s="7">
        <f>TONT20000DEC2015!I32+TONT20000JANV!G32+TONT20000FEV!G32+TONT20000MARS!G32+TONT20000AVRIL!G32+TONT20000MAI!G32+TONT20000JUIN!G32+TONT20000JUIL!G32+TONT20000AOUT!G32+TONT20000SEPT!G32+TONT20000OCT!G32+TONT20000NOV!H32</f>
        <v>52000</v>
      </c>
      <c r="K32" s="7">
        <f>TONT20000DEC2015!J32+TONT20000JANV!H32+TONT20000FEV!H32+TONT20000MARS!H32+TONT20000AVRIL!H32+TONT20000MAI!H32+TONT20000JUIN!H32+TONT20000JUIL!H32+TONT20000AOUT!H32+TONT20000SEPT!H32+TONT20000OCT!H32+TONT20000NOV!I32</f>
        <v>6000</v>
      </c>
      <c r="L32" s="7">
        <f>TONT20000DEC2015!K32+TONT20000JANV!I32+TONT20000FEV!I32+TONT20000MARS!I32+TONT20000AVRIL!I32+TONT20000MAI!I32+TONT20000JUIN!I32+TONT20000JUIL!I32+TONT20000AOUT!I32+TONT20000SEPT!I32+TONT20000OCT!I32+TONT20000NOV!J32</f>
        <v>12000</v>
      </c>
      <c r="M32" s="7">
        <f>TONT20000DEC2015!L32+TONT20000JANV!J32+TONT20000FEV!J32+TONT20000MARS!J32+TONT20000AVRIL!J32+TONT20000MAI!J32+TONT20000JUIN!J32+TONT20000JUIL!J32+TONT20000AOUT!J32+TONT20000SEPT!J32+TONT20000OCT!J32+TONT20000NOV!K32</f>
        <v>30000</v>
      </c>
      <c r="N32" s="7">
        <f>TONT20000DEC2015!M32+TONT20000JANV!K32+TONT20000FEV!K32+TONT20000MARS!K32+TONT20000AVRIL!K32+TONT20000MAI!K32+TONT20000JUIN!K32+TONT20000JUIL!K32+TONT20000AOUT!K32+TONT20000SEPT!K32+TONT20000OCT!K32+TONT20000NOV!L32</f>
        <v>0</v>
      </c>
      <c r="O32" s="7">
        <f>TONT20000DEC2015!N32+TONT20000JANV!L32+TONT20000FEV!L32+TONT20000MARS!L32+TONT20000AVRIL!L32+TONT20000MAI!L32+TONT20000JUIN!L32+TONT20000JUIL!L32+TONT20000AOUT!L32+TONT20000SEPT!L32+TONT20000OCT!L32+TONT20000NOV!M32</f>
        <v>156000</v>
      </c>
      <c r="P32" s="7">
        <f>TONT20000DEC2015!O32+TONT20000JANV!M32+TONT20000FEV!M32+TONT20000MARS!M32+TONT20000AVRIL!M32+TONT20000MAI!M32+TONT20000JUIN!M32+TONT20000JUIL!M32+TONT20000AOUT!M32+TONT20000SEPT!M32+TONT20000OCT!M32+TONT20000NOV!N32</f>
        <v>2000000</v>
      </c>
      <c r="Q32" s="7">
        <f>TONT20000DEC2015!P32+TONT20000JANV!N32+TONT20000FEV!N32+TONT20000MARS!N32+TONT20000AVRIL!N32+TONT20000MAI!N32+TONT20000JUIN!N32+TONT20000JUIL!N32+TONT20000AOUT!N32+TONT20000SEPT!N32+TONT20000OCT!N32+TONT20000NOV!O32</f>
        <v>150000</v>
      </c>
      <c r="R32" s="7">
        <f>TONT20000DEC2015!Q32+TONT20000JANV!O32+TONT20000FEV!O32+TONT20000MARS!O32+TONT20000AVRIL!O32+TONT20000MAI!O32+TONT20000JUIN!O32+TONT20000JUIL!O32+TONT20000AOUT!O32+TONT20000SEPT!O32+TONT20000OCT!O32+TONT20000NOV!P32</f>
        <v>1000000</v>
      </c>
      <c r="S32" s="7">
        <f>TONT20000DEC2015!R32+TONT20000JANV!P32+TONT20000FEV!P32+TONT20000MARS!P32+TONT20000AVRIL!P32+TONT20000MAI!P32+TONT20000JUIN!P32+TONT20000JUIL!P32+TONT20000AOUT!P32+TONT20000SEPT!Q32+TONT20000OCT!P32+TONT20000NOV!Q32</f>
        <v>0</v>
      </c>
      <c r="T32" s="7">
        <f>TONT20000DEC2015!R32+TONT20000JANV!P32+TONT20000FEV!P32+TONT20000MARS!P32+TONT20000AVRIL!P32+TONT20000MAI!P32+TONT20000JUIN!P32+TONT20000JUIL!P32+TONT20000AOUT!P32+TONT20000SEPT!Q32+TONT20000OCT!P32+TONT20000NOV!Q32</f>
        <v>0</v>
      </c>
      <c r="U32" s="7"/>
    </row>
    <row r="33" spans="1:21" ht="17.25" customHeight="1" x14ac:dyDescent="0.25">
      <c r="A33" s="1" t="s">
        <v>38</v>
      </c>
      <c r="B33" s="1" t="str">
        <f>VLOOKUP(A33,LISTADHERENT!A$5:H$52,2,0)</f>
        <v>NKAMGANG JUSTIN DEJOLIE</v>
      </c>
      <c r="C33" s="1">
        <f>VLOOKUP(A33,FONDSDECAISSE!A$5:C$52,3,0)</f>
        <v>0</v>
      </c>
      <c r="D33" s="6">
        <v>0</v>
      </c>
      <c r="E33" s="6"/>
      <c r="F33" s="6"/>
      <c r="G33" s="6"/>
      <c r="H33" s="6"/>
      <c r="I33" s="7">
        <f t="shared" si="0"/>
        <v>648800</v>
      </c>
      <c r="J33" s="7">
        <f>TONT20000DEC2015!I33+TONT20000JANV!G33+TONT20000FEV!G33+TONT20000MARS!G33+TONT20000AVRIL!G33+TONT20000MAI!G33+TONT20000JUIN!G33+TONT20000JUIL!G33+TONT20000AOUT!G33+TONT20000SEPT!G33+TONT20000OCT!G33+TONT20000NOV!H33</f>
        <v>444800</v>
      </c>
      <c r="K33" s="7">
        <f>TONT20000DEC2015!J33+TONT20000JANV!H33+TONT20000FEV!H33+TONT20000MARS!H33+TONT20000AVRIL!H33+TONT20000MAI!H33+TONT20000JUIN!H33+TONT20000JUIL!H33+TONT20000AOUT!H33+TONT20000SEPT!H33+TONT20000OCT!H33+TONT20000NOV!I33</f>
        <v>6000</v>
      </c>
      <c r="L33" s="7">
        <f>TONT20000DEC2015!K33+TONT20000JANV!I33+TONT20000FEV!I33+TONT20000MARS!I33+TONT20000AVRIL!I33+TONT20000MAI!I33+TONT20000JUIN!I33+TONT20000JUIL!I33+TONT20000AOUT!I33+TONT20000SEPT!I33+TONT20000OCT!I33+TONT20000NOV!J33</f>
        <v>12000</v>
      </c>
      <c r="M33" s="7">
        <f>TONT20000DEC2015!L33+TONT20000JANV!J33+TONT20000FEV!J33+TONT20000MARS!J33+TONT20000AVRIL!J33+TONT20000MAI!J33+TONT20000JUIN!J33+TONT20000JUIL!J33+TONT20000AOUT!J33+TONT20000SEPT!J33+TONT20000OCT!J33+TONT20000NOV!K33</f>
        <v>30000</v>
      </c>
      <c r="N33" s="7">
        <f>TONT20000DEC2015!M33+TONT20000JANV!K33+TONT20000FEV!K33+TONT20000MARS!K33+TONT20000AVRIL!K33+TONT20000MAI!K33+TONT20000JUIN!K33+TONT20000JUIL!K33+TONT20000AOUT!K33+TONT20000SEPT!K33+TONT20000OCT!K33+TONT20000NOV!L33</f>
        <v>0</v>
      </c>
      <c r="O33" s="7">
        <f>TONT20000DEC2015!N33+TONT20000JANV!L33+TONT20000FEV!L33+TONT20000MARS!L33+TONT20000AVRIL!L33+TONT20000MAI!L33+TONT20000JUIN!L33+TONT20000JUIL!L33+TONT20000AOUT!L33+TONT20000SEPT!L33+TONT20000OCT!L33+TONT20000NOV!M33</f>
        <v>156000</v>
      </c>
      <c r="P33" s="7">
        <f>TONT20000DEC2015!O33+TONT20000JANV!M33+TONT20000FEV!M33+TONT20000MARS!M33+TONT20000AVRIL!M33+TONT20000MAI!M33+TONT20000JUIN!M33+TONT20000JUIL!M33+TONT20000AOUT!M33+TONT20000SEPT!M33+TONT20000OCT!M33+TONT20000NOV!N33</f>
        <v>1000000</v>
      </c>
      <c r="Q33" s="7">
        <f>TONT20000DEC2015!P33+TONT20000JANV!N33+TONT20000FEV!N33+TONT20000MARS!N33+TONT20000AVRIL!N33+TONT20000MAI!N33+TONT20000JUIN!N33+TONT20000JUIL!N33+TONT20000AOUT!N33+TONT20000SEPT!N33+TONT20000OCT!N33+TONT20000NOV!O33</f>
        <v>120000</v>
      </c>
      <c r="R33" s="7">
        <f>TONT20000DEC2015!Q33+TONT20000JANV!O33+TONT20000FEV!O33+TONT20000MARS!O33+TONT20000AVRIL!O33+TONT20000MAI!O33+TONT20000JUIN!O33+TONT20000JUIL!O33+TONT20000AOUT!O33+TONT20000SEPT!O33+TONT20000OCT!O33+TONT20000NOV!P33</f>
        <v>0</v>
      </c>
      <c r="S33" s="7">
        <f>TONT20000DEC2015!R33+TONT20000JANV!P33+TONT20000FEV!P33+TONT20000MARS!P33+TONT20000AVRIL!P33+TONT20000MAI!P33+TONT20000JUIN!P33+TONT20000JUIL!P33+TONT20000AOUT!P33+TONT20000SEPT!Q33+TONT20000OCT!P33+TONT20000NOV!Q33</f>
        <v>0</v>
      </c>
      <c r="T33" s="7">
        <f>TONT20000DEC2015!R33+TONT20000JANV!P33+TONT20000FEV!P33+TONT20000MARS!P33+TONT20000AVRIL!P33+TONT20000MAI!P33+TONT20000JUIN!P33+TONT20000JUIL!P33+TONT20000AOUT!P33+TONT20000SEPT!Q33+TONT20000OCT!P33+TONT20000NOV!Q33</f>
        <v>0</v>
      </c>
      <c r="U33" s="7"/>
    </row>
    <row r="34" spans="1:21" x14ac:dyDescent="0.25">
      <c r="A34" s="1" t="s">
        <v>39</v>
      </c>
      <c r="B34" s="1" t="str">
        <f>VLOOKUP(A34,LISTADHERENT!A$5:H$52,2,0)</f>
        <v>NKEPSEU DIEUDONNE</v>
      </c>
      <c r="C34" s="1">
        <f>VLOOKUP(A34,FONDSDECAISSE!A$5:C$52,3,0)</f>
        <v>390000</v>
      </c>
      <c r="D34" s="6">
        <v>8739</v>
      </c>
      <c r="E34" s="6"/>
      <c r="F34" s="6"/>
      <c r="G34" s="6"/>
      <c r="H34" s="6"/>
      <c r="I34" s="7">
        <f t="shared" si="0"/>
        <v>350000</v>
      </c>
      <c r="J34" s="7">
        <f>TONT20000DEC2015!I34+TONT20000JANV!G34+TONT20000FEV!G34+TONT20000MARS!G34+TONT20000AVRIL!G34+TONT20000MAI!G34+TONT20000JUIN!G34+TONT20000JUIL!G34+TONT20000AOUT!G34+TONT20000SEPT!G34+TONT20000OCT!G34+TONT20000NOV!H34</f>
        <v>96000</v>
      </c>
      <c r="K34" s="7">
        <f>TONT20000DEC2015!J34+TONT20000JANV!H34+TONT20000FEV!H34+TONT20000MARS!H34+TONT20000AVRIL!H34+TONT20000MAI!H34+TONT20000JUIN!H34+TONT20000JUIL!H34+TONT20000AOUT!H34+TONT20000SEPT!H34+TONT20000OCT!H34+TONT20000NOV!I34</f>
        <v>6000</v>
      </c>
      <c r="L34" s="7">
        <f>TONT20000DEC2015!K34+TONT20000JANV!I34+TONT20000FEV!I34+TONT20000MARS!I34+TONT20000AVRIL!I34+TONT20000MAI!I34+TONT20000JUIN!I34+TONT20000JUIL!I34+TONT20000AOUT!I34+TONT20000SEPT!I34+TONT20000OCT!I34+TONT20000NOV!J34</f>
        <v>12000</v>
      </c>
      <c r="M34" s="7">
        <f>TONT20000DEC2015!L34+TONT20000JANV!J34+TONT20000FEV!J34+TONT20000MARS!J34+TONT20000AVRIL!J34+TONT20000MAI!J34+TONT20000JUIN!J34+TONT20000JUIL!J34+TONT20000AOUT!J34+TONT20000SEPT!J34+TONT20000OCT!J34+TONT20000NOV!K34</f>
        <v>30000</v>
      </c>
      <c r="N34" s="7">
        <f>TONT20000DEC2015!M34+TONT20000JANV!K34+TONT20000FEV!K34+TONT20000MARS!K34+TONT20000AVRIL!K34+TONT20000MAI!K34+TONT20000JUIN!K34+TONT20000JUIL!K34+TONT20000AOUT!K34+TONT20000SEPT!K34+TONT20000OCT!K34+TONT20000NOV!L34</f>
        <v>50000</v>
      </c>
      <c r="O34" s="7">
        <f>TONT20000DEC2015!N34+TONT20000JANV!L34+TONT20000FEV!L34+TONT20000MARS!L34+TONT20000AVRIL!L34+TONT20000MAI!L34+TONT20000JUIN!L34+TONT20000JUIL!L34+TONT20000AOUT!L34+TONT20000SEPT!L34+TONT20000OCT!L34+TONT20000NOV!M34</f>
        <v>156000</v>
      </c>
      <c r="P34" s="7">
        <f>TONT20000DEC2015!O34+TONT20000JANV!M34+TONT20000FEV!M34+TONT20000MARS!M34+TONT20000AVRIL!M34+TONT20000MAI!M34+TONT20000JUIN!M34+TONT20000JUIL!M34+TONT20000AOUT!M34+TONT20000SEPT!M34+TONT20000OCT!M34+TONT20000NOV!N34</f>
        <v>600000</v>
      </c>
      <c r="Q34" s="7">
        <f>TONT20000DEC2015!P34+TONT20000JANV!N34+TONT20000FEV!N34+TONT20000MARS!N34+TONT20000AVRIL!N34+TONT20000MAI!N34+TONT20000JUIN!N34+TONT20000JUIL!N34+TONT20000AOUT!N34+TONT20000SEPT!N34+TONT20000OCT!N34+TONT20000NOV!O34</f>
        <v>72000</v>
      </c>
      <c r="R34" s="7">
        <f>TONT20000DEC2015!Q34+TONT20000JANV!O34+TONT20000FEV!O34+TONT20000MARS!O34+TONT20000AVRIL!O34+TONT20000MAI!O34+TONT20000JUIN!O34+TONT20000JUIL!O34+TONT20000AOUT!O34+TONT20000SEPT!O34+TONT20000OCT!O34+TONT20000NOV!P34</f>
        <v>0</v>
      </c>
      <c r="S34" s="7">
        <f>TONT20000DEC2015!R34+TONT20000JANV!P34+TONT20000FEV!P34+TONT20000MARS!P34+TONT20000AVRIL!P34+TONT20000MAI!P34+TONT20000JUIN!P34+TONT20000JUIL!P34+TONT20000AOUT!P34+TONT20000SEPT!Q34+TONT20000OCT!P34+TONT20000NOV!Q34</f>
        <v>0</v>
      </c>
      <c r="T34" s="7">
        <f>TONT20000DEC2015!R34+TONT20000JANV!P34+TONT20000FEV!P34+TONT20000MARS!P34+TONT20000AVRIL!P34+TONT20000MAI!P34+TONT20000JUIN!P34+TONT20000JUIL!P34+TONT20000AOUT!P34+TONT20000SEPT!Q34+TONT20000OCT!P34+TONT20000NOV!Q34</f>
        <v>0</v>
      </c>
      <c r="U34" s="7"/>
    </row>
    <row r="35" spans="1:21" x14ac:dyDescent="0.25">
      <c r="A35" s="1" t="s">
        <v>40</v>
      </c>
      <c r="B35" s="1" t="str">
        <f>VLOOKUP(A35,LISTADHERENT!A$5:H$52,2,0)</f>
        <v>NKEPSEU HENANG RENE</v>
      </c>
      <c r="C35" s="1">
        <f>VLOOKUP(A35,FONDSDECAISSE!A$5:C$52,3,0)</f>
        <v>390000</v>
      </c>
      <c r="D35" s="6">
        <v>7983</v>
      </c>
      <c r="E35" s="6"/>
      <c r="F35" s="6"/>
      <c r="G35" s="6"/>
      <c r="H35" s="6"/>
      <c r="I35" s="7">
        <f t="shared" si="0"/>
        <v>180000</v>
      </c>
      <c r="J35" s="7">
        <f>TONT20000DEC2015!I35+TONT20000JANV!G35+TONT20000FEV!G35+TONT20000MARS!G35+TONT20000AVRIL!G35+TONT20000MAI!G35+TONT20000JUIN!G35+TONT20000JUIL!G35+TONT20000AOUT!G35+TONT20000SEPT!G35+TONT20000OCT!G35+TONT20000NOV!H35</f>
        <v>27000</v>
      </c>
      <c r="K35" s="7">
        <f>TONT20000DEC2015!J35+TONT20000JANV!H35+TONT20000FEV!H35+TONT20000MARS!H35+TONT20000AVRIL!H35+TONT20000MAI!H35+TONT20000JUIN!H35+TONT20000JUIL!H35+TONT20000AOUT!H35+TONT20000SEPT!H35+TONT20000OCT!H35+TONT20000NOV!I35</f>
        <v>4500</v>
      </c>
      <c r="L35" s="7">
        <f>TONT20000DEC2015!K35+TONT20000JANV!I35+TONT20000FEV!I35+TONT20000MARS!I35+TONT20000AVRIL!I35+TONT20000MAI!I35+TONT20000JUIN!I35+TONT20000JUIL!I35+TONT20000AOUT!I35+TONT20000SEPT!I35+TONT20000OCT!I35+TONT20000NOV!J35</f>
        <v>9000</v>
      </c>
      <c r="M35" s="7">
        <f>TONT20000DEC2015!L35+TONT20000JANV!J35+TONT20000FEV!J35+TONT20000MARS!J35+TONT20000AVRIL!J35+TONT20000MAI!J35+TONT20000JUIN!J35+TONT20000JUIL!J35+TONT20000AOUT!J35+TONT20000SEPT!J35+TONT20000OCT!J35+TONT20000NOV!K35</f>
        <v>22500</v>
      </c>
      <c r="N35" s="7">
        <f>TONT20000DEC2015!M35+TONT20000JANV!K35+TONT20000FEV!K35+TONT20000MARS!K35+TONT20000AVRIL!K35+TONT20000MAI!K35+TONT20000JUIN!K35+TONT20000JUIL!K35+TONT20000AOUT!K35+TONT20000SEPT!K35+TONT20000OCT!K35+TONT20000NOV!L35</f>
        <v>0</v>
      </c>
      <c r="O35" s="7">
        <f>TONT20000DEC2015!N35+TONT20000JANV!L35+TONT20000FEV!L35+TONT20000MARS!L35+TONT20000AVRIL!L35+TONT20000MAI!L35+TONT20000JUIN!L35+TONT20000JUIL!L35+TONT20000AOUT!L35+TONT20000SEPT!L35+TONT20000OCT!L35+TONT20000NOV!M35</f>
        <v>117000</v>
      </c>
      <c r="P35" s="7">
        <f>TONT20000DEC2015!O35+TONT20000JANV!M35+TONT20000FEV!M35+TONT20000MARS!M35+TONT20000AVRIL!M35+TONT20000MAI!M35+TONT20000JUIN!M35+TONT20000JUIL!M35+TONT20000AOUT!M35+TONT20000SEPT!M35+TONT20000OCT!M35+TONT20000NOV!N35</f>
        <v>0</v>
      </c>
      <c r="Q35" s="7">
        <f>TONT20000DEC2015!P35+TONT20000JANV!N35+TONT20000FEV!N35+TONT20000MARS!N35+TONT20000AVRIL!N35+TONT20000MAI!N35+TONT20000JUIN!N35+TONT20000JUIL!N35+TONT20000AOUT!N35+TONT20000SEPT!N35+TONT20000OCT!N35+TONT20000NOV!O35</f>
        <v>0</v>
      </c>
      <c r="R35" s="7">
        <f>TONT20000DEC2015!Q35+TONT20000JANV!O35+TONT20000FEV!O35+TONT20000MARS!O35+TONT20000AVRIL!O35+TONT20000MAI!O35+TONT20000JUIN!O35+TONT20000JUIL!O35+TONT20000AOUT!O35+TONT20000SEPT!O35+TONT20000OCT!O35+TONT20000NOV!P35</f>
        <v>0</v>
      </c>
      <c r="S35" s="7">
        <f>TONT20000DEC2015!R35+TONT20000JANV!P35+TONT20000FEV!P35+TONT20000MARS!P35+TONT20000AVRIL!P35+TONT20000MAI!P35+TONT20000JUIN!P35+TONT20000JUIL!P35+TONT20000AOUT!P35+TONT20000SEPT!Q35+TONT20000OCT!P35+TONT20000NOV!Q35</f>
        <v>0</v>
      </c>
      <c r="T35" s="7">
        <f>TONT20000DEC2015!R35+TONT20000JANV!P35+TONT20000FEV!P35+TONT20000MARS!P35+TONT20000AVRIL!P35+TONT20000MAI!P35+TONT20000JUIN!P35+TONT20000JUIL!P35+TONT20000AOUT!P35+TONT20000SEPT!Q35+TONT20000OCT!P35+TONT20000NOV!Q35</f>
        <v>0</v>
      </c>
      <c r="U35" s="7"/>
    </row>
    <row r="36" spans="1:21" x14ac:dyDescent="0.25">
      <c r="A36" s="1" t="s">
        <v>41</v>
      </c>
      <c r="B36" s="1" t="str">
        <f>VLOOKUP(A36,LISTADHERENT!A$5:H$52,2,0)</f>
        <v>NTEPDIE TUEMAC MZ</v>
      </c>
      <c r="C36" s="1">
        <f>VLOOKUP(A36,FONDSDECAISSE!A$5:C$52,3,0)</f>
        <v>0</v>
      </c>
      <c r="D36" s="6">
        <v>0</v>
      </c>
      <c r="E36" s="6"/>
      <c r="F36" s="6"/>
      <c r="G36" s="6"/>
      <c r="H36" s="6"/>
      <c r="I36" s="7">
        <f t="shared" si="0"/>
        <v>100000</v>
      </c>
      <c r="J36" s="7">
        <f>TONT20000DEC2015!I36+TONT20000JANV!G36+TONT20000FEV!G36+TONT20000MARS!G36+TONT20000AVRIL!G36+TONT20000MAI!G36+TONT20000JUIN!G36+TONT20000JUIL!G36+TONT20000AOUT!G36+TONT20000SEPT!G36+TONT20000OCT!G36+TONT20000NOV!H36</f>
        <v>15000</v>
      </c>
      <c r="K36" s="7">
        <f>TONT20000DEC2015!J36+TONT20000JANV!H36+TONT20000FEV!H36+TONT20000MARS!H36+TONT20000AVRIL!H36+TONT20000MAI!H36+TONT20000JUIN!H36+TONT20000JUIL!H36+TONT20000AOUT!H36+TONT20000SEPT!H36+TONT20000OCT!H36+TONT20000NOV!I36</f>
        <v>2500</v>
      </c>
      <c r="L36" s="7">
        <f>TONT20000DEC2015!K36+TONT20000JANV!I36+TONT20000FEV!I36+TONT20000MARS!I36+TONT20000AVRIL!I36+TONT20000MAI!I36+TONT20000JUIN!I36+TONT20000JUIL!I36+TONT20000AOUT!I36+TONT20000SEPT!I36+TONT20000OCT!I36+TONT20000NOV!J36</f>
        <v>5000</v>
      </c>
      <c r="M36" s="7">
        <f>TONT20000DEC2015!L36+TONT20000JANV!J36+TONT20000FEV!J36+TONT20000MARS!J36+TONT20000AVRIL!J36+TONT20000MAI!J36+TONT20000JUIN!J36+TONT20000JUIL!J36+TONT20000AOUT!J36+TONT20000SEPT!J36+TONT20000OCT!J36+TONT20000NOV!K36</f>
        <v>12500</v>
      </c>
      <c r="N36" s="7">
        <f>TONT20000DEC2015!M36+TONT20000JANV!K36+TONT20000FEV!K36+TONT20000MARS!K36+TONT20000AVRIL!K36+TONT20000MAI!K36+TONT20000JUIN!K36+TONT20000JUIL!K36+TONT20000AOUT!K36+TONT20000SEPT!K36+TONT20000OCT!K36+TONT20000NOV!L36</f>
        <v>0</v>
      </c>
      <c r="O36" s="7">
        <f>TONT20000DEC2015!N36+TONT20000JANV!L36+TONT20000FEV!L36+TONT20000MARS!L36+TONT20000AVRIL!L36+TONT20000MAI!L36+TONT20000JUIN!L36+TONT20000JUIL!L36+TONT20000AOUT!L36+TONT20000SEPT!L36+TONT20000OCT!L36+TONT20000NOV!M36</f>
        <v>65000</v>
      </c>
      <c r="P36" s="7">
        <f>TONT20000DEC2015!O36+TONT20000JANV!M36+TONT20000FEV!M36+TONT20000MARS!M36+TONT20000AVRIL!M36+TONT20000MAI!M36+TONT20000JUIN!M36+TONT20000JUIL!M36+TONT20000AOUT!M36+TONT20000SEPT!M36+TONT20000OCT!M36+TONT20000NOV!N36</f>
        <v>0</v>
      </c>
      <c r="Q36" s="7">
        <f>TONT20000DEC2015!P36+TONT20000JANV!N36+TONT20000FEV!N36+TONT20000MARS!N36+TONT20000AVRIL!N36+TONT20000MAI!N36+TONT20000JUIN!N36+TONT20000JUIL!N36+TONT20000AOUT!N36+TONT20000SEPT!N36+TONT20000OCT!N36+TONT20000NOV!O36</f>
        <v>0</v>
      </c>
      <c r="R36" s="7">
        <f>TONT20000DEC2015!Q36+TONT20000JANV!O36+TONT20000FEV!O36+TONT20000MARS!O36+TONT20000AVRIL!O36+TONT20000MAI!O36+TONT20000JUIN!O36+TONT20000JUIL!O36+TONT20000AOUT!O36+TONT20000SEPT!O36+TONT20000OCT!O36+TONT20000NOV!P36</f>
        <v>0</v>
      </c>
      <c r="S36" s="7">
        <f>TONT20000DEC2015!R36+TONT20000JANV!P36+TONT20000FEV!P36+TONT20000MARS!P36+TONT20000AVRIL!P36+TONT20000MAI!P36+TONT20000JUIN!P36+TONT20000JUIL!P36+TONT20000AOUT!P36+TONT20000SEPT!Q36+TONT20000OCT!P36+TONT20000NOV!Q36</f>
        <v>0</v>
      </c>
      <c r="T36" s="7">
        <f>TONT20000DEC2015!R36+TONT20000JANV!P36+TONT20000FEV!P36+TONT20000MARS!P36+TONT20000AVRIL!P36+TONT20000MAI!P36+TONT20000JUIN!P36+TONT20000JUIL!P36+TONT20000AOUT!P36+TONT20000SEPT!Q36+TONT20000OCT!P36+TONT20000NOV!Q36</f>
        <v>0</v>
      </c>
      <c r="U36" s="7"/>
    </row>
    <row r="37" spans="1:21" x14ac:dyDescent="0.25">
      <c r="A37" s="1" t="s">
        <v>42</v>
      </c>
      <c r="B37" s="1" t="str">
        <f>VLOOKUP(A37,LISTADHERENT!A$5:H$52,2,0)</f>
        <v>NTOMBOU ADOLPHE</v>
      </c>
      <c r="C37" s="1">
        <f>VLOOKUP(A37,FONDSDECAISSE!A$5:C$52,3,0)</f>
        <v>0</v>
      </c>
      <c r="D37" s="6">
        <v>0</v>
      </c>
      <c r="E37" s="6"/>
      <c r="F37" s="6"/>
      <c r="G37" s="6"/>
      <c r="H37" s="6"/>
      <c r="I37" s="7">
        <f t="shared" si="0"/>
        <v>180000</v>
      </c>
      <c r="J37" s="7">
        <f>TONT20000DEC2015!I37+TONT20000JANV!G37+TONT20000FEV!G37+TONT20000MARS!G37+TONT20000AVRIL!G37+TONT20000MAI!G37+TONT20000JUIN!G37+TONT20000JUIL!G37+TONT20000AOUT!G37+TONT20000SEPT!G37+TONT20000OCT!G37+TONT20000NOV!H37</f>
        <v>27000</v>
      </c>
      <c r="K37" s="7">
        <f>TONT20000DEC2015!J37+TONT20000JANV!H37+TONT20000FEV!H37+TONT20000MARS!H37+TONT20000AVRIL!H37+TONT20000MAI!H37+TONT20000JUIN!H37+TONT20000JUIL!H37+TONT20000AOUT!H37+TONT20000SEPT!H37+TONT20000OCT!H37+TONT20000NOV!I37</f>
        <v>4500</v>
      </c>
      <c r="L37" s="7">
        <f>TONT20000DEC2015!K37+TONT20000JANV!I37+TONT20000FEV!I37+TONT20000MARS!I37+TONT20000AVRIL!I37+TONT20000MAI!I37+TONT20000JUIN!I37+TONT20000JUIL!I37+TONT20000AOUT!I37+TONT20000SEPT!I37+TONT20000OCT!I37+TONT20000NOV!J37</f>
        <v>9000</v>
      </c>
      <c r="M37" s="7">
        <f>TONT20000DEC2015!L37+TONT20000JANV!J37+TONT20000FEV!J37+TONT20000MARS!J37+TONT20000AVRIL!J37+TONT20000MAI!J37+TONT20000JUIN!J37+TONT20000JUIL!J37+TONT20000AOUT!J37+TONT20000SEPT!J37+TONT20000OCT!J37+TONT20000NOV!K37</f>
        <v>22500</v>
      </c>
      <c r="N37" s="7">
        <f>TONT20000DEC2015!M37+TONT20000JANV!K37+TONT20000FEV!K37+TONT20000MARS!K37+TONT20000AVRIL!K37+TONT20000MAI!K37+TONT20000JUIN!K37+TONT20000JUIL!K37+TONT20000AOUT!K37+TONT20000SEPT!K37+TONT20000OCT!K37+TONT20000NOV!L37</f>
        <v>0</v>
      </c>
      <c r="O37" s="7">
        <f>TONT20000DEC2015!N37+TONT20000JANV!L37+TONT20000FEV!L37+TONT20000MARS!L37+TONT20000AVRIL!L37+TONT20000MAI!L37+TONT20000JUIN!L37+TONT20000JUIL!L37+TONT20000AOUT!L37+TONT20000SEPT!L37+TONT20000OCT!L37+TONT20000NOV!M37</f>
        <v>117000</v>
      </c>
      <c r="P37" s="7">
        <f>TONT20000DEC2015!O37+TONT20000JANV!M37+TONT20000FEV!M37+TONT20000MARS!M37+TONT20000AVRIL!M37+TONT20000MAI!M37+TONT20000JUIN!M37+TONT20000JUIL!M37+TONT20000AOUT!M37+TONT20000SEPT!M37+TONT20000OCT!M37+TONT20000NOV!N37</f>
        <v>0</v>
      </c>
      <c r="Q37" s="7">
        <f>TONT20000DEC2015!P37+TONT20000JANV!N37+TONT20000FEV!N37+TONT20000MARS!N37+TONT20000AVRIL!N37+TONT20000MAI!N37+TONT20000JUIN!N37+TONT20000JUIL!N37+TONT20000AOUT!N37+TONT20000SEPT!N37+TONT20000OCT!N37+TONT20000NOV!O37</f>
        <v>0</v>
      </c>
      <c r="R37" s="7">
        <f>TONT20000DEC2015!Q37+TONT20000JANV!O37+TONT20000FEV!O37+TONT20000MARS!O37+TONT20000AVRIL!O37+TONT20000MAI!O37+TONT20000JUIN!O37+TONT20000JUIL!O37+TONT20000AOUT!O37+TONT20000SEPT!O37+TONT20000OCT!O37+TONT20000NOV!P37</f>
        <v>0</v>
      </c>
      <c r="S37" s="7">
        <f>TONT20000DEC2015!R37+TONT20000JANV!P37+TONT20000FEV!P37+TONT20000MARS!P37+TONT20000AVRIL!P37+TONT20000MAI!P37+TONT20000JUIN!P37+TONT20000JUIL!P37+TONT20000AOUT!P37+TONT20000SEPT!Q37+TONT20000OCT!P37+TONT20000NOV!Q37</f>
        <v>0</v>
      </c>
      <c r="T37" s="7">
        <f>TONT20000DEC2015!R37+TONT20000JANV!P37+TONT20000FEV!P37+TONT20000MARS!P37+TONT20000AVRIL!P37+TONT20000MAI!P37+TONT20000JUIN!P37+TONT20000JUIL!P37+TONT20000AOUT!P37+TONT20000SEPT!Q37+TONT20000OCT!P37+TONT20000NOV!Q37</f>
        <v>0</v>
      </c>
      <c r="U37" s="7"/>
    </row>
    <row r="38" spans="1:21" x14ac:dyDescent="0.25">
      <c r="A38" s="1" t="s">
        <v>43</v>
      </c>
      <c r="B38" s="1" t="str">
        <f>VLOOKUP(A38,LISTADHERENT!A$5:H$52,2,0)</f>
        <v>PATEGO NJOSSU GUSTAVE</v>
      </c>
      <c r="C38" s="1">
        <f>VLOOKUP(A38,FONDSDECAISSE!A$5:C$52,3,0)</f>
        <v>390000</v>
      </c>
      <c r="D38" s="6">
        <v>140</v>
      </c>
      <c r="E38" s="6"/>
      <c r="F38" s="6"/>
      <c r="G38" s="6"/>
      <c r="H38" s="6"/>
      <c r="I38" s="7">
        <f t="shared" si="0"/>
        <v>240000</v>
      </c>
      <c r="J38" s="7">
        <f>TONT20000DEC2015!I38+TONT20000JANV!G38+TONT20000FEV!G38+TONT20000MARS!G38+TONT20000AVRIL!G38+TONT20000MAI!G38+TONT20000JUIN!G38+TONT20000JUIL!G38+TONT20000AOUT!G38+TONT20000SEPT!G38+TONT20000OCT!G38+TONT20000NOV!H38</f>
        <v>36000</v>
      </c>
      <c r="K38" s="7">
        <f>TONT20000DEC2015!J38+TONT20000JANV!H38+TONT20000FEV!H38+TONT20000MARS!H38+TONT20000AVRIL!H38+TONT20000MAI!H38+TONT20000JUIN!H38+TONT20000JUIL!H38+TONT20000AOUT!H38+TONT20000SEPT!H38+TONT20000OCT!H38+TONT20000NOV!I38</f>
        <v>6000</v>
      </c>
      <c r="L38" s="7">
        <f>TONT20000DEC2015!K38+TONT20000JANV!I38+TONT20000FEV!I38+TONT20000MARS!I38+TONT20000AVRIL!I38+TONT20000MAI!I38+TONT20000JUIN!I38+TONT20000JUIL!I38+TONT20000AOUT!I38+TONT20000SEPT!I38+TONT20000OCT!I38+TONT20000NOV!J38</f>
        <v>12000</v>
      </c>
      <c r="M38" s="7">
        <f>TONT20000DEC2015!L38+TONT20000JANV!J38+TONT20000FEV!J38+TONT20000MARS!J38+TONT20000AVRIL!J38+TONT20000MAI!J38+TONT20000JUIN!J38+TONT20000JUIL!J38+TONT20000AOUT!J38+TONT20000SEPT!J38+TONT20000OCT!J38+TONT20000NOV!K38</f>
        <v>30000</v>
      </c>
      <c r="N38" s="7">
        <f>TONT20000DEC2015!M38+TONT20000JANV!K38+TONT20000FEV!K38+TONT20000MARS!K38+TONT20000AVRIL!K38+TONT20000MAI!K38+TONT20000JUIN!K38+TONT20000JUIL!K38+TONT20000AOUT!K38+TONT20000SEPT!K38+TONT20000OCT!K38+TONT20000NOV!L38</f>
        <v>0</v>
      </c>
      <c r="O38" s="7">
        <f>TONT20000DEC2015!N38+TONT20000JANV!L38+TONT20000FEV!L38+TONT20000MARS!L38+TONT20000AVRIL!L38+TONT20000MAI!L38+TONT20000JUIN!L38+TONT20000JUIL!L38+TONT20000AOUT!L38+TONT20000SEPT!L38+TONT20000OCT!L38+TONT20000NOV!M38</f>
        <v>156000</v>
      </c>
      <c r="P38" s="7">
        <f>TONT20000DEC2015!O38+TONT20000JANV!M38+TONT20000FEV!M38+TONT20000MARS!M38+TONT20000AVRIL!M38+TONT20000MAI!M38+TONT20000JUIN!M38+TONT20000JUIL!M38+TONT20000AOUT!M38+TONT20000SEPT!M38+TONT20000OCT!M38+TONT20000NOV!N38</f>
        <v>0</v>
      </c>
      <c r="Q38" s="7">
        <f>TONT20000DEC2015!P38+TONT20000JANV!N38+TONT20000FEV!N38+TONT20000MARS!N38+TONT20000AVRIL!N38+TONT20000MAI!N38+TONT20000JUIN!N38+TONT20000JUIL!N38+TONT20000AOUT!N38+TONT20000SEPT!N38+TONT20000OCT!N38+TONT20000NOV!O38</f>
        <v>0</v>
      </c>
      <c r="R38" s="7">
        <f>TONT20000DEC2015!Q38+TONT20000JANV!O38+TONT20000FEV!O38+TONT20000MARS!O38+TONT20000AVRIL!O38+TONT20000MAI!O38+TONT20000JUIN!O38+TONT20000JUIL!O38+TONT20000AOUT!O38+TONT20000SEPT!O38+TONT20000OCT!O38+TONT20000NOV!P38</f>
        <v>0</v>
      </c>
      <c r="S38" s="7">
        <f>TONT20000DEC2015!R38+TONT20000JANV!P38+TONT20000FEV!P38+TONT20000MARS!P38+TONT20000AVRIL!P38+TONT20000MAI!P38+TONT20000JUIN!P38+TONT20000JUIL!P38+TONT20000AOUT!P38+TONT20000SEPT!Q38+TONT20000OCT!P38+TONT20000NOV!Q38</f>
        <v>0</v>
      </c>
      <c r="T38" s="7">
        <f>TONT20000DEC2015!R38+TONT20000JANV!P38+TONT20000FEV!P38+TONT20000MARS!P38+TONT20000AVRIL!P38+TONT20000MAI!P38+TONT20000JUIN!P38+TONT20000JUIL!P38+TONT20000AOUT!P38+TONT20000SEPT!Q38+TONT20000OCT!P38+TONT20000NOV!Q38</f>
        <v>0</v>
      </c>
      <c r="U38" s="7"/>
    </row>
    <row r="39" spans="1:21" x14ac:dyDescent="0.25">
      <c r="A39" s="1" t="s">
        <v>44</v>
      </c>
      <c r="B39" s="1" t="str">
        <f>VLOOKUP(A39,LISTADHERENT!A$5:H$52,2,0)</f>
        <v>SEUNOU RICHELOT</v>
      </c>
      <c r="C39" s="1">
        <f>VLOOKUP(A39,FONDSDECAISSE!A$5:C$52,3,0)</f>
        <v>390000</v>
      </c>
      <c r="D39" s="6">
        <v>2632</v>
      </c>
      <c r="E39" s="6"/>
      <c r="F39" s="6"/>
      <c r="G39" s="6"/>
      <c r="H39" s="6"/>
      <c r="I39" s="7">
        <f t="shared" si="0"/>
        <v>240000</v>
      </c>
      <c r="J39" s="7">
        <f>TONT20000DEC2015!I39+TONT20000JANV!G39+TONT20000FEV!G39+TONT20000MARS!G39+TONT20000AVRIL!G39+TONT20000MAI!G39+TONT20000JUIN!G39+TONT20000JUIL!G39+TONT20000AOUT!G39+TONT20000SEPT!G39+TONT20000OCT!G39+TONT20000NOV!H39</f>
        <v>36000</v>
      </c>
      <c r="K39" s="7">
        <f>TONT20000DEC2015!J39+TONT20000JANV!H39+TONT20000FEV!H39+TONT20000MARS!H39+TONT20000AVRIL!H39+TONT20000MAI!H39+TONT20000JUIN!H39+TONT20000JUIL!H39+TONT20000AOUT!H39+TONT20000SEPT!H39+TONT20000OCT!H39+TONT20000NOV!I39</f>
        <v>6000</v>
      </c>
      <c r="L39" s="7">
        <f>TONT20000DEC2015!K39+TONT20000JANV!I39+TONT20000FEV!I39+TONT20000MARS!I39+TONT20000AVRIL!I39+TONT20000MAI!I39+TONT20000JUIN!I39+TONT20000JUIL!I39+TONT20000AOUT!I39+TONT20000SEPT!I39+TONT20000OCT!I39+TONT20000NOV!J39</f>
        <v>12000</v>
      </c>
      <c r="M39" s="7">
        <f>TONT20000DEC2015!L39+TONT20000JANV!J39+TONT20000FEV!J39+TONT20000MARS!J39+TONT20000AVRIL!J39+TONT20000MAI!J39+TONT20000JUIN!J39+TONT20000JUIL!J39+TONT20000AOUT!J39+TONT20000SEPT!J39+TONT20000OCT!J39+TONT20000NOV!K39</f>
        <v>30000</v>
      </c>
      <c r="N39" s="7">
        <f>TONT20000DEC2015!M39+TONT20000JANV!K39+TONT20000FEV!K39+TONT20000MARS!K39+TONT20000AVRIL!K39+TONT20000MAI!K39+TONT20000JUIN!K39+TONT20000JUIL!K39+TONT20000AOUT!K39+TONT20000SEPT!K39+TONT20000OCT!K39+TONT20000NOV!L39</f>
        <v>0</v>
      </c>
      <c r="O39" s="7">
        <f>TONT20000DEC2015!N39+TONT20000JANV!L39+TONT20000FEV!L39+TONT20000MARS!L39+TONT20000AVRIL!L39+TONT20000MAI!L39+TONT20000JUIN!L39+TONT20000JUIL!L39+TONT20000AOUT!L39+TONT20000SEPT!L39+TONT20000OCT!L39+TONT20000NOV!M39</f>
        <v>156000</v>
      </c>
      <c r="P39" s="7">
        <f>TONT20000DEC2015!O39+TONT20000JANV!M39+TONT20000FEV!M39+TONT20000MARS!M39+TONT20000AVRIL!M39+TONT20000MAI!M39+TONT20000JUIN!M39+TONT20000JUIL!M39+TONT20000AOUT!M39+TONT20000SEPT!M39+TONT20000OCT!M39+TONT20000NOV!N39</f>
        <v>1000000</v>
      </c>
      <c r="Q39" s="7">
        <f>TONT20000DEC2015!P39+TONT20000JANV!N39+TONT20000FEV!N39+TONT20000MARS!N39+TONT20000AVRIL!N39+TONT20000MAI!N39+TONT20000JUIN!N39+TONT20000JUIL!N39+TONT20000AOUT!N39+TONT20000SEPT!N39+TONT20000OCT!N39+TONT20000NOV!O39</f>
        <v>120000</v>
      </c>
      <c r="R39" s="7">
        <f>TONT20000DEC2015!Q39+TONT20000JANV!O39+TONT20000FEV!O39+TONT20000MARS!O39+TONT20000AVRIL!O39+TONT20000MAI!O39+TONT20000JUIN!O39+TONT20000JUIL!O39+TONT20000AOUT!O39+TONT20000SEPT!O39+TONT20000OCT!O39+TONT20000NOV!P39</f>
        <v>0</v>
      </c>
      <c r="S39" s="7">
        <f>TONT20000DEC2015!R39+TONT20000JANV!P39+TONT20000FEV!P39+TONT20000MARS!P39+TONT20000AVRIL!P39+TONT20000MAI!P39+TONT20000JUIN!P39+TONT20000JUIL!P39+TONT20000AOUT!P39+TONT20000SEPT!Q39+TONT20000OCT!P39+TONT20000NOV!Q39</f>
        <v>0</v>
      </c>
      <c r="T39" s="7">
        <f>TONT20000DEC2015!R39+TONT20000JANV!P39+TONT20000FEV!P39+TONT20000MARS!P39+TONT20000AVRIL!P39+TONT20000MAI!P39+TONT20000JUIN!P39+TONT20000JUIL!P39+TONT20000AOUT!P39+TONT20000SEPT!Q39+TONT20000OCT!P39+TONT20000NOV!Q39</f>
        <v>0</v>
      </c>
      <c r="U39" s="7"/>
    </row>
    <row r="40" spans="1:21" x14ac:dyDescent="0.25">
      <c r="A40" s="1" t="s">
        <v>45</v>
      </c>
      <c r="B40" s="1" t="str">
        <f>VLOOKUP(A40,LISTADHERENT!A$5:H$52,2,0)</f>
        <v>SIME ABEL</v>
      </c>
      <c r="C40" s="1">
        <f>VLOOKUP(A40,FONDSDECAISSE!A$5:C$52,3,0)</f>
        <v>0</v>
      </c>
      <c r="D40" s="6">
        <v>0</v>
      </c>
      <c r="E40" s="6"/>
      <c r="F40" s="6"/>
      <c r="G40" s="6"/>
      <c r="H40" s="6"/>
      <c r="I40" s="7">
        <f t="shared" si="0"/>
        <v>240000</v>
      </c>
      <c r="J40" s="7">
        <f>TONT20000DEC2015!I40+TONT20000JANV!G40+TONT20000FEV!G40+TONT20000MARS!G40+TONT20000AVRIL!G40+TONT20000MAI!G40+TONT20000JUIN!G40+TONT20000JUIL!G40+TONT20000AOUT!G40+TONT20000SEPT!G40+TONT20000OCT!G40+TONT20000NOV!H40</f>
        <v>36000</v>
      </c>
      <c r="K40" s="7">
        <f>TONT20000DEC2015!J40+TONT20000JANV!H40+TONT20000FEV!H40+TONT20000MARS!H40+TONT20000AVRIL!H40+TONT20000MAI!H40+TONT20000JUIN!H40+TONT20000JUIL!H40+TONT20000AOUT!H40+TONT20000SEPT!H40+TONT20000OCT!H40+TONT20000NOV!I40</f>
        <v>6000</v>
      </c>
      <c r="L40" s="7">
        <f>TONT20000DEC2015!K40+TONT20000JANV!I40+TONT20000FEV!I40+TONT20000MARS!I40+TONT20000AVRIL!I40+TONT20000MAI!I40+TONT20000JUIN!I40+TONT20000JUIL!I40+TONT20000AOUT!I40+TONT20000SEPT!I40+TONT20000OCT!I40+TONT20000NOV!J40</f>
        <v>12000</v>
      </c>
      <c r="M40" s="7">
        <f>TONT20000DEC2015!L40+TONT20000JANV!J40+TONT20000FEV!J40+TONT20000MARS!J40+TONT20000AVRIL!J40+TONT20000MAI!J40+TONT20000JUIN!J40+TONT20000JUIL!J40+TONT20000AOUT!J40+TONT20000SEPT!J40+TONT20000OCT!J40+TONT20000NOV!K40</f>
        <v>30000</v>
      </c>
      <c r="N40" s="7">
        <f>TONT20000DEC2015!M40+TONT20000JANV!K40+TONT20000FEV!K40+TONT20000MARS!K40+TONT20000AVRIL!K40+TONT20000MAI!K40+TONT20000JUIN!K40+TONT20000JUIL!K40+TONT20000AOUT!K40+TONT20000SEPT!K40+TONT20000OCT!K40+TONT20000NOV!L40</f>
        <v>0</v>
      </c>
      <c r="O40" s="7">
        <f>TONT20000DEC2015!N40+TONT20000JANV!L40+TONT20000FEV!L40+TONT20000MARS!L40+TONT20000AVRIL!L40+TONT20000MAI!L40+TONT20000JUIN!L40+TONT20000JUIL!L40+TONT20000AOUT!L40+TONT20000SEPT!L40+TONT20000OCT!L40+TONT20000NOV!M40</f>
        <v>156000</v>
      </c>
      <c r="P40" s="7">
        <f>TONT20000DEC2015!O40+TONT20000JANV!M40+TONT20000FEV!M40+TONT20000MARS!M40+TONT20000AVRIL!M40+TONT20000MAI!M40+TONT20000JUIN!M40+TONT20000JUIL!M40+TONT20000AOUT!M40+TONT20000SEPT!M40+TONT20000OCT!M40+TONT20000NOV!N40</f>
        <v>0</v>
      </c>
      <c r="Q40" s="7">
        <f>TONT20000DEC2015!P40+TONT20000JANV!N40+TONT20000FEV!N40+TONT20000MARS!N40+TONT20000AVRIL!N40+TONT20000MAI!N40+TONT20000JUIN!N40+TONT20000JUIL!N40+TONT20000AOUT!N40+TONT20000SEPT!N40+TONT20000OCT!N40+TONT20000NOV!O40</f>
        <v>0</v>
      </c>
      <c r="R40" s="7">
        <f>TONT20000DEC2015!Q40+TONT20000JANV!O40+TONT20000FEV!O40+TONT20000MARS!O40+TONT20000AVRIL!O40+TONT20000MAI!O40+TONT20000JUIN!O40+TONT20000JUIL!O40+TONT20000AOUT!O40+TONT20000SEPT!O40+TONT20000OCT!O40+TONT20000NOV!P40</f>
        <v>0</v>
      </c>
      <c r="S40" s="7">
        <f>TONT20000DEC2015!R40+TONT20000JANV!P40+TONT20000FEV!P40+TONT20000MARS!P40+TONT20000AVRIL!P40+TONT20000MAI!P40+TONT20000JUIN!P40+TONT20000JUIL!P40+TONT20000AOUT!P40+TONT20000SEPT!Q40+TONT20000OCT!P40+TONT20000NOV!Q40</f>
        <v>0</v>
      </c>
      <c r="T40" s="7">
        <f>TONT20000DEC2015!R40+TONT20000JANV!P40+TONT20000FEV!P40+TONT20000MARS!P40+TONT20000AVRIL!P40+TONT20000MAI!P40+TONT20000JUIN!P40+TONT20000JUIL!P40+TONT20000AOUT!P40+TONT20000SEPT!Q40+TONT20000OCT!P40+TONT20000NOV!Q40</f>
        <v>0</v>
      </c>
      <c r="U40" s="7"/>
    </row>
    <row r="41" spans="1:21" x14ac:dyDescent="0.25">
      <c r="A41" s="1" t="s">
        <v>46</v>
      </c>
      <c r="B41" s="1" t="str">
        <f>VLOOKUP(A41,LISTADHERENT!A$5:H$52,2,0)</f>
        <v>SIME FONGANG ERIC</v>
      </c>
      <c r="C41" s="1">
        <f>VLOOKUP(A41,FONDSDECAISSE!A$5:C$52,3,0)</f>
        <v>390000</v>
      </c>
      <c r="D41" s="6">
        <v>982</v>
      </c>
      <c r="E41" s="6"/>
      <c r="F41" s="6"/>
      <c r="G41" s="6"/>
      <c r="H41" s="6"/>
      <c r="I41" s="7">
        <f t="shared" si="0"/>
        <v>240000</v>
      </c>
      <c r="J41" s="7">
        <f>TONT20000DEC2015!I41+TONT20000JANV!G41+TONT20000FEV!G41+TONT20000MARS!G41+TONT20000AVRIL!G41+TONT20000MAI!G41+TONT20000JUIN!G41+TONT20000JUIL!G41+TONT20000AOUT!G41+TONT20000SEPT!G41+TONT20000OCT!G41+TONT20000NOV!H41</f>
        <v>36000</v>
      </c>
      <c r="K41" s="7">
        <f>TONT20000DEC2015!J41+TONT20000JANV!H41+TONT20000FEV!H41+TONT20000MARS!H41+TONT20000AVRIL!H41+TONT20000MAI!H41+TONT20000JUIN!H41+TONT20000JUIL!H41+TONT20000AOUT!H41+TONT20000SEPT!H41+TONT20000OCT!H41+TONT20000NOV!I41</f>
        <v>6000</v>
      </c>
      <c r="L41" s="7">
        <f>TONT20000DEC2015!K41+TONT20000JANV!I41+TONT20000FEV!I41+TONT20000MARS!I41+TONT20000AVRIL!I41+TONT20000MAI!I41+TONT20000JUIN!I41+TONT20000JUIL!I41+TONT20000AOUT!I41+TONT20000SEPT!I41+TONT20000OCT!I41+TONT20000NOV!J41</f>
        <v>12000</v>
      </c>
      <c r="M41" s="7">
        <f>TONT20000DEC2015!L41+TONT20000JANV!J41+TONT20000FEV!J41+TONT20000MARS!J41+TONT20000AVRIL!J41+TONT20000MAI!J41+TONT20000JUIN!J41+TONT20000JUIL!J41+TONT20000AOUT!J41+TONT20000SEPT!J41+TONT20000OCT!J41+TONT20000NOV!K41</f>
        <v>30000</v>
      </c>
      <c r="N41" s="7">
        <f>TONT20000DEC2015!M41+TONT20000JANV!K41+TONT20000FEV!K41+TONT20000MARS!K41+TONT20000AVRIL!K41+TONT20000MAI!K41+TONT20000JUIN!K41+TONT20000JUIL!K41+TONT20000AOUT!K41+TONT20000SEPT!K41+TONT20000OCT!K41+TONT20000NOV!L41</f>
        <v>0</v>
      </c>
      <c r="O41" s="7">
        <f>TONT20000DEC2015!N41+TONT20000JANV!L41+TONT20000FEV!L41+TONT20000MARS!L41+TONT20000AVRIL!L41+TONT20000MAI!L41+TONT20000JUIN!L41+TONT20000JUIL!L41+TONT20000AOUT!L41+TONT20000SEPT!L41+TONT20000OCT!L41+TONT20000NOV!M41</f>
        <v>156000</v>
      </c>
      <c r="P41" s="7">
        <f>TONT20000DEC2015!O41+TONT20000JANV!M41+TONT20000FEV!M41+TONT20000MARS!M41+TONT20000AVRIL!M41+TONT20000MAI!M41+TONT20000JUIN!M41+TONT20000JUIL!M41+TONT20000AOUT!M41+TONT20000SEPT!M41+TONT20000OCT!M41+TONT20000NOV!N41</f>
        <v>1000000</v>
      </c>
      <c r="Q41" s="7">
        <f>TONT20000DEC2015!P41+TONT20000JANV!N41+TONT20000FEV!N41+TONT20000MARS!N41+TONT20000AVRIL!N41+TONT20000MAI!N41+TONT20000JUIN!N41+TONT20000JUIL!N41+TONT20000AOUT!N41+TONT20000SEPT!N41+TONT20000OCT!N41+TONT20000NOV!O41</f>
        <v>120000</v>
      </c>
      <c r="R41" s="7">
        <f>TONT20000DEC2015!Q41+TONT20000JANV!O41+TONT20000FEV!O41+TONT20000MARS!O41+TONT20000AVRIL!O41+TONT20000MAI!O41+TONT20000JUIN!O41+TONT20000JUIL!O41+TONT20000AOUT!O41+TONT20000SEPT!O41+TONT20000OCT!O41+TONT20000NOV!P41</f>
        <v>0</v>
      </c>
      <c r="S41" s="7">
        <f>TONT20000DEC2015!R41+TONT20000JANV!P41+TONT20000FEV!P41+TONT20000MARS!P41+TONT20000AVRIL!P41+TONT20000MAI!P41+TONT20000JUIN!P41+TONT20000JUIL!P41+TONT20000AOUT!P41+TONT20000SEPT!Q41+TONT20000OCT!P41+TONT20000NOV!Q41</f>
        <v>0</v>
      </c>
      <c r="T41" s="7">
        <f>TONT20000DEC2015!R41+TONT20000JANV!P41+TONT20000FEV!P41+TONT20000MARS!P41+TONT20000AVRIL!P41+TONT20000MAI!P41+TONT20000JUIN!P41+TONT20000JUIL!P41+TONT20000AOUT!P41+TONT20000SEPT!Q41+TONT20000OCT!P41+TONT20000NOV!Q41</f>
        <v>0</v>
      </c>
      <c r="U41" s="7"/>
    </row>
    <row r="42" spans="1:21" x14ac:dyDescent="0.25">
      <c r="A42" s="1" t="s">
        <v>47</v>
      </c>
      <c r="B42" s="1" t="str">
        <f>VLOOKUP(A42,LISTADHERENT!A$5:H$52,2,0)</f>
        <v>SIME MATHIEU</v>
      </c>
      <c r="C42" s="1">
        <f>VLOOKUP(A42,FONDSDECAISSE!A$5:C$52,3,0)</f>
        <v>390000</v>
      </c>
      <c r="D42" s="6">
        <v>636</v>
      </c>
      <c r="E42" s="6"/>
      <c r="F42" s="6"/>
      <c r="G42" s="6"/>
      <c r="H42" s="6"/>
      <c r="I42" s="7">
        <f t="shared" si="0"/>
        <v>240000</v>
      </c>
      <c r="J42" s="7">
        <f>TONT20000DEC2015!I42+TONT20000JANV!G42+TONT20000FEV!G42+TONT20000MARS!G42+TONT20000AVRIL!G42+TONT20000MAI!G42+TONT20000JUIN!G42+TONT20000JUIL!G42+TONT20000AOUT!G42+TONT20000SEPT!G42+TONT20000OCT!G42+TONT20000NOV!H42</f>
        <v>36000</v>
      </c>
      <c r="K42" s="7">
        <f>TONT20000DEC2015!J42+TONT20000JANV!H42+TONT20000FEV!H42+TONT20000MARS!H42+TONT20000AVRIL!H42+TONT20000MAI!H42+TONT20000JUIN!H42+TONT20000JUIL!H42+TONT20000AOUT!H42+TONT20000SEPT!H42+TONT20000OCT!H42+TONT20000NOV!I42</f>
        <v>6000</v>
      </c>
      <c r="L42" s="7">
        <f>TONT20000DEC2015!K42+TONT20000JANV!I42+TONT20000FEV!I42+TONT20000MARS!I42+TONT20000AVRIL!I42+TONT20000MAI!I42+TONT20000JUIN!I42+TONT20000JUIL!I42+TONT20000AOUT!I42+TONT20000SEPT!I42+TONT20000OCT!I42+TONT20000NOV!J42</f>
        <v>12000</v>
      </c>
      <c r="M42" s="7">
        <f>TONT20000DEC2015!L42+TONT20000JANV!J42+TONT20000FEV!J42+TONT20000MARS!J42+TONT20000AVRIL!J42+TONT20000MAI!J42+TONT20000JUIN!J42+TONT20000JUIL!J42+TONT20000AOUT!J42+TONT20000SEPT!J42+TONT20000OCT!J42+TONT20000NOV!K42</f>
        <v>30000</v>
      </c>
      <c r="N42" s="7">
        <f>TONT20000DEC2015!M42+TONT20000JANV!K42+TONT20000FEV!K42+TONT20000MARS!K42+TONT20000AVRIL!K42+TONT20000MAI!K42+TONT20000JUIN!K42+TONT20000JUIL!K42+TONT20000AOUT!K42+TONT20000SEPT!K42+TONT20000OCT!K42+TONT20000NOV!L42</f>
        <v>0</v>
      </c>
      <c r="O42" s="7">
        <f>TONT20000DEC2015!N42+TONT20000JANV!L42+TONT20000FEV!L42+TONT20000MARS!L42+TONT20000AVRIL!L42+TONT20000MAI!L42+TONT20000JUIN!L42+TONT20000JUIL!L42+TONT20000AOUT!L42+TONT20000SEPT!L42+TONT20000OCT!L42+TONT20000NOV!M42</f>
        <v>156000</v>
      </c>
      <c r="P42" s="7">
        <f>TONT20000DEC2015!O42+TONT20000JANV!M42+TONT20000FEV!M42+TONT20000MARS!M42+TONT20000AVRIL!M42+TONT20000MAI!M42+TONT20000JUIN!M42+TONT20000JUIL!M42+TONT20000AOUT!M42+TONT20000SEPT!M42+TONT20000OCT!M42+TONT20000NOV!N42</f>
        <v>800000</v>
      </c>
      <c r="Q42" s="7">
        <f>TONT20000DEC2015!P42+TONT20000JANV!N42+TONT20000FEV!N42+TONT20000MARS!N42+TONT20000AVRIL!N42+TONT20000MAI!N42+TONT20000JUIN!N42+TONT20000JUIL!N42+TONT20000AOUT!N42+TONT20000SEPT!N42+TONT20000OCT!N42+TONT20000NOV!O42</f>
        <v>96000</v>
      </c>
      <c r="R42" s="7">
        <f>TONT20000DEC2015!Q42+TONT20000JANV!O42+TONT20000FEV!O42+TONT20000MARS!O42+TONT20000AVRIL!O42+TONT20000MAI!O42+TONT20000JUIN!O42+TONT20000JUIL!O42+TONT20000AOUT!O42+TONT20000SEPT!O42+TONT20000OCT!O42+TONT20000NOV!P42</f>
        <v>0</v>
      </c>
      <c r="S42" s="7">
        <f>TONT20000DEC2015!R42+TONT20000JANV!P42+TONT20000FEV!P42+TONT20000MARS!P42+TONT20000AVRIL!P42+TONT20000MAI!P42+TONT20000JUIN!P42+TONT20000JUIL!P42+TONT20000AOUT!P42+TONT20000SEPT!Q42+TONT20000OCT!P42+TONT20000NOV!Q42</f>
        <v>0</v>
      </c>
      <c r="T42" s="7">
        <f>TONT20000DEC2015!R42+TONT20000JANV!P42+TONT20000FEV!P42+TONT20000MARS!P42+TONT20000AVRIL!P42+TONT20000MAI!P42+TONT20000JUIN!P42+TONT20000JUIL!P42+TONT20000AOUT!P42+TONT20000SEPT!Q42+TONT20000OCT!P42+TONT20000NOV!Q42</f>
        <v>0</v>
      </c>
      <c r="U42" s="7"/>
    </row>
    <row r="43" spans="1:21" x14ac:dyDescent="0.25">
      <c r="A43" s="1" t="s">
        <v>48</v>
      </c>
      <c r="B43" s="1" t="str">
        <f>VLOOKUP(A43,LISTADHERENT!A$5:H$52,2,0)</f>
        <v>SIME PIERRE</v>
      </c>
      <c r="C43" s="1">
        <f>VLOOKUP(A43,FONDSDECAISSE!A$5:C$52,3,0)</f>
        <v>390000</v>
      </c>
      <c r="D43" s="6">
        <v>146079</v>
      </c>
      <c r="E43" s="6"/>
      <c r="F43" s="6"/>
      <c r="G43" s="6"/>
      <c r="H43" s="6"/>
      <c r="I43" s="7">
        <f t="shared" si="0"/>
        <v>1130000</v>
      </c>
      <c r="J43" s="7">
        <f>TONT20000DEC2015!I43+TONT20000JANV!G43+TONT20000FEV!G43+TONT20000MARS!G43+TONT20000AVRIL!G43+TONT20000MAI!G43+TONT20000JUIN!G43+TONT20000JUIL!G43+TONT20000AOUT!G43+TONT20000SEPT!G43+TONT20000OCT!G43+TONT20000NOV!H43</f>
        <v>916000</v>
      </c>
      <c r="K43" s="7">
        <f>TONT20000DEC2015!J43+TONT20000JANV!H43+TONT20000FEV!H43+TONT20000MARS!H43+TONT20000AVRIL!H43+TONT20000MAI!H43+TONT20000JUIN!H43+TONT20000JUIL!H43+TONT20000AOUT!H43+TONT20000SEPT!H43+TONT20000OCT!H43+TONT20000NOV!I43</f>
        <v>6000</v>
      </c>
      <c r="L43" s="7">
        <f>TONT20000DEC2015!K43+TONT20000JANV!I43+TONT20000FEV!I43+TONT20000MARS!I43+TONT20000AVRIL!I43+TONT20000MAI!I43+TONT20000JUIN!I43+TONT20000JUIL!I43+TONT20000AOUT!I43+TONT20000SEPT!I43+TONT20000OCT!I43+TONT20000NOV!J43</f>
        <v>12000</v>
      </c>
      <c r="M43" s="7">
        <f>TONT20000DEC2015!L43+TONT20000JANV!J43+TONT20000FEV!J43+TONT20000MARS!J43+TONT20000AVRIL!J43+TONT20000MAI!J43+TONT20000JUIN!J43+TONT20000JUIL!J43+TONT20000AOUT!J43+TONT20000SEPT!J43+TONT20000OCT!J43+TONT20000NOV!K43</f>
        <v>30000</v>
      </c>
      <c r="N43" s="7">
        <f>TONT20000DEC2015!M43+TONT20000JANV!K43+TONT20000FEV!K43+TONT20000MARS!K43+TONT20000AVRIL!K43+TONT20000MAI!K43+TONT20000JUIN!K43+TONT20000JUIL!K43+TONT20000AOUT!K43+TONT20000SEPT!K43+TONT20000OCT!K43+TONT20000NOV!L43</f>
        <v>10000</v>
      </c>
      <c r="O43" s="7">
        <f>TONT20000DEC2015!N43+TONT20000JANV!L43+TONT20000FEV!L43+TONT20000MARS!L43+TONT20000AVRIL!L43+TONT20000MAI!L43+TONT20000JUIN!L43+TONT20000JUIL!L43+TONT20000AOUT!L43+TONT20000SEPT!L43+TONT20000OCT!L43+TONT20000NOV!M43</f>
        <v>156000</v>
      </c>
      <c r="P43" s="7">
        <f>TONT20000DEC2015!O43+TONT20000JANV!M43+TONT20000FEV!M43+TONT20000MARS!M43+TONT20000AVRIL!M43+TONT20000MAI!M43+TONT20000JUIN!M43+TONT20000JUIL!M43+TONT20000AOUT!M43+TONT20000SEPT!M43+TONT20000OCT!M43+TONT20000NOV!N43</f>
        <v>1110000</v>
      </c>
      <c r="Q43" s="7">
        <f>TONT20000DEC2015!P43+TONT20000JANV!N43+TONT20000FEV!N43+TONT20000MARS!N43+TONT20000AVRIL!N43+TONT20000MAI!N43+TONT20000JUIN!N43+TONT20000JUIL!N43+TONT20000AOUT!N43+TONT20000SEPT!N43+TONT20000OCT!N43+TONT20000NOV!O43</f>
        <v>84600</v>
      </c>
      <c r="R43" s="7">
        <f>TONT20000DEC2015!Q43+TONT20000JANV!O43+TONT20000FEV!O43+TONT20000MARS!O43+TONT20000AVRIL!O43+TONT20000MAI!O43+TONT20000JUIN!O43+TONT20000JUIL!O43+TONT20000AOUT!O43+TONT20000SEPT!O43+TONT20000OCT!O43+TONT20000NOV!P43</f>
        <v>540000</v>
      </c>
      <c r="S43" s="7">
        <f>TONT20000DEC2015!R43+TONT20000JANV!P43+TONT20000FEV!P43+TONT20000MARS!P43+TONT20000AVRIL!P43+TONT20000MAI!P43+TONT20000JUIN!P43+TONT20000JUIL!P43+TONT20000AOUT!P43+TONT20000SEPT!Q43+TONT20000OCT!P43+TONT20000NOV!Q43</f>
        <v>0</v>
      </c>
      <c r="T43" s="7">
        <f>TONT20000DEC2015!R43+TONT20000JANV!P43+TONT20000FEV!P43+TONT20000MARS!P43+TONT20000AVRIL!P43+TONT20000MAI!P43+TONT20000JUIN!P43+TONT20000JUIL!P43+TONT20000AOUT!P43+TONT20000SEPT!Q43+TONT20000OCT!P43+TONT20000NOV!Q43</f>
        <v>0</v>
      </c>
      <c r="U43" s="7"/>
    </row>
    <row r="44" spans="1:21" x14ac:dyDescent="0.25">
      <c r="A44" s="1" t="s">
        <v>49</v>
      </c>
      <c r="B44" s="1" t="str">
        <f>VLOOKUP(A44,LISTADHERENT!A$5:H$52,2,0)</f>
        <v>TAGNE NANGUEN MARTIN</v>
      </c>
      <c r="C44" s="1">
        <f>VLOOKUP(A44,FONDSDECAISSE!A$5:C$52,3,0)</f>
        <v>0</v>
      </c>
      <c r="D44" s="6">
        <v>0</v>
      </c>
      <c r="E44" s="6"/>
      <c r="F44" s="6"/>
      <c r="G44" s="6"/>
      <c r="H44" s="6"/>
      <c r="I44" s="7">
        <f t="shared" si="0"/>
        <v>240000</v>
      </c>
      <c r="J44" s="7">
        <f>TONT20000DEC2015!I44+TONT20000JANV!G44+TONT20000FEV!G44+TONT20000MARS!G44+TONT20000AVRIL!G44+TONT20000MAI!G44+TONT20000JUIN!G44+TONT20000JUIL!G44+TONT20000AOUT!G44+TONT20000SEPT!G44+TONT20000OCT!G44+TONT20000NOV!H44</f>
        <v>36000</v>
      </c>
      <c r="K44" s="7">
        <f>TONT20000DEC2015!J44+TONT20000JANV!H44+TONT20000FEV!H44+TONT20000MARS!H44+TONT20000AVRIL!H44+TONT20000MAI!H44+TONT20000JUIN!H44+TONT20000JUIL!H44+TONT20000AOUT!H44+TONT20000SEPT!H44+TONT20000OCT!H44+TONT20000NOV!I44</f>
        <v>6000</v>
      </c>
      <c r="L44" s="7">
        <f>TONT20000DEC2015!K44+TONT20000JANV!I44+TONT20000FEV!I44+TONT20000MARS!I44+TONT20000AVRIL!I44+TONT20000MAI!I44+TONT20000JUIN!I44+TONT20000JUIL!I44+TONT20000AOUT!I44+TONT20000SEPT!I44+TONT20000OCT!I44+TONT20000NOV!J44</f>
        <v>12000</v>
      </c>
      <c r="M44" s="7">
        <f>TONT20000DEC2015!L44+TONT20000JANV!J44+TONT20000FEV!J44+TONT20000MARS!J44+TONT20000AVRIL!J44+TONT20000MAI!J44+TONT20000JUIN!J44+TONT20000JUIL!J44+TONT20000AOUT!J44+TONT20000SEPT!J44+TONT20000OCT!J44+TONT20000NOV!K44</f>
        <v>30000</v>
      </c>
      <c r="N44" s="7">
        <f>TONT20000DEC2015!M44+TONT20000JANV!K44+TONT20000FEV!K44+TONT20000MARS!K44+TONT20000AVRIL!K44+TONT20000MAI!K44+TONT20000JUIN!K44+TONT20000JUIL!K44+TONT20000AOUT!K44+TONT20000SEPT!K44+TONT20000OCT!K44+TONT20000NOV!L44</f>
        <v>0</v>
      </c>
      <c r="O44" s="7">
        <f>TONT20000DEC2015!N44+TONT20000JANV!L44+TONT20000FEV!L44+TONT20000MARS!L44+TONT20000AVRIL!L44+TONT20000MAI!L44+TONT20000JUIN!L44+TONT20000JUIL!L44+TONT20000AOUT!L44+TONT20000SEPT!L44+TONT20000OCT!L44+TONT20000NOV!M44</f>
        <v>156000</v>
      </c>
      <c r="P44" s="7">
        <f>TONT20000DEC2015!O44+TONT20000JANV!M44+TONT20000FEV!M44+TONT20000MARS!M44+TONT20000AVRIL!M44+TONT20000MAI!M44+TONT20000JUIN!M44+TONT20000JUIL!M44+TONT20000AOUT!M44+TONT20000SEPT!M44+TONT20000OCT!M44+TONT20000NOV!N44</f>
        <v>0</v>
      </c>
      <c r="Q44" s="7">
        <f>TONT20000DEC2015!P44+TONT20000JANV!N44+TONT20000FEV!N44+TONT20000MARS!N44+TONT20000AVRIL!N44+TONT20000MAI!N44+TONT20000JUIN!N44+TONT20000JUIL!N44+TONT20000AOUT!N44+TONT20000SEPT!N44+TONT20000OCT!N44+TONT20000NOV!O44</f>
        <v>0</v>
      </c>
      <c r="R44" s="7">
        <f>TONT20000DEC2015!Q44+TONT20000JANV!O44+TONT20000FEV!O44+TONT20000MARS!O44+TONT20000AVRIL!O44+TONT20000MAI!O44+TONT20000JUIN!O44+TONT20000JUIL!O44+TONT20000AOUT!O44+TONT20000SEPT!O44+TONT20000OCT!O44+TONT20000NOV!P44</f>
        <v>0</v>
      </c>
      <c r="S44" s="7">
        <f>TONT20000DEC2015!R44+TONT20000JANV!P44+TONT20000FEV!P44+TONT20000MARS!P44+TONT20000AVRIL!P44+TONT20000MAI!P44+TONT20000JUIN!P44+TONT20000JUIL!P44+TONT20000AOUT!P44+TONT20000SEPT!Q44+TONT20000OCT!P44+TONT20000NOV!Q44</f>
        <v>0</v>
      </c>
      <c r="T44" s="7">
        <f>TONT20000DEC2015!R44+TONT20000JANV!P44+TONT20000FEV!P44+TONT20000MARS!P44+TONT20000AVRIL!P44+TONT20000MAI!P44+TONT20000JUIN!P44+TONT20000JUIL!P44+TONT20000AOUT!P44+TONT20000SEPT!Q44+TONT20000OCT!P44+TONT20000NOV!Q44</f>
        <v>0</v>
      </c>
      <c r="U44" s="7"/>
    </row>
    <row r="45" spans="1:21" x14ac:dyDescent="0.25">
      <c r="A45" s="1" t="s">
        <v>50</v>
      </c>
      <c r="B45" s="1" t="str">
        <f>VLOOKUP(A45,LISTADHERENT!A$5:H$52,2,0)</f>
        <v>TCHOUAMOU JEAN PAUL</v>
      </c>
      <c r="C45" s="1">
        <f>VLOOKUP(A45,FONDSDECAISSE!A$5:C$52,3,0)</f>
        <v>0</v>
      </c>
      <c r="D45" s="6">
        <v>0</v>
      </c>
      <c r="E45" s="6"/>
      <c r="F45" s="6"/>
      <c r="G45" s="6"/>
      <c r="H45" s="6"/>
      <c r="I45" s="7">
        <f t="shared" si="0"/>
        <v>290000</v>
      </c>
      <c r="J45" s="7">
        <f>TONT20000DEC2015!I45+TONT20000JANV!G45+TONT20000FEV!G45+TONT20000MARS!G45+TONT20000AVRIL!G45+TONT20000MAI!G45+TONT20000JUIN!G45+TONT20000JUIL!G45+TONT20000AOUT!G45+TONT20000SEPT!G45+TONT20000OCT!G45+TONT20000NOV!H45</f>
        <v>36000</v>
      </c>
      <c r="K45" s="7">
        <f>TONT20000DEC2015!J45+TONT20000JANV!H45+TONT20000FEV!H45+TONT20000MARS!H45+TONT20000AVRIL!H45+TONT20000MAI!H45+TONT20000JUIN!H45+TONT20000JUIL!H45+TONT20000AOUT!H45+TONT20000SEPT!H45+TONT20000OCT!H45+TONT20000NOV!I45</f>
        <v>6000</v>
      </c>
      <c r="L45" s="7">
        <f>TONT20000DEC2015!K45+TONT20000JANV!I45+TONT20000FEV!I45+TONT20000MARS!I45+TONT20000AVRIL!I45+TONT20000MAI!I45+TONT20000JUIN!I45+TONT20000JUIL!I45+TONT20000AOUT!I45+TONT20000SEPT!I45+TONT20000OCT!I45+TONT20000NOV!J45</f>
        <v>12000</v>
      </c>
      <c r="M45" s="7">
        <f>TONT20000DEC2015!L45+TONT20000JANV!J45+TONT20000FEV!J45+TONT20000MARS!J45+TONT20000AVRIL!J45+TONT20000MAI!J45+TONT20000JUIN!J45+TONT20000JUIL!J45+TONT20000AOUT!J45+TONT20000SEPT!J45+TONT20000OCT!J45+TONT20000NOV!K45</f>
        <v>30000</v>
      </c>
      <c r="N45" s="7">
        <f>TONT20000DEC2015!M45+TONT20000JANV!K45+TONT20000FEV!K45+TONT20000MARS!K45+TONT20000AVRIL!K45+TONT20000MAI!K45+TONT20000JUIN!K45+TONT20000JUIL!K45+TONT20000AOUT!K45+TONT20000SEPT!K45+TONT20000OCT!K45+TONT20000NOV!L45</f>
        <v>50000</v>
      </c>
      <c r="O45" s="7">
        <f>TONT20000DEC2015!N45+TONT20000JANV!L45+TONT20000FEV!L45+TONT20000MARS!L45+TONT20000AVRIL!L45+TONT20000MAI!L45+TONT20000JUIN!L45+TONT20000JUIL!L45+TONT20000AOUT!L45+TONT20000SEPT!L45+TONT20000OCT!L45+TONT20000NOV!M45</f>
        <v>156000</v>
      </c>
      <c r="P45" s="7">
        <f>TONT20000DEC2015!O45+TONT20000JANV!M45+TONT20000FEV!M45+TONT20000MARS!M45+TONT20000AVRIL!M45+TONT20000MAI!M45+TONT20000JUIN!M45+TONT20000JUIL!M45+TONT20000AOUT!M45+TONT20000SEPT!M45+TONT20000OCT!M45+TONT20000NOV!N45</f>
        <v>0</v>
      </c>
      <c r="Q45" s="7">
        <f>TONT20000DEC2015!P45+TONT20000JANV!N45+TONT20000FEV!N45+TONT20000MARS!N45+TONT20000AVRIL!N45+TONT20000MAI!N45+TONT20000JUIN!N45+TONT20000JUIL!N45+TONT20000AOUT!N45+TONT20000SEPT!N45+TONT20000OCT!N45+TONT20000NOV!O45</f>
        <v>0</v>
      </c>
      <c r="R45" s="7">
        <f>TONT20000DEC2015!Q45+TONT20000JANV!O45+TONT20000FEV!O45+TONT20000MARS!O45+TONT20000AVRIL!O45+TONT20000MAI!O45+TONT20000JUIN!O45+TONT20000JUIL!O45+TONT20000AOUT!O45+TONT20000SEPT!O45+TONT20000OCT!O45+TONT20000NOV!P45</f>
        <v>0</v>
      </c>
      <c r="S45" s="7">
        <f>TONT20000DEC2015!R45+TONT20000JANV!P45+TONT20000FEV!P45+TONT20000MARS!P45+TONT20000AVRIL!P45+TONT20000MAI!P45+TONT20000JUIN!P45+TONT20000JUIL!P45+TONT20000AOUT!P45+TONT20000SEPT!Q45+TONT20000OCT!P45+TONT20000NOV!Q45</f>
        <v>0</v>
      </c>
      <c r="T45" s="7">
        <f>TONT20000DEC2015!R45+TONT20000JANV!P45+TONT20000FEV!P45+TONT20000MARS!P45+TONT20000AVRIL!P45+TONT20000MAI!P45+TONT20000JUIN!P45+TONT20000JUIL!P45+TONT20000AOUT!P45+TONT20000SEPT!Q45+TONT20000OCT!P45+TONT20000NOV!Q45</f>
        <v>0</v>
      </c>
      <c r="U45" s="7"/>
    </row>
    <row r="46" spans="1:21" x14ac:dyDescent="0.25">
      <c r="A46" s="1" t="s">
        <v>51</v>
      </c>
      <c r="B46" s="1" t="str">
        <f>VLOOKUP(A46,LISTADHERENT!A$5:H$52,2,0)</f>
        <v>TCHOUAMOU MATHIEU</v>
      </c>
      <c r="C46" s="1">
        <f>VLOOKUP(A46,FONDSDECAISSE!A$5:C$52,3,0)</f>
        <v>390000</v>
      </c>
      <c r="D46" s="6">
        <v>3437</v>
      </c>
      <c r="E46" s="6"/>
      <c r="F46" s="6"/>
      <c r="G46" s="6"/>
      <c r="H46" s="6"/>
      <c r="I46" s="7">
        <f t="shared" si="0"/>
        <v>294075</v>
      </c>
      <c r="J46" s="7">
        <f>TONT20000DEC2015!I46+TONT20000JANV!G46+TONT20000FEV!G46+TONT20000MARS!G46+TONT20000AVRIL!G46+TONT20000MAI!G46+TONT20000JUIN!G46+TONT20000JUIL!G46+TONT20000AOUT!G46+TONT20000SEPT!G46+TONT20000OCT!G46+TONT20000NOV!H46</f>
        <v>36000</v>
      </c>
      <c r="K46" s="7">
        <f>TONT20000DEC2015!J46+TONT20000JANV!H46+TONT20000FEV!H46+TONT20000MARS!H46+TONT20000AVRIL!H46+TONT20000MAI!H46+TONT20000JUIN!H46+TONT20000JUIL!H46+TONT20000AOUT!H46+TONT20000SEPT!H46+TONT20000OCT!H46+TONT20000NOV!I46</f>
        <v>6000</v>
      </c>
      <c r="L46" s="7">
        <f>TONT20000DEC2015!K46+TONT20000JANV!I46+TONT20000FEV!I46+TONT20000MARS!I46+TONT20000AVRIL!I46+TONT20000MAI!I46+TONT20000JUIN!I46+TONT20000JUIL!I46+TONT20000AOUT!I46+TONT20000SEPT!I46+TONT20000OCT!I46+TONT20000NOV!J46</f>
        <v>12000</v>
      </c>
      <c r="M46" s="7">
        <f>TONT20000DEC2015!L46+TONT20000JANV!J46+TONT20000FEV!J46+TONT20000MARS!J46+TONT20000AVRIL!J46+TONT20000MAI!J46+TONT20000JUIN!J46+TONT20000JUIL!J46+TONT20000AOUT!J46+TONT20000SEPT!J46+TONT20000OCT!J46+TONT20000NOV!K46</f>
        <v>30000</v>
      </c>
      <c r="N46" s="7">
        <f>TONT20000DEC2015!M46+TONT20000JANV!K46+TONT20000FEV!K46+TONT20000MARS!K46+TONT20000AVRIL!K46+TONT20000MAI!K46+TONT20000JUIN!K46+TONT20000JUIL!K46+TONT20000AOUT!K46+TONT20000SEPT!K46+TONT20000OCT!K46+TONT20000NOV!L46</f>
        <v>0</v>
      </c>
      <c r="O46" s="7">
        <f>TONT20000DEC2015!N46+TONT20000JANV!L46+TONT20000FEV!L46+TONT20000MARS!L46+TONT20000AVRIL!L46+TONT20000MAI!L46+TONT20000JUIN!L46+TONT20000JUIL!L46+TONT20000AOUT!L46+TONT20000SEPT!L46+TONT20000OCT!L46+TONT20000NOV!M46</f>
        <v>156000</v>
      </c>
      <c r="P46" s="7">
        <f>TONT20000DEC2015!O46+TONT20000JANV!M46+TONT20000FEV!M46+TONT20000MARS!M46+TONT20000AVRIL!M46+TONT20000MAI!M46+TONT20000JUIN!M46+TONT20000JUIL!M46+TONT20000AOUT!M46+TONT20000SEPT!M46+TONT20000OCT!M46+TONT20000NOV!N46</f>
        <v>1500000</v>
      </c>
      <c r="Q46" s="7">
        <f>TONT20000DEC2015!P46+TONT20000JANV!N46+TONT20000FEV!N46+TONT20000MARS!N46+TONT20000AVRIL!N46+TONT20000MAI!N46+TONT20000JUIN!N46+TONT20000JUIL!N46+TONT20000AOUT!N46+TONT20000SEPT!N46+TONT20000OCT!N46+TONT20000NOV!O46</f>
        <v>45000</v>
      </c>
      <c r="R46" s="7">
        <f>TONT20000DEC2015!Q46+TONT20000JANV!O46+TONT20000FEV!O46+TONT20000MARS!O46+TONT20000AVRIL!O46+TONT20000MAI!O46+TONT20000JUIN!O46+TONT20000JUIL!O46+TONT20000AOUT!O46+TONT20000SEPT!O46+TONT20000OCT!O46+TONT20000NOV!P46</f>
        <v>1000000</v>
      </c>
      <c r="S46" s="7">
        <f>TONT20000DEC2015!R46+TONT20000JANV!P46+TONT20000FEV!P46+TONT20000MARS!P46+TONT20000AVRIL!P46+TONT20000MAI!P46+TONT20000JUIN!P46+TONT20000JUIL!P46+TONT20000AOUT!P46+TONT20000SEPT!Q46+TONT20000OCT!P46+TONT20000NOV!Q46</f>
        <v>54075</v>
      </c>
      <c r="T46" s="7">
        <f>TONT20000DEC2015!R46+TONT20000JANV!P46+TONT20000FEV!P46+TONT20000MARS!P46+TONT20000AVRIL!P46+TONT20000MAI!P46+TONT20000JUIN!P46+TONT20000JUIL!P46+TONT20000AOUT!P46+TONT20000SEPT!Q46+TONT20000OCT!P46+TONT20000NOV!Q46</f>
        <v>54075</v>
      </c>
      <c r="U46" s="7"/>
    </row>
    <row r="47" spans="1:21" x14ac:dyDescent="0.25">
      <c r="A47" s="1" t="s">
        <v>52</v>
      </c>
      <c r="B47" s="1" t="str">
        <f>VLOOKUP(A47,LISTADHERENT!A$5:H$52,2,0)</f>
        <v>TCHOUANTE FRANCOIS</v>
      </c>
      <c r="C47" s="1">
        <f>VLOOKUP(A47,FONDSDECAISSE!A$5:C$52,3,0)</f>
        <v>257119</v>
      </c>
      <c r="D47" s="6">
        <v>4925</v>
      </c>
      <c r="E47" s="6"/>
      <c r="F47" s="6"/>
      <c r="G47" s="6"/>
      <c r="H47" s="6"/>
      <c r="I47" s="7">
        <f t="shared" si="0"/>
        <v>267000</v>
      </c>
      <c r="J47" s="7">
        <f>TONT20000DEC2015!I47+TONT20000JANV!G47+TONT20000FEV!G47+TONT20000MARS!G47+TONT20000AVRIL!G47+TONT20000MAI!G47+TONT20000JUIN!G47+TONT20000JUIL!G47+TONT20000AOUT!G47+TONT20000SEPT!G47+TONT20000OCT!G47+TONT20000NOV!H47</f>
        <v>63000</v>
      </c>
      <c r="K47" s="7">
        <f>TONT20000DEC2015!J47+TONT20000JANV!H47+TONT20000FEV!H47+TONT20000MARS!H47+TONT20000AVRIL!H47+TONT20000MAI!H47+TONT20000JUIN!H47+TONT20000JUIL!H47+TONT20000AOUT!H47+TONT20000SEPT!H47+TONT20000OCT!H47+TONT20000NOV!I47</f>
        <v>6000</v>
      </c>
      <c r="L47" s="7">
        <f>TONT20000DEC2015!K47+TONT20000JANV!I47+TONT20000FEV!I47+TONT20000MARS!I47+TONT20000AVRIL!I47+TONT20000MAI!I47+TONT20000JUIN!I47+TONT20000JUIL!I47+TONT20000AOUT!I47+TONT20000SEPT!I47+TONT20000OCT!I47+TONT20000NOV!J47</f>
        <v>12000</v>
      </c>
      <c r="M47" s="7">
        <f>TONT20000DEC2015!L47+TONT20000JANV!J47+TONT20000FEV!J47+TONT20000MARS!J47+TONT20000AVRIL!J47+TONT20000MAI!J47+TONT20000JUIN!J47+TONT20000JUIL!J47+TONT20000AOUT!J47+TONT20000SEPT!J47+TONT20000OCT!J47+TONT20000NOV!K47</f>
        <v>30000</v>
      </c>
      <c r="N47" s="7">
        <f>TONT20000DEC2015!M47+TONT20000JANV!K47+TONT20000FEV!K47+TONT20000MARS!K47+TONT20000AVRIL!K47+TONT20000MAI!K47+TONT20000JUIN!K47+TONT20000JUIL!K47+TONT20000AOUT!K47+TONT20000SEPT!K47+TONT20000OCT!K47+TONT20000NOV!L47</f>
        <v>0</v>
      </c>
      <c r="O47" s="7">
        <f>TONT20000DEC2015!N47+TONT20000JANV!L47+TONT20000FEV!L47+TONT20000MARS!L47+TONT20000AVRIL!L47+TONT20000MAI!L47+TONT20000JUIN!L47+TONT20000JUIL!L47+TONT20000AOUT!L47+TONT20000SEPT!L47+TONT20000OCT!L47+TONT20000NOV!M47</f>
        <v>156000</v>
      </c>
      <c r="P47" s="7">
        <f>TONT20000DEC2015!O47+TONT20000JANV!M47+TONT20000FEV!M47+TONT20000MARS!M47+TONT20000AVRIL!M47+TONT20000MAI!M47+TONT20000JUIN!M47+TONT20000JUIL!M47+TONT20000AOUT!M47+TONT20000SEPT!M47+TONT20000OCT!M47+TONT20000NOV!N47</f>
        <v>1250000</v>
      </c>
      <c r="Q47" s="7">
        <f>TONT20000DEC2015!P47+TONT20000JANV!N47+TONT20000FEV!N47+TONT20000MARS!N47+TONT20000AVRIL!N47+TONT20000MAI!N47+TONT20000JUIN!N47+TONT20000JUIL!N47+TONT20000AOUT!N47+TONT20000SEPT!N47+TONT20000OCT!N47+TONT20000NOV!O47</f>
        <v>105000</v>
      </c>
      <c r="R47" s="7">
        <f>TONT20000DEC2015!Q47+TONT20000JANV!O47+TONT20000FEV!O47+TONT20000MARS!O47+TONT20000AVRIL!O47+TONT20000MAI!O47+TONT20000JUIN!O47+TONT20000JUIL!O47+TONT20000AOUT!O47+TONT20000SEPT!O47+TONT20000OCT!O47+TONT20000NOV!P47</f>
        <v>0</v>
      </c>
      <c r="S47" s="7">
        <f>TONT20000DEC2015!R47+TONT20000JANV!P47+TONT20000FEV!P47+TONT20000MARS!P47+TONT20000AVRIL!P47+TONT20000MAI!P47+TONT20000JUIN!P47+TONT20000JUIL!P47+TONT20000AOUT!P47+TONT20000SEPT!Q47+TONT20000OCT!P47+TONT20000NOV!Q47</f>
        <v>0</v>
      </c>
      <c r="T47" s="7">
        <f>TONT20000DEC2015!R47+TONT20000JANV!P47+TONT20000FEV!P47+TONT20000MARS!P47+TONT20000AVRIL!P47+TONT20000MAI!P47+TONT20000JUIN!P47+TONT20000JUIL!P47+TONT20000AOUT!P47+TONT20000SEPT!Q47+TONT20000OCT!P47+TONT20000NOV!Q47</f>
        <v>0</v>
      </c>
      <c r="U47" s="7"/>
    </row>
    <row r="48" spans="1:21" x14ac:dyDescent="0.25">
      <c r="A48" s="1" t="s">
        <v>53</v>
      </c>
      <c r="B48" s="1" t="str">
        <f>VLOOKUP(A48,LISTADHERENT!A$5:H$52,2,0)</f>
        <v>TCHOUTOU NANA CLAUDE</v>
      </c>
      <c r="C48" s="1">
        <f>VLOOKUP(A48,FONDSDECAISSE!A$5:C$52,3,0)</f>
        <v>0</v>
      </c>
      <c r="D48" s="6">
        <v>0</v>
      </c>
      <c r="E48" s="6"/>
      <c r="F48" s="6"/>
      <c r="G48" s="6"/>
      <c r="H48" s="6"/>
      <c r="I48" s="7">
        <f t="shared" si="0"/>
        <v>160000</v>
      </c>
      <c r="J48" s="7">
        <f>TONT20000DEC2015!I48+TONT20000JANV!G48+TONT20000FEV!G48+TONT20000MARS!G48+TONT20000AVRIL!G48+TONT20000MAI!G48+TONT20000JUIN!G48+TONT20000JUIL!G48+TONT20000AOUT!G48+TONT20000SEPT!G48+TONT20000OCT!G48+TONT20000NOV!H48</f>
        <v>24000</v>
      </c>
      <c r="K48" s="7">
        <f>TONT20000DEC2015!J48+TONT20000JANV!H48+TONT20000FEV!H48+TONT20000MARS!H48+TONT20000AVRIL!H48+TONT20000MAI!H48+TONT20000JUIN!H48+TONT20000JUIL!H48+TONT20000AOUT!H48+TONT20000SEPT!H48+TONT20000OCT!H48+TONT20000NOV!I48</f>
        <v>4000</v>
      </c>
      <c r="L48" s="7">
        <f>TONT20000DEC2015!K48+TONT20000JANV!I48+TONT20000FEV!I48+TONT20000MARS!I48+TONT20000AVRIL!I48+TONT20000MAI!I48+TONT20000JUIN!I48+TONT20000JUIL!I48+TONT20000AOUT!I48+TONT20000SEPT!I48+TONT20000OCT!I48+TONT20000NOV!J48</f>
        <v>8000</v>
      </c>
      <c r="M48" s="7">
        <f>TONT20000DEC2015!L48+TONT20000JANV!J48+TONT20000FEV!J48+TONT20000MARS!J48+TONT20000AVRIL!J48+TONT20000MAI!J48+TONT20000JUIN!J48+TONT20000JUIL!J48+TONT20000AOUT!J48+TONT20000SEPT!J48+TONT20000OCT!J48+TONT20000NOV!K48</f>
        <v>20000</v>
      </c>
      <c r="N48" s="7">
        <f>TONT20000DEC2015!M48+TONT20000JANV!K48+TONT20000FEV!K48+TONT20000MARS!K48+TONT20000AVRIL!K48+TONT20000MAI!K48+TONT20000JUIN!K48+TONT20000JUIL!K48+TONT20000AOUT!K48+TONT20000SEPT!K48+TONT20000OCT!K48+TONT20000NOV!L48</f>
        <v>0</v>
      </c>
      <c r="O48" s="7">
        <f>TONT20000DEC2015!N48+TONT20000JANV!L48+TONT20000FEV!L48+TONT20000MARS!L48+TONT20000AVRIL!L48+TONT20000MAI!L48+TONT20000JUIN!L48+TONT20000JUIL!L48+TONT20000AOUT!L48+TONT20000SEPT!L48+TONT20000OCT!L48+TONT20000NOV!M48</f>
        <v>104000</v>
      </c>
      <c r="P48" s="7">
        <f>TONT20000DEC2015!O48+TONT20000JANV!M48+TONT20000FEV!M48+TONT20000MARS!M48+TONT20000AVRIL!M48+TONT20000MAI!M48+TONT20000JUIN!M48+TONT20000JUIL!M48+TONT20000AOUT!M48+TONT20000SEPT!M48+TONT20000OCT!M48+TONT20000NOV!N48</f>
        <v>0</v>
      </c>
      <c r="Q48" s="7">
        <f>TONT20000DEC2015!P48+TONT20000JANV!N48+TONT20000FEV!N48+TONT20000MARS!N48+TONT20000AVRIL!N48+TONT20000MAI!N48+TONT20000JUIN!N48+TONT20000JUIL!N48+TONT20000AOUT!N48+TONT20000SEPT!N48+TONT20000OCT!N48+TONT20000NOV!O48</f>
        <v>0</v>
      </c>
      <c r="R48" s="7">
        <f>TONT20000DEC2015!Q48+TONT20000JANV!O48+TONT20000FEV!O48+TONT20000MARS!O48+TONT20000AVRIL!O48+TONT20000MAI!O48+TONT20000JUIN!O48+TONT20000JUIL!O48+TONT20000AOUT!O48+TONT20000SEPT!O48+TONT20000OCT!O48+TONT20000NOV!P48</f>
        <v>0</v>
      </c>
      <c r="S48" s="7">
        <f>TONT20000DEC2015!R48+TONT20000JANV!P48+TONT20000FEV!P48+TONT20000MARS!P48+TONT20000AVRIL!P48+TONT20000MAI!P48+TONT20000JUIN!P48+TONT20000JUIL!P48+TONT20000AOUT!P48+TONT20000SEPT!Q48+TONT20000OCT!P48+TONT20000NOV!Q48</f>
        <v>0</v>
      </c>
      <c r="T48" s="7">
        <f>TONT20000DEC2015!R48+TONT20000JANV!P48+TONT20000FEV!P48+TONT20000MARS!P48+TONT20000AVRIL!P48+TONT20000MAI!P48+TONT20000JUIN!P48+TONT20000JUIL!P48+TONT20000AOUT!P48+TONT20000SEPT!Q48+TONT20000OCT!P48+TONT20000NOV!Q48</f>
        <v>0</v>
      </c>
      <c r="U48" s="7"/>
    </row>
    <row r="49" spans="1:21" x14ac:dyDescent="0.25">
      <c r="A49" s="1" t="s">
        <v>54</v>
      </c>
      <c r="B49" s="1" t="str">
        <f>VLOOKUP(A49,LISTADHERENT!A$5:H$52,2,0)</f>
        <v>TIEYAM ERNEST</v>
      </c>
      <c r="C49" s="1">
        <f>VLOOKUP(A49,FONDSDECAISSE!A$5:C$52,3,0)</f>
        <v>390000</v>
      </c>
      <c r="D49" s="6">
        <v>804</v>
      </c>
      <c r="E49" s="6"/>
      <c r="F49" s="6"/>
      <c r="G49" s="6"/>
      <c r="H49" s="6"/>
      <c r="I49" s="7">
        <f t="shared" si="0"/>
        <v>240000</v>
      </c>
      <c r="J49" s="7">
        <f>TONT20000DEC2015!I49+TONT20000JANV!G49+TONT20000FEV!G49+TONT20000MARS!G49+TONT20000AVRIL!G49+TONT20000MAI!G49+TONT20000JUIN!G49+TONT20000JUIL!G49+TONT20000AOUT!G49+TONT20000SEPT!G49+TONT20000OCT!G49+TONT20000NOV!H49</f>
        <v>36000</v>
      </c>
      <c r="K49" s="7">
        <f>TONT20000DEC2015!J49+TONT20000JANV!H49+TONT20000FEV!H49+TONT20000MARS!H49+TONT20000AVRIL!H49+TONT20000MAI!H49+TONT20000JUIN!H49+TONT20000JUIL!H49+TONT20000AOUT!H49+TONT20000SEPT!H49+TONT20000OCT!H49+TONT20000NOV!I49</f>
        <v>6000</v>
      </c>
      <c r="L49" s="7">
        <f>TONT20000DEC2015!K49+TONT20000JANV!I49+TONT20000FEV!I49+TONT20000MARS!I49+TONT20000AVRIL!I49+TONT20000MAI!I49+TONT20000JUIN!I49+TONT20000JUIL!I49+TONT20000AOUT!I49+TONT20000SEPT!I49+TONT20000OCT!I49+TONT20000NOV!J49</f>
        <v>12000</v>
      </c>
      <c r="M49" s="7">
        <f>TONT20000DEC2015!L49+TONT20000JANV!J49+TONT20000FEV!J49+TONT20000MARS!J49+TONT20000AVRIL!J49+TONT20000MAI!J49+TONT20000JUIN!J49+TONT20000JUIL!J49+TONT20000AOUT!J49+TONT20000SEPT!J49+TONT20000OCT!J49+TONT20000NOV!K49</f>
        <v>30000</v>
      </c>
      <c r="N49" s="7">
        <f>TONT20000DEC2015!M49+TONT20000JANV!K49+TONT20000FEV!K49+TONT20000MARS!K49+TONT20000AVRIL!K49+TONT20000MAI!K49+TONT20000JUIN!K49+TONT20000JUIL!K49+TONT20000AOUT!K49+TONT20000SEPT!K49+TONT20000OCT!K49+TONT20000NOV!L49</f>
        <v>0</v>
      </c>
      <c r="O49" s="7">
        <f>TONT20000DEC2015!N49+TONT20000JANV!L49+TONT20000FEV!L49+TONT20000MARS!L49+TONT20000AVRIL!L49+TONT20000MAI!L49+TONT20000JUIN!L49+TONT20000JUIL!L49+TONT20000AOUT!L49+TONT20000SEPT!L49+TONT20000OCT!L49+TONT20000NOV!M49</f>
        <v>156000</v>
      </c>
      <c r="P49" s="7">
        <f>TONT20000DEC2015!O49+TONT20000JANV!M49+TONT20000FEV!M49+TONT20000MARS!M49+TONT20000AVRIL!M49+TONT20000MAI!M49+TONT20000JUIN!M49+TONT20000JUIL!M49+TONT20000AOUT!M49+TONT20000SEPT!M49+TONT20000OCT!M49+TONT20000NOV!N49</f>
        <v>1000000</v>
      </c>
      <c r="Q49" s="7">
        <f>TONT20000DEC2015!P49+TONT20000JANV!N49+TONT20000FEV!N49+TONT20000MARS!N49+TONT20000AVRIL!N49+TONT20000MAI!N49+TONT20000JUIN!N49+TONT20000JUIL!N49+TONT20000AOUT!N49+TONT20000SEPT!N49+TONT20000OCT!N49+TONT20000NOV!O49</f>
        <v>120000</v>
      </c>
      <c r="R49" s="7">
        <f>TONT20000DEC2015!Q49+TONT20000JANV!O49+TONT20000FEV!O49+TONT20000MARS!O49+TONT20000AVRIL!O49+TONT20000MAI!O49+TONT20000JUIN!O49+TONT20000JUIL!O49+TONT20000AOUT!O49+TONT20000SEPT!O49+TONT20000OCT!O49+TONT20000NOV!P49</f>
        <v>0</v>
      </c>
      <c r="S49" s="7">
        <f>TONT20000DEC2015!R49+TONT20000JANV!P49+TONT20000FEV!P49+TONT20000MARS!P49+TONT20000AVRIL!P49+TONT20000MAI!P49+TONT20000JUIN!P49+TONT20000JUIL!P49+TONT20000AOUT!P49+TONT20000SEPT!Q49+TONT20000OCT!P49+TONT20000NOV!Q49</f>
        <v>0</v>
      </c>
      <c r="T49" s="7">
        <f>TONT20000DEC2015!R49+TONT20000JANV!P49+TONT20000FEV!P49+TONT20000MARS!P49+TONT20000AVRIL!P49+TONT20000MAI!P49+TONT20000JUIN!P49+TONT20000JUIL!P49+TONT20000AOUT!P49+TONT20000SEPT!Q49+TONT20000OCT!P49+TONT20000NOV!Q49</f>
        <v>0</v>
      </c>
      <c r="U49" s="7"/>
    </row>
    <row r="50" spans="1:21" x14ac:dyDescent="0.25">
      <c r="A50" s="1" t="s">
        <v>55</v>
      </c>
      <c r="B50" s="1" t="str">
        <f>VLOOKUP(A50,LISTADHERENT!A$5:H$52,2,0)</f>
        <v>TUGMA PIERRE LOTI</v>
      </c>
      <c r="C50" s="1">
        <f>VLOOKUP(A50,FONDSDECAISSE!A$5:C$52,3,0)</f>
        <v>390000</v>
      </c>
      <c r="D50" s="6">
        <v>17636</v>
      </c>
      <c r="E50" s="6"/>
      <c r="F50" s="6"/>
      <c r="G50" s="6"/>
      <c r="H50" s="6"/>
      <c r="I50" s="7">
        <f t="shared" si="0"/>
        <v>240000</v>
      </c>
      <c r="J50" s="7">
        <f>TONT20000DEC2015!I50+TONT20000JANV!G50+TONT20000FEV!G50+TONT20000MARS!G50+TONT20000AVRIL!G50+TONT20000MAI!G50+TONT20000JUIN!G50+TONT20000JUIL!G50+TONT20000AOUT!G50+TONT20000SEPT!G50+TONT20000OCT!G50+TONT20000NOV!H50</f>
        <v>36000</v>
      </c>
      <c r="K50" s="7">
        <f>TONT20000DEC2015!J50+TONT20000JANV!H50+TONT20000FEV!H50+TONT20000MARS!H50+TONT20000AVRIL!H50+TONT20000MAI!H50+TONT20000JUIN!H50+TONT20000JUIL!H50+TONT20000AOUT!H50+TONT20000SEPT!H50+TONT20000OCT!H50+TONT20000NOV!I50</f>
        <v>6000</v>
      </c>
      <c r="L50" s="7">
        <f>TONT20000DEC2015!K50+TONT20000JANV!I50+TONT20000FEV!I50+TONT20000MARS!I50+TONT20000AVRIL!I50+TONT20000MAI!I50+TONT20000JUIN!I50+TONT20000JUIL!I50+TONT20000AOUT!I50+TONT20000SEPT!I50+TONT20000OCT!I50+TONT20000NOV!J50</f>
        <v>12000</v>
      </c>
      <c r="M50" s="7">
        <f>TONT20000DEC2015!L50+TONT20000JANV!J50+TONT20000FEV!J50+TONT20000MARS!J50+TONT20000AVRIL!J50+TONT20000MAI!J50+TONT20000JUIN!J50+TONT20000JUIL!J50+TONT20000AOUT!J50+TONT20000SEPT!J50+TONT20000OCT!J50+TONT20000NOV!K50</f>
        <v>30000</v>
      </c>
      <c r="N50" s="7">
        <f>TONT20000DEC2015!M50+TONT20000JANV!K50+TONT20000FEV!K50+TONT20000MARS!K50+TONT20000AVRIL!K50+TONT20000MAI!K50+TONT20000JUIN!K50+TONT20000JUIL!K50+TONT20000AOUT!K50+TONT20000SEPT!K50+TONT20000OCT!K50+TONT20000NOV!L50</f>
        <v>0</v>
      </c>
      <c r="O50" s="7">
        <f>TONT20000DEC2015!N50+TONT20000JANV!L50+TONT20000FEV!L50+TONT20000MARS!L50+TONT20000AVRIL!L50+TONT20000MAI!L50+TONT20000JUIN!L50+TONT20000JUIL!L50+TONT20000AOUT!L50+TONT20000SEPT!L50+TONT20000OCT!L50+TONT20000NOV!M50</f>
        <v>156000</v>
      </c>
      <c r="P50" s="7">
        <f>TONT20000DEC2015!O50+TONT20000JANV!M50+TONT20000FEV!M50+TONT20000MARS!M50+TONT20000AVRIL!M50+TONT20000MAI!M50+TONT20000JUIN!M50+TONT20000JUIL!M50+TONT20000AOUT!M50+TONT20000SEPT!M50+TONT20000OCT!M50+TONT20000NOV!N50</f>
        <v>0</v>
      </c>
      <c r="Q50" s="7">
        <f>TONT20000DEC2015!P50+TONT20000JANV!N50+TONT20000FEV!N50+TONT20000MARS!N50+TONT20000AVRIL!N50+TONT20000MAI!N50+TONT20000JUIN!N50+TONT20000JUIL!N50+TONT20000AOUT!N50+TONT20000SEPT!N50+TONT20000OCT!N50+TONT20000NOV!O50</f>
        <v>0</v>
      </c>
      <c r="R50" s="7">
        <f>TONT20000DEC2015!Q50+TONT20000JANV!O50+TONT20000FEV!O50+TONT20000MARS!O50+TONT20000AVRIL!O50+TONT20000MAI!O50+TONT20000JUIN!O50+TONT20000JUIL!O50+TONT20000AOUT!O50+TONT20000SEPT!O50+TONT20000OCT!O50+TONT20000NOV!P50</f>
        <v>0</v>
      </c>
      <c r="S50" s="7">
        <f>TONT20000DEC2015!R50+TONT20000JANV!P50+TONT20000FEV!P50+TONT20000MARS!P50+TONT20000AVRIL!P50+TONT20000MAI!P50+TONT20000JUIN!P50+TONT20000JUIL!P50+TONT20000AOUT!P50+TONT20000SEPT!Q50+TONT20000OCT!P50+TONT20000NOV!Q50</f>
        <v>0</v>
      </c>
      <c r="T50" s="7">
        <f>TONT20000DEC2015!R50+TONT20000JANV!P50+TONT20000FEV!P50+TONT20000MARS!P50+TONT20000AVRIL!P50+TONT20000MAI!P50+TONT20000JUIN!P50+TONT20000JUIL!P50+TONT20000AOUT!P50+TONT20000SEPT!Q50+TONT20000OCT!P50+TONT20000NOV!Q50</f>
        <v>0</v>
      </c>
      <c r="U50" s="7"/>
    </row>
    <row r="51" spans="1:21" x14ac:dyDescent="0.25">
      <c r="A51" s="1" t="s">
        <v>66</v>
      </c>
      <c r="B51" s="1" t="str">
        <f>VLOOKUP(A51,LISTADHERENT!A$5:H$52,2,0)</f>
        <v>YEPMOU JEAN JACQUES</v>
      </c>
      <c r="C51" s="1">
        <f>VLOOKUP(A51,FONDSDECAISSE!A$5:C$52,3,0)</f>
        <v>390000</v>
      </c>
      <c r="D51" s="6">
        <v>421237</v>
      </c>
      <c r="E51" s="6"/>
      <c r="F51" s="6"/>
      <c r="G51" s="6"/>
      <c r="H51" s="6"/>
      <c r="I51" s="7">
        <f t="shared" si="0"/>
        <v>240000</v>
      </c>
      <c r="J51" s="7">
        <f>TONT20000DEC2015!I51+TONT20000JANV!G51+TONT20000FEV!G51+TONT20000MARS!G51+TONT20000AVRIL!G51+TONT20000MAI!G51+TONT20000JUIN!G51+TONT20000JUIL!G51+TONT20000AOUT!G51+TONT20000SEPT!G51+TONT20000OCT!G51+TONT20000NOV!H51</f>
        <v>36000</v>
      </c>
      <c r="K51" s="7">
        <f>TONT20000DEC2015!J51+TONT20000JANV!H51+TONT20000FEV!H51+TONT20000MARS!H51+TONT20000AVRIL!H51+TONT20000MAI!H51+TONT20000JUIN!H51+TONT20000JUIL!H51+TONT20000AOUT!H51+TONT20000SEPT!H51+TONT20000OCT!H51+TONT20000NOV!I51</f>
        <v>6000</v>
      </c>
      <c r="L51" s="7">
        <f>TONT20000DEC2015!K51+TONT20000JANV!I51+TONT20000FEV!I51+TONT20000MARS!I51+TONT20000AVRIL!I51+TONT20000MAI!I51+TONT20000JUIN!I51+TONT20000JUIL!I51+TONT20000AOUT!I51+TONT20000SEPT!I51+TONT20000OCT!I51+TONT20000NOV!J51</f>
        <v>12000</v>
      </c>
      <c r="M51" s="7">
        <f>TONT20000DEC2015!L51+TONT20000JANV!J51+TONT20000FEV!J51+TONT20000MARS!J51+TONT20000AVRIL!J51+TONT20000MAI!J51+TONT20000JUIN!J51+TONT20000JUIL!J51+TONT20000AOUT!J51+TONT20000SEPT!J51+TONT20000OCT!J51+TONT20000NOV!K51</f>
        <v>30000</v>
      </c>
      <c r="N51" s="7">
        <f>TONT20000DEC2015!M51+TONT20000JANV!K51+TONT20000FEV!K51+TONT20000MARS!K51+TONT20000AVRIL!K51+TONT20000MAI!K51+TONT20000JUIN!K51+TONT20000JUIL!K51+TONT20000AOUT!K51+TONT20000SEPT!K51+TONT20000OCT!K51+TONT20000NOV!L51</f>
        <v>0</v>
      </c>
      <c r="O51" s="7">
        <f>TONT20000DEC2015!N51+TONT20000JANV!L51+TONT20000FEV!L51+TONT20000MARS!L51+TONT20000AVRIL!L51+TONT20000MAI!L51+TONT20000JUIN!L51+TONT20000JUIL!L51+TONT20000AOUT!L51+TONT20000SEPT!L51+TONT20000OCT!L51+TONT20000NOV!M51</f>
        <v>156000</v>
      </c>
      <c r="P51" s="7">
        <f>TONT20000DEC2015!O51+TONT20000JANV!M51+TONT20000FEV!M51+TONT20000MARS!M51+TONT20000AVRIL!M51+TONT20000MAI!M51+TONT20000JUIN!M51+TONT20000JUIL!M51+TONT20000AOUT!M51+TONT20000SEPT!M51+TONT20000OCT!M51+TONT20000NOV!N51</f>
        <v>0</v>
      </c>
      <c r="Q51" s="7">
        <f>TONT20000DEC2015!P51+TONT20000JANV!N51+TONT20000FEV!N51+TONT20000MARS!N51+TONT20000AVRIL!N51+TONT20000MAI!N51+TONT20000JUIN!N51+TONT20000JUIL!N51+TONT20000AOUT!N51+TONT20000SEPT!N51+TONT20000OCT!N51+TONT20000NOV!O51</f>
        <v>0</v>
      </c>
      <c r="R51" s="7">
        <f>TONT20000DEC2015!Q51+TONT20000JANV!O51+TONT20000FEV!O51+TONT20000MARS!O51+TONT20000AVRIL!O51+TONT20000MAI!O51+TONT20000JUIN!O51+TONT20000JUIL!O51+TONT20000AOUT!O51+TONT20000SEPT!O51+TONT20000OCT!O51+TONT20000NOV!P51</f>
        <v>0</v>
      </c>
      <c r="S51" s="7">
        <f>TONT20000DEC2015!R51+TONT20000JANV!P51+TONT20000FEV!P51+TONT20000MARS!P51+TONT20000AVRIL!P51+TONT20000MAI!P51+TONT20000JUIN!P51+TONT20000JUIL!P51+TONT20000AOUT!P51+TONT20000SEPT!Q51+TONT20000OCT!P51+TONT20000NOV!Q51</f>
        <v>0</v>
      </c>
      <c r="T51" s="7">
        <f>TONT20000DEC2015!R51+TONT20000JANV!P51+TONT20000FEV!P51+TONT20000MARS!P51+TONT20000AVRIL!P51+TONT20000MAI!P51+TONT20000JUIN!P51+TONT20000JUIL!P51+TONT20000AOUT!P51+TONT20000SEPT!Q51+TONT20000OCT!P51+TONT20000NOV!Q51</f>
        <v>0</v>
      </c>
    </row>
    <row r="52" spans="1:21" x14ac:dyDescent="0.25">
      <c r="A52" s="1" t="s">
        <v>178</v>
      </c>
      <c r="B52" s="1" t="str">
        <f>VLOOKUP(A52,LISTADHERENT!A$5:H$52,2,0)</f>
        <v>YOUMBI EMMANUEL</v>
      </c>
      <c r="C52" s="1">
        <f>VLOOKUP(A52,FONDSDECAISSE!A$5:C$52,3,0)</f>
        <v>390000</v>
      </c>
      <c r="D52" s="6">
        <v>1003279</v>
      </c>
      <c r="E52" s="6"/>
      <c r="F52" s="6"/>
      <c r="G52" s="6"/>
      <c r="H52" s="6"/>
      <c r="I52" s="7">
        <f t="shared" si="0"/>
        <v>240000</v>
      </c>
      <c r="J52" s="7">
        <f>TONT20000DEC2015!I52+TONT20000JANV!G52+TONT20000FEV!G52+TONT20000MARS!G52+TONT20000AVRIL!G52+TONT20000MAI!G52+TONT20000JUIN!G52+TONT20000JUIL!G52+TONT20000AOUT!G52+TONT20000SEPT!G52+TONT20000OCT!G52+TONT20000NOV!H52</f>
        <v>36000</v>
      </c>
      <c r="K52" s="7">
        <f>TONT20000DEC2015!J52+TONT20000JANV!H52+TONT20000FEV!H52+TONT20000MARS!H52+TONT20000AVRIL!H52+TONT20000MAI!H52+TONT20000JUIN!H52+TONT20000JUIL!H52+TONT20000AOUT!H52+TONT20000SEPT!H52+TONT20000OCT!H52+TONT20000NOV!I52</f>
        <v>6000</v>
      </c>
      <c r="L52" s="7">
        <f>TONT20000DEC2015!K52+TONT20000JANV!I52+TONT20000FEV!I52+TONT20000MARS!I52+TONT20000AVRIL!I52+TONT20000MAI!I52+TONT20000JUIN!I52+TONT20000JUIL!I52+TONT20000AOUT!I52+TONT20000SEPT!I52+TONT20000OCT!I52+TONT20000NOV!J52</f>
        <v>12000</v>
      </c>
      <c r="M52" s="7">
        <f>TONT20000DEC2015!L52+TONT20000JANV!J52+TONT20000FEV!J52+TONT20000MARS!J52+TONT20000AVRIL!J52+TONT20000MAI!J52+TONT20000JUIN!J52+TONT20000JUIL!J52+TONT20000AOUT!J52+TONT20000SEPT!J52+TONT20000OCT!J52+TONT20000NOV!K52</f>
        <v>30000</v>
      </c>
      <c r="N52" s="7">
        <f>TONT20000DEC2015!M52+TONT20000JANV!K52+TONT20000FEV!K52+TONT20000MARS!K52+TONT20000AVRIL!K52+TONT20000MAI!K52+TONT20000JUIN!K52+TONT20000JUIL!K52+TONT20000AOUT!K52+TONT20000SEPT!K52+TONT20000OCT!K52+TONT20000NOV!L52</f>
        <v>0</v>
      </c>
      <c r="O52" s="7">
        <f>TONT20000DEC2015!N52+TONT20000JANV!L52+TONT20000FEV!L52+TONT20000MARS!L52+TONT20000AVRIL!L52+TONT20000MAI!L52+TONT20000JUIN!L52+TONT20000JUIL!L52+TONT20000AOUT!L52+TONT20000SEPT!L52+TONT20000OCT!L52+TONT20000NOV!M52</f>
        <v>156000</v>
      </c>
      <c r="P52" s="7">
        <f>TONT20000DEC2015!O52+TONT20000JANV!M52+TONT20000FEV!M52+TONT20000MARS!M52+TONT20000AVRIL!M52+TONT20000MAI!M52+TONT20000JUIN!M52+TONT20000JUIL!M52+TONT20000AOUT!M52+TONT20000SEPT!M52+TONT20000OCT!M52+TONT20000NOV!N52</f>
        <v>0</v>
      </c>
      <c r="Q52" s="7">
        <f>TONT20000DEC2015!P52+TONT20000JANV!N52+TONT20000FEV!N52+TONT20000MARS!N52+TONT20000AVRIL!N52+TONT20000MAI!N52+TONT20000JUIN!N52+TONT20000JUIL!N52+TONT20000AOUT!N52+TONT20000SEPT!N52+TONT20000OCT!N52+TONT20000NOV!O52</f>
        <v>0</v>
      </c>
      <c r="R52" s="7">
        <f>TONT20000DEC2015!Q52+TONT20000JANV!O52+TONT20000FEV!O52+TONT20000MARS!O52+TONT20000AVRIL!O52+TONT20000MAI!O52+TONT20000JUIN!O52+TONT20000JUIL!O52+TONT20000AOUT!O52+TONT20000SEPT!O52+TONT20000OCT!O52+TONT20000NOV!P52</f>
        <v>0</v>
      </c>
      <c r="S52" s="7">
        <f>TONT20000DEC2015!R52+TONT20000JANV!P52+TONT20000FEV!P52+TONT20000MARS!P52+TONT20000AVRIL!P52+TONT20000MAI!P52+TONT20000JUIN!P52+TONT20000JUIL!P52+TONT20000AOUT!P52+TONT20000SEPT!Q52+TONT20000OCT!P52+TONT20000NOV!Q52</f>
        <v>0</v>
      </c>
      <c r="T52" s="7">
        <f>TONT20000DEC2015!R52+TONT20000JANV!P52+TONT20000FEV!P52+TONT20000MARS!P52+TONT20000AVRIL!P52+TONT20000MAI!P52+TONT20000JUIN!P52+TONT20000JUIL!P52+TONT20000AOUT!P52+TONT20000SEPT!Q52+TONT20000OCT!P52+TONT20000NOV!Q52</f>
        <v>0</v>
      </c>
    </row>
    <row r="53" spans="1:21" x14ac:dyDescent="0.25">
      <c r="A53" s="1"/>
      <c r="B53" s="1"/>
      <c r="C53" s="6"/>
      <c r="D53" s="1"/>
      <c r="E53" s="1"/>
      <c r="F53" s="1"/>
      <c r="G53" s="1"/>
      <c r="H53" s="1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 spans="1:21" x14ac:dyDescent="0.25">
      <c r="A54" s="1"/>
      <c r="B54" s="1"/>
      <c r="C54" s="6"/>
      <c r="D54" s="1"/>
      <c r="E54" s="1"/>
      <c r="F54" s="1"/>
      <c r="G54" s="1"/>
      <c r="H54" s="1"/>
      <c r="I54" s="7">
        <f t="shared" si="0"/>
        <v>593500</v>
      </c>
      <c r="J54" s="7">
        <f>TONT20000DEC2015!I54+TONT20000JANV!G54+TONT20000FEV!G54+TONT20000MARS!G54+TONT20000AVRIL!G54+TONT20000MAI!G54+TONT20000JUIN!G54+TONT20000JUIL!G54+TONT20000AOUT!G54+TONT20000SEPT!G54+TONT20000OCT!G54+TONT20000NOV!H54</f>
        <v>0</v>
      </c>
      <c r="K54" s="7">
        <f>TONT20000DEC2015!J54+TONT20000JANV!H54+TONT20000FEV!H54+TONT20000MARS!H54+TONT20000AVRIL!H54+TONT20000MAI!H54+TONT20000JUIN!H54+TONT20000JUIL!H54+TONT20000AOUT!H54+TONT20000SEPT!H54+TONT20000OCT!H54+TONT20000NOV!I54</f>
        <v>0</v>
      </c>
      <c r="L54" s="7">
        <f>TONT20000DEC2015!K54+TONT20000JANV!I54+TONT20000FEV!I54+TONT20000MARS!I54+TONT20000AVRIL!I54+TONT20000MAI!I54+TONT20000JUIN!I54+TONT20000JUIL!I54+TONT20000AOUT!I54+TONT20000SEPT!I54+TONT20000OCT!I54+TONT20000NOV!J54</f>
        <v>0</v>
      </c>
      <c r="M54" s="7">
        <f>TONT20000DEC2015!L54+TONT20000JANV!J54+TONT20000FEV!J54+TONT20000MARS!J54+TONT20000AVRIL!J54+TONT20000MAI!J54+TONT20000JUIN!J54+TONT20000JUIL!J54+TONT20000AOUT!J54+TONT20000SEPT!J54+TONT20000OCT!J54+TONT20000NOV!K54</f>
        <v>0</v>
      </c>
      <c r="N54" s="7">
        <f>TONT20000DEC2015!M54+TONT20000JANV!K54+TONT20000FEV!K54+TONT20000MARS!K54+TONT20000AVRIL!K54+TONT20000MAI!K54+TONT20000JUIN!K54+TONT20000JUIL!K54+TONT20000AOUT!K54+TONT20000SEPT!K54+TONT20000OCT!K54+TONT20000NOV!L54</f>
        <v>0</v>
      </c>
      <c r="O54" s="7">
        <f>TONT20000DEC2015!N54+TONT20000JANV!L54+TONT20000FEV!L54+TONT20000MARS!L54+TONT20000AVRIL!L54+TONT20000MAI!L54+TONT20000JUIN!L54+TONT20000JUIL!L54+TONT20000AOUT!L54+TONT20000SEPT!L54+TONT20000OCT!L54+TONT20000NOV!M54</f>
        <v>593500</v>
      </c>
      <c r="P54" s="7">
        <f>TONT20000DEC2015!O54+TONT20000JANV!M54+TONT20000FEV!M54+TONT20000MARS!M54+TONT20000AVRIL!M54+TONT20000MAI!M54+TONT20000JUIN!M54+TONT20000JUIL!M54+TONT20000AOUT!M54+TONT20000SEPT!M54+TONT20000OCT!M54+TONT20000NOV!N54</f>
        <v>0</v>
      </c>
      <c r="Q54" s="7">
        <f>TONT20000DEC2015!P54+TONT20000JANV!N54+TONT20000FEV!N54+TONT20000MARS!N54+TONT20000AVRIL!N54+TONT20000MAI!N54+TONT20000JUIN!N54+TONT20000JUIL!N54+TONT20000AOUT!N54+TONT20000SEPT!N54+TONT20000OCT!N54+TONT20000NOV!O54</f>
        <v>0</v>
      </c>
      <c r="R54" s="7">
        <f>TONT20000DEC2015!Q54+TONT20000JANV!O54+TONT20000FEV!O54+TONT20000MARS!O54+TONT20000AVRIL!O54+TONT20000MAI!O54+TONT20000JUIN!O54+TONT20000JUIL!O54+TONT20000AOUT!O54+TONT20000SEPT!O54+TONT20000OCT!O54+TONT20000NOV!P54</f>
        <v>0</v>
      </c>
      <c r="S54" s="7">
        <f>TONT20000DEC2015!R54+TONT20000JANV!P54+TONT20000FEV!P54+TONT20000MARS!P54+TONT20000AVRIL!P54+TONT20000MAI!P54+TONT20000JUIN!P54+TONT20000JUIL!P54+TONT20000AOUT!P54+TONT20000SEPT!Q54+TONT20000OCT!P54+TONT20000NOV!Q54</f>
        <v>0</v>
      </c>
      <c r="T54" s="7">
        <f>TONT20000DEC2015!R54+TONT20000JANV!P54+TONT20000FEV!P54+TONT20000MARS!P54+TONT20000AVRIL!P54+TONT20000MAI!P54+TONT20000JUIN!P54+TONT20000JUIL!P54+TONT20000AOUT!P54+TONT20000SEPT!Q54+TONT20000OCT!P54+TONT20000NOV!Q54</f>
        <v>0</v>
      </c>
      <c r="U54"/>
    </row>
    <row r="55" spans="1:21" ht="18" x14ac:dyDescent="0.25">
      <c r="A55" s="8" t="s">
        <v>56</v>
      </c>
      <c r="B55" s="8"/>
      <c r="C55" s="9">
        <f>SUM(C5:C54)</f>
        <v>12996142</v>
      </c>
      <c r="D55" s="9">
        <f t="shared" ref="D55:U55" si="1">SUM(D5:D54)</f>
        <v>3463514</v>
      </c>
      <c r="E55" s="9"/>
      <c r="F55" s="9"/>
      <c r="G55" s="9"/>
      <c r="H55" s="9">
        <f t="shared" si="1"/>
        <v>0</v>
      </c>
      <c r="I55" s="9">
        <f t="shared" si="1"/>
        <v>14467935</v>
      </c>
      <c r="J55" s="9">
        <f t="shared" si="1"/>
        <v>4695305</v>
      </c>
      <c r="K55" s="9">
        <f t="shared" si="1"/>
        <v>260000</v>
      </c>
      <c r="L55" s="9">
        <f t="shared" si="1"/>
        <v>520000</v>
      </c>
      <c r="M55" s="9">
        <f t="shared" si="1"/>
        <v>1300000</v>
      </c>
      <c r="N55" s="9">
        <f t="shared" si="1"/>
        <v>235000</v>
      </c>
      <c r="O55" s="9">
        <f t="shared" si="1"/>
        <v>7353500</v>
      </c>
      <c r="P55" s="9">
        <f t="shared" si="1"/>
        <v>25710000</v>
      </c>
      <c r="Q55" s="9">
        <f t="shared" si="1"/>
        <v>2282100</v>
      </c>
      <c r="R55" s="9">
        <f t="shared" si="1"/>
        <v>6900000</v>
      </c>
      <c r="S55" s="9">
        <f t="shared" si="1"/>
        <v>104130</v>
      </c>
      <c r="T55" s="9">
        <f t="shared" si="1"/>
        <v>104130</v>
      </c>
      <c r="U55" s="9">
        <f t="shared" si="1"/>
        <v>0</v>
      </c>
    </row>
    <row r="56" spans="1:21" ht="18" x14ac:dyDescent="0.25">
      <c r="T56" s="9"/>
    </row>
  </sheetData>
  <autoFilter ref="A4:V50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18</vt:i4>
      </vt:variant>
      <vt:variant>
        <vt:lpstr>Plages nommées</vt:lpstr>
      </vt:variant>
      <vt:variant>
        <vt:i4>1</vt:i4>
      </vt:variant>
    </vt:vector>
  </HeadingPairs>
  <TitlesOfParts>
    <vt:vector size="19" baseType="lpstr">
      <vt:lpstr>RECAPEMPRUNTREMB</vt:lpstr>
      <vt:lpstr>LISTADHERENT</vt:lpstr>
      <vt:lpstr>TRAVAUXINVENTAIREBACKUP</vt:lpstr>
      <vt:lpstr>TRAVAUXINVENTAIRE</vt:lpstr>
      <vt:lpstr>FONDSDECAISSE</vt:lpstr>
      <vt:lpstr>TONT20000DEC2015</vt:lpstr>
      <vt:lpstr>TONT20000JANV</vt:lpstr>
      <vt:lpstr>TONT20000FEV</vt:lpstr>
      <vt:lpstr>TONT20000MARS</vt:lpstr>
      <vt:lpstr>TONT20000AVRIL</vt:lpstr>
      <vt:lpstr>TONT20000MAI</vt:lpstr>
      <vt:lpstr>TONT20000JUIN</vt:lpstr>
      <vt:lpstr>TONT20000JUIL</vt:lpstr>
      <vt:lpstr>TONT20000AOUT</vt:lpstr>
      <vt:lpstr>TONT20000SEPT</vt:lpstr>
      <vt:lpstr>TONT20000OCT</vt:lpstr>
      <vt:lpstr>TONT20000NOV</vt:lpstr>
      <vt:lpstr>RECAPTONT20000</vt:lpstr>
      <vt:lpstr>LISTADHERENT!Impression_des_titres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ASELBY</cp:lastModifiedBy>
  <dcterms:created xsi:type="dcterms:W3CDTF">2016-12-07T22:17:38Z</dcterms:created>
  <dcterms:modified xsi:type="dcterms:W3CDTF">2017-01-06T09:50:31Z</dcterms:modified>
</cp:coreProperties>
</file>