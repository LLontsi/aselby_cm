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15480" windowHeight="6810" firstSheet="12" activeTab="17"/>
  </bookViews>
  <sheets>
    <sheet name="Feuil1" sheetId="23" r:id="rId1"/>
    <sheet name="MODEPAID" sheetId="3" r:id="rId2"/>
    <sheet name="TONTNOV" sheetId="29" r:id="rId3"/>
    <sheet name="TONTDEC" sheetId="44" r:id="rId4"/>
    <sheet name="TONTJANV" sheetId="45" r:id="rId5"/>
    <sheet name="TONTFEV" sheetId="46" r:id="rId6"/>
    <sheet name="TONTMARS" sheetId="47" r:id="rId7"/>
    <sheet name="TONTAVRIL" sheetId="48" r:id="rId8"/>
    <sheet name="TONTMAI" sheetId="49" r:id="rId9"/>
    <sheet name="TONTJUIN" sheetId="50" r:id="rId10"/>
    <sheet name="TONTJUIL" sheetId="51" r:id="rId11"/>
    <sheet name="TONTAOUT" sheetId="52" r:id="rId12"/>
    <sheet name="TONTSEPT" sheetId="53" r:id="rId13"/>
    <sheet name="TONTOCT" sheetId="54" r:id="rId14"/>
    <sheet name="TONTNOV20" sheetId="55" r:id="rId15"/>
    <sheet name="TONTDEC20" sheetId="57" r:id="rId16"/>
    <sheet name="TONTRESUME" sheetId="59" r:id="rId17"/>
    <sheet name="HISTORIQUE OCT" sheetId="60" r:id="rId18"/>
  </sheets>
  <externalReferences>
    <externalReference r:id="rId19"/>
  </externalReferences>
  <definedNames>
    <definedName name="_xlnm._FilterDatabase" localSheetId="11" hidden="1">TONTAOUT!$A$5:$S$23</definedName>
    <definedName name="_xlnm._FilterDatabase" localSheetId="7" hidden="1">TONTAVRIL!$A$5:$S$23</definedName>
    <definedName name="_xlnm._FilterDatabase" localSheetId="3" hidden="1">TONTDEC!$A$5:$R$23</definedName>
    <definedName name="_xlnm._FilterDatabase" localSheetId="15" hidden="1">TONTDEC20!$A$5:$S$23</definedName>
    <definedName name="_xlnm._FilterDatabase" localSheetId="5" hidden="1">TONTFEV!$A$5:$S$23</definedName>
    <definedName name="_xlnm._FilterDatabase" localSheetId="4" hidden="1">TONTJANV!$A$5:$S$23</definedName>
    <definedName name="_xlnm._FilterDatabase" localSheetId="10" hidden="1">TONTJUIL!$A$5:$S$23</definedName>
    <definedName name="_xlnm._FilterDatabase" localSheetId="9" hidden="1">TONTJUIN!$A$5:$S$23</definedName>
    <definedName name="_xlnm._FilterDatabase" localSheetId="8" hidden="1">TONTMAI!$A$5:$S$23</definedName>
    <definedName name="_xlnm._FilterDatabase" localSheetId="6" hidden="1">TONTMARS!$A$5:$S$23</definedName>
    <definedName name="_xlnm._FilterDatabase" localSheetId="2" hidden="1">TONTNOV!$A$5:$S$23</definedName>
    <definedName name="_xlnm._FilterDatabase" localSheetId="14" hidden="1">TONTNOV20!$A$5:$S$23</definedName>
    <definedName name="_xlnm._FilterDatabase" localSheetId="13" hidden="1">TONTOCT!$A$5:$S$23</definedName>
    <definedName name="_xlnm._FilterDatabase" localSheetId="16" hidden="1">TONTRESUME!$A$5:$I$23</definedName>
    <definedName name="_xlnm._FilterDatabase" localSheetId="12" hidden="1">TONTSEPT!$A$5:$S$23</definedName>
    <definedName name="MODEPAID" localSheetId="1">MODEPAID!$A$1:$A$3</definedName>
    <definedName name="MODEPAID" localSheetId="11">#REF!</definedName>
    <definedName name="MODEPAID" localSheetId="7">#REF!</definedName>
    <definedName name="MODEPAID" localSheetId="3">#REF!</definedName>
    <definedName name="MODEPAID" localSheetId="15">#REF!</definedName>
    <definedName name="MODEPAID" localSheetId="5">#REF!</definedName>
    <definedName name="MODEPAID" localSheetId="4">#REF!</definedName>
    <definedName name="MODEPAID" localSheetId="10">#REF!</definedName>
    <definedName name="MODEPAID" localSheetId="9">#REF!</definedName>
    <definedName name="MODEPAID" localSheetId="8">#REF!</definedName>
    <definedName name="MODEPAID" localSheetId="6">#REF!</definedName>
    <definedName name="MODEPAID" localSheetId="2">#REF!</definedName>
    <definedName name="MODEPAID" localSheetId="14">#REF!</definedName>
    <definedName name="MODEPAID" localSheetId="13">#REF!</definedName>
    <definedName name="MODEPAID" localSheetId="16">#REF!</definedName>
    <definedName name="MODEPAID" localSheetId="12">#REF!</definedName>
    <definedName name="MODEPAID">#REF!</definedName>
    <definedName name="VALMODEPAID">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4" i="54" l="1"/>
  <c r="J3" i="60"/>
  <c r="J4" i="60"/>
  <c r="J5" i="60"/>
  <c r="J6" i="60"/>
  <c r="J7" i="60"/>
  <c r="J8" i="60"/>
  <c r="J9" i="60"/>
  <c r="J10" i="60"/>
  <c r="J11" i="60"/>
  <c r="J12" i="60"/>
  <c r="J13" i="60"/>
  <c r="J14" i="60"/>
  <c r="J15" i="60"/>
  <c r="J16" i="60"/>
  <c r="J17" i="60"/>
  <c r="J18" i="60"/>
  <c r="J19" i="60"/>
  <c r="J20" i="60"/>
  <c r="J21" i="60"/>
  <c r="J22" i="60"/>
  <c r="J23" i="60"/>
  <c r="J24" i="60"/>
  <c r="J25" i="60"/>
  <c r="J26" i="60"/>
  <c r="J2" i="60"/>
  <c r="O34" i="53"/>
  <c r="O34" i="52"/>
  <c r="O32" i="52"/>
  <c r="O32" i="53" s="1"/>
  <c r="O32" i="54" s="1"/>
  <c r="O32" i="55" s="1"/>
  <c r="O32" i="57" s="1"/>
  <c r="L17" i="51"/>
  <c r="L22" i="49"/>
  <c r="N35" i="48"/>
  <c r="N35" i="44"/>
  <c r="N35" i="45"/>
  <c r="N35" i="46"/>
  <c r="N35" i="47"/>
  <c r="N35" i="49"/>
  <c r="N35" i="50"/>
  <c r="N35" i="51"/>
  <c r="N35" i="52"/>
  <c r="N35" i="53"/>
  <c r="N35" i="54"/>
  <c r="N35" i="55"/>
  <c r="N35" i="57"/>
  <c r="N35" i="29"/>
  <c r="N27" i="46"/>
  <c r="F7" i="57"/>
  <c r="F8" i="57"/>
  <c r="F9" i="57"/>
  <c r="F10" i="57"/>
  <c r="F11" i="57"/>
  <c r="F12" i="57"/>
  <c r="F13" i="57"/>
  <c r="F14" i="57"/>
  <c r="F16" i="57"/>
  <c r="F18" i="57"/>
  <c r="F19" i="57"/>
  <c r="F20" i="57"/>
  <c r="F21" i="57"/>
  <c r="F6" i="57"/>
  <c r="F7" i="55"/>
  <c r="F8" i="55"/>
  <c r="F9" i="55"/>
  <c r="F10" i="55"/>
  <c r="F11" i="55"/>
  <c r="F12" i="55"/>
  <c r="F13" i="55"/>
  <c r="F14" i="55"/>
  <c r="F16" i="55"/>
  <c r="F18" i="55"/>
  <c r="F19" i="55"/>
  <c r="F20" i="55"/>
  <c r="F21" i="55"/>
  <c r="F6" i="55"/>
  <c r="F7" i="54"/>
  <c r="F8" i="54"/>
  <c r="F9" i="54"/>
  <c r="F10" i="54"/>
  <c r="F11" i="54"/>
  <c r="F12" i="54"/>
  <c r="F13" i="54"/>
  <c r="F14" i="54"/>
  <c r="F16" i="54"/>
  <c r="F18" i="54"/>
  <c r="F20" i="54"/>
  <c r="F21" i="54"/>
  <c r="F6" i="54"/>
  <c r="F7" i="53"/>
  <c r="F8" i="53"/>
  <c r="F9" i="53"/>
  <c r="F10" i="53"/>
  <c r="F11" i="53"/>
  <c r="F12" i="53"/>
  <c r="F13" i="53"/>
  <c r="F14" i="53"/>
  <c r="F16" i="53"/>
  <c r="F18" i="53"/>
  <c r="F19" i="53"/>
  <c r="F20" i="53"/>
  <c r="F21" i="53"/>
  <c r="F6" i="53"/>
  <c r="F7" i="52"/>
  <c r="F8" i="52"/>
  <c r="F9" i="52"/>
  <c r="F10" i="52"/>
  <c r="F11" i="52"/>
  <c r="F12" i="52"/>
  <c r="F13" i="52"/>
  <c r="F14" i="52"/>
  <c r="F16" i="52"/>
  <c r="F18" i="52"/>
  <c r="F19" i="52"/>
  <c r="F20" i="52"/>
  <c r="F21" i="52"/>
  <c r="F6" i="52"/>
  <c r="F7" i="51"/>
  <c r="F8" i="51"/>
  <c r="F9" i="51"/>
  <c r="F10" i="51"/>
  <c r="F11" i="51"/>
  <c r="F12" i="51"/>
  <c r="F13" i="51"/>
  <c r="F14" i="51"/>
  <c r="F16" i="51"/>
  <c r="F17" i="51"/>
  <c r="F17" i="52" s="1"/>
  <c r="F17" i="53" s="1"/>
  <c r="F17" i="54" s="1"/>
  <c r="F17" i="55" s="1"/>
  <c r="F17" i="57" s="1"/>
  <c r="F18" i="51"/>
  <c r="F19" i="51"/>
  <c r="F20" i="51"/>
  <c r="F21" i="51"/>
  <c r="F6" i="51"/>
  <c r="F7" i="50"/>
  <c r="F8" i="50"/>
  <c r="F9" i="50"/>
  <c r="F10" i="50"/>
  <c r="F11" i="50"/>
  <c r="F12" i="50"/>
  <c r="F13" i="50"/>
  <c r="F14" i="50"/>
  <c r="F16" i="50"/>
  <c r="F18" i="50"/>
  <c r="F19" i="50"/>
  <c r="F20" i="50"/>
  <c r="F21" i="50"/>
  <c r="F6" i="50"/>
  <c r="F7" i="49"/>
  <c r="F8" i="49"/>
  <c r="F9" i="49"/>
  <c r="F10" i="49"/>
  <c r="F11" i="49"/>
  <c r="F12" i="49"/>
  <c r="F13" i="49"/>
  <c r="F14" i="49"/>
  <c r="F16" i="49"/>
  <c r="F17" i="49"/>
  <c r="F18" i="49"/>
  <c r="F19" i="49"/>
  <c r="F20" i="49"/>
  <c r="F21" i="49"/>
  <c r="F22" i="49"/>
  <c r="F22" i="52" s="1"/>
  <c r="F22" i="53" s="1"/>
  <c r="F22" i="54" s="1"/>
  <c r="F22" i="55" s="1"/>
  <c r="F22" i="57" s="1"/>
  <c r="F23" i="49"/>
  <c r="F23" i="50" s="1"/>
  <c r="F23" i="51" s="1"/>
  <c r="F23" i="52" s="1"/>
  <c r="F23" i="53" s="1"/>
  <c r="F23" i="54" s="1"/>
  <c r="F23" i="55" s="1"/>
  <c r="F23" i="57" s="1"/>
  <c r="F6" i="49"/>
  <c r="F7" i="48"/>
  <c r="F8" i="48"/>
  <c r="F9" i="48"/>
  <c r="F10" i="48"/>
  <c r="F11" i="48"/>
  <c r="F12" i="48"/>
  <c r="F13" i="48"/>
  <c r="F14" i="48"/>
  <c r="F15" i="48"/>
  <c r="F15" i="49" s="1"/>
  <c r="F15" i="50" s="1"/>
  <c r="F16" i="48"/>
  <c r="F17" i="48"/>
  <c r="F18" i="48"/>
  <c r="F19" i="48"/>
  <c r="F20" i="48"/>
  <c r="F21" i="48"/>
  <c r="F6" i="48"/>
  <c r="F7" i="47"/>
  <c r="F8" i="47"/>
  <c r="F9" i="47"/>
  <c r="F10" i="47"/>
  <c r="F25" i="47" s="1"/>
  <c r="F11" i="47"/>
  <c r="F12" i="47"/>
  <c r="F13" i="47"/>
  <c r="F14" i="47"/>
  <c r="F16" i="47"/>
  <c r="F17" i="47"/>
  <c r="F18" i="47"/>
  <c r="F19" i="47"/>
  <c r="F20" i="47"/>
  <c r="F21" i="47"/>
  <c r="F22" i="47"/>
  <c r="F23" i="47"/>
  <c r="F6" i="47"/>
  <c r="F7" i="46"/>
  <c r="F8" i="46"/>
  <c r="F25" i="46" s="1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6" i="46"/>
  <c r="F7" i="45"/>
  <c r="F8" i="45"/>
  <c r="F25" i="45" s="1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6" i="45"/>
  <c r="F7" i="44"/>
  <c r="F8" i="44"/>
  <c r="F9" i="44"/>
  <c r="F10" i="44"/>
  <c r="F25" i="44" s="1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6" i="44"/>
  <c r="N34" i="44"/>
  <c r="O34" i="44" s="1"/>
  <c r="O34" i="45" s="1"/>
  <c r="O34" i="46" s="1"/>
  <c r="O34" i="47" s="1"/>
  <c r="N34" i="45"/>
  <c r="N34" i="46"/>
  <c r="N34" i="47"/>
  <c r="N34" i="48"/>
  <c r="O34" i="48" s="1"/>
  <c r="O34" i="49" s="1"/>
  <c r="O34" i="50" s="1"/>
  <c r="N34" i="49"/>
  <c r="N34" i="50"/>
  <c r="N34" i="51"/>
  <c r="N34" i="52"/>
  <c r="N34" i="53"/>
  <c r="N34" i="54"/>
  <c r="N34" i="55"/>
  <c r="N34" i="57"/>
  <c r="N34" i="29"/>
  <c r="F25" i="29"/>
  <c r="C39" i="44"/>
  <c r="C39" i="45"/>
  <c r="C39" i="47"/>
  <c r="C39" i="55"/>
  <c r="C39" i="57"/>
  <c r="C39" i="29"/>
  <c r="F30" i="44"/>
  <c r="F30" i="45"/>
  <c r="F30" i="46"/>
  <c r="F30" i="47"/>
  <c r="F30" i="48"/>
  <c r="F30" i="49"/>
  <c r="F30" i="50"/>
  <c r="F30" i="51"/>
  <c r="F30" i="52"/>
  <c r="F30" i="53"/>
  <c r="F30" i="54"/>
  <c r="F30" i="55"/>
  <c r="F30" i="57"/>
  <c r="F30" i="29"/>
  <c r="F29" i="44"/>
  <c r="F29" i="45"/>
  <c r="F29" i="46"/>
  <c r="F29" i="47"/>
  <c r="F29" i="48"/>
  <c r="F29" i="49"/>
  <c r="F29" i="50"/>
  <c r="F32" i="50" s="1"/>
  <c r="F29" i="51"/>
  <c r="F29" i="52"/>
  <c r="F29" i="53"/>
  <c r="F29" i="54"/>
  <c r="F29" i="55"/>
  <c r="F29" i="57"/>
  <c r="F29" i="29"/>
  <c r="E30" i="44"/>
  <c r="E30" i="45"/>
  <c r="E30" i="46"/>
  <c r="E30" i="47"/>
  <c r="E30" i="48"/>
  <c r="E30" i="49"/>
  <c r="E32" i="49" s="1"/>
  <c r="E30" i="50"/>
  <c r="E30" i="51"/>
  <c r="E30" i="52"/>
  <c r="E30" i="53"/>
  <c r="E30" i="54"/>
  <c r="E30" i="55"/>
  <c r="E30" i="57"/>
  <c r="E32" i="57" s="1"/>
  <c r="E30" i="29"/>
  <c r="E29" i="44"/>
  <c r="E29" i="45"/>
  <c r="E32" i="45" s="1"/>
  <c r="E29" i="46"/>
  <c r="E29" i="47"/>
  <c r="E29" i="48"/>
  <c r="E32" i="48" s="1"/>
  <c r="E29" i="49"/>
  <c r="E29" i="50"/>
  <c r="E29" i="51"/>
  <c r="E29" i="52"/>
  <c r="E29" i="53"/>
  <c r="E29" i="54"/>
  <c r="E29" i="55"/>
  <c r="E29" i="57"/>
  <c r="E29" i="29"/>
  <c r="D30" i="44"/>
  <c r="D30" i="45"/>
  <c r="D30" i="46"/>
  <c r="D30" i="49"/>
  <c r="D30" i="50"/>
  <c r="D30" i="51"/>
  <c r="D30" i="52"/>
  <c r="D30" i="53"/>
  <c r="D30" i="54"/>
  <c r="D30" i="55"/>
  <c r="D30" i="57"/>
  <c r="D30" i="29"/>
  <c r="D29" i="44"/>
  <c r="D29" i="45"/>
  <c r="D29" i="46"/>
  <c r="D29" i="47"/>
  <c r="D29" i="50"/>
  <c r="D29" i="52"/>
  <c r="D29" i="53"/>
  <c r="D29" i="54"/>
  <c r="D29" i="55"/>
  <c r="D29" i="57"/>
  <c r="D29" i="29"/>
  <c r="C30" i="44"/>
  <c r="C30" i="45"/>
  <c r="C30" i="46"/>
  <c r="C30" i="47"/>
  <c r="C30" i="48"/>
  <c r="C32" i="48" s="1"/>
  <c r="C30" i="49"/>
  <c r="C30" i="50"/>
  <c r="C30" i="51"/>
  <c r="C30" i="52"/>
  <c r="C32" i="52" s="1"/>
  <c r="C30" i="53"/>
  <c r="C30" i="54"/>
  <c r="C30" i="55"/>
  <c r="C30" i="57"/>
  <c r="C32" i="57" s="1"/>
  <c r="C30" i="29"/>
  <c r="C29" i="44"/>
  <c r="C29" i="45"/>
  <c r="C29" i="46"/>
  <c r="C29" i="47"/>
  <c r="C29" i="48"/>
  <c r="C29" i="49"/>
  <c r="C29" i="50"/>
  <c r="C29" i="51"/>
  <c r="C29" i="52"/>
  <c r="C29" i="53"/>
  <c r="C29" i="54"/>
  <c r="C29" i="55"/>
  <c r="C29" i="57"/>
  <c r="C29" i="29"/>
  <c r="O34" i="29"/>
  <c r="C32" i="44"/>
  <c r="F32" i="45"/>
  <c r="F32" i="46"/>
  <c r="C32" i="46"/>
  <c r="E32" i="47"/>
  <c r="F32" i="49"/>
  <c r="F32" i="53"/>
  <c r="C32" i="54"/>
  <c r="E32" i="55"/>
  <c r="F32" i="29"/>
  <c r="D32" i="29"/>
  <c r="N27" i="29" s="1"/>
  <c r="N28" i="29" s="1"/>
  <c r="O34" i="55" l="1"/>
  <c r="O34" i="57" s="1"/>
  <c r="G30" i="54"/>
  <c r="E32" i="54"/>
  <c r="E32" i="52"/>
  <c r="E32" i="53"/>
  <c r="D32" i="53"/>
  <c r="N27" i="53" s="1"/>
  <c r="N28" i="53" s="1"/>
  <c r="E32" i="50"/>
  <c r="D30" i="48"/>
  <c r="D29" i="48"/>
  <c r="G29" i="48" s="1"/>
  <c r="F15" i="51"/>
  <c r="F15" i="52" s="1"/>
  <c r="F15" i="53" s="1"/>
  <c r="F15" i="54" s="1"/>
  <c r="F15" i="55" s="1"/>
  <c r="F15" i="57" s="1"/>
  <c r="F25" i="50"/>
  <c r="F25" i="49"/>
  <c r="F25" i="48"/>
  <c r="F25" i="51"/>
  <c r="F25" i="52"/>
  <c r="F25" i="53"/>
  <c r="F25" i="54"/>
  <c r="F25" i="55"/>
  <c r="F25" i="57"/>
  <c r="E32" i="46"/>
  <c r="D32" i="57"/>
  <c r="N27" i="57" s="1"/>
  <c r="N28" i="57" s="1"/>
  <c r="D32" i="54"/>
  <c r="N27" i="54" s="1"/>
  <c r="N28" i="54" s="1"/>
  <c r="D32" i="52"/>
  <c r="N27" i="52" s="1"/>
  <c r="N28" i="52" s="1"/>
  <c r="G29" i="52"/>
  <c r="D32" i="50"/>
  <c r="N27" i="50" s="1"/>
  <c r="N28" i="50" s="1"/>
  <c r="D32" i="45"/>
  <c r="N27" i="45" s="1"/>
  <c r="N28" i="45" s="1"/>
  <c r="G30" i="46"/>
  <c r="D32" i="44"/>
  <c r="N27" i="44" s="1"/>
  <c r="N28" i="44" s="1"/>
  <c r="G29" i="44"/>
  <c r="O34" i="51"/>
  <c r="F32" i="51"/>
  <c r="F32" i="47"/>
  <c r="E32" i="29"/>
  <c r="G30" i="55"/>
  <c r="F32" i="57"/>
  <c r="F32" i="48"/>
  <c r="G30" i="44"/>
  <c r="F32" i="55"/>
  <c r="F32" i="52"/>
  <c r="F32" i="44"/>
  <c r="G29" i="57"/>
  <c r="F32" i="54"/>
  <c r="E32" i="44"/>
  <c r="G30" i="51"/>
  <c r="G30" i="50"/>
  <c r="E32" i="51"/>
  <c r="G29" i="29"/>
  <c r="G29" i="53"/>
  <c r="G29" i="45"/>
  <c r="G32" i="44"/>
  <c r="D32" i="55"/>
  <c r="N27" i="55" s="1"/>
  <c r="N28" i="55" s="1"/>
  <c r="D32" i="46"/>
  <c r="N28" i="46" s="1"/>
  <c r="G30" i="57"/>
  <c r="G30" i="52"/>
  <c r="C32" i="50"/>
  <c r="C32" i="55"/>
  <c r="C32" i="51"/>
  <c r="C32" i="47"/>
  <c r="C32" i="29"/>
  <c r="C32" i="53"/>
  <c r="C32" i="49"/>
  <c r="C32" i="45"/>
  <c r="G30" i="29"/>
  <c r="G29" i="54"/>
  <c r="G30" i="53"/>
  <c r="G29" i="50"/>
  <c r="G30" i="49"/>
  <c r="G29" i="46"/>
  <c r="G32" i="46" s="1"/>
  <c r="G30" i="45"/>
  <c r="G29" i="55"/>
  <c r="G29" i="47"/>
  <c r="C10" i="54"/>
  <c r="C11" i="54"/>
  <c r="G32" i="54" l="1"/>
  <c r="G32" i="52"/>
  <c r="N30" i="52"/>
  <c r="G32" i="57"/>
  <c r="D32" i="48"/>
  <c r="N27" i="48" s="1"/>
  <c r="N28" i="48" s="1"/>
  <c r="G30" i="48"/>
  <c r="G32" i="48" s="1"/>
  <c r="N30" i="57"/>
  <c r="N32" i="57" s="1"/>
  <c r="G32" i="45"/>
  <c r="N30" i="45" s="1"/>
  <c r="N32" i="45" s="1"/>
  <c r="N30" i="44"/>
  <c r="N32" i="44" s="1"/>
  <c r="G32" i="29"/>
  <c r="N30" i="29" s="1"/>
  <c r="N32" i="29" s="1"/>
  <c r="O32" i="29" s="1"/>
  <c r="G32" i="55"/>
  <c r="N30" i="55" s="1"/>
  <c r="N32" i="55" s="1"/>
  <c r="G32" i="50"/>
  <c r="N30" i="50" s="1"/>
  <c r="G32" i="53"/>
  <c r="N30" i="53" s="1"/>
  <c r="N30" i="54"/>
  <c r="N30" i="46"/>
  <c r="C14" i="54"/>
  <c r="C12" i="54"/>
  <c r="N30" i="48" l="1"/>
  <c r="O32" i="44"/>
  <c r="O32" i="45" s="1"/>
  <c r="L15" i="47"/>
  <c r="G33" i="59" l="1"/>
  <c r="D29" i="51" l="1"/>
  <c r="L15" i="51"/>
  <c r="L16" i="51"/>
  <c r="L18" i="51"/>
  <c r="L19" i="51"/>
  <c r="L20" i="51"/>
  <c r="L21" i="51"/>
  <c r="L22" i="51"/>
  <c r="L23" i="51"/>
  <c r="L17" i="50"/>
  <c r="D32" i="51" l="1"/>
  <c r="N27" i="51" s="1"/>
  <c r="N28" i="51" s="1"/>
  <c r="G29" i="51"/>
  <c r="G32" i="51" s="1"/>
  <c r="L7" i="51"/>
  <c r="L8" i="51"/>
  <c r="L9" i="51"/>
  <c r="L10" i="51"/>
  <c r="L11" i="51"/>
  <c r="L12" i="51"/>
  <c r="L13" i="51"/>
  <c r="L14" i="51"/>
  <c r="N30" i="51" l="1"/>
  <c r="D29" i="49"/>
  <c r="L17" i="48"/>
  <c r="D32" i="49" l="1"/>
  <c r="N27" i="49" s="1"/>
  <c r="N28" i="49" s="1"/>
  <c r="G29" i="49"/>
  <c r="G32" i="49" s="1"/>
  <c r="L22" i="48"/>
  <c r="L21" i="48"/>
  <c r="L20" i="48"/>
  <c r="L19" i="48"/>
  <c r="L18" i="48"/>
  <c r="L16" i="48"/>
  <c r="L15" i="48"/>
  <c r="L14" i="48"/>
  <c r="L13" i="48"/>
  <c r="L12" i="48"/>
  <c r="L11" i="48"/>
  <c r="L10" i="48"/>
  <c r="L9" i="48"/>
  <c r="L8" i="48"/>
  <c r="L7" i="48"/>
  <c r="L6" i="48"/>
  <c r="L23" i="48"/>
  <c r="N30" i="49" l="1"/>
  <c r="H7" i="59"/>
  <c r="H8" i="59"/>
  <c r="H9" i="59"/>
  <c r="H10" i="59"/>
  <c r="H11" i="59"/>
  <c r="H12" i="59"/>
  <c r="H13" i="59"/>
  <c r="H14" i="59"/>
  <c r="H15" i="59"/>
  <c r="H16" i="59"/>
  <c r="H17" i="59"/>
  <c r="H18" i="59"/>
  <c r="H19" i="59"/>
  <c r="H20" i="59"/>
  <c r="H21" i="59"/>
  <c r="H22" i="59"/>
  <c r="H23" i="59"/>
  <c r="H6" i="59"/>
  <c r="E7" i="59"/>
  <c r="E9" i="59"/>
  <c r="E11" i="59"/>
  <c r="E12" i="59"/>
  <c r="E13" i="59"/>
  <c r="E14" i="59"/>
  <c r="E15" i="59"/>
  <c r="E16" i="59"/>
  <c r="E17" i="59"/>
  <c r="E18" i="59"/>
  <c r="E19" i="59"/>
  <c r="E20" i="59"/>
  <c r="E21" i="59"/>
  <c r="E23" i="59"/>
  <c r="E6" i="59"/>
  <c r="D7" i="59"/>
  <c r="D9" i="59"/>
  <c r="D11" i="59"/>
  <c r="D12" i="59"/>
  <c r="D13" i="59"/>
  <c r="D14" i="59"/>
  <c r="D15" i="59"/>
  <c r="D16" i="59"/>
  <c r="D17" i="59"/>
  <c r="D18" i="59"/>
  <c r="D19" i="59"/>
  <c r="D20" i="59"/>
  <c r="D21" i="59"/>
  <c r="D23" i="59"/>
  <c r="D6" i="59"/>
  <c r="L7" i="57" l="1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6" i="57"/>
  <c r="L7" i="55"/>
  <c r="L8" i="55"/>
  <c r="L9" i="55"/>
  <c r="L10" i="55"/>
  <c r="L11" i="55"/>
  <c r="L12" i="55"/>
  <c r="L13" i="55"/>
  <c r="L14" i="55"/>
  <c r="L15" i="55"/>
  <c r="L16" i="55"/>
  <c r="L17" i="55"/>
  <c r="L18" i="55"/>
  <c r="L19" i="55"/>
  <c r="L20" i="55"/>
  <c r="L21" i="55"/>
  <c r="L22" i="55"/>
  <c r="L23" i="55"/>
  <c r="L6" i="55"/>
  <c r="L7" i="54"/>
  <c r="L8" i="54"/>
  <c r="L9" i="54"/>
  <c r="L10" i="54"/>
  <c r="L11" i="54"/>
  <c r="L12" i="54"/>
  <c r="L13" i="54"/>
  <c r="L14" i="54"/>
  <c r="L15" i="54"/>
  <c r="L16" i="54"/>
  <c r="L17" i="54"/>
  <c r="L18" i="54"/>
  <c r="L19" i="54"/>
  <c r="L20" i="54"/>
  <c r="L21" i="54"/>
  <c r="L22" i="54"/>
  <c r="L23" i="54"/>
  <c r="L6" i="54"/>
  <c r="L7" i="53"/>
  <c r="L8" i="53"/>
  <c r="L9" i="53"/>
  <c r="L10" i="53"/>
  <c r="L11" i="53"/>
  <c r="L12" i="53"/>
  <c r="L13" i="53"/>
  <c r="L14" i="53"/>
  <c r="L15" i="53"/>
  <c r="L16" i="53"/>
  <c r="L17" i="53"/>
  <c r="L18" i="53"/>
  <c r="L19" i="53"/>
  <c r="L20" i="53"/>
  <c r="L21" i="53"/>
  <c r="L22" i="53"/>
  <c r="L23" i="53"/>
  <c r="L6" i="53"/>
  <c r="L7" i="52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23" i="52"/>
  <c r="L6" i="52"/>
  <c r="L6" i="51"/>
  <c r="L7" i="50"/>
  <c r="L8" i="50"/>
  <c r="L9" i="50"/>
  <c r="L10" i="50"/>
  <c r="L11" i="50"/>
  <c r="L12" i="50"/>
  <c r="L13" i="50"/>
  <c r="L14" i="50"/>
  <c r="L15" i="50"/>
  <c r="L16" i="50"/>
  <c r="L18" i="50"/>
  <c r="L19" i="50"/>
  <c r="L20" i="50"/>
  <c r="L21" i="50"/>
  <c r="L22" i="50"/>
  <c r="L23" i="50"/>
  <c r="L6" i="50"/>
  <c r="L7" i="49"/>
  <c r="L8" i="49"/>
  <c r="L9" i="49"/>
  <c r="L10" i="49"/>
  <c r="L11" i="49"/>
  <c r="L12" i="49"/>
  <c r="L13" i="49"/>
  <c r="L14" i="49"/>
  <c r="L15" i="49"/>
  <c r="L16" i="49"/>
  <c r="L17" i="49"/>
  <c r="L18" i="49"/>
  <c r="L19" i="49"/>
  <c r="L20" i="49"/>
  <c r="L21" i="49"/>
  <c r="L23" i="49"/>
  <c r="L6" i="49"/>
  <c r="L7" i="47"/>
  <c r="L8" i="47"/>
  <c r="L9" i="47"/>
  <c r="L10" i="47"/>
  <c r="L11" i="47"/>
  <c r="L12" i="47"/>
  <c r="L13" i="47"/>
  <c r="L14" i="47"/>
  <c r="L16" i="47"/>
  <c r="L17" i="47"/>
  <c r="L18" i="47"/>
  <c r="L19" i="47"/>
  <c r="L20" i="47"/>
  <c r="L21" i="47"/>
  <c r="L22" i="47"/>
  <c r="D30" i="47" s="1"/>
  <c r="L23" i="47"/>
  <c r="L6" i="47"/>
  <c r="L7" i="46"/>
  <c r="L8" i="46"/>
  <c r="L9" i="46"/>
  <c r="L10" i="46"/>
  <c r="L11" i="46"/>
  <c r="L12" i="46"/>
  <c r="L13" i="46"/>
  <c r="L14" i="46"/>
  <c r="L15" i="46"/>
  <c r="L16" i="46"/>
  <c r="L17" i="46"/>
  <c r="L18" i="46"/>
  <c r="L19" i="46"/>
  <c r="L20" i="46"/>
  <c r="L21" i="46"/>
  <c r="L22" i="46"/>
  <c r="L23" i="46"/>
  <c r="L6" i="46"/>
  <c r="L7" i="45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6" i="45"/>
  <c r="L7" i="44"/>
  <c r="L9" i="44"/>
  <c r="F9" i="59" s="1"/>
  <c r="L11" i="44"/>
  <c r="L12" i="44"/>
  <c r="L13" i="44"/>
  <c r="L14" i="44"/>
  <c r="L15" i="44"/>
  <c r="L16" i="44"/>
  <c r="L17" i="44"/>
  <c r="L18" i="44"/>
  <c r="L19" i="44"/>
  <c r="L20" i="44"/>
  <c r="L21" i="44"/>
  <c r="L23" i="44"/>
  <c r="L6" i="44"/>
  <c r="H25" i="59"/>
  <c r="B23" i="59"/>
  <c r="B22" i="59"/>
  <c r="B21" i="59"/>
  <c r="B20" i="59"/>
  <c r="B19" i="59"/>
  <c r="B18" i="59"/>
  <c r="B17" i="59"/>
  <c r="B16" i="59"/>
  <c r="B15" i="59"/>
  <c r="B14" i="59"/>
  <c r="B13" i="59"/>
  <c r="B12" i="59"/>
  <c r="B11" i="59"/>
  <c r="B10" i="59"/>
  <c r="B9" i="59"/>
  <c r="B8" i="59"/>
  <c r="B7" i="59"/>
  <c r="B6" i="59"/>
  <c r="Q25" i="57"/>
  <c r="C35" i="57" s="1"/>
  <c r="I25" i="57"/>
  <c r="C36" i="57" s="1"/>
  <c r="H25" i="57"/>
  <c r="C25" i="57"/>
  <c r="P23" i="57"/>
  <c r="D23" i="57"/>
  <c r="C23" i="57"/>
  <c r="B23" i="57"/>
  <c r="P22" i="57"/>
  <c r="D22" i="57"/>
  <c r="C22" i="57"/>
  <c r="B22" i="57"/>
  <c r="P21" i="57"/>
  <c r="D21" i="57"/>
  <c r="C21" i="57"/>
  <c r="B21" i="57"/>
  <c r="P20" i="57"/>
  <c r="D20" i="57"/>
  <c r="C20" i="57"/>
  <c r="B20" i="57"/>
  <c r="P19" i="57"/>
  <c r="D19" i="57"/>
  <c r="C19" i="57"/>
  <c r="B19" i="57"/>
  <c r="P18" i="57"/>
  <c r="D18" i="57"/>
  <c r="C18" i="57"/>
  <c r="B18" i="57"/>
  <c r="P17" i="57"/>
  <c r="D17" i="57"/>
  <c r="C17" i="57"/>
  <c r="B17" i="57"/>
  <c r="P16" i="57"/>
  <c r="D16" i="57"/>
  <c r="C16" i="57"/>
  <c r="B16" i="57"/>
  <c r="P15" i="57"/>
  <c r="D15" i="57"/>
  <c r="C15" i="57"/>
  <c r="B15" i="57"/>
  <c r="P14" i="57"/>
  <c r="D14" i="57"/>
  <c r="C14" i="57"/>
  <c r="B14" i="57"/>
  <c r="P13" i="57"/>
  <c r="D13" i="57"/>
  <c r="C13" i="57"/>
  <c r="B13" i="57"/>
  <c r="P12" i="57"/>
  <c r="D12" i="57"/>
  <c r="C12" i="57"/>
  <c r="B12" i="57"/>
  <c r="P11" i="57"/>
  <c r="D11" i="57"/>
  <c r="C11" i="57"/>
  <c r="B11" i="57"/>
  <c r="P10" i="57"/>
  <c r="D10" i="57"/>
  <c r="C10" i="57"/>
  <c r="B10" i="57"/>
  <c r="P9" i="57"/>
  <c r="D9" i="57"/>
  <c r="C9" i="57"/>
  <c r="B9" i="57"/>
  <c r="P8" i="57"/>
  <c r="D8" i="57"/>
  <c r="C8" i="57"/>
  <c r="B8" i="57"/>
  <c r="P7" i="57"/>
  <c r="D7" i="57"/>
  <c r="C7" i="57"/>
  <c r="B7" i="57"/>
  <c r="P6" i="57"/>
  <c r="P25" i="57" s="1"/>
  <c r="D6" i="57"/>
  <c r="D25" i="57" s="1"/>
  <c r="C6" i="57"/>
  <c r="B6" i="57"/>
  <c r="Q25" i="55"/>
  <c r="C35" i="55" s="1"/>
  <c r="I25" i="55"/>
  <c r="C36" i="55" s="1"/>
  <c r="H25" i="55"/>
  <c r="P23" i="55"/>
  <c r="D23" i="55"/>
  <c r="C23" i="55"/>
  <c r="B23" i="55"/>
  <c r="P22" i="55"/>
  <c r="D22" i="55"/>
  <c r="C22" i="55"/>
  <c r="B22" i="55"/>
  <c r="P21" i="55"/>
  <c r="D21" i="55"/>
  <c r="C21" i="55"/>
  <c r="B21" i="55"/>
  <c r="P20" i="55"/>
  <c r="D20" i="55"/>
  <c r="C20" i="55"/>
  <c r="B20" i="55"/>
  <c r="P19" i="55"/>
  <c r="D19" i="55"/>
  <c r="C19" i="55"/>
  <c r="B19" i="55"/>
  <c r="P18" i="55"/>
  <c r="D18" i="55"/>
  <c r="C18" i="55"/>
  <c r="B18" i="55"/>
  <c r="P17" i="55"/>
  <c r="D17" i="55"/>
  <c r="C17" i="55"/>
  <c r="B17" i="55"/>
  <c r="P16" i="55"/>
  <c r="D16" i="55"/>
  <c r="C16" i="55"/>
  <c r="B16" i="55"/>
  <c r="P15" i="55"/>
  <c r="D15" i="55"/>
  <c r="C15" i="55"/>
  <c r="B15" i="55"/>
  <c r="P14" i="55"/>
  <c r="D14" i="55"/>
  <c r="C14" i="55"/>
  <c r="B14" i="55"/>
  <c r="P13" i="55"/>
  <c r="D13" i="55"/>
  <c r="C13" i="55"/>
  <c r="B13" i="55"/>
  <c r="P12" i="55"/>
  <c r="D12" i="55"/>
  <c r="C12" i="55"/>
  <c r="B12" i="55"/>
  <c r="P11" i="55"/>
  <c r="D11" i="55"/>
  <c r="C11" i="55"/>
  <c r="B11" i="55"/>
  <c r="P10" i="55"/>
  <c r="D10" i="55"/>
  <c r="C10" i="55"/>
  <c r="B10" i="55"/>
  <c r="P9" i="55"/>
  <c r="D9" i="55"/>
  <c r="C9" i="55"/>
  <c r="B9" i="55"/>
  <c r="P8" i="55"/>
  <c r="D8" i="55"/>
  <c r="C8" i="55"/>
  <c r="B8" i="55"/>
  <c r="P7" i="55"/>
  <c r="D7" i="55"/>
  <c r="C7" i="55"/>
  <c r="B7" i="55"/>
  <c r="P6" i="55"/>
  <c r="P25" i="55" s="1"/>
  <c r="D6" i="55"/>
  <c r="D25" i="55" s="1"/>
  <c r="C6" i="55"/>
  <c r="C25" i="55" s="1"/>
  <c r="B6" i="55"/>
  <c r="Q25" i="54"/>
  <c r="C35" i="54" s="1"/>
  <c r="I25" i="54"/>
  <c r="C36" i="54" s="1"/>
  <c r="H25" i="54"/>
  <c r="P23" i="54"/>
  <c r="D23" i="54"/>
  <c r="C23" i="54"/>
  <c r="B23" i="54"/>
  <c r="P22" i="54"/>
  <c r="D22" i="54"/>
  <c r="C22" i="54"/>
  <c r="B22" i="54"/>
  <c r="P21" i="54"/>
  <c r="D21" i="54"/>
  <c r="C21" i="54"/>
  <c r="B21" i="54"/>
  <c r="P20" i="54"/>
  <c r="D20" i="54"/>
  <c r="C20" i="54"/>
  <c r="B20" i="54"/>
  <c r="P19" i="54"/>
  <c r="D19" i="54"/>
  <c r="C19" i="54"/>
  <c r="B19" i="54"/>
  <c r="P18" i="54"/>
  <c r="D18" i="54"/>
  <c r="C18" i="54"/>
  <c r="B18" i="54"/>
  <c r="P17" i="54"/>
  <c r="D17" i="54"/>
  <c r="C17" i="54"/>
  <c r="B17" i="54"/>
  <c r="P16" i="54"/>
  <c r="D16" i="54"/>
  <c r="C16" i="54"/>
  <c r="B16" i="54"/>
  <c r="P15" i="54"/>
  <c r="D15" i="54"/>
  <c r="C15" i="54"/>
  <c r="B15" i="54"/>
  <c r="P14" i="54"/>
  <c r="D14" i="54"/>
  <c r="B14" i="54"/>
  <c r="P13" i="54"/>
  <c r="D13" i="54"/>
  <c r="C13" i="54"/>
  <c r="B13" i="54"/>
  <c r="P12" i="54"/>
  <c r="D12" i="54"/>
  <c r="B12" i="54"/>
  <c r="P11" i="54"/>
  <c r="D11" i="54"/>
  <c r="B11" i="54"/>
  <c r="P10" i="54"/>
  <c r="D10" i="54"/>
  <c r="B10" i="54"/>
  <c r="P9" i="54"/>
  <c r="D9" i="54"/>
  <c r="C9" i="54"/>
  <c r="B9" i="54"/>
  <c r="P8" i="54"/>
  <c r="D8" i="54"/>
  <c r="C8" i="54"/>
  <c r="B8" i="54"/>
  <c r="P7" i="54"/>
  <c r="D7" i="54"/>
  <c r="C7" i="54"/>
  <c r="B7" i="54"/>
  <c r="P6" i="54"/>
  <c r="P25" i="54" s="1"/>
  <c r="D6" i="54"/>
  <c r="C6" i="54"/>
  <c r="B6" i="54"/>
  <c r="Q25" i="53"/>
  <c r="C35" i="53" s="1"/>
  <c r="I25" i="53"/>
  <c r="C36" i="53" s="1"/>
  <c r="H25" i="53"/>
  <c r="P23" i="53"/>
  <c r="D23" i="53"/>
  <c r="C23" i="53"/>
  <c r="B23" i="53"/>
  <c r="P22" i="53"/>
  <c r="D22" i="53"/>
  <c r="C22" i="53"/>
  <c r="B22" i="53"/>
  <c r="P21" i="53"/>
  <c r="D21" i="53"/>
  <c r="C21" i="53"/>
  <c r="B21" i="53"/>
  <c r="P20" i="53"/>
  <c r="D20" i="53"/>
  <c r="C20" i="53"/>
  <c r="B20" i="53"/>
  <c r="P19" i="53"/>
  <c r="D19" i="53"/>
  <c r="C19" i="53"/>
  <c r="B19" i="53"/>
  <c r="P18" i="53"/>
  <c r="D18" i="53"/>
  <c r="C18" i="53"/>
  <c r="B18" i="53"/>
  <c r="P17" i="53"/>
  <c r="D17" i="53"/>
  <c r="C17" i="53"/>
  <c r="B17" i="53"/>
  <c r="P16" i="53"/>
  <c r="D16" i="53"/>
  <c r="C16" i="53"/>
  <c r="B16" i="53"/>
  <c r="P15" i="53"/>
  <c r="D15" i="53"/>
  <c r="C15" i="53"/>
  <c r="B15" i="53"/>
  <c r="P14" i="53"/>
  <c r="D14" i="53"/>
  <c r="C14" i="53"/>
  <c r="B14" i="53"/>
  <c r="P13" i="53"/>
  <c r="D13" i="53"/>
  <c r="C13" i="53"/>
  <c r="B13" i="53"/>
  <c r="P12" i="53"/>
  <c r="D12" i="53"/>
  <c r="C12" i="53"/>
  <c r="B12" i="53"/>
  <c r="P11" i="53"/>
  <c r="D11" i="53"/>
  <c r="C11" i="53"/>
  <c r="B11" i="53"/>
  <c r="P10" i="53"/>
  <c r="D10" i="53"/>
  <c r="C10" i="53"/>
  <c r="B10" i="53"/>
  <c r="P9" i="53"/>
  <c r="D9" i="53"/>
  <c r="C9" i="53"/>
  <c r="B9" i="53"/>
  <c r="P8" i="53"/>
  <c r="D8" i="53"/>
  <c r="C8" i="53"/>
  <c r="B8" i="53"/>
  <c r="P7" i="53"/>
  <c r="D7" i="53"/>
  <c r="C7" i="53"/>
  <c r="B7" i="53"/>
  <c r="P6" i="53"/>
  <c r="P25" i="53" s="1"/>
  <c r="D6" i="53"/>
  <c r="D25" i="53" s="1"/>
  <c r="C6" i="53"/>
  <c r="B6" i="53"/>
  <c r="Q25" i="52"/>
  <c r="C35" i="52" s="1"/>
  <c r="I25" i="52"/>
  <c r="C36" i="52" s="1"/>
  <c r="H25" i="52"/>
  <c r="P23" i="52"/>
  <c r="D23" i="52"/>
  <c r="C23" i="52"/>
  <c r="B23" i="52"/>
  <c r="P22" i="52"/>
  <c r="D22" i="52"/>
  <c r="C22" i="52"/>
  <c r="B22" i="52"/>
  <c r="P21" i="52"/>
  <c r="D21" i="52"/>
  <c r="C21" i="52"/>
  <c r="B21" i="52"/>
  <c r="P20" i="52"/>
  <c r="D20" i="52"/>
  <c r="C20" i="52"/>
  <c r="B20" i="52"/>
  <c r="P19" i="52"/>
  <c r="D19" i="52"/>
  <c r="C19" i="52"/>
  <c r="B19" i="52"/>
  <c r="P18" i="52"/>
  <c r="D18" i="52"/>
  <c r="C18" i="52"/>
  <c r="B18" i="52"/>
  <c r="P17" i="52"/>
  <c r="D17" i="52"/>
  <c r="C17" i="52"/>
  <c r="B17" i="52"/>
  <c r="P16" i="52"/>
  <c r="D16" i="52"/>
  <c r="C16" i="52"/>
  <c r="B16" i="52"/>
  <c r="P15" i="52"/>
  <c r="D15" i="52"/>
  <c r="C15" i="52"/>
  <c r="B15" i="52"/>
  <c r="P14" i="52"/>
  <c r="D14" i="52"/>
  <c r="C14" i="52"/>
  <c r="B14" i="52"/>
  <c r="P13" i="52"/>
  <c r="D13" i="52"/>
  <c r="C13" i="52"/>
  <c r="B13" i="52"/>
  <c r="P12" i="52"/>
  <c r="D12" i="52"/>
  <c r="C12" i="52"/>
  <c r="B12" i="52"/>
  <c r="P11" i="52"/>
  <c r="D11" i="52"/>
  <c r="C11" i="52"/>
  <c r="B11" i="52"/>
  <c r="P10" i="52"/>
  <c r="D10" i="52"/>
  <c r="C10" i="52"/>
  <c r="B10" i="52"/>
  <c r="P9" i="52"/>
  <c r="D9" i="52"/>
  <c r="C9" i="52"/>
  <c r="B9" i="52"/>
  <c r="P8" i="52"/>
  <c r="D8" i="52"/>
  <c r="C8" i="52"/>
  <c r="B8" i="52"/>
  <c r="P7" i="52"/>
  <c r="D7" i="52"/>
  <c r="C7" i="52"/>
  <c r="B7" i="52"/>
  <c r="P6" i="52"/>
  <c r="D6" i="52"/>
  <c r="C6" i="52"/>
  <c r="B6" i="52"/>
  <c r="Q25" i="51"/>
  <c r="C35" i="51" s="1"/>
  <c r="I25" i="51"/>
  <c r="C36" i="51" s="1"/>
  <c r="H25" i="51"/>
  <c r="D25" i="51"/>
  <c r="P23" i="51"/>
  <c r="D23" i="51"/>
  <c r="C23" i="51"/>
  <c r="B23" i="51"/>
  <c r="P22" i="51"/>
  <c r="D22" i="51"/>
  <c r="C22" i="51"/>
  <c r="B22" i="51"/>
  <c r="P21" i="51"/>
  <c r="D21" i="51"/>
  <c r="C21" i="51"/>
  <c r="B21" i="51"/>
  <c r="P20" i="51"/>
  <c r="D20" i="51"/>
  <c r="C20" i="51"/>
  <c r="B20" i="51"/>
  <c r="P19" i="51"/>
  <c r="D19" i="51"/>
  <c r="C19" i="51"/>
  <c r="B19" i="51"/>
  <c r="P18" i="51"/>
  <c r="D18" i="51"/>
  <c r="C18" i="51"/>
  <c r="B18" i="51"/>
  <c r="P17" i="51"/>
  <c r="D17" i="51"/>
  <c r="C17" i="51"/>
  <c r="B17" i="51"/>
  <c r="P16" i="51"/>
  <c r="D16" i="51"/>
  <c r="C16" i="51"/>
  <c r="B16" i="51"/>
  <c r="P15" i="51"/>
  <c r="D15" i="51"/>
  <c r="C15" i="51"/>
  <c r="B15" i="51"/>
  <c r="P14" i="51"/>
  <c r="D14" i="51"/>
  <c r="C14" i="51"/>
  <c r="B14" i="51"/>
  <c r="P13" i="51"/>
  <c r="D13" i="51"/>
  <c r="C13" i="51"/>
  <c r="B13" i="51"/>
  <c r="P12" i="51"/>
  <c r="D12" i="51"/>
  <c r="C12" i="51"/>
  <c r="B12" i="51"/>
  <c r="P11" i="51"/>
  <c r="D11" i="51"/>
  <c r="C11" i="51"/>
  <c r="B11" i="51"/>
  <c r="P10" i="51"/>
  <c r="D10" i="51"/>
  <c r="C10" i="51"/>
  <c r="B10" i="51"/>
  <c r="P9" i="51"/>
  <c r="D9" i="51"/>
  <c r="C9" i="51"/>
  <c r="B9" i="51"/>
  <c r="P8" i="51"/>
  <c r="D8" i="51"/>
  <c r="C8" i="51"/>
  <c r="B8" i="51"/>
  <c r="P7" i="51"/>
  <c r="D7" i="51"/>
  <c r="C7" i="51"/>
  <c r="B7" i="51"/>
  <c r="P6" i="51"/>
  <c r="P25" i="51" s="1"/>
  <c r="D6" i="51"/>
  <c r="C6" i="51"/>
  <c r="B6" i="51"/>
  <c r="Q25" i="50"/>
  <c r="C35" i="50" s="1"/>
  <c r="I25" i="50"/>
  <c r="C36" i="50" s="1"/>
  <c r="H25" i="50"/>
  <c r="P23" i="50"/>
  <c r="D23" i="50"/>
  <c r="C23" i="50"/>
  <c r="B23" i="50"/>
  <c r="P22" i="50"/>
  <c r="D22" i="50"/>
  <c r="C22" i="50"/>
  <c r="B22" i="50"/>
  <c r="P21" i="50"/>
  <c r="D21" i="50"/>
  <c r="C21" i="50"/>
  <c r="B21" i="50"/>
  <c r="P20" i="50"/>
  <c r="D20" i="50"/>
  <c r="C20" i="50"/>
  <c r="B20" i="50"/>
  <c r="P19" i="50"/>
  <c r="D19" i="50"/>
  <c r="C19" i="50"/>
  <c r="B19" i="50"/>
  <c r="P18" i="50"/>
  <c r="D18" i="50"/>
  <c r="C18" i="50"/>
  <c r="B18" i="50"/>
  <c r="P17" i="50"/>
  <c r="D17" i="50"/>
  <c r="C17" i="50"/>
  <c r="B17" i="50"/>
  <c r="P16" i="50"/>
  <c r="D16" i="50"/>
  <c r="C16" i="50"/>
  <c r="B16" i="50"/>
  <c r="P15" i="50"/>
  <c r="D15" i="50"/>
  <c r="C15" i="50"/>
  <c r="B15" i="50"/>
  <c r="P14" i="50"/>
  <c r="D14" i="50"/>
  <c r="C14" i="50"/>
  <c r="B14" i="50"/>
  <c r="P13" i="50"/>
  <c r="D13" i="50"/>
  <c r="C13" i="50"/>
  <c r="B13" i="50"/>
  <c r="P12" i="50"/>
  <c r="D12" i="50"/>
  <c r="C12" i="50"/>
  <c r="B12" i="50"/>
  <c r="P11" i="50"/>
  <c r="D11" i="50"/>
  <c r="C11" i="50"/>
  <c r="B11" i="50"/>
  <c r="P10" i="50"/>
  <c r="D10" i="50"/>
  <c r="C10" i="50"/>
  <c r="B10" i="50"/>
  <c r="P9" i="50"/>
  <c r="D9" i="50"/>
  <c r="C9" i="50"/>
  <c r="B9" i="50"/>
  <c r="P8" i="50"/>
  <c r="D8" i="50"/>
  <c r="C8" i="50"/>
  <c r="B8" i="50"/>
  <c r="P7" i="50"/>
  <c r="D7" i="50"/>
  <c r="C7" i="50"/>
  <c r="B7" i="50"/>
  <c r="P6" i="50"/>
  <c r="P25" i="50" s="1"/>
  <c r="D6" i="50"/>
  <c r="C6" i="50"/>
  <c r="C25" i="50" s="1"/>
  <c r="B6" i="50"/>
  <c r="Q25" i="49"/>
  <c r="C35" i="49" s="1"/>
  <c r="I25" i="49"/>
  <c r="C36" i="49" s="1"/>
  <c r="H25" i="49"/>
  <c r="P23" i="49"/>
  <c r="D23" i="49"/>
  <c r="C23" i="49"/>
  <c r="B23" i="49"/>
  <c r="P22" i="49"/>
  <c r="D22" i="49"/>
  <c r="C22" i="49"/>
  <c r="B22" i="49"/>
  <c r="P21" i="49"/>
  <c r="D21" i="49"/>
  <c r="C21" i="49"/>
  <c r="B21" i="49"/>
  <c r="P20" i="49"/>
  <c r="D20" i="49"/>
  <c r="C20" i="49"/>
  <c r="B20" i="49"/>
  <c r="P19" i="49"/>
  <c r="D19" i="49"/>
  <c r="C19" i="49"/>
  <c r="B19" i="49"/>
  <c r="P18" i="49"/>
  <c r="D18" i="49"/>
  <c r="C18" i="49"/>
  <c r="B18" i="49"/>
  <c r="P17" i="49"/>
  <c r="D17" i="49"/>
  <c r="C17" i="49"/>
  <c r="B17" i="49"/>
  <c r="P16" i="49"/>
  <c r="D16" i="49"/>
  <c r="C16" i="49"/>
  <c r="B16" i="49"/>
  <c r="P15" i="49"/>
  <c r="D15" i="49"/>
  <c r="C15" i="49"/>
  <c r="B15" i="49"/>
  <c r="P14" i="49"/>
  <c r="D14" i="49"/>
  <c r="C14" i="49"/>
  <c r="B14" i="49"/>
  <c r="P13" i="49"/>
  <c r="D13" i="49"/>
  <c r="C13" i="49"/>
  <c r="B13" i="49"/>
  <c r="P12" i="49"/>
  <c r="D12" i="49"/>
  <c r="C12" i="49"/>
  <c r="B12" i="49"/>
  <c r="P11" i="49"/>
  <c r="D11" i="49"/>
  <c r="C11" i="49"/>
  <c r="B11" i="49"/>
  <c r="P10" i="49"/>
  <c r="D10" i="49"/>
  <c r="C10" i="49"/>
  <c r="B10" i="49"/>
  <c r="P9" i="49"/>
  <c r="D9" i="49"/>
  <c r="C9" i="49"/>
  <c r="B9" i="49"/>
  <c r="P8" i="49"/>
  <c r="D8" i="49"/>
  <c r="C8" i="49"/>
  <c r="B8" i="49"/>
  <c r="P7" i="49"/>
  <c r="D7" i="49"/>
  <c r="C7" i="49"/>
  <c r="B7" i="49"/>
  <c r="P6" i="49"/>
  <c r="P25" i="49" s="1"/>
  <c r="D6" i="49"/>
  <c r="C6" i="49"/>
  <c r="B6" i="49"/>
  <c r="Q25" i="48"/>
  <c r="C35" i="48" s="1"/>
  <c r="I25" i="48"/>
  <c r="C36" i="48" s="1"/>
  <c r="H25" i="48"/>
  <c r="P23" i="48"/>
  <c r="D23" i="48"/>
  <c r="C23" i="48"/>
  <c r="B23" i="48"/>
  <c r="P22" i="48"/>
  <c r="D22" i="48"/>
  <c r="C22" i="48"/>
  <c r="B22" i="48"/>
  <c r="P21" i="48"/>
  <c r="D21" i="48"/>
  <c r="C21" i="48"/>
  <c r="B21" i="48"/>
  <c r="P20" i="48"/>
  <c r="D20" i="48"/>
  <c r="C20" i="48"/>
  <c r="B20" i="48"/>
  <c r="P19" i="48"/>
  <c r="D19" i="48"/>
  <c r="C19" i="48"/>
  <c r="B19" i="48"/>
  <c r="P18" i="48"/>
  <c r="D18" i="48"/>
  <c r="C18" i="48"/>
  <c r="B18" i="48"/>
  <c r="P17" i="48"/>
  <c r="D17" i="48"/>
  <c r="C17" i="48"/>
  <c r="B17" i="48"/>
  <c r="P16" i="48"/>
  <c r="D16" i="48"/>
  <c r="C16" i="48"/>
  <c r="B16" i="48"/>
  <c r="P15" i="48"/>
  <c r="D15" i="48"/>
  <c r="C15" i="48"/>
  <c r="B15" i="48"/>
  <c r="P14" i="48"/>
  <c r="D14" i="48"/>
  <c r="C14" i="48"/>
  <c r="B14" i="48"/>
  <c r="P13" i="48"/>
  <c r="D13" i="48"/>
  <c r="C13" i="48"/>
  <c r="B13" i="48"/>
  <c r="P12" i="48"/>
  <c r="D12" i="48"/>
  <c r="C12" i="48"/>
  <c r="B12" i="48"/>
  <c r="P11" i="48"/>
  <c r="D11" i="48"/>
  <c r="C11" i="48"/>
  <c r="B11" i="48"/>
  <c r="P10" i="48"/>
  <c r="D10" i="48"/>
  <c r="C10" i="48"/>
  <c r="B10" i="48"/>
  <c r="P9" i="48"/>
  <c r="D9" i="48"/>
  <c r="C9" i="48"/>
  <c r="B9" i="48"/>
  <c r="P8" i="48"/>
  <c r="D8" i="48"/>
  <c r="C8" i="48"/>
  <c r="B8" i="48"/>
  <c r="P7" i="48"/>
  <c r="D7" i="48"/>
  <c r="C7" i="48"/>
  <c r="B7" i="48"/>
  <c r="P6" i="48"/>
  <c r="P25" i="48" s="1"/>
  <c r="D6" i="48"/>
  <c r="C6" i="48"/>
  <c r="B6" i="48"/>
  <c r="Q25" i="47"/>
  <c r="C35" i="47" s="1"/>
  <c r="I25" i="47"/>
  <c r="C36" i="47" s="1"/>
  <c r="H25" i="47"/>
  <c r="P23" i="47"/>
  <c r="D23" i="47"/>
  <c r="C23" i="47"/>
  <c r="B23" i="47"/>
  <c r="P22" i="47"/>
  <c r="D22" i="47"/>
  <c r="C22" i="47"/>
  <c r="B22" i="47"/>
  <c r="P21" i="47"/>
  <c r="D21" i="47"/>
  <c r="C21" i="47"/>
  <c r="B21" i="47"/>
  <c r="P20" i="47"/>
  <c r="D20" i="47"/>
  <c r="C20" i="47"/>
  <c r="B20" i="47"/>
  <c r="P19" i="47"/>
  <c r="D19" i="47"/>
  <c r="C19" i="47"/>
  <c r="B19" i="47"/>
  <c r="P18" i="47"/>
  <c r="D18" i="47"/>
  <c r="C18" i="47"/>
  <c r="B18" i="47"/>
  <c r="P17" i="47"/>
  <c r="D17" i="47"/>
  <c r="C17" i="47"/>
  <c r="B17" i="47"/>
  <c r="P16" i="47"/>
  <c r="D16" i="47"/>
  <c r="C16" i="47"/>
  <c r="B16" i="47"/>
  <c r="P15" i="47"/>
  <c r="D15" i="47"/>
  <c r="C15" i="47"/>
  <c r="B15" i="47"/>
  <c r="P14" i="47"/>
  <c r="D14" i="47"/>
  <c r="C14" i="47"/>
  <c r="B14" i="47"/>
  <c r="P13" i="47"/>
  <c r="D13" i="47"/>
  <c r="C13" i="47"/>
  <c r="B13" i="47"/>
  <c r="P12" i="47"/>
  <c r="D12" i="47"/>
  <c r="C12" i="47"/>
  <c r="B12" i="47"/>
  <c r="P11" i="47"/>
  <c r="D11" i="47"/>
  <c r="C11" i="47"/>
  <c r="B11" i="47"/>
  <c r="P10" i="47"/>
  <c r="D10" i="47"/>
  <c r="C10" i="47"/>
  <c r="B10" i="47"/>
  <c r="P9" i="47"/>
  <c r="D9" i="47"/>
  <c r="C9" i="47"/>
  <c r="B9" i="47"/>
  <c r="P8" i="47"/>
  <c r="D8" i="47"/>
  <c r="C8" i="47"/>
  <c r="B8" i="47"/>
  <c r="P7" i="47"/>
  <c r="D7" i="47"/>
  <c r="C7" i="47"/>
  <c r="B7" i="47"/>
  <c r="P6" i="47"/>
  <c r="P25" i="47" s="1"/>
  <c r="D6" i="47"/>
  <c r="D25" i="47" s="1"/>
  <c r="C6" i="47"/>
  <c r="B6" i="47"/>
  <c r="Q25" i="46"/>
  <c r="C35" i="46" s="1"/>
  <c r="I25" i="46"/>
  <c r="C36" i="46" s="1"/>
  <c r="H25" i="46"/>
  <c r="P23" i="46"/>
  <c r="D23" i="46"/>
  <c r="C23" i="46"/>
  <c r="B23" i="46"/>
  <c r="P22" i="46"/>
  <c r="D22" i="46"/>
  <c r="C22" i="46"/>
  <c r="B22" i="46"/>
  <c r="P21" i="46"/>
  <c r="D21" i="46"/>
  <c r="C21" i="46"/>
  <c r="B21" i="46"/>
  <c r="P20" i="46"/>
  <c r="D20" i="46"/>
  <c r="C20" i="46"/>
  <c r="B20" i="46"/>
  <c r="P19" i="46"/>
  <c r="D19" i="46"/>
  <c r="C19" i="46"/>
  <c r="B19" i="46"/>
  <c r="P18" i="46"/>
  <c r="D18" i="46"/>
  <c r="C18" i="46"/>
  <c r="B18" i="46"/>
  <c r="P17" i="46"/>
  <c r="D17" i="46"/>
  <c r="C17" i="46"/>
  <c r="B17" i="46"/>
  <c r="P16" i="46"/>
  <c r="D16" i="46"/>
  <c r="C16" i="46"/>
  <c r="B16" i="46"/>
  <c r="P15" i="46"/>
  <c r="D15" i="46"/>
  <c r="C15" i="46"/>
  <c r="B15" i="46"/>
  <c r="P14" i="46"/>
  <c r="D14" i="46"/>
  <c r="C14" i="46"/>
  <c r="B14" i="46"/>
  <c r="P13" i="46"/>
  <c r="D13" i="46"/>
  <c r="C13" i="46"/>
  <c r="B13" i="46"/>
  <c r="P12" i="46"/>
  <c r="D12" i="46"/>
  <c r="C12" i="46"/>
  <c r="B12" i="46"/>
  <c r="P11" i="46"/>
  <c r="D11" i="46"/>
  <c r="C11" i="46"/>
  <c r="B11" i="46"/>
  <c r="P10" i="46"/>
  <c r="D10" i="46"/>
  <c r="C10" i="46"/>
  <c r="B10" i="46"/>
  <c r="P9" i="46"/>
  <c r="D9" i="46"/>
  <c r="C9" i="46"/>
  <c r="B9" i="46"/>
  <c r="P8" i="46"/>
  <c r="D8" i="46"/>
  <c r="C8" i="46"/>
  <c r="B8" i="46"/>
  <c r="P7" i="46"/>
  <c r="D7" i="46"/>
  <c r="C7" i="46"/>
  <c r="B7" i="46"/>
  <c r="P6" i="46"/>
  <c r="P25" i="46" s="1"/>
  <c r="D6" i="46"/>
  <c r="C6" i="46"/>
  <c r="C25" i="46" s="1"/>
  <c r="B6" i="46"/>
  <c r="Q25" i="45"/>
  <c r="C35" i="45" s="1"/>
  <c r="I25" i="45"/>
  <c r="C36" i="45" s="1"/>
  <c r="H25" i="45"/>
  <c r="P23" i="45"/>
  <c r="D23" i="45"/>
  <c r="C23" i="45"/>
  <c r="B23" i="45"/>
  <c r="P22" i="45"/>
  <c r="D22" i="45"/>
  <c r="C22" i="45"/>
  <c r="B22" i="45"/>
  <c r="P21" i="45"/>
  <c r="D21" i="45"/>
  <c r="C21" i="45"/>
  <c r="B21" i="45"/>
  <c r="P20" i="45"/>
  <c r="D20" i="45"/>
  <c r="C20" i="45"/>
  <c r="B20" i="45"/>
  <c r="P19" i="45"/>
  <c r="D19" i="45"/>
  <c r="C19" i="45"/>
  <c r="B19" i="45"/>
  <c r="P18" i="45"/>
  <c r="D18" i="45"/>
  <c r="C18" i="45"/>
  <c r="B18" i="45"/>
  <c r="P17" i="45"/>
  <c r="D17" i="45"/>
  <c r="C17" i="45"/>
  <c r="B17" i="45"/>
  <c r="P16" i="45"/>
  <c r="D16" i="45"/>
  <c r="C16" i="45"/>
  <c r="B16" i="45"/>
  <c r="P15" i="45"/>
  <c r="D15" i="45"/>
  <c r="C15" i="45"/>
  <c r="B15" i="45"/>
  <c r="P14" i="45"/>
  <c r="D14" i="45"/>
  <c r="C14" i="45"/>
  <c r="B14" i="45"/>
  <c r="P13" i="45"/>
  <c r="D13" i="45"/>
  <c r="C13" i="45"/>
  <c r="B13" i="45"/>
  <c r="P12" i="45"/>
  <c r="D12" i="45"/>
  <c r="C12" i="45"/>
  <c r="B12" i="45"/>
  <c r="P11" i="45"/>
  <c r="D11" i="45"/>
  <c r="C11" i="45"/>
  <c r="B11" i="45"/>
  <c r="P10" i="45"/>
  <c r="D10" i="45"/>
  <c r="C10" i="45"/>
  <c r="B10" i="45"/>
  <c r="P9" i="45"/>
  <c r="D9" i="45"/>
  <c r="C9" i="45"/>
  <c r="B9" i="45"/>
  <c r="P8" i="45"/>
  <c r="D8" i="45"/>
  <c r="C8" i="45"/>
  <c r="B8" i="45"/>
  <c r="P7" i="45"/>
  <c r="D7" i="45"/>
  <c r="C7" i="45"/>
  <c r="B7" i="45"/>
  <c r="P6" i="45"/>
  <c r="P25" i="45" s="1"/>
  <c r="D6" i="45"/>
  <c r="D25" i="45" s="1"/>
  <c r="C6" i="45"/>
  <c r="B6" i="45"/>
  <c r="Q25" i="44"/>
  <c r="C35" i="44" s="1"/>
  <c r="I25" i="44"/>
  <c r="C36" i="44" s="1"/>
  <c r="P23" i="44"/>
  <c r="D23" i="44"/>
  <c r="C23" i="44"/>
  <c r="B23" i="44"/>
  <c r="P22" i="44"/>
  <c r="D22" i="44"/>
  <c r="C22" i="44"/>
  <c r="B22" i="44"/>
  <c r="P21" i="44"/>
  <c r="D21" i="44"/>
  <c r="C21" i="44"/>
  <c r="B21" i="44"/>
  <c r="P20" i="44"/>
  <c r="D20" i="44"/>
  <c r="C20" i="44"/>
  <c r="B20" i="44"/>
  <c r="P19" i="44"/>
  <c r="D19" i="44"/>
  <c r="C19" i="44"/>
  <c r="B19" i="44"/>
  <c r="P18" i="44"/>
  <c r="D18" i="44"/>
  <c r="C18" i="44"/>
  <c r="B18" i="44"/>
  <c r="P17" i="44"/>
  <c r="D17" i="44"/>
  <c r="C17" i="44"/>
  <c r="B17" i="44"/>
  <c r="P16" i="44"/>
  <c r="D16" i="44"/>
  <c r="C16" i="44"/>
  <c r="B16" i="44"/>
  <c r="P15" i="44"/>
  <c r="D15" i="44"/>
  <c r="C15" i="44"/>
  <c r="B15" i="44"/>
  <c r="P14" i="44"/>
  <c r="D14" i="44"/>
  <c r="C14" i="44"/>
  <c r="B14" i="44"/>
  <c r="P13" i="44"/>
  <c r="D13" i="44"/>
  <c r="C13" i="44"/>
  <c r="B13" i="44"/>
  <c r="P12" i="44"/>
  <c r="D12" i="44"/>
  <c r="C12" i="44"/>
  <c r="B12" i="44"/>
  <c r="P11" i="44"/>
  <c r="D11" i="44"/>
  <c r="C11" i="44"/>
  <c r="B11" i="44"/>
  <c r="P10" i="44"/>
  <c r="D10" i="44"/>
  <c r="C10" i="44"/>
  <c r="B10" i="44"/>
  <c r="P9" i="44"/>
  <c r="D9" i="44"/>
  <c r="C9" i="44"/>
  <c r="B9" i="44"/>
  <c r="P8" i="44"/>
  <c r="H25" i="44"/>
  <c r="D8" i="44"/>
  <c r="C8" i="44"/>
  <c r="B8" i="44"/>
  <c r="P7" i="44"/>
  <c r="D7" i="44"/>
  <c r="C7" i="44"/>
  <c r="B7" i="44"/>
  <c r="P6" i="44"/>
  <c r="D6" i="44"/>
  <c r="C6" i="44"/>
  <c r="B6" i="44"/>
  <c r="C39" i="54" l="1"/>
  <c r="N32" i="54"/>
  <c r="C39" i="53"/>
  <c r="N32" i="53"/>
  <c r="C39" i="52"/>
  <c r="N32" i="52"/>
  <c r="C39" i="51"/>
  <c r="N32" i="51"/>
  <c r="C39" i="50"/>
  <c r="N32" i="50"/>
  <c r="C39" i="49"/>
  <c r="N32" i="49"/>
  <c r="C39" i="48"/>
  <c r="N32" i="48"/>
  <c r="G30" i="47"/>
  <c r="G32" i="47" s="1"/>
  <c r="D32" i="47"/>
  <c r="N27" i="47" s="1"/>
  <c r="C39" i="46"/>
  <c r="N32" i="46"/>
  <c r="O32" i="46" s="1"/>
  <c r="D25" i="46"/>
  <c r="C25" i="47"/>
  <c r="D25" i="54"/>
  <c r="F20" i="59"/>
  <c r="F6" i="59"/>
  <c r="F12" i="59"/>
  <c r="F14" i="59"/>
  <c r="F16" i="59"/>
  <c r="F23" i="59"/>
  <c r="F19" i="59"/>
  <c r="F11" i="59"/>
  <c r="F7" i="59"/>
  <c r="F18" i="59"/>
  <c r="F21" i="59"/>
  <c r="F17" i="59"/>
  <c r="C25" i="54"/>
  <c r="C25" i="53"/>
  <c r="F15" i="59"/>
  <c r="P25" i="52"/>
  <c r="D25" i="52"/>
  <c r="C25" i="52"/>
  <c r="C25" i="51"/>
  <c r="F13" i="59"/>
  <c r="D25" i="50"/>
  <c r="C25" i="48"/>
  <c r="D25" i="48"/>
  <c r="C25" i="49"/>
  <c r="D25" i="49"/>
  <c r="C25" i="45"/>
  <c r="L25" i="55"/>
  <c r="L25" i="57"/>
  <c r="L25" i="54"/>
  <c r="L25" i="53"/>
  <c r="L25" i="51"/>
  <c r="L25" i="50"/>
  <c r="L25" i="48"/>
  <c r="L25" i="47"/>
  <c r="L25" i="46"/>
  <c r="P25" i="44"/>
  <c r="L25" i="45"/>
  <c r="L25" i="52"/>
  <c r="L25" i="49"/>
  <c r="C25" i="44"/>
  <c r="D25" i="44"/>
  <c r="G32" i="59" l="1"/>
  <c r="N28" i="47"/>
  <c r="N30" i="47" s="1"/>
  <c r="N32" i="47" s="1"/>
  <c r="O32" i="47" s="1"/>
  <c r="O32" i="48" s="1"/>
  <c r="O32" i="49" s="1"/>
  <c r="O32" i="50" s="1"/>
  <c r="O32" i="51" s="1"/>
  <c r="P9" i="29"/>
  <c r="G9" i="59" s="1"/>
  <c r="J9" i="59" s="1"/>
  <c r="P10" i="29"/>
  <c r="G10" i="59" s="1"/>
  <c r="J10" i="59" s="1"/>
  <c r="P11" i="29"/>
  <c r="G11" i="59" s="1"/>
  <c r="J11" i="59" s="1"/>
  <c r="I10" i="29"/>
  <c r="E10" i="59" s="1"/>
  <c r="H10" i="29"/>
  <c r="D10" i="59" s="1"/>
  <c r="C7" i="29"/>
  <c r="C7" i="59" s="1"/>
  <c r="C8" i="29"/>
  <c r="C8" i="59" s="1"/>
  <c r="C9" i="29"/>
  <c r="C9" i="59" s="1"/>
  <c r="C10" i="29"/>
  <c r="C10" i="59" s="1"/>
  <c r="C11" i="29"/>
  <c r="C11" i="59" s="1"/>
  <c r="C12" i="29"/>
  <c r="C12" i="59" s="1"/>
  <c r="C13" i="29"/>
  <c r="C13" i="59" s="1"/>
  <c r="C14" i="29"/>
  <c r="C14" i="59" s="1"/>
  <c r="C15" i="29"/>
  <c r="C15" i="59" s="1"/>
  <c r="C16" i="29"/>
  <c r="C16" i="59" s="1"/>
  <c r="C17" i="29"/>
  <c r="C17" i="59" s="1"/>
  <c r="C18" i="29"/>
  <c r="C18" i="59" s="1"/>
  <c r="C19" i="29"/>
  <c r="C19" i="59" s="1"/>
  <c r="C20" i="29"/>
  <c r="C20" i="59" s="1"/>
  <c r="C21" i="29"/>
  <c r="C21" i="59" s="1"/>
  <c r="C22" i="29"/>
  <c r="C22" i="59" s="1"/>
  <c r="C23" i="29"/>
  <c r="C23" i="59" s="1"/>
  <c r="D9" i="29"/>
  <c r="B9" i="29"/>
  <c r="I8" i="29"/>
  <c r="E8" i="59" s="1"/>
  <c r="H8" i="29"/>
  <c r="I22" i="29"/>
  <c r="E22" i="59" s="1"/>
  <c r="H22" i="29"/>
  <c r="E25" i="59" l="1"/>
  <c r="L8" i="44"/>
  <c r="F8" i="59" s="1"/>
  <c r="D8" i="59"/>
  <c r="L22" i="44"/>
  <c r="D22" i="59"/>
  <c r="F22" i="59"/>
  <c r="L10" i="44"/>
  <c r="P18" i="29"/>
  <c r="G18" i="59" s="1"/>
  <c r="J18" i="59" s="1"/>
  <c r="D18" i="29"/>
  <c r="B18" i="29"/>
  <c r="B19" i="29"/>
  <c r="D19" i="29"/>
  <c r="P19" i="29"/>
  <c r="G19" i="59" s="1"/>
  <c r="J19" i="59" s="1"/>
  <c r="D25" i="59" l="1"/>
  <c r="F10" i="59"/>
  <c r="F25" i="59" s="1"/>
  <c r="L25" i="44"/>
  <c r="B7" i="29"/>
  <c r="B8" i="29"/>
  <c r="B10" i="29"/>
  <c r="B11" i="29"/>
  <c r="B12" i="29"/>
  <c r="B13" i="29"/>
  <c r="B14" i="29"/>
  <c r="B15" i="29"/>
  <c r="B16" i="29"/>
  <c r="B17" i="29"/>
  <c r="B20" i="29"/>
  <c r="B21" i="29"/>
  <c r="B22" i="29"/>
  <c r="B23" i="29"/>
  <c r="B6" i="29"/>
  <c r="C6" i="29" l="1"/>
  <c r="C6" i="59" s="1"/>
  <c r="C25" i="29" l="1"/>
  <c r="C25" i="59"/>
  <c r="Q25" i="29"/>
  <c r="C35" i="29" s="1"/>
  <c r="I25" i="29"/>
  <c r="C36" i="29" s="1"/>
  <c r="H25" i="29"/>
  <c r="P23" i="29"/>
  <c r="G23" i="59" s="1"/>
  <c r="J23" i="59" s="1"/>
  <c r="D23" i="29"/>
  <c r="P22" i="29"/>
  <c r="G22" i="59" s="1"/>
  <c r="J22" i="59" s="1"/>
  <c r="D22" i="29"/>
  <c r="P21" i="29"/>
  <c r="G21" i="59" s="1"/>
  <c r="J21" i="59" s="1"/>
  <c r="D21" i="29"/>
  <c r="P20" i="29"/>
  <c r="G20" i="59" s="1"/>
  <c r="J20" i="59" s="1"/>
  <c r="D20" i="29"/>
  <c r="P17" i="29"/>
  <c r="G17" i="59" s="1"/>
  <c r="J17" i="59" s="1"/>
  <c r="D17" i="29"/>
  <c r="P16" i="29"/>
  <c r="G16" i="59" s="1"/>
  <c r="J16" i="59" s="1"/>
  <c r="D16" i="29"/>
  <c r="P15" i="29"/>
  <c r="G15" i="59" s="1"/>
  <c r="J15" i="59" s="1"/>
  <c r="D15" i="29"/>
  <c r="P14" i="29"/>
  <c r="G14" i="59" s="1"/>
  <c r="J14" i="59" s="1"/>
  <c r="D14" i="29"/>
  <c r="P13" i="29"/>
  <c r="G13" i="59" s="1"/>
  <c r="J13" i="59" s="1"/>
  <c r="D13" i="29"/>
  <c r="P12" i="29"/>
  <c r="G12" i="59" s="1"/>
  <c r="J12" i="59" s="1"/>
  <c r="D12" i="29"/>
  <c r="D11" i="29"/>
  <c r="D10" i="29"/>
  <c r="P8" i="29"/>
  <c r="G8" i="59" s="1"/>
  <c r="J8" i="59" s="1"/>
  <c r="D8" i="29"/>
  <c r="P7" i="29"/>
  <c r="G7" i="59" s="1"/>
  <c r="J7" i="59" s="1"/>
  <c r="D7" i="29"/>
  <c r="P6" i="29"/>
  <c r="G6" i="59" s="1"/>
  <c r="D6" i="29"/>
  <c r="J6" i="59" l="1"/>
  <c r="J25" i="59" s="1"/>
  <c r="G25" i="59"/>
  <c r="G28" i="59" s="1"/>
  <c r="L25" i="29"/>
  <c r="P25" i="29"/>
  <c r="D25" i="29"/>
  <c r="G30" i="59" l="1"/>
  <c r="H12" i="23" l="1"/>
  <c r="H8" i="23"/>
  <c r="H7" i="23"/>
  <c r="H13" i="23" l="1"/>
  <c r="H11" i="23"/>
  <c r="H10" i="23"/>
  <c r="H9" i="23"/>
  <c r="H20" i="23" l="1"/>
  <c r="C14" i="23"/>
  <c r="D22" i="23"/>
  <c r="H17" i="23"/>
  <c r="B12" i="23"/>
  <c r="B11" i="23"/>
  <c r="B10" i="23"/>
  <c r="B9" i="23"/>
  <c r="B8" i="23"/>
  <c r="B7" i="23"/>
  <c r="E11" i="23" l="1"/>
  <c r="E10" i="23"/>
  <c r="H3" i="23"/>
  <c r="D7" i="23"/>
  <c r="D8" i="23"/>
  <c r="D9" i="23"/>
  <c r="D10" i="23"/>
  <c r="D11" i="23"/>
  <c r="D12" i="23"/>
  <c r="E12" i="23" l="1"/>
  <c r="E3" i="23"/>
  <c r="E9" i="23" l="1"/>
  <c r="E8" i="23"/>
  <c r="E7" i="23" l="1"/>
  <c r="H6" i="23" l="1"/>
  <c r="B6" i="23" l="1"/>
  <c r="D6" i="23" s="1"/>
  <c r="E6" i="23"/>
  <c r="H5" i="23" l="1"/>
  <c r="B5" i="23" l="1"/>
  <c r="D5" i="23" s="1"/>
  <c r="E5" i="23"/>
  <c r="H4" i="23" l="1"/>
  <c r="E4" i="23" l="1"/>
  <c r="B4" i="23"/>
  <c r="D4" i="23" s="1"/>
  <c r="B3" i="23" l="1"/>
  <c r="D3" i="23" s="1"/>
  <c r="B2" i="23" l="1"/>
  <c r="D2" i="23" l="1"/>
  <c r="D15" i="23" s="1"/>
  <c r="B14" i="23"/>
  <c r="C15" i="23" s="1"/>
  <c r="H2" i="23" l="1"/>
  <c r="E2" i="23" l="1"/>
  <c r="E15" i="23" l="1"/>
  <c r="H21" i="23" s="1"/>
  <c r="F3" i="23"/>
  <c r="F4" i="23" s="1"/>
  <c r="F5" i="23" s="1"/>
  <c r="F6" i="23" s="1"/>
  <c r="F7" i="23" s="1"/>
  <c r="F8" i="23" s="1"/>
  <c r="F9" i="23" s="1"/>
  <c r="F10" i="23" s="1"/>
  <c r="F11" i="23" s="1"/>
  <c r="F12" i="23" s="1"/>
  <c r="F13" i="23" s="1"/>
</calcChain>
</file>

<file path=xl/comments1.xml><?xml version="1.0" encoding="utf-8"?>
<comments xmlns="http://schemas.openxmlformats.org/spreadsheetml/2006/main">
  <authors>
    <author>DJUOMBESSY</author>
  </authors>
  <commentList>
    <comment ref="N30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KEPSEU FRANCIS NON MEMBRE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N30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KEPSEU FRANCIS NON MEMBRE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N35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REMBOURSEMENT TYAM 230000 FEV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N35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REMBOURSEMENT NKEHEP 225 500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L15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212000</t>
        </r>
      </text>
    </comment>
    <comment ref="L17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REMBOURSEMENT 202500
REMBOURSE 180 500 EN ESPECES</t>
        </r>
      </text>
    </comment>
    <comment ref="N35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REMB NKEHEP 225 500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O34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NKEHEP DAVID MOIS DE JUIN</t>
        </r>
      </text>
    </comment>
    <comment ref="N35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ECHEC REMB 
NKEHEP 225 500
SIME ERIC 233 500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O34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NKEHEP JUIN JUIL 200 000
TYAM JUILLET 100 OOO</t>
        </r>
      </text>
    </comment>
    <comment ref="N35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TYAM 103 000
NKEHEP 225 000
FOGANG 233 000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O34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NKEHEP JUIN JUIL AOUT 300 000
TYAM JUILLET 100 OOO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O34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NKEHEP JUIN JUIL AOUT SEPT 400 000
TYAM JUILLET 100 OOO
NGONDIEP SEPT 100 000
NANGUEP 100 000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N29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SIMO MATHIEU AVANCE 6000</t>
        </r>
      </text>
    </comment>
    <comment ref="O34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NKEHEP JUIN JUIL AOUT SEPT  OCT 500 000
TYAM JUILLET 100 OOO
</t>
        </r>
      </text>
    </comment>
  </commentList>
</comments>
</file>

<file path=xl/sharedStrings.xml><?xml version="1.0" encoding="utf-8"?>
<sst xmlns="http://schemas.openxmlformats.org/spreadsheetml/2006/main" count="1335" uniqueCount="99">
  <si>
    <t>ASSOCIATION</t>
  </si>
  <si>
    <t>ASELBY</t>
  </si>
  <si>
    <t>ANNEE</t>
  </si>
  <si>
    <t xml:space="preserve">TONTINE </t>
  </si>
  <si>
    <t>MATRICULE</t>
  </si>
  <si>
    <t>NOM ET PRENOM</t>
  </si>
  <si>
    <t>MONTANT TONTINE</t>
  </si>
  <si>
    <t>PENALITE</t>
  </si>
  <si>
    <t>REMBOURSEMENT</t>
  </si>
  <si>
    <t>ECHEC</t>
  </si>
  <si>
    <t>BANQUE</t>
  </si>
  <si>
    <t>AS201619</t>
  </si>
  <si>
    <t>AS201622</t>
  </si>
  <si>
    <t>AS201624</t>
  </si>
  <si>
    <t>AS201629</t>
  </si>
  <si>
    <t>AS201636</t>
  </si>
  <si>
    <t>AS201639</t>
  </si>
  <si>
    <t>TOTAL</t>
  </si>
  <si>
    <t>ESPECES</t>
  </si>
  <si>
    <t xml:space="preserve"> </t>
  </si>
  <si>
    <t>TONTINE</t>
  </si>
  <si>
    <t>INTERET PETIT LOT</t>
  </si>
  <si>
    <t>MODE VERSEMENT REMBOURSEMENT</t>
  </si>
  <si>
    <t>MODE VERSEMENT TONTINE</t>
  </si>
  <si>
    <t>MODE VERSEMENT TONTINE PRINCIPAL</t>
  </si>
  <si>
    <t>REMBOURSEMENT PETIT LOT</t>
  </si>
  <si>
    <t>MONTANT TONTINE LOT PRINCIPAL</t>
  </si>
  <si>
    <t>INTERET LOT PRINCIPAL</t>
  </si>
  <si>
    <t>VENTE PETIT LOT</t>
  </si>
  <si>
    <t>MODE VERSEMENT VENTE PETIT LOT</t>
  </si>
  <si>
    <t>DATE VENTE</t>
  </si>
  <si>
    <t>VENTE LOT PRINCIPAL</t>
  </si>
  <si>
    <t>SOLDE EN CAISSE</t>
  </si>
  <si>
    <t>MONTANT PETIT LOT A VENDRE</t>
  </si>
  <si>
    <t>AS201608</t>
  </si>
  <si>
    <t>AS201613</t>
  </si>
  <si>
    <t>AS201637</t>
  </si>
  <si>
    <t>AS201641</t>
  </si>
  <si>
    <t>AS201644</t>
  </si>
  <si>
    <t>AS201647</t>
  </si>
  <si>
    <t>PETIT LOT + INTERET</t>
  </si>
  <si>
    <t>MISE A PRIX</t>
  </si>
  <si>
    <t>INTERET MISE EN VENTE</t>
  </si>
  <si>
    <t>INTERET VENTE</t>
  </si>
  <si>
    <t>INT CUMUL MISE EN VENTE</t>
  </si>
  <si>
    <t>INTERET NON REMB</t>
  </si>
  <si>
    <t>OK</t>
  </si>
  <si>
    <t>NOK</t>
  </si>
  <si>
    <t>FOTSO THOMAS</t>
  </si>
  <si>
    <t>NGONDIEP</t>
  </si>
  <si>
    <t>NANGUEN</t>
  </si>
  <si>
    <t>AS201649</t>
  </si>
  <si>
    <t>AS201614</t>
  </si>
  <si>
    <t>PETIT LOT</t>
  </si>
  <si>
    <t>RESTE</t>
  </si>
  <si>
    <t>NUMERO CHEQUE</t>
  </si>
  <si>
    <t>TONTINE + REMB + INTERET VENTE</t>
  </si>
  <si>
    <t>2019/2020</t>
  </si>
  <si>
    <t>AS201617</t>
  </si>
  <si>
    <t>16/O8/2020</t>
  </si>
  <si>
    <t>RECAPITULATIF</t>
  </si>
  <si>
    <t>EN COMPTE</t>
  </si>
  <si>
    <t>ECHEC TONTINE</t>
  </si>
  <si>
    <t>ECHEC REMB</t>
  </si>
  <si>
    <t>NKEHEP 200000/TYAM 100000</t>
  </si>
  <si>
    <t>NKEHEP 217000/TYAM 101500</t>
  </si>
  <si>
    <t>BONUS</t>
  </si>
  <si>
    <t>REPORT ECHEC  PETIT LOT</t>
  </si>
  <si>
    <t>VENDUE</t>
  </si>
  <si>
    <t>RELIQUAT</t>
  </si>
  <si>
    <t>CUMUL</t>
  </si>
  <si>
    <t>ECHEC REMBOURSEMENT</t>
  </si>
  <si>
    <t xml:space="preserve">HENGUE PAUL </t>
  </si>
  <si>
    <t>MBOGNING</t>
  </si>
  <si>
    <t>SIME BRICE</t>
  </si>
  <si>
    <t>SIME MATHIEU</t>
  </si>
  <si>
    <t>DOHOU</t>
  </si>
  <si>
    <t>KOUATCHO</t>
  </si>
  <si>
    <t>T75</t>
  </si>
  <si>
    <t>T100</t>
  </si>
  <si>
    <t>T30</t>
  </si>
  <si>
    <t>NGUIEMENI</t>
  </si>
  <si>
    <t>SIMO PIERRE</t>
  </si>
  <si>
    <t>NKEPSEU DIEUDONNE</t>
  </si>
  <si>
    <t>HOTCHO BENJAMIN</t>
  </si>
  <si>
    <t>BOUTCHOUANG</t>
  </si>
  <si>
    <t>DJOUKWE</t>
  </si>
  <si>
    <t>KOUAMO MOISE</t>
  </si>
  <si>
    <t>YOUMBI EMMANUEL</t>
  </si>
  <si>
    <t>DJOMO JEAN PAUL</t>
  </si>
  <si>
    <t>NDJOMO ETIENNE</t>
  </si>
  <si>
    <t>PATEGO</t>
  </si>
  <si>
    <t>DJUOMBESSY</t>
  </si>
  <si>
    <t>TCHIEMHOU EMMANUEL</t>
  </si>
  <si>
    <t>DOMOU</t>
  </si>
  <si>
    <t>TCHOUAMO</t>
  </si>
  <si>
    <t>NANKAM</t>
  </si>
  <si>
    <t>DJOMO TCHANDA</t>
  </si>
  <si>
    <t>REMB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</si>
</sst>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d\-mmm\-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4"/>
      <color rgb="FFFF0000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0" fillId="0" borderId="0" xfId="0" applyNumberFormat="1"/>
    <xf numFmtId="3" fontId="4" fillId="0" borderId="0" xfId="0" applyNumberFormat="1" applyFont="1" applyAlignment="1">
      <alignment wrapText="1"/>
    </xf>
    <xf numFmtId="3" fontId="5" fillId="0" borderId="0" xfId="0" applyNumberFormat="1" applyFont="1"/>
    <xf numFmtId="3" fontId="7" fillId="0" borderId="0" xfId="0" applyNumberFormat="1" applyFont="1"/>
    <xf numFmtId="0" fontId="6" fillId="0" borderId="0" xfId="0" applyFont="1"/>
    <xf numFmtId="3" fontId="9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14" fontId="10" fillId="0" borderId="0" xfId="0" applyNumberFormat="1" applyFont="1"/>
    <xf numFmtId="0" fontId="10" fillId="0" borderId="0" xfId="0" applyFont="1"/>
    <xf numFmtId="17" fontId="0" fillId="0" borderId="0" xfId="0" applyNumberFormat="1"/>
    <xf numFmtId="3" fontId="6" fillId="0" borderId="0" xfId="0" applyNumberFormat="1" applyFont="1"/>
    <xf numFmtId="14" fontId="3" fillId="0" borderId="0" xfId="0" applyNumberFormat="1" applyFont="1"/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4" fontId="9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4" fontId="6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8" fillId="0" borderId="0" xfId="0" applyNumberFormat="1" applyFont="1" applyAlignment="1">
      <alignment wrapText="1"/>
    </xf>
    <xf numFmtId="3" fontId="10" fillId="0" borderId="0" xfId="0" applyNumberFormat="1" applyFont="1"/>
    <xf numFmtId="3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677841881</v>
          </cell>
          <cell r="F5">
            <v>677841881</v>
          </cell>
          <cell r="G5" t="str">
            <v>NKOLBISSON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677704694</v>
          </cell>
          <cell r="F6">
            <v>677704694</v>
          </cell>
          <cell r="G6" t="str">
            <v>EMANA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677881912</v>
          </cell>
          <cell r="F7">
            <v>677881912</v>
          </cell>
          <cell r="G7" t="str">
            <v>SANTA BARBARA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677986676</v>
          </cell>
          <cell r="F8">
            <v>677986676</v>
          </cell>
          <cell r="G8" t="str">
            <v>RUE MANGUIERS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675250451</v>
          </cell>
          <cell r="F9">
            <v>675250451</v>
          </cell>
          <cell r="G9" t="str">
            <v>RUE MANGUIERS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675250451</v>
          </cell>
          <cell r="F10">
            <v>675250451</v>
          </cell>
          <cell r="G10" t="str">
            <v>RUE MANGUIERS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697103557</v>
          </cell>
          <cell r="F11">
            <v>697103557</v>
          </cell>
          <cell r="G11" t="str">
            <v>BIYEM ASSI LYCEE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677501239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699908065</v>
          </cell>
          <cell r="F13">
            <v>699908065</v>
          </cell>
          <cell r="G13" t="str">
            <v>TONGOLO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677910278</v>
          </cell>
          <cell r="F14">
            <v>677910278</v>
          </cell>
          <cell r="G14" t="str">
            <v>OYOMABANG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694468080</v>
          </cell>
          <cell r="F15">
            <v>694468080</v>
          </cell>
          <cell r="G15" t="str">
            <v>MESSASSI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675291170</v>
          </cell>
          <cell r="F16">
            <v>675291170</v>
          </cell>
          <cell r="G16" t="str">
            <v>NYOM 2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699956355</v>
          </cell>
          <cell r="F17">
            <v>699956355</v>
          </cell>
          <cell r="G17" t="str">
            <v>DAMAS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677053815</v>
          </cell>
          <cell r="F18">
            <v>677053815</v>
          </cell>
          <cell r="G18" t="str">
            <v>MESSASSI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699528700</v>
          </cell>
          <cell r="F19">
            <v>699528700</v>
          </cell>
          <cell r="G19" t="str">
            <v>SIMBOCK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699335584</v>
          </cell>
          <cell r="F20">
            <v>699335584</v>
          </cell>
          <cell r="G20" t="str">
            <v>MONTEE JOUVENCE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675836725</v>
          </cell>
          <cell r="F21">
            <v>675836725</v>
          </cell>
          <cell r="G21" t="str">
            <v>DAMAS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696564847</v>
          </cell>
          <cell r="F22">
            <v>696564847</v>
          </cell>
          <cell r="G22" t="str">
            <v>MESSASSI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677735778</v>
          </cell>
          <cell r="F23">
            <v>677735778</v>
          </cell>
          <cell r="G23" t="str">
            <v>SANTA BARBARA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693055118</v>
          </cell>
          <cell r="F25">
            <v>693055118</v>
          </cell>
          <cell r="G25" t="str">
            <v>DAMAS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677553702</v>
          </cell>
          <cell r="F26">
            <v>677553702</v>
          </cell>
          <cell r="G26" t="str">
            <v>MONTEE JOUVENCE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699358350</v>
          </cell>
          <cell r="F27">
            <v>699358350</v>
          </cell>
          <cell r="G27" t="str">
            <v>ETOUG EBE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675249207</v>
          </cell>
          <cell r="F28">
            <v>675249207</v>
          </cell>
          <cell r="G28" t="str">
            <v>CITE VERTE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677766503</v>
          </cell>
          <cell r="F29">
            <v>677766503</v>
          </cell>
          <cell r="G29" t="str">
            <v>RUE MANGUIERS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677068360</v>
          </cell>
          <cell r="F30">
            <v>677068360</v>
          </cell>
          <cell r="G30" t="str">
            <v>MONATELE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670909070</v>
          </cell>
          <cell r="F31">
            <v>670909070</v>
          </cell>
          <cell r="G31" t="str">
            <v>MENDONG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676659191</v>
          </cell>
          <cell r="F32">
            <v>676659191</v>
          </cell>
          <cell r="G32" t="str">
            <v>MENDONG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677575366</v>
          </cell>
          <cell r="F33">
            <v>677575366</v>
          </cell>
          <cell r="G33" t="str">
            <v>ESSOS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699843118</v>
          </cell>
          <cell r="F34">
            <v>699843118</v>
          </cell>
          <cell r="G34" t="str">
            <v>BIYEM ASSI LYCEE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677377251</v>
          </cell>
          <cell r="F35">
            <v>677377251</v>
          </cell>
          <cell r="G35" t="str">
            <v>MONTEE JOUVENCE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677867173</v>
          </cell>
          <cell r="F36">
            <v>677867173</v>
          </cell>
          <cell r="G36" t="str">
            <v>BIYEM ASSI LYCEE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699995086</v>
          </cell>
          <cell r="F37">
            <v>699995086</v>
          </cell>
          <cell r="G37" t="str">
            <v>EBOGO 1(SOA)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677054646</v>
          </cell>
          <cell r="F38">
            <v>677054646</v>
          </cell>
          <cell r="G38" t="str">
            <v>EMANA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699549665</v>
          </cell>
          <cell r="F39">
            <v>699549665</v>
          </cell>
          <cell r="G39" t="str">
            <v>ELEVEUR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699350133</v>
          </cell>
          <cell r="F40">
            <v>699350133</v>
          </cell>
          <cell r="G40" t="str">
            <v>DAMAS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677477649</v>
          </cell>
          <cell r="F41">
            <v>677477649</v>
          </cell>
          <cell r="G41" t="str">
            <v>PARC NATIONAL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677546060</v>
          </cell>
          <cell r="F42">
            <v>677546060</v>
          </cell>
          <cell r="G42" t="str">
            <v>OYOMABANG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677648306</v>
          </cell>
          <cell r="F43">
            <v>677648306</v>
          </cell>
          <cell r="G43" t="str">
            <v>RUE MANGUIERS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677780149</v>
          </cell>
          <cell r="F44">
            <v>677780149</v>
          </cell>
          <cell r="G44" t="str">
            <v>MESSASSI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699778906</v>
          </cell>
          <cell r="F45">
            <v>699778906</v>
          </cell>
          <cell r="G45" t="str">
            <v>MENDONG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678639806</v>
          </cell>
          <cell r="F46">
            <v>678639806</v>
          </cell>
          <cell r="G46" t="str">
            <v>MENDONG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677775940</v>
          </cell>
          <cell r="F47">
            <v>677775940</v>
          </cell>
          <cell r="G47" t="str">
            <v>NKOL FOULOU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677508603</v>
          </cell>
          <cell r="F48">
            <v>677508603</v>
          </cell>
          <cell r="G48" t="str">
            <v>BASTOS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677726329</v>
          </cell>
          <cell r="F49">
            <v>677726329</v>
          </cell>
          <cell r="G49" t="str">
            <v>BIYEM ASSI LYCEE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699663416</v>
          </cell>
          <cell r="F50">
            <v>699663416</v>
          </cell>
          <cell r="G50" t="str">
            <v>MENDONG (NKOLZIE)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677547311</v>
          </cell>
          <cell r="F51">
            <v>677547311</v>
          </cell>
          <cell r="G51" t="str">
            <v>MENDONG (GUINNESS)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694452000</v>
          </cell>
          <cell r="F53">
            <v>694452000</v>
          </cell>
          <cell r="G53" t="str">
            <v xml:space="preserve">NSIMEYONG 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 t="str">
            <v>ACTIF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H13" sqref="H13"/>
    </sheetView>
  </sheetViews>
  <sheetFormatPr baseColWidth="10" defaultRowHeight="15" x14ac:dyDescent="0.25"/>
  <cols>
    <col min="1" max="1" width="8" bestFit="1" customWidth="1"/>
    <col min="2" max="2" width="14.28515625" bestFit="1" customWidth="1"/>
    <col min="4" max="4" width="22.140625" bestFit="1" customWidth="1"/>
    <col min="5" max="5" width="17.140625" bestFit="1" customWidth="1"/>
    <col min="6" max="6" width="13" bestFit="1" customWidth="1"/>
    <col min="7" max="7" width="18.42578125" bestFit="1" customWidth="1"/>
    <col min="8" max="8" width="18.5703125" bestFit="1" customWidth="1"/>
    <col min="9" max="9" width="15" bestFit="1" customWidth="1"/>
  </cols>
  <sheetData>
    <row r="1" spans="1:11" x14ac:dyDescent="0.25">
      <c r="B1" t="s">
        <v>43</v>
      </c>
      <c r="C1" t="s">
        <v>41</v>
      </c>
      <c r="D1" t="s">
        <v>42</v>
      </c>
      <c r="E1" t="s">
        <v>21</v>
      </c>
      <c r="F1" t="s">
        <v>44</v>
      </c>
      <c r="G1" t="s">
        <v>45</v>
      </c>
      <c r="H1" t="s">
        <v>40</v>
      </c>
    </row>
    <row r="2" spans="1:11" x14ac:dyDescent="0.25">
      <c r="A2" s="21">
        <v>42979</v>
      </c>
      <c r="B2" s="2" t="e">
        <f>#REF!</f>
        <v>#REF!</v>
      </c>
      <c r="C2" s="2">
        <v>200000</v>
      </c>
      <c r="D2" s="2" t="e">
        <f>B2-C2</f>
        <v>#REF!</v>
      </c>
      <c r="E2" s="2" t="e">
        <f>#REF!</f>
        <v>#REF!</v>
      </c>
      <c r="F2" s="2"/>
      <c r="G2" s="2"/>
      <c r="H2" s="2" t="e">
        <f>#REF!</f>
        <v>#REF!</v>
      </c>
      <c r="I2" t="s">
        <v>46</v>
      </c>
      <c r="J2" s="16"/>
      <c r="K2" s="19"/>
    </row>
    <row r="3" spans="1:11" x14ac:dyDescent="0.25">
      <c r="A3" s="21">
        <v>43009</v>
      </c>
      <c r="B3" s="2" t="e">
        <f>+#REF!</f>
        <v>#REF!</v>
      </c>
      <c r="C3" s="2">
        <v>200000</v>
      </c>
      <c r="D3" s="2" t="e">
        <f t="shared" ref="D3:D12" si="0">B3-C3</f>
        <v>#REF!</v>
      </c>
      <c r="E3" s="2" t="e">
        <f>+#REF!</f>
        <v>#REF!</v>
      </c>
      <c r="F3" s="2" t="e">
        <f>D2+E2+D3</f>
        <v>#REF!</v>
      </c>
      <c r="G3" s="2"/>
      <c r="H3" s="2" t="e">
        <f>#REF!</f>
        <v>#REF!</v>
      </c>
      <c r="I3" t="s">
        <v>46</v>
      </c>
      <c r="J3" s="16"/>
      <c r="K3" s="19"/>
    </row>
    <row r="4" spans="1:11" x14ac:dyDescent="0.25">
      <c r="A4" s="21">
        <v>43040</v>
      </c>
      <c r="B4" s="2" t="e">
        <f>+#REF!</f>
        <v>#REF!</v>
      </c>
      <c r="C4" s="2">
        <v>200000</v>
      </c>
      <c r="D4" s="2" t="e">
        <f t="shared" si="0"/>
        <v>#REF!</v>
      </c>
      <c r="E4" s="2" t="e">
        <f>+#REF!</f>
        <v>#REF!</v>
      </c>
      <c r="F4" s="2" t="e">
        <f>F3+D4+E3</f>
        <v>#REF!</v>
      </c>
      <c r="G4" s="2"/>
      <c r="H4" s="2" t="e">
        <f>#REF!</f>
        <v>#REF!</v>
      </c>
      <c r="I4" t="s">
        <v>46</v>
      </c>
      <c r="J4" s="16"/>
      <c r="K4" s="19"/>
    </row>
    <row r="5" spans="1:11" x14ac:dyDescent="0.25">
      <c r="A5" s="21">
        <v>43070</v>
      </c>
      <c r="B5" s="2" t="e">
        <f>#REF!</f>
        <v>#REF!</v>
      </c>
      <c r="C5" s="2">
        <v>200000</v>
      </c>
      <c r="D5" s="2" t="e">
        <f t="shared" si="0"/>
        <v>#REF!</v>
      </c>
      <c r="E5" s="2" t="e">
        <f>+#REF!</f>
        <v>#REF!</v>
      </c>
      <c r="F5" s="2" t="e">
        <f t="shared" ref="F5:F13" si="1">F4+D5+E4</f>
        <v>#REF!</v>
      </c>
      <c r="G5" s="2">
        <v>200000</v>
      </c>
      <c r="H5" s="22" t="e">
        <f>#REF!</f>
        <v>#REF!</v>
      </c>
      <c r="I5" t="s">
        <v>47</v>
      </c>
      <c r="J5" s="16"/>
      <c r="K5" s="19"/>
    </row>
    <row r="6" spans="1:11" x14ac:dyDescent="0.25">
      <c r="A6" s="21">
        <v>43101</v>
      </c>
      <c r="B6" s="2" t="e">
        <f>+#REF!</f>
        <v>#REF!</v>
      </c>
      <c r="C6" s="2">
        <v>200000</v>
      </c>
      <c r="D6" s="2" t="e">
        <f t="shared" si="0"/>
        <v>#REF!</v>
      </c>
      <c r="E6" s="2" t="e">
        <f>+#REF!</f>
        <v>#REF!</v>
      </c>
      <c r="F6" s="2" t="e">
        <f t="shared" si="1"/>
        <v>#REF!</v>
      </c>
      <c r="G6" s="2"/>
      <c r="H6" s="2" t="e">
        <f>#REF!</f>
        <v>#REF!</v>
      </c>
      <c r="J6" s="16"/>
      <c r="K6" s="19"/>
    </row>
    <row r="7" spans="1:11" x14ac:dyDescent="0.25">
      <c r="A7" s="21">
        <v>43132</v>
      </c>
      <c r="B7" s="2" t="e">
        <f>+#REF!</f>
        <v>#REF!</v>
      </c>
      <c r="C7" s="2">
        <v>200000</v>
      </c>
      <c r="D7" s="2" t="e">
        <f t="shared" si="0"/>
        <v>#REF!</v>
      </c>
      <c r="E7" s="2" t="e">
        <f>+#REF!</f>
        <v>#REF!</v>
      </c>
      <c r="F7" s="2" t="e">
        <f t="shared" si="1"/>
        <v>#REF!</v>
      </c>
      <c r="G7" s="2">
        <v>200000</v>
      </c>
      <c r="H7" s="2" t="e">
        <f>#REF!</f>
        <v>#REF!</v>
      </c>
      <c r="J7" s="16"/>
      <c r="K7" s="19"/>
    </row>
    <row r="8" spans="1:11" x14ac:dyDescent="0.25">
      <c r="A8" s="21">
        <v>43160</v>
      </c>
      <c r="B8" s="2" t="e">
        <f>+#REF!</f>
        <v>#REF!</v>
      </c>
      <c r="C8" s="2">
        <v>200000</v>
      </c>
      <c r="D8" s="2" t="e">
        <f t="shared" si="0"/>
        <v>#REF!</v>
      </c>
      <c r="E8" s="2" t="e">
        <f>+#REF!</f>
        <v>#REF!</v>
      </c>
      <c r="F8" s="2" t="e">
        <f t="shared" si="1"/>
        <v>#REF!</v>
      </c>
      <c r="G8" s="2"/>
      <c r="H8" s="2" t="e">
        <f>#REF!</f>
        <v>#REF!</v>
      </c>
      <c r="J8" s="16"/>
      <c r="K8" s="19"/>
    </row>
    <row r="9" spans="1:11" x14ac:dyDescent="0.25">
      <c r="A9" s="21">
        <v>43191</v>
      </c>
      <c r="B9" s="2" t="e">
        <f>+#REF!</f>
        <v>#REF!</v>
      </c>
      <c r="C9" s="2">
        <v>200000</v>
      </c>
      <c r="D9" s="2" t="e">
        <f t="shared" si="0"/>
        <v>#REF!</v>
      </c>
      <c r="E9" s="2" t="e">
        <f>+#REF!</f>
        <v>#REF!</v>
      </c>
      <c r="F9" s="2" t="e">
        <f t="shared" si="1"/>
        <v>#REF!</v>
      </c>
      <c r="G9" s="2"/>
      <c r="H9" s="2" t="e">
        <f>#REF!</f>
        <v>#REF!</v>
      </c>
      <c r="J9" s="16"/>
      <c r="K9" s="19"/>
    </row>
    <row r="10" spans="1:11" x14ac:dyDescent="0.25">
      <c r="A10" s="21">
        <v>43221</v>
      </c>
      <c r="B10" s="2" t="e">
        <f>+#REF!</f>
        <v>#REF!</v>
      </c>
      <c r="C10" s="2">
        <v>200000</v>
      </c>
      <c r="D10" s="2" t="e">
        <f t="shared" si="0"/>
        <v>#REF!</v>
      </c>
      <c r="E10" s="2" t="e">
        <f>+#REF!</f>
        <v>#REF!</v>
      </c>
      <c r="F10" s="2" t="e">
        <f t="shared" si="1"/>
        <v>#REF!</v>
      </c>
      <c r="G10" s="2"/>
      <c r="H10" s="2" t="e">
        <f>#REF!</f>
        <v>#REF!</v>
      </c>
      <c r="J10" s="16"/>
      <c r="K10" s="19"/>
    </row>
    <row r="11" spans="1:11" x14ac:dyDescent="0.25">
      <c r="A11" s="21">
        <v>43252</v>
      </c>
      <c r="B11" s="2" t="e">
        <f>+#REF!</f>
        <v>#REF!</v>
      </c>
      <c r="C11" s="2">
        <v>200000</v>
      </c>
      <c r="D11" s="2" t="e">
        <f t="shared" si="0"/>
        <v>#REF!</v>
      </c>
      <c r="E11" s="2" t="e">
        <f>+#REF!</f>
        <v>#REF!</v>
      </c>
      <c r="F11" s="2" t="e">
        <f t="shared" si="1"/>
        <v>#REF!</v>
      </c>
      <c r="G11" s="2"/>
      <c r="H11" s="2" t="e">
        <f>#REF!</f>
        <v>#REF!</v>
      </c>
      <c r="J11" s="16"/>
      <c r="K11" s="19"/>
    </row>
    <row r="12" spans="1:11" x14ac:dyDescent="0.25">
      <c r="A12" s="21">
        <v>43282</v>
      </c>
      <c r="B12" s="2" t="e">
        <f>+#REF!</f>
        <v>#REF!</v>
      </c>
      <c r="C12" s="2">
        <v>100000</v>
      </c>
      <c r="D12" s="2" t="e">
        <f t="shared" si="0"/>
        <v>#REF!</v>
      </c>
      <c r="E12" s="2" t="e">
        <f>+#REF!</f>
        <v>#REF!</v>
      </c>
      <c r="F12" s="2" t="e">
        <f t="shared" si="1"/>
        <v>#REF!</v>
      </c>
      <c r="G12" s="2"/>
      <c r="H12" s="2" t="e">
        <f>#REF!</f>
        <v>#REF!</v>
      </c>
      <c r="J12" s="16"/>
      <c r="K12" s="19"/>
    </row>
    <row r="13" spans="1:11" x14ac:dyDescent="0.25">
      <c r="A13" s="21">
        <v>43313</v>
      </c>
      <c r="B13">
        <v>200000</v>
      </c>
      <c r="C13" s="2">
        <v>200000</v>
      </c>
      <c r="D13" s="2">
        <v>0</v>
      </c>
      <c r="E13" s="2">
        <v>0</v>
      </c>
      <c r="F13" s="2" t="e">
        <f t="shared" si="1"/>
        <v>#REF!</v>
      </c>
      <c r="G13" s="2"/>
      <c r="H13" s="2" t="e">
        <f>#REF!</f>
        <v>#REF!</v>
      </c>
      <c r="J13" s="16"/>
      <c r="K13" s="19"/>
    </row>
    <row r="14" spans="1:11" x14ac:dyDescent="0.25">
      <c r="B14" s="2" t="e">
        <f>SUM(B2:B13)</f>
        <v>#REF!</v>
      </c>
      <c r="C14" s="2">
        <f>SUM(C2:C13)</f>
        <v>2300000</v>
      </c>
      <c r="J14" s="16"/>
      <c r="K14" s="19"/>
    </row>
    <row r="15" spans="1:11" ht="18" x14ac:dyDescent="0.25">
      <c r="C15" s="2" t="e">
        <f>+B14-C14</f>
        <v>#REF!</v>
      </c>
      <c r="D15" s="2" t="e">
        <f t="shared" ref="D15:E15" si="2">SUM(D2:D14)</f>
        <v>#REF!</v>
      </c>
      <c r="E15" s="2" t="e">
        <f t="shared" si="2"/>
        <v>#REF!</v>
      </c>
      <c r="H15" s="10">
        <v>1145500</v>
      </c>
      <c r="I15" s="10">
        <v>2300000</v>
      </c>
      <c r="J15" s="16"/>
      <c r="K15" s="19"/>
    </row>
    <row r="16" spans="1:11" ht="18" x14ac:dyDescent="0.25">
      <c r="B16" s="2"/>
      <c r="H16" s="10">
        <v>12000</v>
      </c>
      <c r="I16" s="10"/>
      <c r="J16" s="16"/>
      <c r="K16" s="19"/>
    </row>
    <row r="17" spans="2:11" ht="18" x14ac:dyDescent="0.25">
      <c r="B17" t="s">
        <v>49</v>
      </c>
      <c r="D17" s="2">
        <v>101000</v>
      </c>
      <c r="H17" s="10">
        <f>+H15+H16</f>
        <v>1157500</v>
      </c>
      <c r="I17" s="10"/>
      <c r="J17" s="16"/>
      <c r="K17" s="19"/>
    </row>
    <row r="18" spans="2:11" ht="18" x14ac:dyDescent="0.25">
      <c r="B18" t="s">
        <v>50</v>
      </c>
      <c r="D18" s="2">
        <v>96000</v>
      </c>
      <c r="H18" s="10">
        <v>200000</v>
      </c>
      <c r="I18" s="3"/>
      <c r="J18" s="16"/>
      <c r="K18" s="19"/>
    </row>
    <row r="19" spans="2:11" ht="18" x14ac:dyDescent="0.25">
      <c r="B19" t="s">
        <v>48</v>
      </c>
      <c r="D19" s="2">
        <v>206000</v>
      </c>
      <c r="H19" s="10">
        <v>269000</v>
      </c>
      <c r="J19" s="16"/>
      <c r="K19" s="19"/>
    </row>
    <row r="20" spans="2:11" x14ac:dyDescent="0.25">
      <c r="D20" s="2"/>
      <c r="H20" s="2">
        <f>+H17+H18+H19</f>
        <v>1626500</v>
      </c>
      <c r="J20" s="16"/>
      <c r="K20" s="19"/>
    </row>
    <row r="21" spans="2:11" x14ac:dyDescent="0.25">
      <c r="D21" s="2"/>
      <c r="H21" s="2" t="e">
        <f>D15+E15-H20</f>
        <v>#REF!</v>
      </c>
      <c r="J21" s="16"/>
      <c r="K21" s="19"/>
    </row>
    <row r="22" spans="2:11" x14ac:dyDescent="0.25">
      <c r="D22" s="2">
        <f>SUM(D17:D21)</f>
        <v>403000</v>
      </c>
      <c r="J22" s="8"/>
      <c r="K22" s="11"/>
    </row>
    <row r="23" spans="2:11" x14ac:dyDescent="0.25">
      <c r="J23" s="16"/>
      <c r="K23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ColWidth="11" defaultRowHeight="15" x14ac:dyDescent="0.25"/>
  <sheetData>
    <row r="1" spans="1:1" x14ac:dyDescent="0.25">
      <c r="A1" t="s">
        <v>10</v>
      </c>
    </row>
    <row r="2" spans="1:1" x14ac:dyDescent="0.25">
      <c r="A2" t="s">
        <v>18</v>
      </c>
    </row>
    <row r="3" spans="1:1" x14ac:dyDescent="0.25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J28" activePane="bottomRight" state="frozen"/>
      <selection activeCell="I3" sqref="I3"/>
      <selection pane="topRight" activeCell="I3" sqref="I3"/>
      <selection pane="bottomLeft" activeCell="I3" sqref="I3"/>
      <selection pane="bottomRight" activeCell="O34" sqref="O3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3.4257812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43793</v>
      </c>
      <c r="D4" s="33"/>
      <c r="E4" s="33"/>
      <c r="F4" s="33"/>
      <c r="G4" s="33"/>
      <c r="H4" s="33"/>
      <c r="I4" s="33"/>
      <c r="J4" s="33"/>
      <c r="K4" s="33"/>
      <c r="L4" s="33"/>
      <c r="M4" s="25"/>
      <c r="N4" s="25"/>
      <c r="O4" s="25"/>
      <c r="P4" s="25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/>
      <c r="G6" s="7"/>
      <c r="H6" s="8"/>
      <c r="I6" s="8"/>
      <c r="J6" s="7"/>
      <c r="K6" s="14"/>
      <c r="L6" s="8"/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/>
      <c r="G7" s="7"/>
      <c r="H7" s="8"/>
      <c r="I7" s="8"/>
      <c r="J7" s="7"/>
      <c r="K7" s="14"/>
      <c r="L7" s="8"/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/>
      <c r="G8" s="7"/>
      <c r="H8" s="8">
        <f>100000+50000</f>
        <v>150000</v>
      </c>
      <c r="I8" s="8">
        <f>2500+1000</f>
        <v>3500</v>
      </c>
      <c r="J8" s="7" t="s">
        <v>18</v>
      </c>
      <c r="K8" s="14"/>
      <c r="L8" s="8"/>
      <c r="M8" s="7"/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/>
      <c r="G9" s="7"/>
      <c r="H9" s="8"/>
      <c r="I9" s="8"/>
      <c r="J9" s="7"/>
      <c r="K9" s="14"/>
      <c r="L9" s="8"/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/>
      <c r="G10" s="7"/>
      <c r="H10" s="8">
        <f>100000+100000</f>
        <v>200000</v>
      </c>
      <c r="I10" s="8">
        <f>2500+5500</f>
        <v>8000</v>
      </c>
      <c r="J10" s="7" t="s">
        <v>10</v>
      </c>
      <c r="K10" s="14"/>
      <c r="L10" s="8"/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/>
      <c r="G11" s="7"/>
      <c r="H11" s="8"/>
      <c r="I11" s="8"/>
      <c r="J11" s="7"/>
      <c r="K11" s="14"/>
      <c r="L11" s="8"/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/>
      <c r="G12" s="7"/>
      <c r="H12" s="8"/>
      <c r="I12" s="8"/>
      <c r="J12" s="7"/>
      <c r="K12" s="14"/>
      <c r="L12" s="8"/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/>
      <c r="G13" s="7"/>
      <c r="H13" s="8"/>
      <c r="I13" s="8"/>
      <c r="J13" s="7"/>
      <c r="K13" s="14"/>
      <c r="L13" s="8"/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/>
      <c r="G14" s="7"/>
      <c r="H14" s="8"/>
      <c r="I14" s="8"/>
      <c r="J14" s="7"/>
      <c r="K14" s="14"/>
      <c r="L14" s="8"/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18</v>
      </c>
      <c r="F15" s="8"/>
      <c r="G15" s="7"/>
      <c r="H15" s="8"/>
      <c r="I15" s="8"/>
      <c r="J15" s="7"/>
      <c r="K15" s="14"/>
      <c r="L15" s="8"/>
      <c r="M15" s="7"/>
      <c r="N15" s="17" t="s">
        <v>10</v>
      </c>
      <c r="O15" s="14"/>
      <c r="P15" s="16">
        <f t="shared" si="2"/>
        <v>1350000</v>
      </c>
      <c r="Q15" s="16">
        <v>150000</v>
      </c>
      <c r="R15" s="28">
        <v>43793</v>
      </c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/>
      <c r="G16" s="7"/>
      <c r="H16" s="8"/>
      <c r="I16" s="8"/>
      <c r="J16" s="7"/>
      <c r="K16" s="14"/>
      <c r="L16" s="8"/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10</v>
      </c>
      <c r="F17" s="8"/>
      <c r="G17" s="7"/>
      <c r="H17" s="8"/>
      <c r="I17" s="8"/>
      <c r="J17" s="7"/>
      <c r="K17" s="14"/>
      <c r="L17" s="8"/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ref="D18" si="3">IF(E18="ESPECES",0,0)</f>
        <v>0</v>
      </c>
      <c r="E18" s="7" t="s">
        <v>10</v>
      </c>
      <c r="F18" s="8"/>
      <c r="G18" s="7"/>
      <c r="H18" s="8"/>
      <c r="I18" s="8"/>
      <c r="J18" s="7"/>
      <c r="K18" s="14"/>
      <c r="L18" s="8"/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/>
      <c r="G19" s="7"/>
      <c r="H19" s="8"/>
      <c r="I19" s="8"/>
      <c r="J19" s="7"/>
      <c r="K19" s="14"/>
      <c r="L19" s="8"/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/>
      <c r="G20" s="7"/>
      <c r="H20" s="8"/>
      <c r="I20" s="8"/>
      <c r="J20" s="7"/>
      <c r="K20" s="14"/>
      <c r="L20" s="8"/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/>
      <c r="G21" s="7"/>
      <c r="H21" s="8"/>
      <c r="I21" s="8"/>
      <c r="J21" s="7"/>
      <c r="K21" s="14"/>
      <c r="L21" s="8"/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/>
      <c r="G22" s="7"/>
      <c r="H22" s="8">
        <f>100000+100000</f>
        <v>200000</v>
      </c>
      <c r="I22" s="8">
        <f>4000+9000</f>
        <v>13000</v>
      </c>
      <c r="J22" s="7" t="s">
        <v>10</v>
      </c>
      <c r="K22" s="14"/>
      <c r="L22" s="8"/>
      <c r="M22" s="7"/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7"/>
      <c r="H23" s="8"/>
      <c r="I23" s="8"/>
      <c r="J23" s="7"/>
      <c r="K23" s="7"/>
      <c r="L23" s="8"/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0</v>
      </c>
      <c r="G25" s="10"/>
      <c r="H25" s="10">
        <f>SUM(H6:H24)</f>
        <v>550000</v>
      </c>
      <c r="I25" s="10">
        <f>SUM(I6:I24)</f>
        <v>24500</v>
      </c>
      <c r="J25" s="10"/>
      <c r="K25" s="10"/>
      <c r="L25" s="10">
        <f>SUM(L6:L24)</f>
        <v>0</v>
      </c>
      <c r="M25" s="10"/>
      <c r="N25" s="10"/>
      <c r="O25" s="10"/>
      <c r="P25" s="10">
        <f>SUM(P6:P24)</f>
        <v>1350000</v>
      </c>
      <c r="Q25" s="10">
        <f>SUM(Q6:Q24)</f>
        <v>150000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1950000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100000</v>
      </c>
      <c r="D29" s="10">
        <f>SUMIFS(L6:L24,M6:M24,"ESPECES")+SUMIFS(F6:F24,G6:G24,"ESPECES")</f>
        <v>0</v>
      </c>
      <c r="E29" s="10">
        <f>SUMIFS(H6:H24,J6:J24,"ESPECES")</f>
        <v>150000</v>
      </c>
      <c r="F29" s="10">
        <f>SUMIFS(P6:P24,N6:N24,"ESPECES")</f>
        <v>0</v>
      </c>
      <c r="G29" s="10">
        <f>C29+D29-E29-F29</f>
        <v>-50000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1700000</v>
      </c>
      <c r="D30" s="10">
        <f>SUMIFS(L6:L24,M6:M24,"BANQUE")+SUMIFS(F6:F24,G6:G24,"BANQUE")</f>
        <v>0</v>
      </c>
      <c r="E30" s="10">
        <f>SUMIFS(H6:H24,J6:J24,"BANQUE")</f>
        <v>400000</v>
      </c>
      <c r="F30" s="10">
        <f>SUMIFS(P6:P24,N6:N24,"BANQUE")</f>
        <v>1350000</v>
      </c>
      <c r="G30" s="10">
        <f>C30+D30-E30-F30</f>
        <v>-50000</v>
      </c>
      <c r="H30" s="3"/>
      <c r="M30" s="10" t="s">
        <v>53</v>
      </c>
      <c r="N30" s="10">
        <f>N27-N28</f>
        <v>450000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1800000</v>
      </c>
      <c r="D32" s="36">
        <f t="shared" ref="D32:E32" si="4">D29+D30</f>
        <v>0</v>
      </c>
      <c r="E32" s="36">
        <f t="shared" si="4"/>
        <v>550000</v>
      </c>
      <c r="F32" s="36">
        <f>F29+F30</f>
        <v>1350000</v>
      </c>
      <c r="G32" s="36">
        <f>G29+G30</f>
        <v>-100000</v>
      </c>
      <c r="H32" s="3"/>
      <c r="M32" s="10" t="s">
        <v>69</v>
      </c>
      <c r="N32" s="10">
        <f>N30-H25</f>
        <v>-100000</v>
      </c>
      <c r="O32" s="10">
        <f>N32</f>
        <v>-100000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0</v>
      </c>
      <c r="O34" s="10">
        <f>N34</f>
        <v>0</v>
      </c>
      <c r="P34" s="10" t="s">
        <v>70</v>
      </c>
    </row>
    <row r="35" spans="2:16" ht="18" x14ac:dyDescent="0.25">
      <c r="B35" s="10" t="s">
        <v>27</v>
      </c>
      <c r="C35" s="10">
        <f>Q25</f>
        <v>150000</v>
      </c>
      <c r="M35" s="10" t="s">
        <v>71</v>
      </c>
      <c r="N35" s="36">
        <f>SUMIFS(F6:F24,G6:G24,"ECHEC")</f>
        <v>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24500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550000</v>
      </c>
    </row>
  </sheetData>
  <autoFilter ref="A5:S23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N18:N24 M18:M23 J6:K23 M6:N17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9"/>
  <sheetViews>
    <sheetView workbookViewId="0">
      <pane xSplit="2" ySplit="5" topLeftCell="K30" activePane="bottomRight" state="frozen"/>
      <selection activeCell="N35" sqref="N35"/>
      <selection pane="topRight" activeCell="N35" sqref="N35"/>
      <selection pane="bottomLeft" activeCell="N35" sqref="N35"/>
      <selection pane="bottomRight" activeCell="O34" sqref="O3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8" x14ac:dyDescent="0.25">
      <c r="A1" s="1" t="s">
        <v>0</v>
      </c>
      <c r="B1" s="1" t="s">
        <v>1</v>
      </c>
    </row>
    <row r="2" spans="1:18" x14ac:dyDescent="0.25">
      <c r="A2" s="1" t="s">
        <v>2</v>
      </c>
      <c r="B2" s="1" t="s">
        <v>57</v>
      </c>
    </row>
    <row r="3" spans="1:18" x14ac:dyDescent="0.25">
      <c r="A3" s="1" t="s">
        <v>3</v>
      </c>
      <c r="B3" s="4">
        <v>100000</v>
      </c>
    </row>
    <row r="4" spans="1:18" ht="18" x14ac:dyDescent="0.25">
      <c r="B4" s="5"/>
      <c r="C4" s="32">
        <v>43814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8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</row>
    <row r="6" spans="1:18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TONTNOV!F6</f>
        <v>0</v>
      </c>
      <c r="G6" s="7"/>
      <c r="H6" s="8"/>
      <c r="I6" s="8"/>
      <c r="J6" s="7"/>
      <c r="K6" s="14"/>
      <c r="L6" s="8">
        <f>TONTNOV!H6+TONTNOV!I6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</row>
    <row r="7" spans="1:18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TONTNOV!F7</f>
        <v>0</v>
      </c>
      <c r="G7" s="7"/>
      <c r="H7" s="8"/>
      <c r="I7" s="8"/>
      <c r="J7" s="7"/>
      <c r="K7" s="14"/>
      <c r="L7" s="8">
        <f>TONTNOV!H7+TONTNOV!I7</f>
        <v>0</v>
      </c>
      <c r="M7" s="7"/>
      <c r="N7" s="7"/>
      <c r="O7" s="14"/>
      <c r="P7" s="8">
        <f t="shared" si="2"/>
        <v>0</v>
      </c>
      <c r="Q7" s="8"/>
      <c r="R7" s="11"/>
    </row>
    <row r="8" spans="1:18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TONTNOV!F8</f>
        <v>0</v>
      </c>
      <c r="G8" s="7"/>
      <c r="H8" s="8"/>
      <c r="I8" s="8"/>
      <c r="J8" s="7"/>
      <c r="K8" s="14"/>
      <c r="L8" s="8">
        <f>TONTNOV!H8+TONTNOV!I8</f>
        <v>153500</v>
      </c>
      <c r="M8" s="7" t="s">
        <v>10</v>
      </c>
      <c r="N8" s="7"/>
      <c r="O8" s="14"/>
      <c r="P8" s="8">
        <f t="shared" si="2"/>
        <v>1250000</v>
      </c>
      <c r="Q8" s="8">
        <v>250000</v>
      </c>
      <c r="R8" s="23">
        <v>43814</v>
      </c>
    </row>
    <row r="9" spans="1:18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TONTNOV!F9</f>
        <v>0</v>
      </c>
      <c r="G9" s="7"/>
      <c r="H9" s="8"/>
      <c r="I9" s="8"/>
      <c r="J9" s="7"/>
      <c r="K9" s="14"/>
      <c r="L9" s="8">
        <f>TONTNOV!H9+TONTNOV!I9</f>
        <v>0</v>
      </c>
      <c r="M9" s="7"/>
      <c r="N9" s="7"/>
      <c r="O9" s="14"/>
      <c r="P9" s="8">
        <f t="shared" si="2"/>
        <v>0</v>
      </c>
      <c r="Q9" s="8"/>
      <c r="R9" s="23"/>
    </row>
    <row r="10" spans="1:18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TONTNOV!F10</f>
        <v>0</v>
      </c>
      <c r="G10" s="7"/>
      <c r="H10" s="8"/>
      <c r="I10" s="8"/>
      <c r="J10" s="7"/>
      <c r="K10" s="14"/>
      <c r="L10" s="8">
        <f>TONTNOV!H10+TONTNOV!I10</f>
        <v>208000</v>
      </c>
      <c r="M10" s="7" t="s">
        <v>10</v>
      </c>
      <c r="N10" s="7"/>
      <c r="O10" s="14"/>
      <c r="P10" s="8">
        <f t="shared" si="2"/>
        <v>0</v>
      </c>
      <c r="Q10" s="8"/>
      <c r="R10" s="11"/>
    </row>
    <row r="11" spans="1:18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TONTNOV!F11</f>
        <v>0</v>
      </c>
      <c r="G11" s="7"/>
      <c r="H11" s="8"/>
      <c r="I11" s="8"/>
      <c r="J11" s="7"/>
      <c r="K11" s="14"/>
      <c r="L11" s="8">
        <f>TONTNOV!H11+TONTNOV!I11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8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TONTNOV!F12</f>
        <v>0</v>
      </c>
      <c r="G12" s="7"/>
      <c r="H12" s="8"/>
      <c r="I12" s="8"/>
      <c r="J12" s="7"/>
      <c r="K12" s="14"/>
      <c r="L12" s="8">
        <f>TONTNOV!H12+TONTNOV!I12</f>
        <v>0</v>
      </c>
      <c r="M12" s="7"/>
      <c r="N12" s="7"/>
      <c r="O12" s="14"/>
      <c r="P12" s="8">
        <f t="shared" si="2"/>
        <v>0</v>
      </c>
      <c r="Q12" s="8"/>
      <c r="R12" s="23"/>
    </row>
    <row r="13" spans="1:18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TONTNOV!F13</f>
        <v>0</v>
      </c>
      <c r="G13" s="7"/>
      <c r="H13" s="8"/>
      <c r="I13" s="8"/>
      <c r="J13" s="7"/>
      <c r="K13" s="14"/>
      <c r="L13" s="8">
        <f>TONTNOV!H13+TONTNOV!I13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8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f>TONTNOV!F14</f>
        <v>0</v>
      </c>
      <c r="G14" s="7"/>
      <c r="H14" s="8"/>
      <c r="I14" s="8"/>
      <c r="J14" s="7"/>
      <c r="K14" s="14"/>
      <c r="L14" s="8">
        <f>TONTNOV!H14+TONTNOV!I14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8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10</v>
      </c>
      <c r="F15" s="8">
        <f>TONTNOV!F15</f>
        <v>0</v>
      </c>
      <c r="G15" s="7"/>
      <c r="H15" s="8"/>
      <c r="I15" s="8"/>
      <c r="J15" s="7"/>
      <c r="K15" s="14"/>
      <c r="L15" s="8">
        <f>TONTNOV!H15+TONTNOV!I15</f>
        <v>0</v>
      </c>
      <c r="M15" s="7"/>
      <c r="N15" s="17"/>
      <c r="O15" s="14"/>
      <c r="P15" s="16">
        <f t="shared" si="2"/>
        <v>0</v>
      </c>
      <c r="Q15" s="16"/>
      <c r="R15" s="19"/>
    </row>
    <row r="16" spans="1:18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18</v>
      </c>
      <c r="F16" s="8">
        <f>TONTNOV!F16</f>
        <v>0</v>
      </c>
      <c r="G16" s="7"/>
      <c r="H16" s="8"/>
      <c r="I16" s="8"/>
      <c r="J16" s="7"/>
      <c r="K16" s="14"/>
      <c r="L16" s="8">
        <f>TONTNOV!H16+TONTNOV!I16</f>
        <v>0</v>
      </c>
      <c r="M16" s="7"/>
      <c r="N16" s="7"/>
      <c r="O16" s="14"/>
      <c r="P16" s="8">
        <f t="shared" si="2"/>
        <v>0</v>
      </c>
      <c r="Q16" s="8"/>
      <c r="R16" s="23"/>
    </row>
    <row r="17" spans="1:18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f>TONTNOV!F17</f>
        <v>0</v>
      </c>
      <c r="G17" s="7"/>
      <c r="H17" s="8"/>
      <c r="I17" s="8"/>
      <c r="J17" s="7"/>
      <c r="K17" s="14"/>
      <c r="L17" s="8">
        <f>TONTNOV!H17+TONTNOV!I17</f>
        <v>0</v>
      </c>
      <c r="M17" s="7"/>
      <c r="N17" s="7"/>
      <c r="O17" s="14"/>
      <c r="P17" s="8">
        <f t="shared" si="2"/>
        <v>1255000</v>
      </c>
      <c r="Q17" s="8">
        <v>245000</v>
      </c>
      <c r="R17" s="23">
        <v>43814</v>
      </c>
    </row>
    <row r="18" spans="1:18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>
        <f>TONTNOV!F18</f>
        <v>0</v>
      </c>
      <c r="G18" s="7"/>
      <c r="H18" s="8"/>
      <c r="I18" s="8"/>
      <c r="J18" s="7"/>
      <c r="K18" s="14"/>
      <c r="L18" s="8">
        <f>TONTNOV!H18+TONTNOV!I18</f>
        <v>0</v>
      </c>
      <c r="M18" s="7"/>
      <c r="N18" s="7" t="s">
        <v>10</v>
      </c>
      <c r="O18" s="14"/>
      <c r="P18" s="8">
        <f t="shared" si="2"/>
        <v>0</v>
      </c>
      <c r="Q18" s="8"/>
      <c r="R18" s="11"/>
    </row>
    <row r="19" spans="1:18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TONTNOV!F19</f>
        <v>0</v>
      </c>
      <c r="G19" s="7"/>
      <c r="H19" s="8"/>
      <c r="I19" s="8"/>
      <c r="J19" s="7"/>
      <c r="K19" s="14"/>
      <c r="L19" s="8">
        <f>TONTNOV!H19+TONTNOV!I19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8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TONTNOV!F20</f>
        <v>0</v>
      </c>
      <c r="G20" s="7"/>
      <c r="H20" s="8"/>
      <c r="I20" s="8"/>
      <c r="J20" s="7"/>
      <c r="K20" s="14"/>
      <c r="L20" s="8">
        <f>TONTNOV!H20+TONTNOV!I20</f>
        <v>0</v>
      </c>
      <c r="M20" s="7"/>
      <c r="N20" s="7"/>
      <c r="O20" s="14"/>
      <c r="P20" s="8">
        <f t="shared" si="2"/>
        <v>0</v>
      </c>
      <c r="Q20" s="8"/>
      <c r="R20" s="11"/>
    </row>
    <row r="21" spans="1:18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TONTNOV!F21</f>
        <v>0</v>
      </c>
      <c r="G21" s="7"/>
      <c r="H21" s="8"/>
      <c r="I21" s="8"/>
      <c r="J21" s="7"/>
      <c r="K21" s="14"/>
      <c r="L21" s="8">
        <f>TONTNOV!H21+TONTNOV!I21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8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f>TONTNOV!F22</f>
        <v>0</v>
      </c>
      <c r="G22" s="7"/>
      <c r="H22" s="8"/>
      <c r="I22" s="8"/>
      <c r="J22" s="7"/>
      <c r="K22" s="14"/>
      <c r="L22" s="8">
        <f>TONTNOV!H22+TONTNOV!I22</f>
        <v>213000</v>
      </c>
      <c r="M22" s="7" t="s">
        <v>18</v>
      </c>
      <c r="N22" s="7"/>
      <c r="O22" s="14"/>
      <c r="P22" s="8">
        <f t="shared" si="2"/>
        <v>0</v>
      </c>
      <c r="Q22" s="8"/>
      <c r="R22" s="11"/>
    </row>
    <row r="23" spans="1:18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TONTNOV!F23</f>
        <v>0</v>
      </c>
      <c r="G23" s="7"/>
      <c r="H23" s="8"/>
      <c r="I23" s="8"/>
      <c r="J23" s="7"/>
      <c r="K23" s="7"/>
      <c r="L23" s="8">
        <f>TONTNOV!H23+TONTNOV!I23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8" x14ac:dyDescent="0.25">
      <c r="N24" s="7"/>
    </row>
    <row r="25" spans="1:18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0</v>
      </c>
      <c r="G25" s="10"/>
      <c r="H25" s="10">
        <f>SUM(H6:H24)</f>
        <v>0</v>
      </c>
      <c r="I25" s="10">
        <f>SUM(I6:I24)</f>
        <v>0</v>
      </c>
      <c r="J25" s="10"/>
      <c r="K25" s="10"/>
      <c r="L25" s="10">
        <f>SUM(L6:L24)</f>
        <v>574500</v>
      </c>
      <c r="M25" s="10"/>
      <c r="N25" s="10"/>
      <c r="O25" s="10"/>
      <c r="P25" s="10">
        <f>SUM(P6:P24)</f>
        <v>2505000</v>
      </c>
      <c r="Q25" s="10">
        <f>SUM(Q6:Q24)</f>
        <v>495000</v>
      </c>
    </row>
    <row r="26" spans="1:18" x14ac:dyDescent="0.25">
      <c r="C26" s="2" t="s">
        <v>19</v>
      </c>
    </row>
    <row r="27" spans="1:18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2869500</v>
      </c>
      <c r="O27" s="10"/>
      <c r="P27" s="10"/>
    </row>
    <row r="28" spans="1:18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3000000</v>
      </c>
      <c r="O28" s="10"/>
      <c r="P28" s="27"/>
    </row>
    <row r="29" spans="1:18" ht="18" x14ac:dyDescent="0.25">
      <c r="B29" s="10" t="s">
        <v>18</v>
      </c>
      <c r="C29" s="36">
        <f>SUMIFS(C6:C24,E6:E24,"ESPECES")</f>
        <v>300000</v>
      </c>
      <c r="D29" s="10">
        <f>SUMIFS(L6:L24,M6:M24,"ESPECES")+SUMIFS(F6:F24,G6:G24,"ESPECES")</f>
        <v>213000</v>
      </c>
      <c r="E29" s="10">
        <f>SUMIFS(H6:H24,J6:J24,"ESPECES")</f>
        <v>0</v>
      </c>
      <c r="F29" s="10">
        <f>SUMIFS(P6:P24,N6:N24,"ESPECES")</f>
        <v>0</v>
      </c>
      <c r="G29" s="10">
        <f>C29+D29-E29-F29</f>
        <v>513000</v>
      </c>
      <c r="H29" s="3"/>
      <c r="M29" s="2"/>
      <c r="N29"/>
      <c r="O29"/>
      <c r="P29" s="10"/>
    </row>
    <row r="30" spans="1:18" ht="18" x14ac:dyDescent="0.25">
      <c r="B30" s="10" t="s">
        <v>10</v>
      </c>
      <c r="C30" s="36">
        <f>SUMIFS(C6:C24,E6:E24,"BANQUE")</f>
        <v>1500000</v>
      </c>
      <c r="D30" s="10">
        <f>SUMIFS(L6:L24,M6:M24,"BANQUE")+SUMIFS(F6:F24,G6:G24,"BANQUE")</f>
        <v>361500</v>
      </c>
      <c r="E30" s="10">
        <f>SUMIFS(H6:H24,J6:J24,"BANQUE")</f>
        <v>0</v>
      </c>
      <c r="F30" s="10">
        <f>SUMIFS(P6:P24,N6:N24,"BANQUE")</f>
        <v>0</v>
      </c>
      <c r="G30" s="10">
        <f>C30+D30-E30-F30</f>
        <v>1861500</v>
      </c>
      <c r="H30" s="3"/>
      <c r="M30" s="10" t="s">
        <v>53</v>
      </c>
      <c r="N30" s="10">
        <f>N27-N28</f>
        <v>-130500</v>
      </c>
      <c r="O30" s="10"/>
    </row>
    <row r="31" spans="1:18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8" ht="18" x14ac:dyDescent="0.25">
      <c r="B32" s="10" t="s">
        <v>17</v>
      </c>
      <c r="C32" s="36">
        <f>C29+C30</f>
        <v>1800000</v>
      </c>
      <c r="D32" s="36">
        <f t="shared" ref="D32:E32" si="3">D29+D30</f>
        <v>574500</v>
      </c>
      <c r="E32" s="36">
        <f t="shared" si="3"/>
        <v>0</v>
      </c>
      <c r="F32" s="36">
        <f>F29+F30</f>
        <v>0</v>
      </c>
      <c r="G32" s="36">
        <f>G29+G30</f>
        <v>2374500</v>
      </c>
      <c r="H32" s="3"/>
      <c r="M32" s="10" t="s">
        <v>69</v>
      </c>
      <c r="N32" s="10">
        <f>N30-H25</f>
        <v>-130500</v>
      </c>
      <c r="O32" s="10">
        <f>N32+TONTNOV!O32</f>
        <v>-230500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0</v>
      </c>
      <c r="O34" s="10">
        <f>N34+TONTNOV!O34</f>
        <v>0</v>
      </c>
      <c r="P34" s="10" t="s">
        <v>70</v>
      </c>
    </row>
    <row r="35" spans="2:16" ht="18" x14ac:dyDescent="0.25">
      <c r="B35" s="10" t="s">
        <v>27</v>
      </c>
      <c r="C35" s="10">
        <f>Q25</f>
        <v>495000</v>
      </c>
      <c r="M35" s="10" t="s">
        <v>71</v>
      </c>
      <c r="N35" s="36">
        <f>SUMIFS(F6:F24,G6:G24,"ECHEC")</f>
        <v>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0</v>
      </c>
    </row>
  </sheetData>
  <autoFilter ref="A5:R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I30" activePane="bottomRight" state="frozen"/>
      <selection activeCell="N35" sqref="N35"/>
      <selection pane="topRight" activeCell="N35" sqref="N35"/>
      <selection pane="bottomLeft" activeCell="N35" sqref="N35"/>
      <selection pane="bottomRight" activeCell="O34" sqref="O3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43848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TONTDEC!F6</f>
        <v>0</v>
      </c>
      <c r="G6" s="7"/>
      <c r="H6" s="8"/>
      <c r="I6" s="8"/>
      <c r="J6" s="7"/>
      <c r="K6" s="14"/>
      <c r="L6" s="8">
        <f>TONTDEC!H6+TONTDEC!I6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TONTDEC!F7</f>
        <v>0</v>
      </c>
      <c r="G7" s="7"/>
      <c r="H7" s="8"/>
      <c r="I7" s="8"/>
      <c r="J7" s="7"/>
      <c r="K7" s="14"/>
      <c r="L7" s="8">
        <f>TONTDEC!H7+TONTDEC!I7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TONTDEC!F8</f>
        <v>0</v>
      </c>
      <c r="G8" s="7"/>
      <c r="H8" s="8">
        <v>100000</v>
      </c>
      <c r="I8" s="8">
        <v>4000</v>
      </c>
      <c r="J8" s="7" t="s">
        <v>18</v>
      </c>
      <c r="K8" s="14"/>
      <c r="L8" s="8">
        <f>TONTDEC!H8+TONTDEC!I8</f>
        <v>0</v>
      </c>
      <c r="M8" s="7"/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TONTDEC!F9</f>
        <v>0</v>
      </c>
      <c r="G9" s="7"/>
      <c r="H9" s="8"/>
      <c r="I9" s="8"/>
      <c r="J9" s="7"/>
      <c r="K9" s="14"/>
      <c r="L9" s="8">
        <f>TONTDEC!H9+TONTDEC!I9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TONTDEC!F10</f>
        <v>0</v>
      </c>
      <c r="G10" s="7"/>
      <c r="H10" s="8"/>
      <c r="I10" s="8"/>
      <c r="J10" s="7"/>
      <c r="K10" s="14"/>
      <c r="L10" s="8">
        <f>TONTDEC!H10+TONTDEC!I10</f>
        <v>0</v>
      </c>
      <c r="M10" s="7"/>
      <c r="N10" s="7"/>
      <c r="O10" s="14"/>
      <c r="P10" s="8">
        <f t="shared" si="2"/>
        <v>1270000</v>
      </c>
      <c r="Q10" s="8">
        <v>230000</v>
      </c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TONTDEC!F11</f>
        <v>0</v>
      </c>
      <c r="G11" s="7"/>
      <c r="H11" s="8"/>
      <c r="I11" s="8"/>
      <c r="J11" s="7"/>
      <c r="K11" s="14"/>
      <c r="L11" s="8">
        <f>TONTDEC!H11+TONTDEC!I11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TONTDEC!F12</f>
        <v>0</v>
      </c>
      <c r="G12" s="7"/>
      <c r="H12" s="8"/>
      <c r="I12" s="8"/>
      <c r="J12" s="7"/>
      <c r="K12" s="14"/>
      <c r="L12" s="8">
        <f>TONTDEC!H12+TONTDEC!I12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TONTDEC!F13</f>
        <v>0</v>
      </c>
      <c r="G13" s="7"/>
      <c r="H13" s="8"/>
      <c r="I13" s="8"/>
      <c r="J13" s="7"/>
      <c r="K13" s="14"/>
      <c r="L13" s="8">
        <f>TONTDEC!H13+TONTDEC!I13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f>TONTDEC!F14</f>
        <v>0</v>
      </c>
      <c r="G14" s="7"/>
      <c r="H14" s="8">
        <v>99500</v>
      </c>
      <c r="I14" s="8">
        <v>4000</v>
      </c>
      <c r="J14" s="7" t="s">
        <v>18</v>
      </c>
      <c r="K14" s="14"/>
      <c r="L14" s="8">
        <f>TONTDEC!H14+TONTDEC!I14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10</v>
      </c>
      <c r="F15" s="8">
        <f>TONTDEC!F15</f>
        <v>0</v>
      </c>
      <c r="G15" s="7"/>
      <c r="H15" s="8">
        <v>100000</v>
      </c>
      <c r="I15" s="8">
        <v>6000</v>
      </c>
      <c r="J15" s="7" t="s">
        <v>18</v>
      </c>
      <c r="K15" s="14"/>
      <c r="L15" s="8">
        <f>TONTDEC!H15+TONTDEC!I15</f>
        <v>0</v>
      </c>
      <c r="M15" s="7"/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TONTDEC!F16</f>
        <v>0</v>
      </c>
      <c r="G16" s="7"/>
      <c r="H16" s="8"/>
      <c r="I16" s="8"/>
      <c r="J16" s="7"/>
      <c r="K16" s="14"/>
      <c r="L16" s="8">
        <f>TONTDEC!H16+TONTDEC!I16</f>
        <v>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10</v>
      </c>
      <c r="F17" s="8">
        <f>TONTDEC!F17</f>
        <v>0</v>
      </c>
      <c r="G17" s="7"/>
      <c r="H17" s="8"/>
      <c r="I17" s="8"/>
      <c r="J17" s="7"/>
      <c r="K17" s="14"/>
      <c r="L17" s="8">
        <f>TONTDEC!H17+TONTDEC!I17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10</v>
      </c>
      <c r="F18" s="8">
        <f>TONTDEC!F18</f>
        <v>0</v>
      </c>
      <c r="G18" s="7"/>
      <c r="H18" s="8"/>
      <c r="I18" s="8"/>
      <c r="J18" s="7"/>
      <c r="K18" s="14"/>
      <c r="L18" s="8">
        <f>TONTDEC!H18+TONTDEC!I18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TONTDEC!F19</f>
        <v>0</v>
      </c>
      <c r="G19" s="7"/>
      <c r="H19" s="8"/>
      <c r="I19" s="8"/>
      <c r="J19" s="7"/>
      <c r="K19" s="14"/>
      <c r="L19" s="8">
        <f>TONTDEC!H19+TONTDEC!I19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TONTDEC!F20</f>
        <v>0</v>
      </c>
      <c r="G20" s="7"/>
      <c r="H20" s="8"/>
      <c r="I20" s="8"/>
      <c r="J20" s="7"/>
      <c r="K20" s="14"/>
      <c r="L20" s="8">
        <f>TONTDEC!H20+TONTDEC!I20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TONTDEC!F21</f>
        <v>0</v>
      </c>
      <c r="G21" s="7"/>
      <c r="H21" s="8"/>
      <c r="I21" s="8"/>
      <c r="J21" s="7"/>
      <c r="K21" s="14"/>
      <c r="L21" s="8">
        <f>TONTDEC!H21+TONTDEC!I21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f>TONTDEC!F22</f>
        <v>0</v>
      </c>
      <c r="G22" s="7"/>
      <c r="H22" s="8">
        <v>200000</v>
      </c>
      <c r="I22" s="8">
        <v>10000</v>
      </c>
      <c r="J22" s="7" t="s">
        <v>18</v>
      </c>
      <c r="K22" s="14"/>
      <c r="L22" s="8">
        <f>TONTDEC!H22+TONTDEC!I22</f>
        <v>0</v>
      </c>
      <c r="M22" s="7"/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TONTDEC!F23</f>
        <v>0</v>
      </c>
      <c r="G23" s="7"/>
      <c r="H23" s="8"/>
      <c r="I23" s="8"/>
      <c r="J23" s="7"/>
      <c r="K23" s="7"/>
      <c r="L23" s="8">
        <f>TONTDEC!H23+TONTDEC!I23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0</v>
      </c>
      <c r="G25" s="10"/>
      <c r="H25" s="10">
        <f>SUM(H6:H24)</f>
        <v>499500</v>
      </c>
      <c r="I25" s="10">
        <f>SUM(I6:I24)</f>
        <v>24000</v>
      </c>
      <c r="J25" s="10"/>
      <c r="K25" s="10"/>
      <c r="L25" s="10">
        <f>SUM(L6:L24)</f>
        <v>0</v>
      </c>
      <c r="M25" s="10"/>
      <c r="N25" s="10"/>
      <c r="O25" s="10"/>
      <c r="P25" s="10">
        <f>SUM(P6:P24)</f>
        <v>1270000</v>
      </c>
      <c r="Q25" s="10">
        <f>SUM(Q6:Q24)</f>
        <v>230000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2030000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0</v>
      </c>
      <c r="D29" s="10">
        <f>SUMIFS(L6:L24,M6:M24,"ESPECES")+SUMIFS(F6:F24,G6:G24,"ESPECES")</f>
        <v>0</v>
      </c>
      <c r="E29" s="10">
        <f>SUMIFS(H6:H24,J6:J24,"ESPECES")</f>
        <v>499500</v>
      </c>
      <c r="F29" s="10">
        <f>SUMIFS(P6:P24,N6:N24,"ESPECES")</f>
        <v>0</v>
      </c>
      <c r="G29" s="10">
        <f>C29+D29-E29-F29</f>
        <v>-499500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1800000</v>
      </c>
      <c r="D30" s="10">
        <f>SUMIFS(L6:L24,M6:M24,"BANQUE")+SUMIFS(F6:F24,G6:G24,"BANQUE")</f>
        <v>0</v>
      </c>
      <c r="E30" s="10">
        <f>SUMIFS(H6:H24,J6:J24,"BANQUE")</f>
        <v>0</v>
      </c>
      <c r="F30" s="10">
        <f>SUMIFS(P6:P24,N6:N24,"BANQUE")</f>
        <v>0</v>
      </c>
      <c r="G30" s="10">
        <f>C30+D30-E30-F30</f>
        <v>1800000</v>
      </c>
      <c r="H30" s="3"/>
      <c r="M30" s="10" t="s">
        <v>53</v>
      </c>
      <c r="N30" s="10">
        <f>N27-N28</f>
        <v>530000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1800000</v>
      </c>
      <c r="D32" s="36">
        <f t="shared" ref="D32:E32" si="3">D29+D30</f>
        <v>0</v>
      </c>
      <c r="E32" s="36">
        <f t="shared" si="3"/>
        <v>499500</v>
      </c>
      <c r="F32" s="36">
        <f>F29+F30</f>
        <v>0</v>
      </c>
      <c r="G32" s="36">
        <f>G29+G30</f>
        <v>1300500</v>
      </c>
      <c r="H32" s="3"/>
      <c r="M32" s="10" t="s">
        <v>69</v>
      </c>
      <c r="N32" s="10">
        <f>N30-H25</f>
        <v>30500</v>
      </c>
      <c r="O32" s="10">
        <f>N32+TONTDEC!O32</f>
        <v>-200000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0</v>
      </c>
      <c r="O34" s="10">
        <f>N34+TONTDEC!O34</f>
        <v>0</v>
      </c>
      <c r="P34" s="10" t="s">
        <v>70</v>
      </c>
    </row>
    <row r="35" spans="2:16" ht="18" x14ac:dyDescent="0.25">
      <c r="B35" s="10" t="s">
        <v>27</v>
      </c>
      <c r="C35" s="10">
        <f>Q25</f>
        <v>230000</v>
      </c>
      <c r="M35" s="10" t="s">
        <v>71</v>
      </c>
      <c r="N35" s="36">
        <f>SUMIFS(F6:F24,G6:G24,"ECHEC")</f>
        <v>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24000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499500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J30" activePane="bottomRight" state="frozen"/>
      <selection activeCell="N35" sqref="N35"/>
      <selection pane="topRight" activeCell="N35" sqref="N35"/>
      <selection pane="bottomLeft" activeCell="N35" sqref="N35"/>
      <selection pane="bottomRight" activeCell="O34" sqref="O3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43877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TONTJANV!F6</f>
        <v>0</v>
      </c>
      <c r="G6" s="7"/>
      <c r="H6" s="8"/>
      <c r="I6" s="8"/>
      <c r="J6" s="7"/>
      <c r="K6" s="14"/>
      <c r="L6" s="8">
        <f>TONTJANV!H6+TONTJANV!I6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TONTJANV!F7</f>
        <v>0</v>
      </c>
      <c r="G7" s="7"/>
      <c r="H7" s="8"/>
      <c r="I7" s="8"/>
      <c r="J7" s="7"/>
      <c r="K7" s="14"/>
      <c r="L7" s="8">
        <f>TONTJANV!H7+TONTJANV!I7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TONTJANV!F8</f>
        <v>0</v>
      </c>
      <c r="G8" s="7"/>
      <c r="H8" s="8">
        <v>100000</v>
      </c>
      <c r="I8" s="8">
        <v>3000</v>
      </c>
      <c r="J8" s="7" t="s">
        <v>10</v>
      </c>
      <c r="K8" s="14"/>
      <c r="L8" s="8">
        <f>TONTJANV!H8+TONTJANV!I8</f>
        <v>104000</v>
      </c>
      <c r="M8" s="7" t="s">
        <v>18</v>
      </c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TONTJANV!F9</f>
        <v>0</v>
      </c>
      <c r="G9" s="7"/>
      <c r="H9" s="8"/>
      <c r="I9" s="8"/>
      <c r="J9" s="7"/>
      <c r="K9" s="14"/>
      <c r="L9" s="8">
        <f>TONTJANV!H9+TONTJANV!I9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TONTJANV!F10</f>
        <v>0</v>
      </c>
      <c r="G10" s="7"/>
      <c r="H10" s="8">
        <v>200000</v>
      </c>
      <c r="I10" s="8">
        <v>5000</v>
      </c>
      <c r="J10" s="7" t="s">
        <v>18</v>
      </c>
      <c r="K10" s="14"/>
      <c r="L10" s="8">
        <f>TONTJANV!H10+TONTJANV!I10</f>
        <v>0</v>
      </c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TONTJANV!F11</f>
        <v>0</v>
      </c>
      <c r="G11" s="7"/>
      <c r="H11" s="8"/>
      <c r="I11" s="8"/>
      <c r="J11" s="7"/>
      <c r="K11" s="14"/>
      <c r="L11" s="8">
        <f>TONTJANV!H11+TONTJANV!I11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TONTJANV!F12</f>
        <v>0</v>
      </c>
      <c r="G12" s="7"/>
      <c r="H12" s="8"/>
      <c r="I12" s="8"/>
      <c r="J12" s="7"/>
      <c r="K12" s="14"/>
      <c r="L12" s="8">
        <f>TONTJANV!H12+TONTJANV!I12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TONTJANV!F13</f>
        <v>0</v>
      </c>
      <c r="G13" s="7"/>
      <c r="H13" s="8">
        <v>100000</v>
      </c>
      <c r="I13" s="8">
        <v>3000</v>
      </c>
      <c r="J13" s="7" t="s">
        <v>10</v>
      </c>
      <c r="K13" s="14"/>
      <c r="L13" s="8">
        <f>TONTJANV!H13+TONTJANV!I13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f>TONTJANV!F14</f>
        <v>0</v>
      </c>
      <c r="G14" s="7"/>
      <c r="H14" s="8"/>
      <c r="I14" s="8"/>
      <c r="J14" s="7"/>
      <c r="K14" s="14"/>
      <c r="L14" s="8">
        <f>TONTJANV!H14+TONTJANV!I14</f>
        <v>103500</v>
      </c>
      <c r="M14" s="7" t="s">
        <v>18</v>
      </c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18</v>
      </c>
      <c r="F15" s="8">
        <f>TONTJANV!F15</f>
        <v>0</v>
      </c>
      <c r="G15" s="7"/>
      <c r="H15" s="8">
        <v>213500</v>
      </c>
      <c r="I15" s="8">
        <v>4000</v>
      </c>
      <c r="J15" s="7" t="s">
        <v>18</v>
      </c>
      <c r="K15" s="14"/>
      <c r="L15" s="8">
        <f>TONTJANV!H15+TONTJANV!I15</f>
        <v>106000</v>
      </c>
      <c r="M15" s="7" t="s">
        <v>18</v>
      </c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TONTJANV!F16</f>
        <v>0</v>
      </c>
      <c r="G16" s="7"/>
      <c r="H16" s="8">
        <v>100000</v>
      </c>
      <c r="I16" s="8">
        <v>2000</v>
      </c>
      <c r="J16" s="7" t="s">
        <v>10</v>
      </c>
      <c r="K16" s="14"/>
      <c r="L16" s="8">
        <f>TONTJANV!H16+TONTJANV!I16</f>
        <v>0</v>
      </c>
      <c r="M16" s="7"/>
      <c r="N16" s="7" t="s">
        <v>10</v>
      </c>
      <c r="O16" s="14"/>
      <c r="P16" s="8">
        <f t="shared" si="2"/>
        <v>1400000</v>
      </c>
      <c r="Q16" s="8">
        <v>100000</v>
      </c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10</v>
      </c>
      <c r="F17" s="8">
        <f>TONTJANV!F17</f>
        <v>0</v>
      </c>
      <c r="G17" s="7"/>
      <c r="H17" s="8"/>
      <c r="I17" s="8"/>
      <c r="J17" s="7"/>
      <c r="K17" s="14"/>
      <c r="L17" s="8">
        <f>TONTJANV!H17+TONTJANV!I17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10</v>
      </c>
      <c r="F18" s="8">
        <f>TONTJANV!F18</f>
        <v>0</v>
      </c>
      <c r="G18" s="7"/>
      <c r="H18" s="8"/>
      <c r="I18" s="8"/>
      <c r="J18" s="7"/>
      <c r="K18" s="14"/>
      <c r="L18" s="8">
        <f>TONTJANV!H18+TONTJANV!I18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TONTJANV!F19</f>
        <v>0</v>
      </c>
      <c r="G19" s="7"/>
      <c r="H19" s="8"/>
      <c r="I19" s="8"/>
      <c r="J19" s="7"/>
      <c r="K19" s="14"/>
      <c r="L19" s="8">
        <f>TONTJANV!H19+TONTJANV!I19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TONTJANV!F20</f>
        <v>0</v>
      </c>
      <c r="G20" s="7"/>
      <c r="H20" s="8"/>
      <c r="I20" s="8"/>
      <c r="J20" s="7"/>
      <c r="K20" s="14"/>
      <c r="L20" s="8">
        <f>TONTJANV!H20+TONTJANV!I20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TONTJANV!F21</f>
        <v>0</v>
      </c>
      <c r="G21" s="7"/>
      <c r="H21" s="8"/>
      <c r="I21" s="8"/>
      <c r="J21" s="7"/>
      <c r="K21" s="14"/>
      <c r="L21" s="8">
        <f>TONTJANV!H21+TONTJANV!I21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v>230000</v>
      </c>
      <c r="G22" s="7" t="s">
        <v>9</v>
      </c>
      <c r="H22" s="8"/>
      <c r="I22" s="8"/>
      <c r="J22" s="7"/>
      <c r="K22" s="14"/>
      <c r="L22" s="8">
        <f>TONTJANV!H22+TONTJANV!I22</f>
        <v>210000</v>
      </c>
      <c r="M22" s="7" t="s">
        <v>9</v>
      </c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/>
      <c r="G23" s="7"/>
      <c r="H23" s="8"/>
      <c r="I23" s="8"/>
      <c r="J23" s="7"/>
      <c r="K23" s="7"/>
      <c r="L23" s="8">
        <f>TONTJANV!H23+TONTJANV!I23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230000</v>
      </c>
      <c r="G25" s="10"/>
      <c r="H25" s="10">
        <f>SUM(H6:H24)</f>
        <v>713500</v>
      </c>
      <c r="I25" s="10">
        <f>SUM(I6:I24)</f>
        <v>17000</v>
      </c>
      <c r="J25" s="10"/>
      <c r="K25" s="10"/>
      <c r="L25" s="10">
        <f>SUM(L6:L24)</f>
        <v>523500</v>
      </c>
      <c r="M25" s="10"/>
      <c r="N25" s="10"/>
      <c r="O25" s="10"/>
      <c r="P25" s="10">
        <f>SUM(P6:P24)</f>
        <v>1400000</v>
      </c>
      <c r="Q25" s="10">
        <f>SUM(Q6:Q24)</f>
        <v>100000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2213500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100000</v>
      </c>
      <c r="D29" s="10">
        <f>SUMIFS(L6:L24,M6:M24,"ESPECES")+SUMIFS(F6:F24,G6:G24,"ESPECES")</f>
        <v>313500</v>
      </c>
      <c r="E29" s="10">
        <f>SUMIFS(H6:H24,J6:J24,"ESPECES")</f>
        <v>413500</v>
      </c>
      <c r="F29" s="10">
        <f>SUMIFS(P6:P24,N6:N24,"ESPECES")</f>
        <v>0</v>
      </c>
      <c r="G29" s="10">
        <f>C29+D29-E29-F29</f>
        <v>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1700000</v>
      </c>
      <c r="D30" s="10">
        <f>SUMIFS(L6:L24,M6:M24,"BANQUE")+SUMIFS(F6:F24,G6:G24,"BANQUE")</f>
        <v>0</v>
      </c>
      <c r="E30" s="10">
        <f>SUMIFS(H6:H24,J6:J24,"BANQUE")</f>
        <v>300000</v>
      </c>
      <c r="F30" s="10">
        <f>SUMIFS(P6:P24,N6:N24,"BANQUE")</f>
        <v>1400000</v>
      </c>
      <c r="G30" s="10">
        <f>C30+D30-E30-F30</f>
        <v>0</v>
      </c>
      <c r="H30" s="3"/>
      <c r="M30" s="10" t="s">
        <v>53</v>
      </c>
      <c r="N30" s="10">
        <f>N27-N28</f>
        <v>713500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1800000</v>
      </c>
      <c r="D32" s="36">
        <f t="shared" ref="D32:E32" si="3">D29+D30</f>
        <v>313500</v>
      </c>
      <c r="E32" s="36">
        <f t="shared" si="3"/>
        <v>713500</v>
      </c>
      <c r="F32" s="36">
        <f>F29+F30</f>
        <v>1400000</v>
      </c>
      <c r="G32" s="36">
        <f>G29+G30</f>
        <v>0</v>
      </c>
      <c r="H32" s="3"/>
      <c r="M32" s="10" t="s">
        <v>69</v>
      </c>
      <c r="N32" s="10">
        <f>N30-H25</f>
        <v>0</v>
      </c>
      <c r="O32" s="10">
        <f>N32+TONTJANV!O32</f>
        <v>-200000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0</v>
      </c>
      <c r="O34" s="10">
        <f>N34+TONTJANV!O34</f>
        <v>0</v>
      </c>
      <c r="P34" s="10" t="s">
        <v>70</v>
      </c>
    </row>
    <row r="35" spans="2:16" ht="18" x14ac:dyDescent="0.25">
      <c r="B35" s="10" t="s">
        <v>27</v>
      </c>
      <c r="C35" s="10">
        <f>Q25</f>
        <v>100000</v>
      </c>
      <c r="M35" s="10" t="s">
        <v>71</v>
      </c>
      <c r="N35" s="36">
        <f>SUMIFS(F6:F24,G6:G24,"ECHEC")</f>
        <v>230000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17000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713500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H30" activePane="bottomRight" state="frozen"/>
      <selection activeCell="N35" sqref="N35"/>
      <selection pane="topRight" activeCell="N35" sqref="N35"/>
      <selection pane="bottomLeft" activeCell="N35" sqref="N35"/>
      <selection pane="bottomRight" activeCell="F22" sqref="F2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43905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TONTFEV!F6</f>
        <v>0</v>
      </c>
      <c r="G6" s="7"/>
      <c r="H6" s="8"/>
      <c r="I6" s="8"/>
      <c r="J6" s="7"/>
      <c r="K6" s="14"/>
      <c r="L6" s="8">
        <f>TONTFEV!H6+TONTFEV!I6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TONTFEV!F7</f>
        <v>0</v>
      </c>
      <c r="G7" s="7"/>
      <c r="H7" s="8"/>
      <c r="I7" s="8"/>
      <c r="J7" s="7"/>
      <c r="K7" s="14"/>
      <c r="L7" s="8">
        <f>TONTFEV!H7+TONTFEV!I7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TONTFEV!F8</f>
        <v>0</v>
      </c>
      <c r="G8" s="7"/>
      <c r="H8" s="8">
        <v>200000</v>
      </c>
      <c r="I8" s="8">
        <v>2500</v>
      </c>
      <c r="J8" s="7" t="s">
        <v>10</v>
      </c>
      <c r="K8" s="14"/>
      <c r="L8" s="8">
        <f>TONTFEV!H8+TONTFEV!I8</f>
        <v>103000</v>
      </c>
      <c r="M8" s="7" t="s">
        <v>10</v>
      </c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TONTFEV!F9</f>
        <v>0</v>
      </c>
      <c r="G9" s="7"/>
      <c r="H9" s="8"/>
      <c r="I9" s="8"/>
      <c r="J9" s="7"/>
      <c r="K9" s="14"/>
      <c r="L9" s="8">
        <f>TONTFEV!H9+TONTFEV!I9</f>
        <v>0</v>
      </c>
      <c r="M9" s="7"/>
      <c r="N9" s="7"/>
      <c r="O9" s="14"/>
      <c r="P9" s="8">
        <f t="shared" si="2"/>
        <v>1365000</v>
      </c>
      <c r="Q9" s="8">
        <v>135000</v>
      </c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TONTFEV!F10</f>
        <v>0</v>
      </c>
      <c r="G10" s="7"/>
      <c r="H10" s="8">
        <v>100000</v>
      </c>
      <c r="I10" s="8">
        <v>1000</v>
      </c>
      <c r="J10" s="7" t="s">
        <v>10</v>
      </c>
      <c r="K10" s="14"/>
      <c r="L10" s="8">
        <f>TONTFEV!H10+TONTFEV!I10</f>
        <v>205000</v>
      </c>
      <c r="M10" s="7" t="s">
        <v>10</v>
      </c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TONTFEV!F11</f>
        <v>0</v>
      </c>
      <c r="G11" s="7"/>
      <c r="H11" s="8"/>
      <c r="I11" s="8"/>
      <c r="J11" s="7"/>
      <c r="K11" s="14"/>
      <c r="L11" s="8">
        <f>TONTFEV!H11+TONTFEV!I11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TONTFEV!F12</f>
        <v>0</v>
      </c>
      <c r="G12" s="7"/>
      <c r="H12" s="8"/>
      <c r="I12" s="8"/>
      <c r="J12" s="7"/>
      <c r="K12" s="14"/>
      <c r="L12" s="8">
        <f>TONTFEV!H12+TONTFEV!I12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TONTFEV!F13</f>
        <v>0</v>
      </c>
      <c r="G13" s="7"/>
      <c r="H13" s="8">
        <v>100000</v>
      </c>
      <c r="I13" s="8">
        <v>1500</v>
      </c>
      <c r="J13" s="7" t="s">
        <v>10</v>
      </c>
      <c r="K13" s="14"/>
      <c r="L13" s="8">
        <f>TONTFEV!H13+TONTFEV!I13</f>
        <v>103000</v>
      </c>
      <c r="M13" s="7" t="s">
        <v>10</v>
      </c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f>TONTFEV!F14</f>
        <v>0</v>
      </c>
      <c r="G14" s="7"/>
      <c r="H14" s="8"/>
      <c r="I14" s="8"/>
      <c r="J14" s="7"/>
      <c r="K14" s="14"/>
      <c r="L14" s="8">
        <f>TONTFEV!H14+TONTFEV!I14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10</v>
      </c>
      <c r="F15" s="8">
        <v>225500</v>
      </c>
      <c r="G15" s="7" t="s">
        <v>9</v>
      </c>
      <c r="H15" s="8">
        <v>217500</v>
      </c>
      <c r="I15" s="8">
        <v>8000</v>
      </c>
      <c r="J15" s="7" t="s">
        <v>9</v>
      </c>
      <c r="K15" s="14"/>
      <c r="L15" s="8">
        <f>TONTFEV!H15+TONTFEV!I15</f>
        <v>217500</v>
      </c>
      <c r="M15" s="7" t="s">
        <v>9</v>
      </c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TONTFEV!F16</f>
        <v>0</v>
      </c>
      <c r="G16" s="7"/>
      <c r="H16" s="8">
        <v>200000</v>
      </c>
      <c r="I16" s="8">
        <v>3000</v>
      </c>
      <c r="J16" s="7" t="s">
        <v>10</v>
      </c>
      <c r="K16" s="14"/>
      <c r="L16" s="8">
        <f>TONTFEV!H16+TONTFEV!I16</f>
        <v>102000</v>
      </c>
      <c r="M16" s="7" t="s">
        <v>10</v>
      </c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f>TONTFEV!F17</f>
        <v>0</v>
      </c>
      <c r="G17" s="7"/>
      <c r="H17" s="8">
        <v>200000</v>
      </c>
      <c r="I17" s="8">
        <v>2500</v>
      </c>
      <c r="J17" s="7" t="s">
        <v>10</v>
      </c>
      <c r="K17" s="14"/>
      <c r="L17" s="8">
        <f>TONTFEV!H17+TONTFEV!I17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>
        <f>TONTFEV!F18</f>
        <v>0</v>
      </c>
      <c r="G18" s="7"/>
      <c r="H18" s="8"/>
      <c r="I18" s="8"/>
      <c r="J18" s="7"/>
      <c r="K18" s="14"/>
      <c r="L18" s="8">
        <f>TONTFEV!H18+TONTFEV!I18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TONTFEV!F19</f>
        <v>0</v>
      </c>
      <c r="G19" s="7"/>
      <c r="H19" s="8"/>
      <c r="I19" s="8"/>
      <c r="J19" s="7"/>
      <c r="K19" s="14"/>
      <c r="L19" s="8">
        <f>TONTFEV!H19+TONTFEV!I19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TONTFEV!F20</f>
        <v>0</v>
      </c>
      <c r="G20" s="7"/>
      <c r="H20" s="8"/>
      <c r="I20" s="8"/>
      <c r="J20" s="7"/>
      <c r="K20" s="14"/>
      <c r="L20" s="8">
        <f>TONTFEV!H20+TONTFEV!I20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TONTFEV!F21</f>
        <v>0</v>
      </c>
      <c r="G21" s="7"/>
      <c r="H21" s="8">
        <v>200000</v>
      </c>
      <c r="I21" s="8">
        <v>2000</v>
      </c>
      <c r="J21" s="7" t="s">
        <v>10</v>
      </c>
      <c r="K21" s="14"/>
      <c r="L21" s="8">
        <f>TONTFEV!H21+TONTFEV!I21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f>TONTFEV!F22</f>
        <v>230000</v>
      </c>
      <c r="G22" s="7" t="s">
        <v>18</v>
      </c>
      <c r="H22" s="8">
        <v>200000</v>
      </c>
      <c r="I22" s="8">
        <v>2000</v>
      </c>
      <c r="J22" s="7" t="s">
        <v>10</v>
      </c>
      <c r="K22" s="14"/>
      <c r="L22" s="8">
        <f>TONTFEV!H22+TONTFEV!I22</f>
        <v>0</v>
      </c>
      <c r="M22" s="7" t="s">
        <v>10</v>
      </c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TONTFEV!F23</f>
        <v>0</v>
      </c>
      <c r="G23" s="7"/>
      <c r="H23" s="8"/>
      <c r="I23" s="8"/>
      <c r="J23" s="7"/>
      <c r="K23" s="7"/>
      <c r="L23" s="8">
        <f>TONTFEV!H23+TONTFEV!I23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455500</v>
      </c>
      <c r="G25" s="10"/>
      <c r="H25" s="10">
        <f>SUM(H6:H24)</f>
        <v>1417500</v>
      </c>
      <c r="I25" s="10">
        <f>SUM(I6:I24)</f>
        <v>22500</v>
      </c>
      <c r="J25" s="10"/>
      <c r="K25" s="10"/>
      <c r="L25" s="10">
        <f>SUM(L6:L24)</f>
        <v>730500</v>
      </c>
      <c r="M25" s="10"/>
      <c r="N25" s="10"/>
      <c r="O25" s="10"/>
      <c r="P25" s="10">
        <f>SUM(P6:P24)</f>
        <v>1365000</v>
      </c>
      <c r="Q25" s="10">
        <f>SUM(Q6:Q24)</f>
        <v>135000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2678000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200000</v>
      </c>
      <c r="D29" s="10">
        <f>SUMIFS(L6:L24,M6:M24,"ESPECES")+SUMIFS(F6:F24,G6:G24,"ESPECES")</f>
        <v>230000</v>
      </c>
      <c r="E29" s="10">
        <f>SUMIFS(H6:H24,J6:J24,"ESPECES")</f>
        <v>0</v>
      </c>
      <c r="F29" s="10">
        <f>SUMIFS(P6:P24,N6:N24,"ESPECES")</f>
        <v>0</v>
      </c>
      <c r="G29" s="10">
        <f>C29+D29-E29-F29</f>
        <v>430000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1600000</v>
      </c>
      <c r="D30" s="10">
        <f>SUMIFS(L6:L24,M6:M24,"BANQUE")+SUMIFS(F6:F24,G6:G24,"BANQUE")</f>
        <v>513000</v>
      </c>
      <c r="E30" s="10">
        <f>SUMIFS(H6:H24,J6:J24,"BANQUE")</f>
        <v>1200000</v>
      </c>
      <c r="F30" s="10">
        <f>SUMIFS(P6:P24,N6:N24,"BANQUE")</f>
        <v>0</v>
      </c>
      <c r="G30" s="10">
        <f>C30+D30-E30-F30</f>
        <v>913000</v>
      </c>
      <c r="H30" s="3"/>
      <c r="M30" s="10" t="s">
        <v>53</v>
      </c>
      <c r="N30" s="10">
        <f>N27-N28</f>
        <v>1178000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1800000</v>
      </c>
      <c r="D32" s="36">
        <f t="shared" ref="D32:E32" si="3">D29+D30</f>
        <v>743000</v>
      </c>
      <c r="E32" s="36">
        <f t="shared" si="3"/>
        <v>1200000</v>
      </c>
      <c r="F32" s="36">
        <f>F29+F30</f>
        <v>0</v>
      </c>
      <c r="G32" s="36">
        <f>G29+G30</f>
        <v>1343000</v>
      </c>
      <c r="H32" s="3"/>
      <c r="M32" s="10" t="s">
        <v>69</v>
      </c>
      <c r="N32" s="10">
        <f>N30-H25</f>
        <v>-239500</v>
      </c>
      <c r="O32" s="10">
        <f>N32+TONTFEV!O32</f>
        <v>-439500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0</v>
      </c>
      <c r="O34" s="10">
        <f>N34+TONTFEV!O34</f>
        <v>0</v>
      </c>
      <c r="P34" s="10" t="s">
        <v>70</v>
      </c>
    </row>
    <row r="35" spans="2:16" ht="18" x14ac:dyDescent="0.25">
      <c r="B35" s="10" t="s">
        <v>27</v>
      </c>
      <c r="C35" s="10">
        <f>Q25</f>
        <v>135000</v>
      </c>
      <c r="M35" s="10" t="s">
        <v>71</v>
      </c>
      <c r="N35" s="36">
        <f>SUMIFS(F6:F24,G6:G24,"ECHEC")</f>
        <v>225500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22500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1417500</v>
      </c>
    </row>
  </sheetData>
  <autoFilter ref="A5:S23">
    <sortState ref="A6:P32">
      <sortCondition ref="B6:B32"/>
    </sortState>
  </autoFilter>
  <mergeCells count="1">
    <mergeCell ref="C4:L4"/>
  </mergeCells>
  <dataValidations disablePrompts="1"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H30" activePane="bottomRight" state="frozen"/>
      <selection activeCell="N35" sqref="N35"/>
      <selection pane="topRight" activeCell="N35" sqref="N35"/>
      <selection pane="bottomLeft" activeCell="N35" sqref="N35"/>
      <selection pane="bottomRight" activeCell="O34" sqref="O3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6.140625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43940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TONTMARS!F6</f>
        <v>0</v>
      </c>
      <c r="G6" s="7"/>
      <c r="H6" s="8"/>
      <c r="I6" s="8"/>
      <c r="J6" s="7"/>
      <c r="K6" s="14"/>
      <c r="L6" s="8">
        <f>TONTMARS!H6+TONTMARS!I6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TONTMARS!F7</f>
        <v>0</v>
      </c>
      <c r="G7" s="7"/>
      <c r="H7" s="8"/>
      <c r="I7" s="8"/>
      <c r="J7" s="7"/>
      <c r="K7" s="14"/>
      <c r="L7" s="8">
        <f>TONTMARS!H7+TONTMARS!I7</f>
        <v>0</v>
      </c>
      <c r="M7" s="7"/>
      <c r="N7" s="7" t="s">
        <v>10</v>
      </c>
      <c r="O7" s="14"/>
      <c r="P7" s="8">
        <f t="shared" si="2"/>
        <v>1400000</v>
      </c>
      <c r="Q7" s="8">
        <v>100000</v>
      </c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TONTMARS!F8</f>
        <v>0</v>
      </c>
      <c r="G8" s="7"/>
      <c r="H8" s="8"/>
      <c r="I8" s="8"/>
      <c r="J8" s="7"/>
      <c r="K8" s="14"/>
      <c r="L8" s="8">
        <f>TONTMARS!H8+TONTMARS!I8</f>
        <v>202500</v>
      </c>
      <c r="M8" s="7" t="s">
        <v>10</v>
      </c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TONTMARS!F9</f>
        <v>0</v>
      </c>
      <c r="G9" s="7"/>
      <c r="H9" s="8"/>
      <c r="I9" s="8"/>
      <c r="J9" s="7"/>
      <c r="K9" s="14"/>
      <c r="L9" s="8">
        <f>TONTMARS!H9+TONTMARS!I9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TONTMARS!F10</f>
        <v>0</v>
      </c>
      <c r="G10" s="7"/>
      <c r="H10" s="8"/>
      <c r="I10" s="8"/>
      <c r="J10" s="7"/>
      <c r="K10" s="14"/>
      <c r="L10" s="8">
        <f>TONTMARS!H10+TONTMARS!I10</f>
        <v>101000</v>
      </c>
      <c r="M10" s="7" t="s">
        <v>10</v>
      </c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TONTMARS!F11</f>
        <v>0</v>
      </c>
      <c r="G11" s="7"/>
      <c r="H11" s="8"/>
      <c r="I11" s="8"/>
      <c r="J11" s="7"/>
      <c r="K11" s="14"/>
      <c r="L11" s="8">
        <f>TONTMARS!H11+TONTMARS!I11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TONTMARS!F12</f>
        <v>0</v>
      </c>
      <c r="G12" s="7"/>
      <c r="H12" s="8"/>
      <c r="I12" s="8"/>
      <c r="J12" s="7"/>
      <c r="K12" s="14"/>
      <c r="L12" s="8">
        <f>TONTMARS!H12+TONTMARS!I12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TONTMARS!F13</f>
        <v>0</v>
      </c>
      <c r="G13" s="7"/>
      <c r="H13" s="8"/>
      <c r="I13" s="8"/>
      <c r="J13" s="7"/>
      <c r="K13" s="14"/>
      <c r="L13" s="8">
        <f>TONTMARS!H13+TONTMARS!I13</f>
        <v>101500</v>
      </c>
      <c r="M13" s="7" t="s">
        <v>10</v>
      </c>
      <c r="N13" s="7" t="s">
        <v>10</v>
      </c>
      <c r="O13" s="14"/>
      <c r="P13" s="8">
        <f t="shared" si="2"/>
        <v>1400000</v>
      </c>
      <c r="Q13" s="8">
        <v>100000</v>
      </c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f>TONTMARS!F14</f>
        <v>0</v>
      </c>
      <c r="G14" s="7"/>
      <c r="H14" s="8"/>
      <c r="I14" s="8"/>
      <c r="J14" s="7"/>
      <c r="K14" s="14"/>
      <c r="L14" s="8">
        <f>TONTMARS!H14+TONTMARS!I14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10</v>
      </c>
      <c r="F15" s="8">
        <f>TONTMARS!F15</f>
        <v>225500</v>
      </c>
      <c r="G15" s="7" t="s">
        <v>9</v>
      </c>
      <c r="H15" s="8"/>
      <c r="I15" s="8"/>
      <c r="J15" s="7"/>
      <c r="K15" s="14"/>
      <c r="L15" s="8">
        <f>TONTMARS!H15+TONTMARS!I15</f>
        <v>225500</v>
      </c>
      <c r="M15" s="7"/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TONTMARS!F16</f>
        <v>0</v>
      </c>
      <c r="G16" s="7"/>
      <c r="H16" s="8"/>
      <c r="I16" s="8"/>
      <c r="J16" s="7"/>
      <c r="K16" s="14"/>
      <c r="L16" s="8">
        <f>TONTMARS!H16+TONTMARS!I16</f>
        <v>203000</v>
      </c>
      <c r="M16" s="7" t="s">
        <v>10</v>
      </c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f>TONTMARS!F17</f>
        <v>0</v>
      </c>
      <c r="G17" s="7"/>
      <c r="H17" s="8"/>
      <c r="I17" s="8"/>
      <c r="J17" s="7"/>
      <c r="K17" s="14"/>
      <c r="L17" s="8">
        <f>TONTMARS!H17+TONTMARS!I17-22000</f>
        <v>180500</v>
      </c>
      <c r="M17" s="7" t="s">
        <v>18</v>
      </c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>
        <f>TONTMARS!F18</f>
        <v>0</v>
      </c>
      <c r="G18" s="7"/>
      <c r="H18" s="8"/>
      <c r="I18" s="8"/>
      <c r="J18" s="7"/>
      <c r="K18" s="14"/>
      <c r="L18" s="8">
        <f>TONTMARS!H18+TONTMARS!I18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TONTMARS!F19</f>
        <v>0</v>
      </c>
      <c r="G19" s="7"/>
      <c r="H19" s="8"/>
      <c r="I19" s="8"/>
      <c r="J19" s="7"/>
      <c r="K19" s="14"/>
      <c r="L19" s="8">
        <f>TONTMARS!H19+TONTMARS!I19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TONTMARS!F20</f>
        <v>0</v>
      </c>
      <c r="G20" s="7"/>
      <c r="H20" s="8"/>
      <c r="I20" s="8"/>
      <c r="J20" s="7"/>
      <c r="K20" s="14"/>
      <c r="L20" s="8">
        <f>TONTMARS!H20+TONTMARS!I20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TONTMARS!F21</f>
        <v>0</v>
      </c>
      <c r="G21" s="7"/>
      <c r="H21" s="8"/>
      <c r="I21" s="8"/>
      <c r="J21" s="7"/>
      <c r="K21" s="14"/>
      <c r="L21" s="8">
        <f>TONTMARS!H21+TONTMARS!I21</f>
        <v>202000</v>
      </c>
      <c r="M21" s="7" t="s">
        <v>10</v>
      </c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v>210000</v>
      </c>
      <c r="G22" s="7" t="s">
        <v>9</v>
      </c>
      <c r="H22" s="8"/>
      <c r="I22" s="8"/>
      <c r="J22" s="7"/>
      <c r="K22" s="14"/>
      <c r="L22" s="8">
        <f>TONTMARS!H22+TONTMARS!I22</f>
        <v>202000</v>
      </c>
      <c r="M22" s="7"/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v>0</v>
      </c>
      <c r="G23" s="7"/>
      <c r="H23" s="8"/>
      <c r="I23" s="8"/>
      <c r="J23" s="7"/>
      <c r="K23" s="7"/>
      <c r="L23" s="8">
        <f>TONTFEV!H23+TONTFEV!I23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435500</v>
      </c>
      <c r="G25" s="10"/>
      <c r="H25" s="10">
        <f>SUM(H6:H24)</f>
        <v>0</v>
      </c>
      <c r="I25" s="10">
        <f>SUM(I6:I24)</f>
        <v>0</v>
      </c>
      <c r="J25" s="10"/>
      <c r="K25" s="10"/>
      <c r="L25" s="10">
        <f>SUM(L6:L24)</f>
        <v>1418000</v>
      </c>
      <c r="M25" s="10"/>
      <c r="N25" s="10"/>
      <c r="O25" s="10"/>
      <c r="P25" s="10">
        <f>SUM(P6:P24)</f>
        <v>2800000</v>
      </c>
      <c r="Q25" s="10">
        <f>SUM(Q6:Q24)</f>
        <v>200000</v>
      </c>
    </row>
    <row r="26" spans="1:19" x14ac:dyDescent="0.25">
      <c r="C26" s="2" t="s">
        <v>19</v>
      </c>
    </row>
    <row r="27" spans="1:19" ht="29.2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2990500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3000000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200000</v>
      </c>
      <c r="D29" s="10">
        <f>SUMIFS(L6:L24,M6:M24,"ESPECES")+SUMIFS(F6:F24,G6:G24,"ESPECES")</f>
        <v>180500</v>
      </c>
      <c r="E29" s="10">
        <f>SUMIFS(H6:H24,J6:J24,"ESPECES")</f>
        <v>0</v>
      </c>
      <c r="F29" s="10">
        <f>SUMIFS(P6:P24,N6:N24,"ESPECES")</f>
        <v>0</v>
      </c>
      <c r="G29" s="10">
        <f>C29+D29-E29-F29</f>
        <v>380500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1600000</v>
      </c>
      <c r="D30" s="10">
        <f>SUMIFS(L6:L24,M6:M24,"BANQUE")+SUMIFS(F6:F24,G6:G24,"BANQUE")</f>
        <v>810000</v>
      </c>
      <c r="E30" s="10">
        <f>SUMIFS(H6:H24,J6:J24,"BANQUE")</f>
        <v>0</v>
      </c>
      <c r="F30" s="10">
        <f>SUMIFS(P6:P24,N6:N24,"BANQUE")</f>
        <v>2800000</v>
      </c>
      <c r="G30" s="10">
        <f>C30+D30-E30-F30</f>
        <v>-390000</v>
      </c>
      <c r="H30" s="3"/>
      <c r="M30" s="10" t="s">
        <v>53</v>
      </c>
      <c r="N30" s="10">
        <f>N27-N28</f>
        <v>-9500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1800000</v>
      </c>
      <c r="D32" s="36">
        <f t="shared" ref="D32:E32" si="3">D29+D30</f>
        <v>990500</v>
      </c>
      <c r="E32" s="36">
        <f t="shared" si="3"/>
        <v>0</v>
      </c>
      <c r="F32" s="36">
        <f>F29+F30</f>
        <v>2800000</v>
      </c>
      <c r="G32" s="36">
        <f>G29+G30</f>
        <v>-9500</v>
      </c>
      <c r="H32" s="3"/>
      <c r="M32" s="10" t="s">
        <v>69</v>
      </c>
      <c r="N32" s="10">
        <f>N30-H25</f>
        <v>-9500</v>
      </c>
      <c r="O32" s="10">
        <f>N32+TONTMARS!O32</f>
        <v>-449000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0</v>
      </c>
      <c r="O34" s="10">
        <f>N34+TONTMARS!O34</f>
        <v>0</v>
      </c>
      <c r="P34" s="10" t="s">
        <v>70</v>
      </c>
    </row>
    <row r="35" spans="2:16" ht="18" x14ac:dyDescent="0.25">
      <c r="B35" s="10" t="s">
        <v>27</v>
      </c>
      <c r="C35" s="10">
        <f>Q25</f>
        <v>200000</v>
      </c>
      <c r="M35" s="10" t="s">
        <v>71</v>
      </c>
      <c r="N35" s="36">
        <f>SUMIFS(F6:F24,G6:G24,"ECHEC")</f>
        <v>435500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H30" activePane="bottomRight" state="frozen"/>
      <selection activeCell="N35" sqref="N35"/>
      <selection pane="topRight" activeCell="N35" sqref="N35"/>
      <selection pane="bottomLeft" activeCell="N35" sqref="N35"/>
      <selection pane="bottomRight" activeCell="O34" sqref="O3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43968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TONTAVRIL!F6</f>
        <v>0</v>
      </c>
      <c r="G6" s="7"/>
      <c r="H6" s="8"/>
      <c r="I6" s="8"/>
      <c r="J6" s="7"/>
      <c r="K6" s="14"/>
      <c r="L6" s="8">
        <f>TONTAVRIL!H6+TONTAVRIL!I6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TONTAVRIL!F7</f>
        <v>0</v>
      </c>
      <c r="G7" s="7"/>
      <c r="H7" s="8"/>
      <c r="I7" s="8"/>
      <c r="J7" s="7"/>
      <c r="K7" s="14"/>
      <c r="L7" s="8">
        <f>TONTAVRIL!H7+TONTAVRIL!I7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TONTAVRIL!F8</f>
        <v>0</v>
      </c>
      <c r="G8" s="7"/>
      <c r="H8" s="8">
        <v>200000</v>
      </c>
      <c r="I8" s="8">
        <v>10000</v>
      </c>
      <c r="J8" s="7"/>
      <c r="K8" s="14"/>
      <c r="L8" s="8">
        <f>TONTAVRIL!H8+TONTAVRIL!I8</f>
        <v>0</v>
      </c>
      <c r="M8" s="7"/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TONTAVRIL!F9</f>
        <v>0</v>
      </c>
      <c r="G9" s="7"/>
      <c r="H9" s="8"/>
      <c r="I9" s="8"/>
      <c r="J9" s="7"/>
      <c r="K9" s="14"/>
      <c r="L9" s="8">
        <f>TONTAVRIL!H9+TONTAVRIL!I9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TONTAVRIL!F10</f>
        <v>0</v>
      </c>
      <c r="G10" s="7"/>
      <c r="H10" s="8"/>
      <c r="I10" s="8"/>
      <c r="J10" s="7"/>
      <c r="K10" s="14"/>
      <c r="L10" s="8">
        <f>TONTAVRIL!H10+TONTAVRIL!I10</f>
        <v>0</v>
      </c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TONTAVRIL!F11</f>
        <v>0</v>
      </c>
      <c r="G11" s="7"/>
      <c r="H11" s="8"/>
      <c r="I11" s="8"/>
      <c r="J11" s="7"/>
      <c r="K11" s="14"/>
      <c r="L11" s="8">
        <f>TONTAVRIL!H11+TONTAVRIL!I11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TONTAVRIL!F12</f>
        <v>0</v>
      </c>
      <c r="G12" s="7"/>
      <c r="H12" s="8"/>
      <c r="I12" s="8"/>
      <c r="J12" s="7"/>
      <c r="K12" s="14"/>
      <c r="L12" s="8">
        <f>TONTAVRIL!H12+TONTAVRIL!I12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TONTAVRIL!F13</f>
        <v>0</v>
      </c>
      <c r="G13" s="7"/>
      <c r="H13" s="8">
        <v>126000</v>
      </c>
      <c r="I13" s="8">
        <v>1000</v>
      </c>
      <c r="J13" s="7"/>
      <c r="K13" s="14"/>
      <c r="L13" s="8">
        <f>TONTAVRIL!H13+TONTAVRIL!I13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f>TONTAVRIL!F14</f>
        <v>0</v>
      </c>
      <c r="G14" s="7"/>
      <c r="H14" s="8"/>
      <c r="I14" s="8"/>
      <c r="J14" s="7"/>
      <c r="K14" s="14"/>
      <c r="L14" s="8">
        <f>TONTAVRIL!H14+TONTAVRIL!I14</f>
        <v>0</v>
      </c>
      <c r="M14" s="7"/>
      <c r="N14" s="7"/>
      <c r="O14" s="14"/>
      <c r="P14" s="8">
        <f t="shared" si="2"/>
        <v>1370000</v>
      </c>
      <c r="Q14" s="8">
        <v>130000</v>
      </c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100000</v>
      </c>
      <c r="D15" s="16">
        <f t="shared" si="1"/>
        <v>0</v>
      </c>
      <c r="E15" s="7" t="s">
        <v>18</v>
      </c>
      <c r="F15" s="8">
        <f>TONTAVRIL!F15</f>
        <v>225500</v>
      </c>
      <c r="G15" s="7" t="s">
        <v>9</v>
      </c>
      <c r="H15" s="8"/>
      <c r="I15" s="8"/>
      <c r="J15" s="7"/>
      <c r="K15" s="14"/>
      <c r="L15" s="8">
        <f>TONTAVRIL!H15+TONTAVRIL!I15</f>
        <v>0</v>
      </c>
      <c r="M15" s="7" t="s">
        <v>9</v>
      </c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TONTAVRIL!F16</f>
        <v>0</v>
      </c>
      <c r="G16" s="7"/>
      <c r="H16" s="8"/>
      <c r="I16" s="8"/>
      <c r="J16" s="7"/>
      <c r="K16" s="14"/>
      <c r="L16" s="8">
        <f>TONTAVRIL!H16+TONTAVRIL!I16</f>
        <v>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f>TONTAVRIL!F17</f>
        <v>0</v>
      </c>
      <c r="G17" s="7"/>
      <c r="H17" s="8">
        <v>200000</v>
      </c>
      <c r="I17" s="8">
        <v>11000</v>
      </c>
      <c r="J17" s="7"/>
      <c r="K17" s="14"/>
      <c r="L17" s="8">
        <f>TONTAVRIL!H17+TONTAVRIL!I17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>
        <f>TONTAVRIL!F18</f>
        <v>0</v>
      </c>
      <c r="G18" s="7"/>
      <c r="H18" s="8"/>
      <c r="I18" s="8"/>
      <c r="J18" s="7"/>
      <c r="K18" s="14"/>
      <c r="L18" s="8">
        <f>TONTAVRIL!H18+TONTAVRIL!I18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TONTAVRIL!F19</f>
        <v>0</v>
      </c>
      <c r="G19" s="7"/>
      <c r="H19" s="8"/>
      <c r="I19" s="8"/>
      <c r="J19" s="7"/>
      <c r="K19" s="14"/>
      <c r="L19" s="8">
        <f>TONTAVRIL!H19+TONTAVRIL!I19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TONTAVRIL!F20</f>
        <v>0</v>
      </c>
      <c r="G20" s="7"/>
      <c r="H20" s="8"/>
      <c r="I20" s="8"/>
      <c r="J20" s="7"/>
      <c r="K20" s="14"/>
      <c r="L20" s="8">
        <f>TONTAVRIL!H20+TONTAVRIL!I20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TONTAVRIL!F21</f>
        <v>0</v>
      </c>
      <c r="G21" s="7"/>
      <c r="H21" s="8"/>
      <c r="I21" s="8"/>
      <c r="J21" s="7"/>
      <c r="K21" s="14"/>
      <c r="L21" s="8">
        <f>TONTAVRIL!H21+TONTAVRIL!I21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9" s="15" customFormat="1" x14ac:dyDescent="0.25">
      <c r="A22" s="29" t="s">
        <v>38</v>
      </c>
      <c r="B22" s="29" t="str">
        <f>VLOOKUP(A22,[1]LISTADHERENT!A$5:H$60,3,0)</f>
        <v>TIEYAM ERNEST</v>
      </c>
      <c r="C22" s="14">
        <f t="shared" si="0"/>
        <v>100000</v>
      </c>
      <c r="D22" s="14">
        <f t="shared" si="1"/>
        <v>0</v>
      </c>
      <c r="E22" s="30" t="s">
        <v>10</v>
      </c>
      <c r="F22" s="8">
        <f>TONTAVRIL!F22</f>
        <v>210000</v>
      </c>
      <c r="G22" s="30" t="s">
        <v>18</v>
      </c>
      <c r="H22" s="14">
        <v>100000</v>
      </c>
      <c r="I22" s="14">
        <v>6000</v>
      </c>
      <c r="J22" s="30"/>
      <c r="K22" s="14"/>
      <c r="L22" s="14">
        <f>TONTAVRIL!H22+TONTAVRIL!I22</f>
        <v>0</v>
      </c>
      <c r="M22" s="30" t="s">
        <v>18</v>
      </c>
      <c r="N22" s="30"/>
      <c r="O22" s="14"/>
      <c r="P22" s="14">
        <f t="shared" si="2"/>
        <v>0</v>
      </c>
      <c r="Q22" s="14"/>
      <c r="R22" s="3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TONTAVRIL!F23</f>
        <v>0</v>
      </c>
      <c r="G23" s="7"/>
      <c r="H23" s="8"/>
      <c r="I23" s="8"/>
      <c r="J23" s="7"/>
      <c r="K23" s="7"/>
      <c r="L23" s="8">
        <f>TONTAVRIL!H23+TONTAVRIL!I23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1800000</v>
      </c>
      <c r="D25" s="10">
        <f>SUM(D6:D24)</f>
        <v>0</v>
      </c>
      <c r="E25" s="10"/>
      <c r="F25" s="10">
        <f>SUM(F6:F24)</f>
        <v>435500</v>
      </c>
      <c r="G25" s="10"/>
      <c r="H25" s="10">
        <f>SUM(H6:H24)</f>
        <v>626000</v>
      </c>
      <c r="I25" s="10">
        <f>SUM(I6:I24)</f>
        <v>28000</v>
      </c>
      <c r="J25" s="10"/>
      <c r="K25" s="10"/>
      <c r="L25" s="10">
        <f>SUM(L6:L24)</f>
        <v>0</v>
      </c>
      <c r="M25" s="10"/>
      <c r="N25" s="10"/>
      <c r="O25" s="10"/>
      <c r="P25" s="10">
        <f>SUM(P6:P24)</f>
        <v>1370000</v>
      </c>
      <c r="Q25" s="10">
        <f>SUM(Q6:Q24)</f>
        <v>130000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2140000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300000</v>
      </c>
      <c r="D29" s="10">
        <f>SUMIFS(L6:L24,M6:M24,"ESPECES")+SUMIFS(F6:F24,G6:G24,"ESPECES")</f>
        <v>210000</v>
      </c>
      <c r="E29" s="10">
        <f>SUMIFS(H6:H24,J6:J24,"ESPECES")</f>
        <v>0</v>
      </c>
      <c r="F29" s="10">
        <f>SUMIFS(P6:P24,N6:N24,"ESPECES")</f>
        <v>0</v>
      </c>
      <c r="G29" s="10">
        <f>C29+D29-E29-F29</f>
        <v>510000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1500000</v>
      </c>
      <c r="D30" s="10">
        <f>SUMIFS(L6:L24,M6:M24,"BANQUE")+SUMIFS(F6:F24,G6:G24,"BANQUE")</f>
        <v>0</v>
      </c>
      <c r="E30" s="10">
        <f>SUMIFS(H6:H24,J6:J24,"BANQUE")</f>
        <v>0</v>
      </c>
      <c r="F30" s="10">
        <f>SUMIFS(P6:P24,N6:N24,"BANQUE")</f>
        <v>0</v>
      </c>
      <c r="G30" s="10">
        <f>C30+D30-E30-F30</f>
        <v>1500000</v>
      </c>
      <c r="H30" s="3"/>
      <c r="M30" s="10" t="s">
        <v>53</v>
      </c>
      <c r="N30" s="10">
        <f>N27-N28</f>
        <v>640000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1800000</v>
      </c>
      <c r="D32" s="36">
        <f t="shared" ref="D32:E32" si="3">D29+D30</f>
        <v>210000</v>
      </c>
      <c r="E32" s="36">
        <f t="shared" si="3"/>
        <v>0</v>
      </c>
      <c r="F32" s="36">
        <f>F29+F30</f>
        <v>0</v>
      </c>
      <c r="G32" s="36">
        <f>G29+G30</f>
        <v>2010000</v>
      </c>
      <c r="H32" s="3"/>
      <c r="M32" s="10" t="s">
        <v>69</v>
      </c>
      <c r="N32" s="10">
        <f>N30-H25</f>
        <v>14000</v>
      </c>
      <c r="O32" s="10">
        <f>N32+TONTAVRIL!O32</f>
        <v>-435000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0</v>
      </c>
      <c r="O34" s="10">
        <f>N34+TONTAVRIL!O34</f>
        <v>0</v>
      </c>
      <c r="P34" s="10" t="s">
        <v>70</v>
      </c>
    </row>
    <row r="35" spans="2:16" ht="18" x14ac:dyDescent="0.25">
      <c r="B35" s="10" t="s">
        <v>27</v>
      </c>
      <c r="C35" s="10">
        <f>Q25</f>
        <v>130000</v>
      </c>
      <c r="M35" s="10" t="s">
        <v>71</v>
      </c>
      <c r="N35" s="36">
        <f>SUMIFS(F6:F24,G6:G24,"ECHEC")</f>
        <v>225500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28000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626000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H30" activePane="bottomRight" state="frozen"/>
      <selection activeCell="N35" sqref="N35"/>
      <selection pane="topRight" activeCell="N35" sqref="N35"/>
      <selection pane="bottomLeft" activeCell="N35" sqref="N35"/>
      <selection pane="bottomRight" activeCell="O32" sqref="O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44003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TONTMAI!F6</f>
        <v>0</v>
      </c>
      <c r="G6" s="7"/>
      <c r="H6" s="8"/>
      <c r="I6" s="8"/>
      <c r="J6" s="7"/>
      <c r="K6" s="14"/>
      <c r="L6" s="8">
        <f>TONTMAI!H6+TONTMAI!I6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TONTMAI!F7</f>
        <v>0</v>
      </c>
      <c r="G7" s="7"/>
      <c r="H7" s="8"/>
      <c r="I7" s="8"/>
      <c r="J7" s="7"/>
      <c r="K7" s="14"/>
      <c r="L7" s="8">
        <f>TONTMAI!H7+TONTMAI!I7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TONTMAI!F8</f>
        <v>0</v>
      </c>
      <c r="G8" s="7"/>
      <c r="H8" s="8">
        <v>200000</v>
      </c>
      <c r="I8" s="8">
        <v>2000</v>
      </c>
      <c r="J8" s="7" t="s">
        <v>10</v>
      </c>
      <c r="K8" s="14"/>
      <c r="L8" s="8">
        <f>TONTMAI!H8+TONTMAI!I8</f>
        <v>210000</v>
      </c>
      <c r="M8" s="7" t="s">
        <v>10</v>
      </c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TONTMAI!F9</f>
        <v>0</v>
      </c>
      <c r="G9" s="7"/>
      <c r="H9" s="8"/>
      <c r="I9" s="8"/>
      <c r="J9" s="7"/>
      <c r="K9" s="14"/>
      <c r="L9" s="8">
        <f>TONTMAI!H9+TONTMAI!I9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TONTMAI!F10</f>
        <v>0</v>
      </c>
      <c r="G10" s="7"/>
      <c r="H10" s="8">
        <v>100000</v>
      </c>
      <c r="I10" s="8">
        <v>1000</v>
      </c>
      <c r="J10" s="7" t="s">
        <v>18</v>
      </c>
      <c r="K10" s="14"/>
      <c r="L10" s="8">
        <f>TONTMAI!H10+TONTMAI!I10</f>
        <v>0</v>
      </c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TONTMAI!F11</f>
        <v>0</v>
      </c>
      <c r="G11" s="7"/>
      <c r="H11" s="8"/>
      <c r="I11" s="8"/>
      <c r="J11" s="7"/>
      <c r="K11" s="14"/>
      <c r="L11" s="8">
        <f>TONTMAI!H11+TONTMAI!I11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TONTMAI!F12</f>
        <v>0</v>
      </c>
      <c r="G12" s="7"/>
      <c r="H12" s="8"/>
      <c r="I12" s="8"/>
      <c r="J12" s="7"/>
      <c r="K12" s="14"/>
      <c r="L12" s="8">
        <f>TONTMAI!H12+TONTMAI!I12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TONTMAI!F13</f>
        <v>0</v>
      </c>
      <c r="G13" s="7"/>
      <c r="H13" s="8">
        <v>200000</v>
      </c>
      <c r="I13" s="8">
        <v>2000</v>
      </c>
      <c r="J13" s="7" t="s">
        <v>10</v>
      </c>
      <c r="K13" s="14"/>
      <c r="L13" s="8">
        <f>TONTMAI!H13+TONTMAI!I13</f>
        <v>127000</v>
      </c>
      <c r="M13" s="7" t="s">
        <v>18</v>
      </c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f>TONTMAI!F14</f>
        <v>0</v>
      </c>
      <c r="G14" s="7"/>
      <c r="H14" s="8"/>
      <c r="I14" s="8"/>
      <c r="J14" s="7"/>
      <c r="K14" s="14"/>
      <c r="L14" s="8">
        <f>TONTMAI!H14+TONTMAI!I14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f>TONTMAI!F15</f>
        <v>225500</v>
      </c>
      <c r="G15" s="7" t="s">
        <v>9</v>
      </c>
      <c r="H15" s="8"/>
      <c r="I15" s="8"/>
      <c r="J15" s="7"/>
      <c r="K15" s="14"/>
      <c r="L15" s="8">
        <f>TONTMAI!H15+TONTMAI!I15</f>
        <v>0</v>
      </c>
      <c r="M15" s="7" t="s">
        <v>9</v>
      </c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TONTMAI!F16</f>
        <v>0</v>
      </c>
      <c r="G16" s="7"/>
      <c r="H16" s="8"/>
      <c r="I16" s="8"/>
      <c r="J16" s="7"/>
      <c r="K16" s="14"/>
      <c r="L16" s="8">
        <f>TONTMAI!H16+TONTMAI!I16</f>
        <v>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v>233000</v>
      </c>
      <c r="G17" s="7" t="s">
        <v>9</v>
      </c>
      <c r="H17" s="8"/>
      <c r="I17" s="8"/>
      <c r="J17" s="7"/>
      <c r="K17" s="14"/>
      <c r="L17" s="8">
        <f>TONTMAI!H17+TONTMAI!I17+22000</f>
        <v>233000</v>
      </c>
      <c r="M17" s="7" t="s">
        <v>9</v>
      </c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>
        <f>TONTMAI!F18</f>
        <v>0</v>
      </c>
      <c r="G18" s="7"/>
      <c r="H18" s="8"/>
      <c r="I18" s="8"/>
      <c r="J18" s="7"/>
      <c r="K18" s="14"/>
      <c r="L18" s="8">
        <f>TONTMAI!H18+TONTMAI!I18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TONTMAI!F19</f>
        <v>0</v>
      </c>
      <c r="G19" s="7"/>
      <c r="H19" s="8"/>
      <c r="I19" s="8"/>
      <c r="J19" s="7"/>
      <c r="K19" s="14"/>
      <c r="L19" s="8">
        <f>TONTMAI!H19+TONTMAI!I19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TONTMAI!F20</f>
        <v>0</v>
      </c>
      <c r="G20" s="7"/>
      <c r="H20" s="8"/>
      <c r="I20" s="8"/>
      <c r="J20" s="7"/>
      <c r="K20" s="14"/>
      <c r="L20" s="8">
        <f>TONTMAI!H20+TONTMAI!I20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TONTMAI!F21</f>
        <v>0</v>
      </c>
      <c r="G21" s="7"/>
      <c r="H21" s="8">
        <v>238000</v>
      </c>
      <c r="I21" s="8">
        <v>2000</v>
      </c>
      <c r="J21" s="7" t="s">
        <v>10</v>
      </c>
      <c r="K21" s="14"/>
      <c r="L21" s="8">
        <f>TONTMAI!H21+TONTMAI!I21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18</v>
      </c>
      <c r="F22" s="8"/>
      <c r="G22" s="7"/>
      <c r="H22" s="8">
        <v>100000</v>
      </c>
      <c r="I22" s="8">
        <v>1000</v>
      </c>
      <c r="J22" s="7" t="s">
        <v>10</v>
      </c>
      <c r="K22" s="14"/>
      <c r="L22" s="8">
        <f>TONTMAI!H22+TONTMAI!I22</f>
        <v>106000</v>
      </c>
      <c r="M22" s="7" t="s">
        <v>10</v>
      </c>
      <c r="N22" s="7" t="s">
        <v>10</v>
      </c>
      <c r="O22" s="14"/>
      <c r="P22" s="8">
        <f t="shared" si="2"/>
        <v>1305000</v>
      </c>
      <c r="Q22" s="8">
        <v>195000</v>
      </c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TONTMAI!F23</f>
        <v>0</v>
      </c>
      <c r="G23" s="7"/>
      <c r="H23" s="8"/>
      <c r="I23" s="8"/>
      <c r="J23" s="7"/>
      <c r="K23" s="7"/>
      <c r="L23" s="8">
        <f>TONTMAI!H23+TONTMAI!I23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1700000</v>
      </c>
      <c r="D25" s="10">
        <f>SUM(D6:D24)</f>
        <v>0</v>
      </c>
      <c r="E25" s="10"/>
      <c r="F25" s="10">
        <f>SUM(F6:F24)</f>
        <v>458500</v>
      </c>
      <c r="G25" s="10"/>
      <c r="H25" s="10">
        <f>SUM(H6:H24)</f>
        <v>838000</v>
      </c>
      <c r="I25" s="10">
        <f>SUM(I6:I24)</f>
        <v>8000</v>
      </c>
      <c r="J25" s="10"/>
      <c r="K25" s="10"/>
      <c r="L25" s="10">
        <f>SUM(L6:L24)</f>
        <v>676000</v>
      </c>
      <c r="M25" s="10"/>
      <c r="N25" s="10"/>
      <c r="O25" s="10"/>
      <c r="P25" s="10">
        <f>SUM(P6:P24)</f>
        <v>1305000</v>
      </c>
      <c r="Q25" s="10">
        <f>SUM(Q6:Q24)</f>
        <v>195000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2338000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300000</v>
      </c>
      <c r="D29" s="10">
        <f>SUMIFS(L6:L24,M6:M24,"ESPECES")+SUMIFS(F6:F24,G6:G24,"ESPECES")</f>
        <v>127000</v>
      </c>
      <c r="E29" s="10">
        <f>SUMIFS(H6:H24,J6:J24,"ESPECES")</f>
        <v>100000</v>
      </c>
      <c r="F29" s="10">
        <f>SUMIFS(P6:P24,N6:N24,"ESPECES")</f>
        <v>0</v>
      </c>
      <c r="G29" s="10">
        <f>C29+D29-E29-F29</f>
        <v>327000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1400000</v>
      </c>
      <c r="D30" s="10">
        <f>SUMIFS(L6:L24,M6:M24,"BANQUE")+SUMIFS(F6:F24,G6:G24,"BANQUE")</f>
        <v>316000</v>
      </c>
      <c r="E30" s="10">
        <f>SUMIFS(H6:H24,J6:J24,"BANQUE")</f>
        <v>738000</v>
      </c>
      <c r="F30" s="10">
        <f>SUMIFS(P6:P24,N6:N24,"BANQUE")</f>
        <v>1305000</v>
      </c>
      <c r="G30" s="10">
        <f>C30+D30-E30-F30</f>
        <v>-327000</v>
      </c>
      <c r="H30" s="3"/>
      <c r="M30" s="10" t="s">
        <v>53</v>
      </c>
      <c r="N30" s="10">
        <f>N27-N28</f>
        <v>838000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1700000</v>
      </c>
      <c r="D32" s="36">
        <f t="shared" ref="D32:E32" si="3">D29+D30</f>
        <v>443000</v>
      </c>
      <c r="E32" s="36">
        <f t="shared" si="3"/>
        <v>838000</v>
      </c>
      <c r="F32" s="36">
        <f>F29+F30</f>
        <v>1305000</v>
      </c>
      <c r="G32" s="36">
        <f>G29+G30</f>
        <v>0</v>
      </c>
      <c r="H32" s="3"/>
      <c r="M32" s="10" t="s">
        <v>69</v>
      </c>
      <c r="N32" s="10">
        <f>N30-H25</f>
        <v>0</v>
      </c>
      <c r="O32" s="10">
        <f>N32+TONTMAI!O32</f>
        <v>-435000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100000</v>
      </c>
      <c r="O34" s="10">
        <f>N34+TONTMAI!O34</f>
        <v>100000</v>
      </c>
      <c r="P34" s="10" t="s">
        <v>70</v>
      </c>
    </row>
    <row r="35" spans="2:16" ht="18" x14ac:dyDescent="0.25">
      <c r="B35" s="10" t="s">
        <v>27</v>
      </c>
      <c r="C35" s="10">
        <f>Q25</f>
        <v>195000</v>
      </c>
      <c r="M35" s="10" t="s">
        <v>71</v>
      </c>
      <c r="N35" s="36">
        <f>SUMIFS(F6:F24,G6:G24,"ECHEC")</f>
        <v>458500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8000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838000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I30" activePane="bottomRight" state="frozen"/>
      <selection activeCell="N35" sqref="N35"/>
      <selection pane="topRight" activeCell="N35" sqref="N35"/>
      <selection pane="bottomLeft" activeCell="N35" sqref="N35"/>
      <selection pane="bottomRight" activeCell="O34" sqref="O3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5.42578125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44031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TONTJUIN!F6</f>
        <v>0</v>
      </c>
      <c r="G6" s="7"/>
      <c r="H6" s="8"/>
      <c r="I6" s="8"/>
      <c r="J6" s="7"/>
      <c r="K6" s="14"/>
      <c r="L6" s="8">
        <f>TONTJUIN!H6+TONTJUIN!I6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TONTJUIN!F7</f>
        <v>0</v>
      </c>
      <c r="G7" s="7"/>
      <c r="H7" s="8"/>
      <c r="I7" s="8"/>
      <c r="J7" s="7"/>
      <c r="K7" s="14"/>
      <c r="L7" s="8">
        <f>TONTJUIN!H7+TONTJUIN!I7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TONTJUIN!F8</f>
        <v>0</v>
      </c>
      <c r="G8" s="7"/>
      <c r="H8" s="8">
        <v>69000</v>
      </c>
      <c r="I8" s="8">
        <v>1500</v>
      </c>
      <c r="J8" s="7" t="s">
        <v>18</v>
      </c>
      <c r="K8" s="14"/>
      <c r="L8" s="14">
        <f>TONTJUIN!H8+TONTJUIN!I8</f>
        <v>202000</v>
      </c>
      <c r="M8" s="7" t="s">
        <v>10</v>
      </c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TONTJUIN!F9</f>
        <v>0</v>
      </c>
      <c r="G9" s="7"/>
      <c r="H9" s="8"/>
      <c r="I9" s="8"/>
      <c r="J9" s="7"/>
      <c r="K9" s="14"/>
      <c r="L9" s="8">
        <f>TONTJUIN!H9+TONTJUIN!I9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TONTJUIN!F10</f>
        <v>0</v>
      </c>
      <c r="G10" s="7"/>
      <c r="H10" s="8"/>
      <c r="I10" s="8"/>
      <c r="J10" s="7"/>
      <c r="K10" s="14"/>
      <c r="L10" s="14">
        <f>TONTJUIN!H10+TONTJUIN!I10</f>
        <v>101000</v>
      </c>
      <c r="M10" s="7" t="s">
        <v>18</v>
      </c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TONTJUIN!F11</f>
        <v>0</v>
      </c>
      <c r="G11" s="7"/>
      <c r="H11" s="8"/>
      <c r="I11" s="8"/>
      <c r="J11" s="7"/>
      <c r="K11" s="14"/>
      <c r="L11" s="8">
        <f>TONTJUIN!H11+TONTJUIN!I11</f>
        <v>0</v>
      </c>
      <c r="M11" s="7"/>
      <c r="N11" s="7" t="s">
        <v>10</v>
      </c>
      <c r="O11" s="14"/>
      <c r="P11" s="8">
        <f t="shared" si="2"/>
        <v>1255000</v>
      </c>
      <c r="Q11" s="8">
        <v>245000</v>
      </c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TONTJUIN!F12</f>
        <v>0</v>
      </c>
      <c r="G12" s="7"/>
      <c r="H12" s="8"/>
      <c r="I12" s="8"/>
      <c r="J12" s="7"/>
      <c r="K12" s="14"/>
      <c r="L12" s="8">
        <f>TONTJUIN!H12+TONTJUIN!I12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TONTJUIN!F13</f>
        <v>0</v>
      </c>
      <c r="G13" s="7"/>
      <c r="H13" s="8"/>
      <c r="I13" s="8"/>
      <c r="J13" s="7"/>
      <c r="K13" s="14"/>
      <c r="L13" s="14">
        <f>TONTJUIN!H13+TONTJUIN!I13</f>
        <v>202000</v>
      </c>
      <c r="M13" s="7" t="s">
        <v>10</v>
      </c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10</v>
      </c>
      <c r="F14" s="8">
        <f>TONTJUIN!F14</f>
        <v>0</v>
      </c>
      <c r="G14" s="7"/>
      <c r="H14" s="8"/>
      <c r="I14" s="8"/>
      <c r="J14" s="7"/>
      <c r="K14" s="14"/>
      <c r="L14" s="8">
        <f>TONTJUIN!H14+TONTJUIN!I14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f>TONTJUIN!F15</f>
        <v>225500</v>
      </c>
      <c r="G15" s="7" t="s">
        <v>9</v>
      </c>
      <c r="H15" s="8"/>
      <c r="I15" s="8"/>
      <c r="J15" s="7"/>
      <c r="K15" s="14"/>
      <c r="L15" s="8">
        <f>TONTJUIN!H15+TONTJUIN!I15</f>
        <v>0</v>
      </c>
      <c r="M15" s="7" t="s">
        <v>9</v>
      </c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TONTJUIN!F16</f>
        <v>0</v>
      </c>
      <c r="G16" s="7"/>
      <c r="H16" s="8"/>
      <c r="I16" s="8"/>
      <c r="J16" s="7"/>
      <c r="K16" s="14"/>
      <c r="L16" s="8">
        <f>TONTJUIN!H16+TONTJUIN!I16</f>
        <v>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f>TONTJUIN!F17</f>
        <v>233000</v>
      </c>
      <c r="G17" s="7" t="s">
        <v>9</v>
      </c>
      <c r="H17" s="8"/>
      <c r="I17" s="8"/>
      <c r="J17" s="7"/>
      <c r="K17" s="14"/>
      <c r="L17" s="14">
        <f>TONTJUIN!H17+TONTJUIN!I17</f>
        <v>0</v>
      </c>
      <c r="M17" s="7" t="s">
        <v>18</v>
      </c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>
        <f>TONTJUIN!F18</f>
        <v>0</v>
      </c>
      <c r="G18" s="7"/>
      <c r="H18" s="8"/>
      <c r="I18" s="8"/>
      <c r="J18" s="7"/>
      <c r="K18" s="14"/>
      <c r="L18" s="8">
        <f>TONTJUIN!H18+TONTJUIN!I18</f>
        <v>0</v>
      </c>
      <c r="M18" s="7"/>
      <c r="N18" s="7" t="s">
        <v>10</v>
      </c>
      <c r="O18" s="14"/>
      <c r="P18" s="8">
        <f t="shared" si="2"/>
        <v>1254000</v>
      </c>
      <c r="Q18" s="8">
        <v>246000</v>
      </c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TONTJUIN!F19</f>
        <v>0</v>
      </c>
      <c r="G19" s="7"/>
      <c r="H19" s="8"/>
      <c r="I19" s="8"/>
      <c r="J19" s="7"/>
      <c r="K19" s="14"/>
      <c r="L19" s="8">
        <f>TONTJUIN!H19+TONTJUIN!I19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TONTJUIN!F20</f>
        <v>0</v>
      </c>
      <c r="G20" s="7"/>
      <c r="H20" s="8"/>
      <c r="I20" s="8"/>
      <c r="J20" s="7"/>
      <c r="K20" s="14"/>
      <c r="L20" s="8">
        <f>TONTJUIN!H20+TONTJUIN!I20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TONTJUIN!F21</f>
        <v>0</v>
      </c>
      <c r="G21" s="7"/>
      <c r="H21" s="8"/>
      <c r="I21" s="8"/>
      <c r="J21" s="7"/>
      <c r="K21" s="14"/>
      <c r="L21" s="14">
        <f>TONTJUIN!H21+TONTJUIN!I21</f>
        <v>240000</v>
      </c>
      <c r="M21" s="7" t="s">
        <v>10</v>
      </c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0</v>
      </c>
      <c r="D22" s="8">
        <f t="shared" si="1"/>
        <v>0</v>
      </c>
      <c r="E22" s="7" t="s">
        <v>9</v>
      </c>
      <c r="F22" s="8">
        <v>103000</v>
      </c>
      <c r="G22" s="7" t="s">
        <v>9</v>
      </c>
      <c r="H22" s="8"/>
      <c r="I22" s="8"/>
      <c r="J22" s="7"/>
      <c r="K22" s="14"/>
      <c r="L22" s="8">
        <f>TONTJUIN!H22+TONTJUIN!I22</f>
        <v>101000</v>
      </c>
      <c r="M22" s="7" t="s">
        <v>9</v>
      </c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TONTJUIN!F23</f>
        <v>0</v>
      </c>
      <c r="G23" s="7"/>
      <c r="H23" s="8"/>
      <c r="I23" s="8"/>
      <c r="J23" s="7"/>
      <c r="K23" s="7"/>
      <c r="L23" s="8">
        <f>TONTJUIN!H23+TONTJUIN!I23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1600000</v>
      </c>
      <c r="D25" s="10">
        <f>SUM(D6:D24)</f>
        <v>0</v>
      </c>
      <c r="E25" s="10"/>
      <c r="F25" s="10">
        <f>SUM(F6:F24)</f>
        <v>561500</v>
      </c>
      <c r="G25" s="10"/>
      <c r="H25" s="10">
        <f>SUM(H6:H24)</f>
        <v>69000</v>
      </c>
      <c r="I25" s="10">
        <f>SUM(I6:I24)</f>
        <v>1500</v>
      </c>
      <c r="J25" s="10"/>
      <c r="K25" s="10"/>
      <c r="L25" s="10">
        <f>SUM(L6:L24)</f>
        <v>846000</v>
      </c>
      <c r="M25" s="10"/>
      <c r="N25" s="10"/>
      <c r="O25" s="10"/>
      <c r="P25" s="10">
        <f>SUM(P6:P24)</f>
        <v>2509000</v>
      </c>
      <c r="Q25" s="10">
        <f>SUM(Q6:Q24)</f>
        <v>491000</v>
      </c>
    </row>
    <row r="26" spans="1:19" x14ac:dyDescent="0.25">
      <c r="C26" s="2" t="s">
        <v>19</v>
      </c>
    </row>
    <row r="27" spans="1:19" ht="29.2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2836000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3000000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200000</v>
      </c>
      <c r="D29" s="10">
        <f>SUMIFS(L6:L24,M6:M24,"ESPECES")+SUMIFS(F6:F24,G6:G24,"ESPECES")</f>
        <v>101000</v>
      </c>
      <c r="E29" s="10">
        <f>SUMIFS(H6:H24,J6:J24,"ESPECES")</f>
        <v>69000</v>
      </c>
      <c r="F29" s="10">
        <f>SUMIFS(P6:P24,N6:N24,"ESPECES")</f>
        <v>0</v>
      </c>
      <c r="G29" s="10">
        <f>C29+D29-E29-F29</f>
        <v>232000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1400000</v>
      </c>
      <c r="D30" s="10">
        <f>SUMIFS(L6:L24,M6:M24,"BANQUE")+SUMIFS(F6:F24,G6:G24,"BANQUE")</f>
        <v>644000</v>
      </c>
      <c r="E30" s="10">
        <f>SUMIFS(H6:H24,J6:J24,"BANQUE")</f>
        <v>0</v>
      </c>
      <c r="F30" s="10">
        <f>SUMIFS(P6:P24,N6:N24,"BANQUE")</f>
        <v>2509000</v>
      </c>
      <c r="G30" s="10">
        <f>C30+D30-E30-F30</f>
        <v>-465000</v>
      </c>
      <c r="H30" s="3"/>
      <c r="M30" s="10" t="s">
        <v>53</v>
      </c>
      <c r="N30" s="10">
        <f>N27-N28</f>
        <v>-164000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1600000</v>
      </c>
      <c r="D32" s="36">
        <f t="shared" ref="D32:E32" si="3">D29+D30</f>
        <v>745000</v>
      </c>
      <c r="E32" s="36">
        <f t="shared" si="3"/>
        <v>69000</v>
      </c>
      <c r="F32" s="36">
        <f>F29+F30</f>
        <v>2509000</v>
      </c>
      <c r="G32" s="36">
        <f>G29+G30</f>
        <v>-233000</v>
      </c>
      <c r="H32" s="3"/>
      <c r="M32" s="10" t="s">
        <v>69</v>
      </c>
      <c r="N32" s="10">
        <f>N30-H25</f>
        <v>-233000</v>
      </c>
      <c r="O32" s="10">
        <f>N32+TONTJUIN!O32</f>
        <v>-668000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200000</v>
      </c>
      <c r="O34" s="10">
        <f>N34+TONTJUIN!O34</f>
        <v>300000</v>
      </c>
      <c r="P34" s="10" t="s">
        <v>70</v>
      </c>
    </row>
    <row r="35" spans="2:16" ht="18" x14ac:dyDescent="0.25">
      <c r="B35" s="10" t="s">
        <v>27</v>
      </c>
      <c r="C35" s="10">
        <f>Q25</f>
        <v>491000</v>
      </c>
      <c r="M35" s="10" t="s">
        <v>71</v>
      </c>
      <c r="N35" s="36">
        <f>SUMIFS(F6:F24,G6:G24,"ECHEC")</f>
        <v>561500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1500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69000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J30" activePane="bottomRight" state="frozen"/>
      <selection activeCell="N35" sqref="N35"/>
      <selection pane="topRight" activeCell="N35" sqref="N35"/>
      <selection pane="bottomLeft" activeCell="N35" sqref="N35"/>
      <selection pane="bottomRight" activeCell="P38" sqref="P3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 t="s">
        <v>59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TONTJUIL!F6</f>
        <v>0</v>
      </c>
      <c r="G6" s="7"/>
      <c r="H6" s="8"/>
      <c r="I6" s="8"/>
      <c r="J6" s="7"/>
      <c r="K6" s="14"/>
      <c r="L6" s="8">
        <f>TONTJUIL!H6+TONTJUIL!I6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TONTJUIL!F7</f>
        <v>0</v>
      </c>
      <c r="G7" s="7"/>
      <c r="H7" s="8"/>
      <c r="I7" s="8"/>
      <c r="J7" s="7"/>
      <c r="K7" s="14"/>
      <c r="L7" s="8">
        <f>TONTJUIL!H7+TONTJUIL!I7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TONTJUIL!F8</f>
        <v>0</v>
      </c>
      <c r="G8" s="7"/>
      <c r="H8" s="8">
        <v>229000</v>
      </c>
      <c r="I8" s="8">
        <v>7000</v>
      </c>
      <c r="J8" s="7"/>
      <c r="K8" s="14"/>
      <c r="L8" s="8">
        <f>TONTJUIL!H8+TONTJUIL!I8</f>
        <v>70500</v>
      </c>
      <c r="M8" s="7" t="s">
        <v>10</v>
      </c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18</v>
      </c>
      <c r="F9" s="8">
        <f>TONTJUIL!F9</f>
        <v>0</v>
      </c>
      <c r="G9" s="7"/>
      <c r="H9" s="8"/>
      <c r="I9" s="8"/>
      <c r="J9" s="7"/>
      <c r="K9" s="14"/>
      <c r="L9" s="8">
        <f>TONTJUIL!H9+TONTJUIL!I9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TONTJUIL!F10</f>
        <v>0</v>
      </c>
      <c r="G10" s="7"/>
      <c r="H10" s="8"/>
      <c r="I10" s="8"/>
      <c r="J10" s="7"/>
      <c r="K10" s="14"/>
      <c r="L10" s="8">
        <f>TONTJUIL!H10+TONTJUIL!I10</f>
        <v>0</v>
      </c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TONTJUIL!F11</f>
        <v>0</v>
      </c>
      <c r="G11" s="7"/>
      <c r="H11" s="8"/>
      <c r="I11" s="8"/>
      <c r="J11" s="7"/>
      <c r="K11" s="14"/>
      <c r="L11" s="8">
        <f>TONTJUIL!H11+TONTJUIL!I11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100000</v>
      </c>
      <c r="D12" s="8">
        <f t="shared" si="1"/>
        <v>0</v>
      </c>
      <c r="E12" s="7" t="s">
        <v>10</v>
      </c>
      <c r="F12" s="8">
        <f>TONTJUIL!F12</f>
        <v>0</v>
      </c>
      <c r="G12" s="7"/>
      <c r="H12" s="8"/>
      <c r="I12" s="8"/>
      <c r="J12" s="7"/>
      <c r="K12" s="14"/>
      <c r="L12" s="8">
        <f>TONTJUIL!H12+TONTJUIL!I12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TONTJUIL!F13</f>
        <v>0</v>
      </c>
      <c r="G13" s="7"/>
      <c r="H13" s="8"/>
      <c r="I13" s="8"/>
      <c r="J13" s="7"/>
      <c r="K13" s="14"/>
      <c r="L13" s="8">
        <f>TONTJUIL!H13+TONTJUIL!I13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100000</v>
      </c>
      <c r="D14" s="8">
        <f t="shared" si="1"/>
        <v>0</v>
      </c>
      <c r="E14" s="7" t="s">
        <v>18</v>
      </c>
      <c r="F14" s="8">
        <f>TONTJUIL!F14</f>
        <v>0</v>
      </c>
      <c r="G14" s="7"/>
      <c r="H14" s="8"/>
      <c r="I14" s="8"/>
      <c r="J14" s="7"/>
      <c r="K14" s="14"/>
      <c r="L14" s="8">
        <f>TONTJUIL!H14+TONTJUIL!I14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f>TONTJUIL!F15</f>
        <v>225500</v>
      </c>
      <c r="G15" s="7" t="s">
        <v>9</v>
      </c>
      <c r="H15" s="8"/>
      <c r="I15" s="8"/>
      <c r="J15" s="7"/>
      <c r="K15" s="14"/>
      <c r="L15" s="8">
        <f>TONTJUIL!H15+TONTJUIL!I15</f>
        <v>0</v>
      </c>
      <c r="M15" s="7"/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TONTJUIL!F16</f>
        <v>0</v>
      </c>
      <c r="G16" s="7"/>
      <c r="H16" s="8"/>
      <c r="I16" s="8"/>
      <c r="J16" s="7"/>
      <c r="K16" s="14"/>
      <c r="L16" s="8">
        <f>TONTJUIL!H16+TONTJUIL!I16</f>
        <v>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f>TONTJUIL!F17</f>
        <v>233000</v>
      </c>
      <c r="G17" s="7" t="s">
        <v>9</v>
      </c>
      <c r="H17" s="8"/>
      <c r="I17" s="8"/>
      <c r="J17" s="7"/>
      <c r="K17" s="14"/>
      <c r="L17" s="8">
        <f>TONTJUIL!H17+TONTJUIL!I17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>
        <f>TONTJUIL!F18</f>
        <v>0</v>
      </c>
      <c r="G18" s="7"/>
      <c r="H18" s="8"/>
      <c r="I18" s="8"/>
      <c r="J18" s="7"/>
      <c r="K18" s="14"/>
      <c r="L18" s="8">
        <f>TONTJUIL!H18+TONTJUIL!I18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18</v>
      </c>
      <c r="F19" s="8">
        <f>TONTJUIL!F19</f>
        <v>0</v>
      </c>
      <c r="G19" s="7"/>
      <c r="H19" s="8"/>
      <c r="I19" s="8"/>
      <c r="J19" s="7"/>
      <c r="K19" s="14"/>
      <c r="L19" s="8">
        <f>TONTJUIL!H19+TONTJUIL!I19</f>
        <v>0</v>
      </c>
      <c r="M19" s="7"/>
      <c r="N19" s="7" t="s">
        <v>10</v>
      </c>
      <c r="O19" s="14"/>
      <c r="P19" s="8">
        <f t="shared" si="2"/>
        <v>1340000</v>
      </c>
      <c r="Q19" s="8">
        <v>160000</v>
      </c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18</v>
      </c>
      <c r="F20" s="8">
        <f>TONTJUIL!F20</f>
        <v>0</v>
      </c>
      <c r="G20" s="7"/>
      <c r="H20" s="8"/>
      <c r="I20" s="8"/>
      <c r="J20" s="7"/>
      <c r="K20" s="14"/>
      <c r="L20" s="8">
        <f>TONTJUIL!H20+TONTJUIL!I20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TONTJUIL!F21</f>
        <v>0</v>
      </c>
      <c r="G21" s="7"/>
      <c r="H21" s="8"/>
      <c r="I21" s="8"/>
      <c r="J21" s="7"/>
      <c r="K21" s="14"/>
      <c r="L21" s="8">
        <f>TONTJUIL!H21+TONTJUIL!I21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18</v>
      </c>
      <c r="F22" s="8">
        <f>TONTJUIL!F22</f>
        <v>103000</v>
      </c>
      <c r="G22" s="7" t="s">
        <v>9</v>
      </c>
      <c r="H22" s="8"/>
      <c r="I22" s="8"/>
      <c r="J22" s="7"/>
      <c r="K22" s="14"/>
      <c r="L22" s="8">
        <f>TONTJUIL!H22+TONTJUIL!I22</f>
        <v>0</v>
      </c>
      <c r="M22" s="7"/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TONTJUIL!F23</f>
        <v>0</v>
      </c>
      <c r="G23" s="7"/>
      <c r="H23" s="8"/>
      <c r="I23" s="8"/>
      <c r="J23" s="7"/>
      <c r="K23" s="7"/>
      <c r="L23" s="8">
        <f>TONTJUIL!H23+TONTJUIL!I23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1700000</v>
      </c>
      <c r="D25" s="10">
        <f>SUM(D6:D24)</f>
        <v>0</v>
      </c>
      <c r="E25" s="10"/>
      <c r="F25" s="10">
        <f>SUM(F6:F24)</f>
        <v>561500</v>
      </c>
      <c r="G25" s="10"/>
      <c r="H25" s="10">
        <f>SUM(H6:H24)</f>
        <v>229000</v>
      </c>
      <c r="I25" s="10">
        <f>SUM(I6:I24)</f>
        <v>7000</v>
      </c>
      <c r="J25" s="10"/>
      <c r="K25" s="10"/>
      <c r="L25" s="10">
        <f>SUM(L6:L24)</f>
        <v>70500</v>
      </c>
      <c r="M25" s="10"/>
      <c r="N25" s="10"/>
      <c r="O25" s="10"/>
      <c r="P25" s="10">
        <f>SUM(P6:P24)</f>
        <v>1340000</v>
      </c>
      <c r="Q25" s="10">
        <f>SUM(Q6:Q24)</f>
        <v>160000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1930500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700000</v>
      </c>
      <c r="D29" s="10">
        <f>SUMIFS(L6:L24,M6:M24,"ESPECES")+SUMIFS(F6:F24,G6:G24,"ESPECES")</f>
        <v>0</v>
      </c>
      <c r="E29" s="10">
        <f>SUMIFS(H6:H24,J6:J24,"ESPECES")</f>
        <v>0</v>
      </c>
      <c r="F29" s="10">
        <f>SUMIFS(P6:P24,N6:N24,"ESPECES")</f>
        <v>0</v>
      </c>
      <c r="G29" s="10">
        <f>C29+D29-E29-F29</f>
        <v>700000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1000000</v>
      </c>
      <c r="D30" s="10">
        <f>SUMIFS(L6:L24,M6:M24,"BANQUE")+SUMIFS(F6:F24,G6:G24,"BANQUE")</f>
        <v>70500</v>
      </c>
      <c r="E30" s="10">
        <f>SUMIFS(H6:H24,J6:J24,"BANQUE")</f>
        <v>0</v>
      </c>
      <c r="F30" s="10">
        <f>SUMIFS(P6:P24,N6:N24,"BANQUE")</f>
        <v>1340000</v>
      </c>
      <c r="G30" s="10">
        <f>C30+D30-E30-F30</f>
        <v>-269500</v>
      </c>
      <c r="H30" s="3"/>
      <c r="M30" s="10" t="s">
        <v>53</v>
      </c>
      <c r="N30" s="10">
        <f>N27-N28</f>
        <v>430500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1700000</v>
      </c>
      <c r="D32" s="36">
        <f t="shared" ref="D32:E32" si="3">D29+D30</f>
        <v>70500</v>
      </c>
      <c r="E32" s="36">
        <f t="shared" si="3"/>
        <v>0</v>
      </c>
      <c r="F32" s="36">
        <f>F29+F30</f>
        <v>1340000</v>
      </c>
      <c r="G32" s="36">
        <f>G29+G30</f>
        <v>430500</v>
      </c>
      <c r="H32" s="3"/>
      <c r="M32" s="10" t="s">
        <v>69</v>
      </c>
      <c r="N32" s="10">
        <f>N30-H25</f>
        <v>201500</v>
      </c>
      <c r="O32" s="10">
        <f>N32+TONTJUIL!O32</f>
        <v>-466500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100000</v>
      </c>
      <c r="O34" s="10">
        <f>N34+TONTJUIL!O34</f>
        <v>400000</v>
      </c>
      <c r="P34" s="10" t="s">
        <v>70</v>
      </c>
    </row>
    <row r="35" spans="2:16" ht="18" x14ac:dyDescent="0.25">
      <c r="B35" s="10" t="s">
        <v>27</v>
      </c>
      <c r="C35" s="10">
        <f>Q25</f>
        <v>160000</v>
      </c>
      <c r="M35" s="10" t="s">
        <v>71</v>
      </c>
      <c r="N35" s="36">
        <f>SUMIFS(F6:F24,G6:G24,"ECHEC")</f>
        <v>561500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7000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229000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I30" activePane="bottomRight" state="frozen"/>
      <selection activeCell="N35" sqref="N35"/>
      <selection pane="topRight" activeCell="N35" sqref="N35"/>
      <selection pane="bottomLeft" activeCell="N35" sqref="N35"/>
      <selection pane="bottomRight" activeCell="O34" sqref="O3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44094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TONTAOUT!F6</f>
        <v>0</v>
      </c>
      <c r="G6" s="7"/>
      <c r="H6" s="8"/>
      <c r="I6" s="8"/>
      <c r="J6" s="7"/>
      <c r="K6" s="14"/>
      <c r="L6" s="8">
        <f>TONTAOUT!H6+TONTAOUT!I6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TONTAOUT!F7</f>
        <v>0</v>
      </c>
      <c r="G7" s="7"/>
      <c r="H7" s="8"/>
      <c r="I7" s="8"/>
      <c r="J7" s="7"/>
      <c r="K7" s="14"/>
      <c r="L7" s="8">
        <f>TONTAOUT!H7+TONTAOUT!I7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18</v>
      </c>
      <c r="F8" s="8">
        <f>TONTAOUT!F8</f>
        <v>0</v>
      </c>
      <c r="G8" s="7"/>
      <c r="H8" s="8">
        <v>136000</v>
      </c>
      <c r="I8" s="8">
        <v>5000</v>
      </c>
      <c r="J8" s="7" t="s">
        <v>10</v>
      </c>
      <c r="K8" s="14"/>
      <c r="L8" s="8">
        <f>TONTAOUT!H8+TONTAOUT!I8</f>
        <v>236000</v>
      </c>
      <c r="M8" s="7" t="s">
        <v>18</v>
      </c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TONTAOUT!F9</f>
        <v>0</v>
      </c>
      <c r="G9" s="7"/>
      <c r="H9" s="8"/>
      <c r="I9" s="8"/>
      <c r="J9" s="7"/>
      <c r="K9" s="14"/>
      <c r="L9" s="8">
        <f>TONTAOUT!H9+TONTAOUT!I9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100000</v>
      </c>
      <c r="D10" s="8">
        <f t="shared" si="1"/>
        <v>0</v>
      </c>
      <c r="E10" s="7" t="s">
        <v>10</v>
      </c>
      <c r="F10" s="8">
        <f>TONTAOUT!F10</f>
        <v>0</v>
      </c>
      <c r="G10" s="7"/>
      <c r="H10" s="8"/>
      <c r="I10" s="8"/>
      <c r="J10" s="7"/>
      <c r="K10" s="14"/>
      <c r="L10" s="8">
        <f>TONTAOUT!H10+TONTAOUT!I10</f>
        <v>0</v>
      </c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100000</v>
      </c>
      <c r="D11" s="8">
        <f t="shared" si="1"/>
        <v>0</v>
      </c>
      <c r="E11" s="7" t="s">
        <v>10</v>
      </c>
      <c r="F11" s="8">
        <f>TONTAOUT!F11</f>
        <v>0</v>
      </c>
      <c r="G11" s="7"/>
      <c r="H11" s="8"/>
      <c r="I11" s="8"/>
      <c r="J11" s="7"/>
      <c r="K11" s="14"/>
      <c r="L11" s="8">
        <f>TONTAOUT!H11+TONTAOUT!I11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0</v>
      </c>
      <c r="D12" s="8">
        <f t="shared" si="1"/>
        <v>0</v>
      </c>
      <c r="E12" s="7" t="s">
        <v>9</v>
      </c>
      <c r="F12" s="8">
        <f>TONTAOUT!F12</f>
        <v>0</v>
      </c>
      <c r="G12" s="7"/>
      <c r="H12" s="8"/>
      <c r="I12" s="8"/>
      <c r="J12" s="7"/>
      <c r="K12" s="14"/>
      <c r="L12" s="8">
        <f>TONTAOUT!H12+TONTAOUT!I12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TONTAOUT!F13</f>
        <v>0</v>
      </c>
      <c r="G13" s="7"/>
      <c r="H13" s="8"/>
      <c r="I13" s="8"/>
      <c r="J13" s="7"/>
      <c r="K13" s="14"/>
      <c r="L13" s="8">
        <f>TONTAOUT!H13+TONTAOUT!I13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0</v>
      </c>
      <c r="D14" s="8">
        <f t="shared" si="1"/>
        <v>0</v>
      </c>
      <c r="E14" s="7" t="s">
        <v>9</v>
      </c>
      <c r="F14" s="8">
        <f>TONTAOUT!F14</f>
        <v>0</v>
      </c>
      <c r="G14" s="7"/>
      <c r="H14" s="8"/>
      <c r="I14" s="8"/>
      <c r="J14" s="7"/>
      <c r="K14" s="14"/>
      <c r="L14" s="8">
        <f>TONTAOUT!H14+TONTAOUT!I14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f>TONTAOUT!F15</f>
        <v>225500</v>
      </c>
      <c r="G15" s="7" t="s">
        <v>9</v>
      </c>
      <c r="H15" s="8"/>
      <c r="I15" s="8"/>
      <c r="J15" s="7"/>
      <c r="K15" s="14"/>
      <c r="L15" s="8">
        <f>TONTAOUT!H15+TONTAOUT!I15</f>
        <v>0</v>
      </c>
      <c r="M15" s="7"/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TONTAOUT!F16</f>
        <v>0</v>
      </c>
      <c r="G16" s="7"/>
      <c r="H16" s="8"/>
      <c r="I16" s="8"/>
      <c r="J16" s="7"/>
      <c r="K16" s="14"/>
      <c r="L16" s="8">
        <f>TONTAOUT!H16+TONTAOUT!I16</f>
        <v>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10</v>
      </c>
      <c r="F17" s="8">
        <f>TONTAOUT!F17</f>
        <v>233000</v>
      </c>
      <c r="G17" s="7" t="s">
        <v>9</v>
      </c>
      <c r="H17" s="8"/>
      <c r="I17" s="8"/>
      <c r="J17" s="7"/>
      <c r="K17" s="14"/>
      <c r="L17" s="8">
        <f>TONTAOUT!H17+TONTAOUT!I17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10</v>
      </c>
      <c r="F18" s="8">
        <f>TONTAOUT!F18</f>
        <v>0</v>
      </c>
      <c r="G18" s="7"/>
      <c r="H18" s="8"/>
      <c r="I18" s="8"/>
      <c r="J18" s="7"/>
      <c r="K18" s="14"/>
      <c r="L18" s="8">
        <f>TONTAOUT!H18+TONTAOUT!I18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f>TONTAOUT!F19</f>
        <v>0</v>
      </c>
      <c r="G19" s="7"/>
      <c r="H19" s="8">
        <v>200000</v>
      </c>
      <c r="I19" s="8">
        <v>8000</v>
      </c>
      <c r="J19" s="7" t="s">
        <v>18</v>
      </c>
      <c r="K19" s="14"/>
      <c r="L19" s="8">
        <f>TONTAOUT!H19+TONTAOUT!I19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TONTAOUT!F20</f>
        <v>0</v>
      </c>
      <c r="G20" s="7"/>
      <c r="H20" s="8"/>
      <c r="I20" s="8"/>
      <c r="J20" s="7"/>
      <c r="K20" s="14"/>
      <c r="L20" s="8">
        <f>TONTAOUT!H20+TONTAOUT!I20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TONTAOUT!F21</f>
        <v>0</v>
      </c>
      <c r="G21" s="7"/>
      <c r="H21" s="8"/>
      <c r="I21" s="8"/>
      <c r="J21" s="7"/>
      <c r="K21" s="14"/>
      <c r="L21" s="8">
        <f>TONTAOUT!H21+TONTAOUT!I21</f>
        <v>0</v>
      </c>
      <c r="M21" s="7"/>
      <c r="N21" s="7" t="s">
        <v>10</v>
      </c>
      <c r="O21" s="14"/>
      <c r="P21" s="8">
        <f t="shared" si="2"/>
        <v>1400000</v>
      </c>
      <c r="Q21" s="8">
        <v>100000</v>
      </c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10</v>
      </c>
      <c r="F22" s="8">
        <f>TONTAOUT!F22</f>
        <v>103000</v>
      </c>
      <c r="G22" s="7" t="s">
        <v>9</v>
      </c>
      <c r="H22" s="8"/>
      <c r="I22" s="8"/>
      <c r="J22" s="7"/>
      <c r="K22" s="14"/>
      <c r="L22" s="8">
        <f>TONTAOUT!H22+TONTAOUT!I22</f>
        <v>0</v>
      </c>
      <c r="M22" s="7"/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TONTAOUT!F23</f>
        <v>0</v>
      </c>
      <c r="G23" s="7"/>
      <c r="H23" s="8"/>
      <c r="I23" s="8"/>
      <c r="J23" s="7"/>
      <c r="K23" s="7"/>
      <c r="L23" s="8">
        <f>TONTAOUT!H23+TONTAOUT!I23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1500000</v>
      </c>
      <c r="D25" s="10">
        <f>SUM(D6:D24)</f>
        <v>0</v>
      </c>
      <c r="E25" s="10"/>
      <c r="F25" s="10">
        <f>SUM(F6:F24)</f>
        <v>561500</v>
      </c>
      <c r="G25" s="10"/>
      <c r="H25" s="10">
        <f>SUM(H6:H24)</f>
        <v>336000</v>
      </c>
      <c r="I25" s="10">
        <f>SUM(I6:I24)</f>
        <v>13000</v>
      </c>
      <c r="J25" s="10"/>
      <c r="K25" s="10"/>
      <c r="L25" s="10">
        <f>SUM(L6:L24)</f>
        <v>236000</v>
      </c>
      <c r="M25" s="10"/>
      <c r="N25" s="10"/>
      <c r="O25" s="10"/>
      <c r="P25" s="10">
        <f>SUM(P6:P24)</f>
        <v>1400000</v>
      </c>
      <c r="Q25" s="10">
        <f>SUM(Q6:Q24)</f>
        <v>100000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1836000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100000</v>
      </c>
      <c r="D29" s="10">
        <f>SUMIFS(L6:L24,M6:M24,"ESPECES")+SUMIFS(F6:F24,G6:G24,"ESPECES")</f>
        <v>236000</v>
      </c>
      <c r="E29" s="10">
        <f>SUMIFS(H6:H24,J6:J24,"ESPECES")</f>
        <v>200000</v>
      </c>
      <c r="F29" s="10">
        <f>SUMIFS(P6:P24,N6:N24,"ESPECES")</f>
        <v>0</v>
      </c>
      <c r="G29" s="10">
        <f>C29+D29-E29-F29</f>
        <v>136000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1400000</v>
      </c>
      <c r="D30" s="10">
        <f>SUMIFS(L6:L24,M6:M24,"BANQUE")+SUMIFS(F6:F24,G6:G24,"BANQUE")</f>
        <v>0</v>
      </c>
      <c r="E30" s="10">
        <f>SUMIFS(H6:H24,J6:J24,"BANQUE")</f>
        <v>136000</v>
      </c>
      <c r="F30" s="10">
        <f>SUMIFS(P6:P24,N6:N24,"BANQUE")</f>
        <v>1400000</v>
      </c>
      <c r="G30" s="10">
        <f>C30+D30-E30-F30</f>
        <v>-136000</v>
      </c>
      <c r="H30" s="3"/>
      <c r="M30" s="10" t="s">
        <v>53</v>
      </c>
      <c r="N30" s="10">
        <f>N27-N28</f>
        <v>336000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1500000</v>
      </c>
      <c r="D32" s="36">
        <f t="shared" ref="D32:E32" si="3">D29+D30</f>
        <v>236000</v>
      </c>
      <c r="E32" s="36">
        <f t="shared" si="3"/>
        <v>336000</v>
      </c>
      <c r="F32" s="36">
        <f>F29+F30</f>
        <v>1400000</v>
      </c>
      <c r="G32" s="36">
        <f>G29+G30</f>
        <v>0</v>
      </c>
      <c r="H32" s="3"/>
      <c r="M32" s="10" t="s">
        <v>69</v>
      </c>
      <c r="N32" s="10">
        <f>N30-H25</f>
        <v>0</v>
      </c>
      <c r="O32" s="10">
        <f>N32+TONTAOUT!O32</f>
        <v>-466500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300000</v>
      </c>
      <c r="O34" s="10">
        <f>N34+TONTAOUT!O34</f>
        <v>700000</v>
      </c>
      <c r="P34" s="10" t="s">
        <v>70</v>
      </c>
    </row>
    <row r="35" spans="2:16" ht="18" x14ac:dyDescent="0.25">
      <c r="B35" s="10" t="s">
        <v>27</v>
      </c>
      <c r="C35" s="10">
        <f>Q25</f>
        <v>100000</v>
      </c>
      <c r="M35" s="10" t="s">
        <v>71</v>
      </c>
      <c r="N35" s="36">
        <f>SUMIFS(F6:F24,G6:G24,"ECHEC")</f>
        <v>561500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13000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336000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C33" activePane="bottomRight" state="frozen"/>
      <selection activeCell="N35" sqref="N35"/>
      <selection pane="topRight" activeCell="N35" sqref="N35"/>
      <selection pane="bottomLeft" activeCell="N35" sqref="N35"/>
      <selection pane="bottomRight" activeCell="O38" sqref="O3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44122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100000</v>
      </c>
      <c r="D6" s="8">
        <f t="shared" ref="D6:D23" si="1">IF(E6="ESPECES",0,0)</f>
        <v>0</v>
      </c>
      <c r="E6" s="7" t="s">
        <v>10</v>
      </c>
      <c r="F6" s="8">
        <f>TONTSEPT!F6</f>
        <v>0</v>
      </c>
      <c r="G6" s="7"/>
      <c r="H6" s="8"/>
      <c r="I6" s="8"/>
      <c r="J6" s="7"/>
      <c r="K6" s="14"/>
      <c r="L6" s="8">
        <f>TONTSEPT!H6+TONTSEPT!I6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100000</v>
      </c>
      <c r="D7" s="8">
        <f t="shared" si="1"/>
        <v>0</v>
      </c>
      <c r="E7" s="7" t="s">
        <v>10</v>
      </c>
      <c r="F7" s="8">
        <f>TONTSEPT!F7</f>
        <v>0</v>
      </c>
      <c r="G7" s="7"/>
      <c r="H7" s="8"/>
      <c r="I7" s="8"/>
      <c r="J7" s="7"/>
      <c r="K7" s="14"/>
      <c r="L7" s="8">
        <f>TONTSEPT!H7+TONTSEPT!I7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100000</v>
      </c>
      <c r="D8" s="8">
        <f t="shared" si="1"/>
        <v>0</v>
      </c>
      <c r="E8" s="7" t="s">
        <v>10</v>
      </c>
      <c r="F8" s="8">
        <f>TONTSEPT!F8</f>
        <v>0</v>
      </c>
      <c r="G8" s="7"/>
      <c r="H8" s="8">
        <v>200000</v>
      </c>
      <c r="I8" s="8">
        <v>6000</v>
      </c>
      <c r="J8" s="7"/>
      <c r="K8" s="14"/>
      <c r="L8" s="8">
        <f>TONTSEPT!H8+TONTSEPT!I8</f>
        <v>141000</v>
      </c>
      <c r="M8" s="7" t="s">
        <v>18</v>
      </c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100000</v>
      </c>
      <c r="D9" s="8">
        <f t="shared" si="1"/>
        <v>0</v>
      </c>
      <c r="E9" s="7" t="s">
        <v>10</v>
      </c>
      <c r="F9" s="8">
        <f>TONTSEPT!F9</f>
        <v>0</v>
      </c>
      <c r="G9" s="7"/>
      <c r="H9" s="8"/>
      <c r="I9" s="8"/>
      <c r="J9" s="7"/>
      <c r="K9" s="14"/>
      <c r="L9" s="8">
        <f>TONTSEPT!H9+TONTSEPT!I9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>IF(E10="ECHEC",0,IF(E10="",0,100000))</f>
        <v>100000</v>
      </c>
      <c r="D10" s="8">
        <f t="shared" si="1"/>
        <v>0</v>
      </c>
      <c r="E10" s="7" t="s">
        <v>10</v>
      </c>
      <c r="F10" s="8">
        <f>TONTSEPT!F10</f>
        <v>0</v>
      </c>
      <c r="G10" s="7"/>
      <c r="H10" s="8">
        <v>159000</v>
      </c>
      <c r="I10" s="8">
        <v>2500</v>
      </c>
      <c r="J10" s="7"/>
      <c r="K10" s="14"/>
      <c r="L10" s="8">
        <f>TONTSEPT!H10+TONTSEPT!I10</f>
        <v>0</v>
      </c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>IF(E11="ECHEC",0,IF(E11="",0,100000))</f>
        <v>100000</v>
      </c>
      <c r="D11" s="8">
        <f t="shared" si="1"/>
        <v>0</v>
      </c>
      <c r="E11" s="7" t="s">
        <v>10</v>
      </c>
      <c r="F11" s="8">
        <f>TONTSEPT!F11</f>
        <v>0</v>
      </c>
      <c r="G11" s="7"/>
      <c r="H11" s="8"/>
      <c r="I11" s="8"/>
      <c r="J11" s="7"/>
      <c r="K11" s="14"/>
      <c r="L11" s="8">
        <f>TONTSEPT!H11+TONTSEPT!I11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>IF(E12="ECHEC",0,IF(E12="",0,100000))+100000</f>
        <v>200000</v>
      </c>
      <c r="D12" s="8">
        <f t="shared" si="1"/>
        <v>0</v>
      </c>
      <c r="E12" s="7" t="s">
        <v>10</v>
      </c>
      <c r="F12" s="8">
        <f>TONTSEPT!F12</f>
        <v>0</v>
      </c>
      <c r="G12" s="7"/>
      <c r="H12" s="8"/>
      <c r="I12" s="8"/>
      <c r="J12" s="7"/>
      <c r="K12" s="14"/>
      <c r="L12" s="8">
        <f>TONTSEPT!H12+TONTSEPT!I12</f>
        <v>0</v>
      </c>
      <c r="M12" s="7"/>
      <c r="N12" s="7"/>
      <c r="O12" s="14"/>
      <c r="P12" s="8">
        <f t="shared" si="2"/>
        <v>1390000</v>
      </c>
      <c r="Q12" s="8">
        <v>110000</v>
      </c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100000</v>
      </c>
      <c r="D13" s="8">
        <f t="shared" si="1"/>
        <v>0</v>
      </c>
      <c r="E13" s="7" t="s">
        <v>10</v>
      </c>
      <c r="F13" s="8">
        <f>TONTSEPT!F13</f>
        <v>0</v>
      </c>
      <c r="G13" s="7"/>
      <c r="H13" s="8"/>
      <c r="I13" s="8"/>
      <c r="J13" s="7"/>
      <c r="K13" s="14"/>
      <c r="L13" s="8">
        <f>TONTSEPT!H13+TONTSEPT!I13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>IF(E14="ECHEC",0,IF(E14="",0,100000))+100000</f>
        <v>200000</v>
      </c>
      <c r="D14" s="8">
        <f t="shared" si="1"/>
        <v>0</v>
      </c>
      <c r="E14" s="7" t="s">
        <v>10</v>
      </c>
      <c r="F14" s="8">
        <f>TONTSEPT!F14</f>
        <v>0</v>
      </c>
      <c r="G14" s="7"/>
      <c r="H14" s="8"/>
      <c r="I14" s="8"/>
      <c r="J14" s="7"/>
      <c r="K14" s="14"/>
      <c r="L14" s="8">
        <f>TONTSEPT!H14+TONTSEPT!I14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f>TONTSEPT!F15</f>
        <v>225500</v>
      </c>
      <c r="G15" s="7" t="s">
        <v>9</v>
      </c>
      <c r="H15" s="8"/>
      <c r="I15" s="8"/>
      <c r="J15" s="7"/>
      <c r="K15" s="14"/>
      <c r="L15" s="8">
        <f>TONTSEPT!H15+TONTSEPT!I15</f>
        <v>0</v>
      </c>
      <c r="M15" s="7"/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100000</v>
      </c>
      <c r="D16" s="8">
        <f t="shared" si="1"/>
        <v>0</v>
      </c>
      <c r="E16" s="7" t="s">
        <v>10</v>
      </c>
      <c r="F16" s="8">
        <f>TONTSEPT!F16</f>
        <v>0</v>
      </c>
      <c r="G16" s="7"/>
      <c r="H16" s="8">
        <v>100000</v>
      </c>
      <c r="I16" s="8">
        <v>1000</v>
      </c>
      <c r="J16" s="7"/>
      <c r="K16" s="14"/>
      <c r="L16" s="8">
        <f>TONTSEPT!H16+TONTSEPT!I16</f>
        <v>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100000</v>
      </c>
      <c r="D17" s="8">
        <f t="shared" si="1"/>
        <v>0</v>
      </c>
      <c r="E17" s="7" t="s">
        <v>18</v>
      </c>
      <c r="F17" s="8">
        <f>TONTSEPT!F17</f>
        <v>233000</v>
      </c>
      <c r="G17" s="7" t="s">
        <v>9</v>
      </c>
      <c r="H17" s="8"/>
      <c r="I17" s="8"/>
      <c r="J17" s="7"/>
      <c r="K17" s="14"/>
      <c r="L17" s="8">
        <f>TONTSEPT!H17+TONTSEPT!I17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100000</v>
      </c>
      <c r="D18" s="8">
        <f t="shared" si="1"/>
        <v>0</v>
      </c>
      <c r="E18" s="7" t="s">
        <v>18</v>
      </c>
      <c r="F18" s="8">
        <f>TONTSEPT!F18</f>
        <v>0</v>
      </c>
      <c r="G18" s="7"/>
      <c r="H18" s="8"/>
      <c r="I18" s="8"/>
      <c r="J18" s="7"/>
      <c r="K18" s="14"/>
      <c r="L18" s="8">
        <f>TONTSEPT!H18+TONTSEPT!I18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100000</v>
      </c>
      <c r="D19" s="8">
        <f t="shared" si="1"/>
        <v>0</v>
      </c>
      <c r="E19" s="7" t="s">
        <v>10</v>
      </c>
      <c r="F19" s="8">
        <v>224000</v>
      </c>
      <c r="G19" s="7" t="s">
        <v>9</v>
      </c>
      <c r="H19" s="8"/>
      <c r="I19" s="8"/>
      <c r="J19" s="7"/>
      <c r="K19" s="14"/>
      <c r="L19" s="8">
        <f>TONTSEPT!H19+TONTSEPT!I19</f>
        <v>208000</v>
      </c>
      <c r="M19" s="7" t="s">
        <v>9</v>
      </c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100000</v>
      </c>
      <c r="D20" s="8">
        <f t="shared" si="1"/>
        <v>0</v>
      </c>
      <c r="E20" s="7" t="s">
        <v>10</v>
      </c>
      <c r="F20" s="8">
        <f>TONTSEPT!F20</f>
        <v>0</v>
      </c>
      <c r="G20" s="7"/>
      <c r="H20" s="8"/>
      <c r="I20" s="8"/>
      <c r="J20" s="7"/>
      <c r="K20" s="14"/>
      <c r="L20" s="8">
        <f>TONTSEPT!H20+TONTSEPT!I20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100000</v>
      </c>
      <c r="D21" s="8">
        <f t="shared" si="1"/>
        <v>0</v>
      </c>
      <c r="E21" s="7" t="s">
        <v>10</v>
      </c>
      <c r="F21" s="8">
        <f>TONTSEPT!F21</f>
        <v>0</v>
      </c>
      <c r="G21" s="7"/>
      <c r="H21" s="8">
        <v>200000</v>
      </c>
      <c r="I21" s="8">
        <v>4500</v>
      </c>
      <c r="J21" s="7"/>
      <c r="K21" s="14"/>
      <c r="L21" s="8">
        <f>TONTSEPT!H21+TONTSEPT!I21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100000</v>
      </c>
      <c r="D22" s="8">
        <f t="shared" si="1"/>
        <v>0</v>
      </c>
      <c r="E22" s="7" t="s">
        <v>18</v>
      </c>
      <c r="F22" s="8">
        <f>TONTSEPT!F22</f>
        <v>103000</v>
      </c>
      <c r="G22" s="7" t="s">
        <v>9</v>
      </c>
      <c r="H22" s="8"/>
      <c r="I22" s="8"/>
      <c r="J22" s="7"/>
      <c r="K22" s="14"/>
      <c r="L22" s="8">
        <f>TONTSEPT!H22+TONTSEPT!I22</f>
        <v>0</v>
      </c>
      <c r="M22" s="7"/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100000</v>
      </c>
      <c r="D23" s="8">
        <f t="shared" si="1"/>
        <v>0</v>
      </c>
      <c r="E23" s="7" t="s">
        <v>10</v>
      </c>
      <c r="F23" s="8">
        <f>TONTSEPT!F23</f>
        <v>0</v>
      </c>
      <c r="G23" s="7"/>
      <c r="H23" s="8"/>
      <c r="I23" s="8"/>
      <c r="J23" s="7"/>
      <c r="K23" s="7"/>
      <c r="L23" s="8">
        <f>TONTSEPT!H23+TONTSEPT!I23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1900000</v>
      </c>
      <c r="D25" s="10">
        <f>SUM(D6:D24)</f>
        <v>0</v>
      </c>
      <c r="E25" s="10"/>
      <c r="F25" s="10">
        <f>SUM(F6:F24)</f>
        <v>785500</v>
      </c>
      <c r="G25" s="10"/>
      <c r="H25" s="10">
        <f>SUM(H6:H24)</f>
        <v>659000</v>
      </c>
      <c r="I25" s="10">
        <f>SUM(I6:I24)</f>
        <v>14000</v>
      </c>
      <c r="J25" s="10"/>
      <c r="K25" s="10"/>
      <c r="L25" s="10">
        <f>SUM(L6:L24)</f>
        <v>349000</v>
      </c>
      <c r="M25" s="10"/>
      <c r="N25" s="10"/>
      <c r="O25" s="10"/>
      <c r="P25" s="10">
        <f>SUM(P6:P24)</f>
        <v>1390000</v>
      </c>
      <c r="Q25" s="10">
        <f>SUM(Q6:Q24)</f>
        <v>110000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2151000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300000</v>
      </c>
      <c r="D29" s="10">
        <f>SUMIFS(L6:L24,M6:M24,"ESPECES")+SUMIFS(F6:F24,G6:G24,"ESPECES")</f>
        <v>141000</v>
      </c>
      <c r="E29" s="10">
        <f>SUMIFS(H6:H24,J6:J24,"ESPECES")</f>
        <v>0</v>
      </c>
      <c r="F29" s="10">
        <f>SUMIFS(P6:P24,N6:N24,"ESPECES")</f>
        <v>0</v>
      </c>
      <c r="G29" s="10">
        <f>C29+D29-E29-F29</f>
        <v>441000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1600000</v>
      </c>
      <c r="D30" s="10">
        <f>SUMIFS(L6:L24,M6:M24,"BANQUE")+SUMIFS(F6:F24,G6:G24,"BANQUE")</f>
        <v>0</v>
      </c>
      <c r="E30" s="10">
        <f>SUMIFS(H6:H24,J6:J24,"BANQUE")</f>
        <v>0</v>
      </c>
      <c r="F30" s="10">
        <f>SUMIFS(P6:P24,N6:N24,"BANQUE")</f>
        <v>0</v>
      </c>
      <c r="G30" s="10">
        <f>C30+D30-E30-F30</f>
        <v>1600000</v>
      </c>
      <c r="H30" s="3"/>
      <c r="M30" s="10" t="s">
        <v>53</v>
      </c>
      <c r="N30" s="10">
        <f>N27-N28</f>
        <v>651000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1900000</v>
      </c>
      <c r="D32" s="36">
        <f t="shared" ref="D32:E32" si="3">D29+D30</f>
        <v>141000</v>
      </c>
      <c r="E32" s="36">
        <f t="shared" si="3"/>
        <v>0</v>
      </c>
      <c r="F32" s="36">
        <f>F29+F30</f>
        <v>0</v>
      </c>
      <c r="G32" s="36">
        <f>G29+G30</f>
        <v>2041000</v>
      </c>
      <c r="H32" s="3"/>
      <c r="M32" s="10" t="s">
        <v>69</v>
      </c>
      <c r="N32" s="10">
        <f>N30-H25</f>
        <v>-8000</v>
      </c>
      <c r="O32" s="10">
        <f>N32+TONTSEPT!O32</f>
        <v>-474500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100000</v>
      </c>
      <c r="O34" s="10">
        <f>N34+TONTSEPT!O34-200000</f>
        <v>600000</v>
      </c>
      <c r="P34" s="10" t="s">
        <v>70</v>
      </c>
    </row>
    <row r="35" spans="2:16" ht="18" x14ac:dyDescent="0.25">
      <c r="B35" s="10" t="s">
        <v>27</v>
      </c>
      <c r="C35" s="10">
        <f>Q25</f>
        <v>110000</v>
      </c>
      <c r="M35" s="10" t="s">
        <v>71</v>
      </c>
      <c r="N35" s="36">
        <f>SUMIFS(F6:F24,G6:G24,"ECHEC")</f>
        <v>785500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14000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659000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I30" activePane="bottomRight" state="frozen"/>
      <selection activeCell="N35" sqref="N35"/>
      <selection pane="topRight" activeCell="N35" sqref="N35"/>
      <selection pane="bottomLeft" activeCell="N35" sqref="N35"/>
      <selection pane="bottomRight" activeCell="O32" sqref="O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44150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0</v>
      </c>
      <c r="D6" s="8">
        <f t="shared" ref="D6:D23" si="1">IF(E6="ESPECES",0,0)</f>
        <v>0</v>
      </c>
      <c r="E6" s="7" t="s">
        <v>9</v>
      </c>
      <c r="F6" s="8">
        <f>TONTOCT!F6</f>
        <v>0</v>
      </c>
      <c r="G6" s="7"/>
      <c r="H6" s="8"/>
      <c r="I6" s="8"/>
      <c r="J6" s="7"/>
      <c r="K6" s="14"/>
      <c r="L6" s="8">
        <f>TONTOCT!H6+TONTOCT!I6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0</v>
      </c>
      <c r="D7" s="8">
        <f t="shared" si="1"/>
        <v>0</v>
      </c>
      <c r="E7" s="7" t="s">
        <v>9</v>
      </c>
      <c r="F7" s="8">
        <f>TONTOCT!F7</f>
        <v>0</v>
      </c>
      <c r="G7" s="7"/>
      <c r="H7" s="8"/>
      <c r="I7" s="8"/>
      <c r="J7" s="7"/>
      <c r="K7" s="14"/>
      <c r="L7" s="8">
        <f>TONTOCT!H7+TONTOCT!I7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0</v>
      </c>
      <c r="D8" s="8">
        <f t="shared" si="1"/>
        <v>0</v>
      </c>
      <c r="E8" s="7" t="s">
        <v>9</v>
      </c>
      <c r="F8" s="8">
        <f>TONTOCT!F8</f>
        <v>0</v>
      </c>
      <c r="G8" s="7"/>
      <c r="H8" s="8"/>
      <c r="I8" s="8"/>
      <c r="J8" s="7"/>
      <c r="K8" s="14"/>
      <c r="L8" s="8">
        <f>TONTOCT!H8+TONTOCT!I8</f>
        <v>206000</v>
      </c>
      <c r="M8" s="7"/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0</v>
      </c>
      <c r="D9" s="8">
        <f t="shared" si="1"/>
        <v>0</v>
      </c>
      <c r="E9" s="7" t="s">
        <v>9</v>
      </c>
      <c r="F9" s="8">
        <f>TONTOCT!F9</f>
        <v>0</v>
      </c>
      <c r="G9" s="7"/>
      <c r="H9" s="8"/>
      <c r="I9" s="8"/>
      <c r="J9" s="7"/>
      <c r="K9" s="14"/>
      <c r="L9" s="8">
        <f>TONTOCT!H9+TONTOCT!I9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0</v>
      </c>
      <c r="D10" s="8">
        <f t="shared" si="1"/>
        <v>0</v>
      </c>
      <c r="E10" s="7" t="s">
        <v>9</v>
      </c>
      <c r="F10" s="8">
        <f>TONTOCT!F10</f>
        <v>0</v>
      </c>
      <c r="G10" s="7"/>
      <c r="H10" s="8"/>
      <c r="I10" s="8"/>
      <c r="J10" s="7"/>
      <c r="K10" s="14"/>
      <c r="L10" s="8">
        <f>TONTOCT!H10+TONTOCT!I10</f>
        <v>161500</v>
      </c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0</v>
      </c>
      <c r="D11" s="8">
        <f t="shared" si="1"/>
        <v>0</v>
      </c>
      <c r="E11" s="7" t="s">
        <v>9</v>
      </c>
      <c r="F11" s="8">
        <f>TONTOCT!F11</f>
        <v>0</v>
      </c>
      <c r="G11" s="7"/>
      <c r="H11" s="8"/>
      <c r="I11" s="8"/>
      <c r="J11" s="7"/>
      <c r="K11" s="14"/>
      <c r="L11" s="8">
        <f>TONTOCT!H11+TONTOCT!I11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0</v>
      </c>
      <c r="D12" s="8">
        <f t="shared" si="1"/>
        <v>0</v>
      </c>
      <c r="E12" s="7" t="s">
        <v>9</v>
      </c>
      <c r="F12" s="8">
        <f>TONTOCT!F12</f>
        <v>0</v>
      </c>
      <c r="G12" s="7"/>
      <c r="H12" s="8"/>
      <c r="I12" s="8"/>
      <c r="J12" s="7"/>
      <c r="K12" s="14"/>
      <c r="L12" s="8">
        <f>TONTOCT!H12+TONTOCT!I12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0</v>
      </c>
      <c r="D13" s="8">
        <f t="shared" si="1"/>
        <v>0</v>
      </c>
      <c r="E13" s="7" t="s">
        <v>9</v>
      </c>
      <c r="F13" s="8">
        <f>TONTOCT!F13</f>
        <v>0</v>
      </c>
      <c r="G13" s="7"/>
      <c r="H13" s="8"/>
      <c r="I13" s="8"/>
      <c r="J13" s="7"/>
      <c r="K13" s="14"/>
      <c r="L13" s="8">
        <f>TONTOCT!H13+TONTOCT!I13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0</v>
      </c>
      <c r="D14" s="8">
        <f t="shared" si="1"/>
        <v>0</v>
      </c>
      <c r="E14" s="7" t="s">
        <v>9</v>
      </c>
      <c r="F14" s="8">
        <f>TONTOCT!F14</f>
        <v>0</v>
      </c>
      <c r="G14" s="7"/>
      <c r="H14" s="8"/>
      <c r="I14" s="8"/>
      <c r="J14" s="7"/>
      <c r="K14" s="14"/>
      <c r="L14" s="8">
        <f>TONTOCT!H14+TONTOCT!I14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f>TONTOCT!F15</f>
        <v>225500</v>
      </c>
      <c r="G15" s="7"/>
      <c r="H15" s="8"/>
      <c r="I15" s="8"/>
      <c r="J15" s="7"/>
      <c r="K15" s="14"/>
      <c r="L15" s="8">
        <f>TONTOCT!H15+TONTOCT!I15</f>
        <v>0</v>
      </c>
      <c r="M15" s="7"/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0</v>
      </c>
      <c r="D16" s="8">
        <f t="shared" si="1"/>
        <v>0</v>
      </c>
      <c r="E16" s="7" t="s">
        <v>9</v>
      </c>
      <c r="F16" s="8">
        <f>TONTOCT!F16</f>
        <v>0</v>
      </c>
      <c r="G16" s="7"/>
      <c r="H16" s="8"/>
      <c r="I16" s="8"/>
      <c r="J16" s="7"/>
      <c r="K16" s="14"/>
      <c r="L16" s="8">
        <f>TONTOCT!H16+TONTOCT!I16</f>
        <v>101000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0</v>
      </c>
      <c r="D17" s="8">
        <f t="shared" si="1"/>
        <v>0</v>
      </c>
      <c r="E17" s="7" t="s">
        <v>9</v>
      </c>
      <c r="F17" s="8">
        <f>TONTOCT!F17</f>
        <v>233000</v>
      </c>
      <c r="G17" s="7"/>
      <c r="H17" s="8"/>
      <c r="I17" s="8"/>
      <c r="J17" s="7"/>
      <c r="K17" s="14"/>
      <c r="L17" s="8">
        <f>TONTOCT!H17+TONTOCT!I17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0</v>
      </c>
      <c r="D18" s="8">
        <f t="shared" si="1"/>
        <v>0</v>
      </c>
      <c r="E18" s="7" t="s">
        <v>9</v>
      </c>
      <c r="F18" s="8">
        <f>TONTOCT!F18</f>
        <v>0</v>
      </c>
      <c r="G18" s="7"/>
      <c r="H18" s="8"/>
      <c r="I18" s="8"/>
      <c r="J18" s="7"/>
      <c r="K18" s="14"/>
      <c r="L18" s="8">
        <f>TONTOCT!H18+TONTOCT!I18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0</v>
      </c>
      <c r="D19" s="8">
        <f t="shared" si="1"/>
        <v>0</v>
      </c>
      <c r="E19" s="7" t="s">
        <v>9</v>
      </c>
      <c r="F19" s="8">
        <f>TONTOCT!F19</f>
        <v>224000</v>
      </c>
      <c r="G19" s="7"/>
      <c r="H19" s="8"/>
      <c r="I19" s="8"/>
      <c r="J19" s="7"/>
      <c r="K19" s="14"/>
      <c r="L19" s="8">
        <f>TONTOCT!H19+TONTOCT!I19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0</v>
      </c>
      <c r="D20" s="8">
        <f t="shared" si="1"/>
        <v>0</v>
      </c>
      <c r="E20" s="7" t="s">
        <v>9</v>
      </c>
      <c r="F20" s="8">
        <f>TONTOCT!F20</f>
        <v>0</v>
      </c>
      <c r="G20" s="7"/>
      <c r="H20" s="8"/>
      <c r="I20" s="8"/>
      <c r="J20" s="7"/>
      <c r="K20" s="14"/>
      <c r="L20" s="8">
        <f>TONTOCT!H20+TONTOCT!I20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0</v>
      </c>
      <c r="D21" s="8">
        <f t="shared" si="1"/>
        <v>0</v>
      </c>
      <c r="E21" s="7" t="s">
        <v>9</v>
      </c>
      <c r="F21" s="8">
        <f>TONTOCT!F21</f>
        <v>0</v>
      </c>
      <c r="G21" s="7"/>
      <c r="H21" s="8"/>
      <c r="I21" s="8"/>
      <c r="J21" s="7"/>
      <c r="K21" s="14"/>
      <c r="L21" s="8">
        <f>TONTOCT!H21+TONTOCT!I21</f>
        <v>204500</v>
      </c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0</v>
      </c>
      <c r="D22" s="8">
        <f t="shared" si="1"/>
        <v>0</v>
      </c>
      <c r="E22" s="7" t="s">
        <v>9</v>
      </c>
      <c r="F22" s="8">
        <f>TONTOCT!F22</f>
        <v>103000</v>
      </c>
      <c r="G22" s="7"/>
      <c r="H22" s="8"/>
      <c r="I22" s="8"/>
      <c r="J22" s="7"/>
      <c r="K22" s="14"/>
      <c r="L22" s="8">
        <f>TONTOCT!H22+TONTOCT!I22</f>
        <v>0</v>
      </c>
      <c r="M22" s="7"/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9</v>
      </c>
      <c r="F23" s="8">
        <f>TONTOCT!F23</f>
        <v>0</v>
      </c>
      <c r="G23" s="7"/>
      <c r="H23" s="8"/>
      <c r="I23" s="8"/>
      <c r="J23" s="7"/>
      <c r="K23" s="7"/>
      <c r="L23" s="8">
        <f>TONTOCT!H23+TONTOCT!I23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0</v>
      </c>
      <c r="D25" s="10">
        <f>SUM(D6:D24)</f>
        <v>0</v>
      </c>
      <c r="E25" s="10"/>
      <c r="F25" s="10">
        <f>SUM(F6:F24)</f>
        <v>785500</v>
      </c>
      <c r="G25" s="10"/>
      <c r="H25" s="10">
        <f>SUM(H6:H24)</f>
        <v>0</v>
      </c>
      <c r="I25" s="10">
        <f>SUM(I6:I24)</f>
        <v>0</v>
      </c>
      <c r="J25" s="10"/>
      <c r="K25" s="10"/>
      <c r="L25" s="10">
        <f>SUM(L6:L24)</f>
        <v>673000</v>
      </c>
      <c r="M25" s="10"/>
      <c r="N25" s="10"/>
      <c r="O25" s="10"/>
      <c r="P25" s="10">
        <f>SUM(P6:P24)</f>
        <v>0</v>
      </c>
      <c r="Q25" s="10">
        <f>SUM(Q6:Q24)</f>
        <v>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0</v>
      </c>
      <c r="D29" s="10">
        <f>SUMIFS(L6:L24,M6:M24,"ESPECES")+SUMIFS(F6:F24,G6:G24,"ESPECES")</f>
        <v>0</v>
      </c>
      <c r="E29" s="10">
        <f>SUMIFS(H6:H24,J6:J24,"ESPECES")</f>
        <v>0</v>
      </c>
      <c r="F29" s="10">
        <f>SUMIFS(P6:P24,N6:N24,"ESPECES")</f>
        <v>0</v>
      </c>
      <c r="G29" s="10">
        <f>C29+D29-E29-F29</f>
        <v>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0</v>
      </c>
      <c r="D30" s="10">
        <f>SUMIFS(L6:L24,M6:M24,"BANQUE")+SUMIFS(F6:F24,G6:G24,"BANQUE")</f>
        <v>0</v>
      </c>
      <c r="E30" s="10">
        <f>SUMIFS(H6:H24,J6:J24,"BANQUE")</f>
        <v>0</v>
      </c>
      <c r="F30" s="10">
        <f>SUMIFS(P6:P24,N6:N24,"BANQUE")</f>
        <v>0</v>
      </c>
      <c r="G30" s="10">
        <f>C30+D30-E30-F30</f>
        <v>0</v>
      </c>
      <c r="H30" s="3"/>
      <c r="M30" s="10" t="s">
        <v>53</v>
      </c>
      <c r="N30" s="10">
        <f>N27-N28</f>
        <v>-1500000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0</v>
      </c>
      <c r="D32" s="36">
        <f t="shared" ref="D32:E32" si="3">D29+D30</f>
        <v>0</v>
      </c>
      <c r="E32" s="36">
        <f t="shared" si="3"/>
        <v>0</v>
      </c>
      <c r="F32" s="36">
        <f>F29+F30</f>
        <v>0</v>
      </c>
      <c r="G32" s="36">
        <f>G29+G30</f>
        <v>0</v>
      </c>
      <c r="H32" s="3"/>
      <c r="M32" s="10" t="s">
        <v>69</v>
      </c>
      <c r="N32" s="10">
        <f>N30-H25</f>
        <v>-1500000</v>
      </c>
      <c r="O32" s="10">
        <f>N32+TONTOCT!O32</f>
        <v>-1974500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1800000</v>
      </c>
      <c r="O34" s="10">
        <f>N34+TONTOCT!O34</f>
        <v>2400000</v>
      </c>
      <c r="P34" s="10" t="s">
        <v>70</v>
      </c>
    </row>
    <row r="35" spans="2:16" ht="18" x14ac:dyDescent="0.25">
      <c r="B35" s="10" t="s">
        <v>27</v>
      </c>
      <c r="C35" s="10">
        <f>Q25</f>
        <v>0</v>
      </c>
      <c r="M35" s="10" t="s">
        <v>71</v>
      </c>
      <c r="N35" s="36">
        <f>SUMIFS(F6:F24,G6:G24,"ECHEC")</f>
        <v>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pane xSplit="2" ySplit="5" topLeftCell="H30" activePane="bottomRight" state="frozen"/>
      <selection activeCell="N35" sqref="N35"/>
      <selection pane="topRight" activeCell="N35" sqref="N35"/>
      <selection pane="bottomLeft" activeCell="N35" sqref="N35"/>
      <selection pane="bottomRight" activeCell="O32" sqref="O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2.5703125" bestFit="1" customWidth="1"/>
    <col min="5" max="5" width="17.5703125" style="3" bestFit="1" customWidth="1"/>
    <col min="6" max="6" width="15.42578125" style="3" customWidth="1"/>
    <col min="7" max="7" width="17.5703125" style="3" customWidth="1"/>
    <col min="8" max="8" width="18.28515625" customWidth="1"/>
    <col min="9" max="9" width="16.7109375" customWidth="1"/>
    <col min="10" max="10" width="17.5703125" style="3" bestFit="1" customWidth="1"/>
    <col min="11" max="11" width="15.42578125" style="3" customWidth="1"/>
    <col min="12" max="12" width="17.42578125" customWidth="1"/>
    <col min="13" max="13" width="17.5703125" style="3" bestFit="1" customWidth="1"/>
    <col min="14" max="14" width="17.5703125" style="3" customWidth="1"/>
    <col min="15" max="15" width="15.42578125" style="3" customWidth="1"/>
    <col min="16" max="16" width="17.5703125" style="3" customWidth="1"/>
    <col min="17" max="17" width="19" bestFit="1" customWidth="1"/>
    <col min="18" max="18" width="12.85546875" bestFit="1" customWidth="1"/>
  </cols>
  <sheetData>
    <row r="1" spans="1:19" x14ac:dyDescent="0.25">
      <c r="A1" s="1" t="s">
        <v>0</v>
      </c>
      <c r="B1" s="1" t="s">
        <v>1</v>
      </c>
    </row>
    <row r="2" spans="1:19" x14ac:dyDescent="0.25">
      <c r="A2" s="1" t="s">
        <v>2</v>
      </c>
      <c r="B2" s="1" t="s">
        <v>57</v>
      </c>
    </row>
    <row r="3" spans="1:19" x14ac:dyDescent="0.25">
      <c r="A3" s="1" t="s">
        <v>3</v>
      </c>
      <c r="B3" s="4">
        <v>100000</v>
      </c>
    </row>
    <row r="4" spans="1:19" ht="18" x14ac:dyDescent="0.25">
      <c r="B4" s="5"/>
      <c r="C4" s="32">
        <v>44185</v>
      </c>
      <c r="D4" s="33"/>
      <c r="E4" s="33"/>
      <c r="F4" s="33"/>
      <c r="G4" s="33"/>
      <c r="H4" s="33"/>
      <c r="I4" s="33"/>
      <c r="J4" s="33"/>
      <c r="K4" s="33"/>
      <c r="L4" s="33"/>
      <c r="M4" s="26"/>
      <c r="N4" s="26"/>
      <c r="O4" s="26"/>
      <c r="P4" s="26"/>
    </row>
    <row r="5" spans="1:19" ht="57.75" x14ac:dyDescent="0.25">
      <c r="A5" s="1" t="s">
        <v>4</v>
      </c>
      <c r="B5" s="1" t="s">
        <v>5</v>
      </c>
      <c r="C5" s="6" t="s">
        <v>6</v>
      </c>
      <c r="D5" s="1" t="s">
        <v>7</v>
      </c>
      <c r="E5" s="6" t="s">
        <v>23</v>
      </c>
      <c r="F5" s="6" t="s">
        <v>67</v>
      </c>
      <c r="G5" s="6" t="s">
        <v>29</v>
      </c>
      <c r="H5" s="6" t="s">
        <v>28</v>
      </c>
      <c r="I5" s="6" t="s">
        <v>21</v>
      </c>
      <c r="J5" s="24" t="s">
        <v>29</v>
      </c>
      <c r="K5" s="24" t="s">
        <v>55</v>
      </c>
      <c r="L5" s="24" t="s">
        <v>8</v>
      </c>
      <c r="M5" s="24" t="s">
        <v>22</v>
      </c>
      <c r="N5" s="6" t="s">
        <v>24</v>
      </c>
      <c r="O5" s="24" t="s">
        <v>55</v>
      </c>
      <c r="P5" s="6" t="s">
        <v>26</v>
      </c>
      <c r="Q5" s="4" t="s">
        <v>27</v>
      </c>
      <c r="R5" s="6" t="s">
        <v>30</v>
      </c>
      <c r="S5" s="6"/>
    </row>
    <row r="6" spans="1:19" x14ac:dyDescent="0.25">
      <c r="A6" s="1" t="s">
        <v>34</v>
      </c>
      <c r="B6" s="1" t="str">
        <f>VLOOKUP(A6,[1]LISTADHERENT!A$5:H$60,3,0)</f>
        <v>DJUOMBESSY ANTOINE</v>
      </c>
      <c r="C6" s="8">
        <f t="shared" ref="C6:C23" si="0">IF(E6="ECHEC",0,IF(E6="",0,100000))</f>
        <v>0</v>
      </c>
      <c r="D6" s="8">
        <f t="shared" ref="D6:D23" si="1">IF(E6="ESPECES",0,0)</f>
        <v>0</v>
      </c>
      <c r="E6" s="7" t="s">
        <v>9</v>
      </c>
      <c r="F6" s="8">
        <f>TONTNOV20!F6</f>
        <v>0</v>
      </c>
      <c r="G6" s="7"/>
      <c r="H6" s="8"/>
      <c r="I6" s="8"/>
      <c r="J6" s="7"/>
      <c r="K6" s="14"/>
      <c r="L6" s="8">
        <f>TONTNOV20!H6+TONTNOV20!I6</f>
        <v>0</v>
      </c>
      <c r="M6" s="7"/>
      <c r="N6" s="7"/>
      <c r="O6" s="14"/>
      <c r="P6" s="8">
        <f t="shared" ref="P6:P23" si="2">IF(Q6=0,0,($C$38-Q6))</f>
        <v>0</v>
      </c>
      <c r="Q6" s="8"/>
      <c r="R6" s="23"/>
      <c r="S6" s="8"/>
    </row>
    <row r="7" spans="1:19" x14ac:dyDescent="0.25">
      <c r="A7" s="1" t="s">
        <v>35</v>
      </c>
      <c r="B7" s="1" t="str">
        <f>VLOOKUP(A7,[1]LISTADHERENT!A$5:H$60,3,0)</f>
        <v>HOTCHO BENJAMIN</v>
      </c>
      <c r="C7" s="8">
        <f t="shared" si="0"/>
        <v>0</v>
      </c>
      <c r="D7" s="8">
        <f t="shared" si="1"/>
        <v>0</v>
      </c>
      <c r="E7" s="7" t="s">
        <v>9</v>
      </c>
      <c r="F7" s="8">
        <f>TONTNOV20!F7</f>
        <v>0</v>
      </c>
      <c r="G7" s="7"/>
      <c r="H7" s="8"/>
      <c r="I7" s="8"/>
      <c r="J7" s="7"/>
      <c r="K7" s="14"/>
      <c r="L7" s="8">
        <f>TONTNOV20!H7+TONTNOV20!I7</f>
        <v>0</v>
      </c>
      <c r="M7" s="7"/>
      <c r="N7" s="7"/>
      <c r="O7" s="14"/>
      <c r="P7" s="8">
        <f t="shared" si="2"/>
        <v>0</v>
      </c>
      <c r="Q7" s="8"/>
      <c r="R7" s="11"/>
    </row>
    <row r="8" spans="1:19" s="15" customFormat="1" x14ac:dyDescent="0.25">
      <c r="A8" s="1" t="s">
        <v>11</v>
      </c>
      <c r="B8" s="1" t="str">
        <f>VLOOKUP(A8,[1]LISTADHERENT!A$5:H$60,3,0)</f>
        <v>KOUATCHO MESSACK</v>
      </c>
      <c r="C8" s="8">
        <f t="shared" si="0"/>
        <v>0</v>
      </c>
      <c r="D8" s="8">
        <f t="shared" si="1"/>
        <v>0</v>
      </c>
      <c r="E8" s="7" t="s">
        <v>9</v>
      </c>
      <c r="F8" s="8">
        <f>TONTNOV20!F8</f>
        <v>0</v>
      </c>
      <c r="G8" s="7"/>
      <c r="H8" s="8"/>
      <c r="I8" s="8"/>
      <c r="J8" s="7"/>
      <c r="K8" s="14"/>
      <c r="L8" s="8">
        <f>TONTNOV20!H8+TONTNOV20!I8</f>
        <v>0</v>
      </c>
      <c r="M8" s="7"/>
      <c r="N8" s="7"/>
      <c r="O8" s="14"/>
      <c r="P8" s="8">
        <f t="shared" si="2"/>
        <v>0</v>
      </c>
      <c r="Q8" s="8"/>
      <c r="R8" s="23"/>
      <c r="S8" s="8"/>
    </row>
    <row r="9" spans="1:19" s="15" customFormat="1" x14ac:dyDescent="0.25">
      <c r="A9" s="1" t="s">
        <v>58</v>
      </c>
      <c r="B9" s="1" t="str">
        <f>VLOOKUP(A9,[1]LISTADHERENT!A$5:H$60,3,0)</f>
        <v>KOUAMOU MOISE</v>
      </c>
      <c r="C9" s="8">
        <f t="shared" si="0"/>
        <v>0</v>
      </c>
      <c r="D9" s="8">
        <f t="shared" si="1"/>
        <v>0</v>
      </c>
      <c r="E9" s="7" t="s">
        <v>9</v>
      </c>
      <c r="F9" s="8">
        <f>TONTNOV20!F9</f>
        <v>0</v>
      </c>
      <c r="G9" s="7"/>
      <c r="H9" s="8"/>
      <c r="I9" s="8"/>
      <c r="J9" s="7"/>
      <c r="K9" s="14"/>
      <c r="L9" s="8">
        <f>TONTNOV20!H9+TONTNOV20!I9</f>
        <v>0</v>
      </c>
      <c r="M9" s="7"/>
      <c r="N9" s="7"/>
      <c r="O9" s="14"/>
      <c r="P9" s="8">
        <f t="shared" si="2"/>
        <v>0</v>
      </c>
      <c r="Q9" s="8"/>
      <c r="R9" s="23"/>
      <c r="S9" s="8"/>
    </row>
    <row r="10" spans="1:19" x14ac:dyDescent="0.25">
      <c r="A10" s="1" t="s">
        <v>51</v>
      </c>
      <c r="B10" s="1" t="str">
        <f>VLOOKUP(A10,[1]LISTADHERENT!A$5:H$60,3,0)</f>
        <v>MBOGNING TUGMA GUY</v>
      </c>
      <c r="C10" s="8">
        <f t="shared" si="0"/>
        <v>0</v>
      </c>
      <c r="D10" s="8">
        <f t="shared" si="1"/>
        <v>0</v>
      </c>
      <c r="E10" s="7" t="s">
        <v>9</v>
      </c>
      <c r="F10" s="8">
        <f>TONTNOV20!F10</f>
        <v>0</v>
      </c>
      <c r="G10" s="7"/>
      <c r="H10" s="8"/>
      <c r="I10" s="8"/>
      <c r="J10" s="7"/>
      <c r="K10" s="14"/>
      <c r="L10" s="8">
        <f>TONTNOV20!H10+TONTNOV20!I10</f>
        <v>0</v>
      </c>
      <c r="M10" s="7"/>
      <c r="N10" s="7"/>
      <c r="O10" s="14"/>
      <c r="P10" s="8">
        <f t="shared" si="2"/>
        <v>0</v>
      </c>
      <c r="Q10" s="8"/>
      <c r="R10" s="11"/>
    </row>
    <row r="11" spans="1:19" x14ac:dyDescent="0.25">
      <c r="A11" s="1" t="s">
        <v>51</v>
      </c>
      <c r="B11" s="1" t="str">
        <f>VLOOKUP(A11,[1]LISTADHERENT!A$5:H$60,3,0)</f>
        <v>MBOGNING TUGMA GUY</v>
      </c>
      <c r="C11" s="8">
        <f t="shared" si="0"/>
        <v>0</v>
      </c>
      <c r="D11" s="8">
        <f t="shared" si="1"/>
        <v>0</v>
      </c>
      <c r="E11" s="7" t="s">
        <v>9</v>
      </c>
      <c r="F11" s="8">
        <f>TONTNOV20!F11</f>
        <v>0</v>
      </c>
      <c r="G11" s="7"/>
      <c r="H11" s="8"/>
      <c r="I11" s="8"/>
      <c r="J11" s="7"/>
      <c r="K11" s="14"/>
      <c r="L11" s="8">
        <f>TONTNOV20!H11+TONTNOV20!I11</f>
        <v>0</v>
      </c>
      <c r="M11" s="7"/>
      <c r="N11" s="7"/>
      <c r="O11" s="14"/>
      <c r="P11" s="8">
        <f t="shared" si="2"/>
        <v>0</v>
      </c>
      <c r="Q11" s="8"/>
      <c r="R11" s="11"/>
    </row>
    <row r="12" spans="1:19" x14ac:dyDescent="0.25">
      <c r="A12" s="1" t="s">
        <v>16</v>
      </c>
      <c r="B12" s="1" t="str">
        <f>VLOOKUP(A12,[1]LISTADHERENT!A$5:H$60,3,0)</f>
        <v>NANGUEN MARTIN</v>
      </c>
      <c r="C12" s="8">
        <f t="shared" si="0"/>
        <v>0</v>
      </c>
      <c r="D12" s="8">
        <f t="shared" si="1"/>
        <v>0</v>
      </c>
      <c r="E12" s="7" t="s">
        <v>9</v>
      </c>
      <c r="F12" s="8">
        <f>TONTNOV20!F12</f>
        <v>0</v>
      </c>
      <c r="G12" s="7"/>
      <c r="H12" s="8"/>
      <c r="I12" s="8"/>
      <c r="J12" s="7"/>
      <c r="K12" s="14"/>
      <c r="L12" s="8">
        <f>TONTNOV20!H12+TONTNOV20!I12</f>
        <v>0</v>
      </c>
      <c r="M12" s="7"/>
      <c r="N12" s="7"/>
      <c r="O12" s="14"/>
      <c r="P12" s="8">
        <f t="shared" si="2"/>
        <v>0</v>
      </c>
      <c r="Q12" s="8"/>
      <c r="R12" s="23"/>
      <c r="S12" s="8"/>
    </row>
    <row r="13" spans="1:19" x14ac:dyDescent="0.25">
      <c r="A13" s="1" t="s">
        <v>12</v>
      </c>
      <c r="B13" s="1" t="str">
        <f>VLOOKUP(A13,[1]LISTADHERENT!A$5:H$60,3,0)</f>
        <v>NDJOMO ETIENNE</v>
      </c>
      <c r="C13" s="8">
        <f t="shared" si="0"/>
        <v>0</v>
      </c>
      <c r="D13" s="8">
        <f t="shared" si="1"/>
        <v>0</v>
      </c>
      <c r="E13" s="7" t="s">
        <v>9</v>
      </c>
      <c r="F13" s="8">
        <f>TONTNOV20!F13</f>
        <v>0</v>
      </c>
      <c r="G13" s="7"/>
      <c r="H13" s="8"/>
      <c r="I13" s="8"/>
      <c r="J13" s="7"/>
      <c r="K13" s="14"/>
      <c r="L13" s="8">
        <f>TONTNOV20!H13+TONTNOV20!I13</f>
        <v>0</v>
      </c>
      <c r="M13" s="7"/>
      <c r="N13" s="7"/>
      <c r="O13" s="14"/>
      <c r="P13" s="8">
        <f t="shared" si="2"/>
        <v>0</v>
      </c>
      <c r="Q13" s="8"/>
      <c r="R13" s="11"/>
    </row>
    <row r="14" spans="1:19" x14ac:dyDescent="0.25">
      <c r="A14" s="1" t="s">
        <v>13</v>
      </c>
      <c r="B14" s="1" t="str">
        <f>VLOOKUP(A14,[1]LISTADHERENT!A$5:H$60,3,0)</f>
        <v>NGONDIEP CLAUDE</v>
      </c>
      <c r="C14" s="8">
        <f t="shared" si="0"/>
        <v>0</v>
      </c>
      <c r="D14" s="8">
        <f t="shared" si="1"/>
        <v>0</v>
      </c>
      <c r="E14" s="7" t="s">
        <v>9</v>
      </c>
      <c r="F14" s="8">
        <f>TONTNOV20!F14</f>
        <v>0</v>
      </c>
      <c r="G14" s="7"/>
      <c r="H14" s="8"/>
      <c r="I14" s="8"/>
      <c r="J14" s="7"/>
      <c r="K14" s="14"/>
      <c r="L14" s="8">
        <f>TONTNOV20!H14+TONTNOV20!I14</f>
        <v>0</v>
      </c>
      <c r="M14" s="7"/>
      <c r="N14" s="7"/>
      <c r="O14" s="14"/>
      <c r="P14" s="8">
        <f t="shared" si="2"/>
        <v>0</v>
      </c>
      <c r="Q14" s="8"/>
      <c r="R14" s="11"/>
    </row>
    <row r="15" spans="1:19" x14ac:dyDescent="0.25">
      <c r="A15" s="18" t="s">
        <v>52</v>
      </c>
      <c r="B15" s="1" t="str">
        <f>VLOOKUP(A15,[1]LISTADHERENT!A$5:H$60,3,0)</f>
        <v>NKEHE DAVID</v>
      </c>
      <c r="C15" s="8">
        <f t="shared" si="0"/>
        <v>0</v>
      </c>
      <c r="D15" s="16">
        <f t="shared" si="1"/>
        <v>0</v>
      </c>
      <c r="E15" s="7" t="s">
        <v>9</v>
      </c>
      <c r="F15" s="8">
        <f>TONTNOV20!F15</f>
        <v>225500</v>
      </c>
      <c r="G15" s="7"/>
      <c r="H15" s="8"/>
      <c r="I15" s="8"/>
      <c r="J15" s="7"/>
      <c r="K15" s="14"/>
      <c r="L15" s="8">
        <f>TONTNOV20!H15+TONTNOV20!I15</f>
        <v>0</v>
      </c>
      <c r="M15" s="7"/>
      <c r="N15" s="17"/>
      <c r="O15" s="14"/>
      <c r="P15" s="16">
        <f t="shared" si="2"/>
        <v>0</v>
      </c>
      <c r="Q15" s="16"/>
      <c r="R15" s="19"/>
      <c r="S15" s="20"/>
    </row>
    <row r="16" spans="1:19" x14ac:dyDescent="0.25">
      <c r="A16" s="1" t="s">
        <v>14</v>
      </c>
      <c r="B16" s="1" t="str">
        <f>VLOOKUP(A16,[1]LISTADHERENT!A$5:H$60,3,0)</f>
        <v>NKEPSEU DIEUDONNE</v>
      </c>
      <c r="C16" s="8">
        <f t="shared" si="0"/>
        <v>0</v>
      </c>
      <c r="D16" s="8">
        <f t="shared" si="1"/>
        <v>0</v>
      </c>
      <c r="E16" s="7" t="s">
        <v>9</v>
      </c>
      <c r="F16" s="8">
        <f>TONTNOV20!F16</f>
        <v>0</v>
      </c>
      <c r="G16" s="7"/>
      <c r="H16" s="8"/>
      <c r="I16" s="8"/>
      <c r="J16" s="7"/>
      <c r="K16" s="14"/>
      <c r="L16" s="8">
        <f>TONTNOV20!H16+TONTNOV20!I16</f>
        <v>0</v>
      </c>
      <c r="M16" s="7"/>
      <c r="N16" s="7"/>
      <c r="O16" s="14"/>
      <c r="P16" s="8">
        <f t="shared" si="2"/>
        <v>0</v>
      </c>
      <c r="Q16" s="8"/>
      <c r="R16" s="23"/>
      <c r="S16" s="8"/>
    </row>
    <row r="17" spans="1:19" x14ac:dyDescent="0.25">
      <c r="A17" s="1" t="s">
        <v>15</v>
      </c>
      <c r="B17" s="1" t="str">
        <f>VLOOKUP(A17,[1]LISTADHERENT!A$5:H$60,3,0)</f>
        <v>SIMO FONGANG ERIC</v>
      </c>
      <c r="C17" s="8">
        <f t="shared" si="0"/>
        <v>0</v>
      </c>
      <c r="D17" s="8">
        <f t="shared" si="1"/>
        <v>0</v>
      </c>
      <c r="E17" s="7" t="s">
        <v>9</v>
      </c>
      <c r="F17" s="8">
        <f>TONTNOV20!F17</f>
        <v>233000</v>
      </c>
      <c r="G17" s="7"/>
      <c r="H17" s="8"/>
      <c r="I17" s="8"/>
      <c r="J17" s="7"/>
      <c r="K17" s="14"/>
      <c r="L17" s="8">
        <f>TONTNOV20!H17+TONTNOV20!I17</f>
        <v>0</v>
      </c>
      <c r="M17" s="7"/>
      <c r="N17" s="7"/>
      <c r="O17" s="14"/>
      <c r="P17" s="8">
        <f t="shared" si="2"/>
        <v>0</v>
      </c>
      <c r="Q17" s="8"/>
      <c r="R17" s="11"/>
    </row>
    <row r="18" spans="1:19" x14ac:dyDescent="0.25">
      <c r="A18" s="1" t="s">
        <v>15</v>
      </c>
      <c r="B18" s="1" t="str">
        <f>VLOOKUP(A18,[1]LISTADHERENT!A$5:H$60,3,0)</f>
        <v>SIMO FONGANG ERIC</v>
      </c>
      <c r="C18" s="8">
        <f t="shared" si="0"/>
        <v>0</v>
      </c>
      <c r="D18" s="8">
        <f t="shared" si="1"/>
        <v>0</v>
      </c>
      <c r="E18" s="7" t="s">
        <v>9</v>
      </c>
      <c r="F18" s="8">
        <f>TONTNOV20!F18</f>
        <v>0</v>
      </c>
      <c r="G18" s="7"/>
      <c r="H18" s="8"/>
      <c r="I18" s="8"/>
      <c r="J18" s="7"/>
      <c r="K18" s="14"/>
      <c r="L18" s="8">
        <f>TONTNOV20!H18+TONTNOV20!I18</f>
        <v>0</v>
      </c>
      <c r="M18" s="7"/>
      <c r="N18" s="7"/>
      <c r="O18" s="14"/>
      <c r="P18" s="8">
        <f t="shared" si="2"/>
        <v>0</v>
      </c>
      <c r="Q18" s="8"/>
      <c r="R18" s="11"/>
    </row>
    <row r="19" spans="1:19" x14ac:dyDescent="0.25">
      <c r="A19" s="1" t="s">
        <v>36</v>
      </c>
      <c r="B19" s="1" t="str">
        <f>VLOOKUP(A19,[1]LISTADHERENT!A$5:H$60,3,0)</f>
        <v>SIME MATHIEU</v>
      </c>
      <c r="C19" s="8">
        <f t="shared" si="0"/>
        <v>0</v>
      </c>
      <c r="D19" s="8">
        <f t="shared" si="1"/>
        <v>0</v>
      </c>
      <c r="E19" s="7" t="s">
        <v>9</v>
      </c>
      <c r="F19" s="8">
        <f>TONTNOV20!F19</f>
        <v>224000</v>
      </c>
      <c r="G19" s="7"/>
      <c r="H19" s="8"/>
      <c r="I19" s="8"/>
      <c r="J19" s="7"/>
      <c r="K19" s="14"/>
      <c r="L19" s="8">
        <f>TONTNOV20!H19+TONTNOV20!I19</f>
        <v>0</v>
      </c>
      <c r="M19" s="7"/>
      <c r="N19" s="7"/>
      <c r="O19" s="14"/>
      <c r="P19" s="8">
        <f t="shared" si="2"/>
        <v>0</v>
      </c>
      <c r="Q19" s="8"/>
      <c r="R19" s="11"/>
    </row>
    <row r="20" spans="1:19" s="15" customFormat="1" x14ac:dyDescent="0.25">
      <c r="A20" s="1" t="s">
        <v>36</v>
      </c>
      <c r="B20" s="1" t="str">
        <f>VLOOKUP(A20,[1]LISTADHERENT!A$5:H$60,3,0)</f>
        <v>SIME MATHIEU</v>
      </c>
      <c r="C20" s="8">
        <f t="shared" si="0"/>
        <v>0</v>
      </c>
      <c r="D20" s="8">
        <f t="shared" si="1"/>
        <v>0</v>
      </c>
      <c r="E20" s="7" t="s">
        <v>9</v>
      </c>
      <c r="F20" s="8">
        <f>TONTNOV20!F20</f>
        <v>0</v>
      </c>
      <c r="G20" s="7"/>
      <c r="H20" s="8"/>
      <c r="I20" s="8"/>
      <c r="J20" s="7"/>
      <c r="K20" s="14"/>
      <c r="L20" s="8">
        <f>TONTNOV20!H20+TONTNOV20!I20</f>
        <v>0</v>
      </c>
      <c r="M20" s="7"/>
      <c r="N20" s="7"/>
      <c r="O20" s="14"/>
      <c r="P20" s="8">
        <f t="shared" si="2"/>
        <v>0</v>
      </c>
      <c r="Q20" s="8"/>
      <c r="R20" s="11"/>
      <c r="S20"/>
    </row>
    <row r="21" spans="1:19" x14ac:dyDescent="0.25">
      <c r="A21" s="1" t="s">
        <v>37</v>
      </c>
      <c r="B21" s="1" t="str">
        <f>VLOOKUP(A21,[1]LISTADHERENT!A$5:H$60,3,0)</f>
        <v>TCHOUAMOU MATHIEU</v>
      </c>
      <c r="C21" s="8">
        <f t="shared" si="0"/>
        <v>0</v>
      </c>
      <c r="D21" s="8">
        <f t="shared" si="1"/>
        <v>0</v>
      </c>
      <c r="E21" s="7" t="s">
        <v>9</v>
      </c>
      <c r="F21" s="8">
        <f>TONTNOV20!F21</f>
        <v>0</v>
      </c>
      <c r="G21" s="7"/>
      <c r="H21" s="8"/>
      <c r="I21" s="8"/>
      <c r="J21" s="7"/>
      <c r="K21" s="14"/>
      <c r="L21" s="8">
        <f>TONTNOV20!H21+TONTNOV20!I21</f>
        <v>0</v>
      </c>
      <c r="M21" s="7"/>
      <c r="N21" s="7"/>
      <c r="O21" s="14"/>
      <c r="P21" s="8">
        <f t="shared" si="2"/>
        <v>0</v>
      </c>
      <c r="Q21" s="8"/>
      <c r="R21" s="11"/>
    </row>
    <row r="22" spans="1:19" x14ac:dyDescent="0.25">
      <c r="A22" s="1" t="s">
        <v>38</v>
      </c>
      <c r="B22" s="1" t="str">
        <f>VLOOKUP(A22,[1]LISTADHERENT!A$5:H$60,3,0)</f>
        <v>TIEYAM ERNEST</v>
      </c>
      <c r="C22" s="8">
        <f t="shared" si="0"/>
        <v>0</v>
      </c>
      <c r="D22" s="8">
        <f t="shared" si="1"/>
        <v>0</v>
      </c>
      <c r="E22" s="7" t="s">
        <v>9</v>
      </c>
      <c r="F22" s="8">
        <f>TONTNOV20!F22</f>
        <v>103000</v>
      </c>
      <c r="G22" s="7"/>
      <c r="H22" s="8"/>
      <c r="I22" s="8"/>
      <c r="J22" s="7"/>
      <c r="K22" s="14"/>
      <c r="L22" s="8">
        <f>TONTNOV20!H22+TONTNOV20!I22</f>
        <v>0</v>
      </c>
      <c r="M22" s="7"/>
      <c r="N22" s="7"/>
      <c r="O22" s="14"/>
      <c r="P22" s="8">
        <f t="shared" si="2"/>
        <v>0</v>
      </c>
      <c r="Q22" s="8"/>
      <c r="R22" s="11"/>
    </row>
    <row r="23" spans="1:19" x14ac:dyDescent="0.25">
      <c r="A23" s="1" t="s">
        <v>39</v>
      </c>
      <c r="B23" s="1" t="str">
        <f>VLOOKUP(A23,[1]LISTADHERENT!A$5:H$60,3,0)</f>
        <v>YOUMBI EMMANUEL</v>
      </c>
      <c r="C23" s="8">
        <f t="shared" si="0"/>
        <v>0</v>
      </c>
      <c r="D23" s="8">
        <f t="shared" si="1"/>
        <v>0</v>
      </c>
      <c r="E23" s="7" t="s">
        <v>9</v>
      </c>
      <c r="F23" s="8">
        <f>TONTNOV20!F23</f>
        <v>0</v>
      </c>
      <c r="G23" s="7"/>
      <c r="H23" s="8"/>
      <c r="I23" s="8"/>
      <c r="J23" s="7"/>
      <c r="K23" s="7"/>
      <c r="L23" s="8">
        <f>TONTNOV20!H23+TONTNOV20!I23</f>
        <v>0</v>
      </c>
      <c r="M23" s="7"/>
      <c r="N23" s="7"/>
      <c r="O23" s="14"/>
      <c r="P23" s="8">
        <f t="shared" si="2"/>
        <v>0</v>
      </c>
      <c r="Q23" s="8"/>
      <c r="R23" s="11"/>
    </row>
    <row r="24" spans="1:19" x14ac:dyDescent="0.25">
      <c r="N24" s="7"/>
    </row>
    <row r="25" spans="1:19" ht="18" x14ac:dyDescent="0.25">
      <c r="A25" s="9" t="s">
        <v>17</v>
      </c>
      <c r="B25" s="9"/>
      <c r="C25" s="10">
        <f>SUM(C6:C24)</f>
        <v>0</v>
      </c>
      <c r="D25" s="10">
        <f>SUM(D6:D24)</f>
        <v>0</v>
      </c>
      <c r="E25" s="10"/>
      <c r="F25" s="10">
        <f>SUM(F6:F24)</f>
        <v>785500</v>
      </c>
      <c r="G25" s="10"/>
      <c r="H25" s="10">
        <f>SUM(H6:H24)</f>
        <v>0</v>
      </c>
      <c r="I25" s="10">
        <f>SUM(I6:I24)</f>
        <v>0</v>
      </c>
      <c r="J25" s="10"/>
      <c r="K25" s="10"/>
      <c r="L25" s="10">
        <f>SUM(L6:L24)</f>
        <v>0</v>
      </c>
      <c r="M25" s="10"/>
      <c r="N25" s="10"/>
      <c r="O25" s="10"/>
      <c r="P25" s="10">
        <f>SUM(P6:P24)</f>
        <v>0</v>
      </c>
      <c r="Q25" s="10">
        <f>SUM(Q6:Q24)</f>
        <v>0</v>
      </c>
    </row>
    <row r="26" spans="1:19" x14ac:dyDescent="0.25">
      <c r="C26" s="2" t="s">
        <v>19</v>
      </c>
    </row>
    <row r="27" spans="1:19" ht="43.5" x14ac:dyDescent="0.25">
      <c r="C27" s="34" t="s">
        <v>20</v>
      </c>
      <c r="D27" s="6" t="s">
        <v>25</v>
      </c>
      <c r="E27" s="6" t="s">
        <v>28</v>
      </c>
      <c r="F27" s="6" t="s">
        <v>31</v>
      </c>
      <c r="G27" s="6" t="s">
        <v>32</v>
      </c>
      <c r="H27" s="3"/>
      <c r="L27" s="10"/>
      <c r="M27" s="10" t="s">
        <v>56</v>
      </c>
      <c r="N27" s="10">
        <f>C32+D32+Q25</f>
        <v>0</v>
      </c>
      <c r="O27" s="10"/>
      <c r="P27" s="10"/>
    </row>
    <row r="28" spans="1:19" ht="18" x14ac:dyDescent="0.25">
      <c r="C28" s="35"/>
      <c r="F28"/>
      <c r="G28"/>
      <c r="H28" s="3"/>
      <c r="L28" s="10"/>
      <c r="M28" s="10" t="s">
        <v>68</v>
      </c>
      <c r="N28" s="10">
        <f>IF(N27&gt;=2800000,1500000*2,1500000)</f>
        <v>1500000</v>
      </c>
      <c r="O28" s="10"/>
      <c r="P28" s="27"/>
    </row>
    <row r="29" spans="1:19" ht="18" x14ac:dyDescent="0.25">
      <c r="B29" s="10" t="s">
        <v>18</v>
      </c>
      <c r="C29" s="36">
        <f>SUMIFS(C6:C24,E6:E24,"ESPECES")</f>
        <v>0</v>
      </c>
      <c r="D29" s="10">
        <f>SUMIFS(L6:L24,M6:M24,"ESPECES")+SUMIFS(F6:F24,G6:G24,"ESPECES")</f>
        <v>0</v>
      </c>
      <c r="E29" s="10">
        <f>SUMIFS(H6:H24,J6:J24,"ESPECES")</f>
        <v>0</v>
      </c>
      <c r="F29" s="10">
        <f>SUMIFS(P6:P24,N6:N24,"ESPECES")</f>
        <v>0</v>
      </c>
      <c r="G29" s="10">
        <f>C29+D29-E29-F29</f>
        <v>0</v>
      </c>
      <c r="H29" s="3"/>
      <c r="M29" s="2"/>
      <c r="N29"/>
      <c r="O29"/>
      <c r="P29" s="10"/>
    </row>
    <row r="30" spans="1:19" ht="18" x14ac:dyDescent="0.25">
      <c r="B30" s="10" t="s">
        <v>10</v>
      </c>
      <c r="C30" s="36">
        <f>SUMIFS(C6:C24,E6:E24,"BANQUE")</f>
        <v>0</v>
      </c>
      <c r="D30" s="10">
        <f>SUMIFS(L6:L24,M6:M24,"BANQUE")+SUMIFS(F6:F24,G6:G24,"BANQUE")</f>
        <v>0</v>
      </c>
      <c r="E30" s="10">
        <f>SUMIFS(H6:H24,J6:J24,"BANQUE")</f>
        <v>0</v>
      </c>
      <c r="F30" s="10">
        <f>SUMIFS(P6:P24,N6:N24,"BANQUE")</f>
        <v>0</v>
      </c>
      <c r="G30" s="10">
        <f>C30+D30-E30-F30</f>
        <v>0</v>
      </c>
      <c r="H30" s="3"/>
      <c r="M30" s="10" t="s">
        <v>53</v>
      </c>
      <c r="N30" s="10">
        <f>N27-N28</f>
        <v>-1500000</v>
      </c>
      <c r="O30" s="10"/>
    </row>
    <row r="31" spans="1:19" ht="18" x14ac:dyDescent="0.25">
      <c r="B31" s="10"/>
      <c r="C31" s="36"/>
      <c r="E31"/>
      <c r="F31" s="10"/>
      <c r="G31" s="10"/>
      <c r="H31" s="3"/>
      <c r="M31" s="2"/>
      <c r="N31"/>
      <c r="O31"/>
    </row>
    <row r="32" spans="1:19" ht="18" x14ac:dyDescent="0.25">
      <c r="B32" s="10" t="s">
        <v>17</v>
      </c>
      <c r="C32" s="36">
        <f>C29+C30</f>
        <v>0</v>
      </c>
      <c r="D32" s="36">
        <f t="shared" ref="D32:E32" si="3">D29+D30</f>
        <v>0</v>
      </c>
      <c r="E32" s="36">
        <f t="shared" si="3"/>
        <v>0</v>
      </c>
      <c r="F32" s="36">
        <f>F29+F30</f>
        <v>0</v>
      </c>
      <c r="G32" s="36">
        <f>G29+G30</f>
        <v>0</v>
      </c>
      <c r="H32" s="3"/>
      <c r="M32" s="10" t="s">
        <v>69</v>
      </c>
      <c r="N32" s="10">
        <f>N30-H25</f>
        <v>-1500000</v>
      </c>
      <c r="O32" s="10">
        <f>N32+TONTNOV20!O32</f>
        <v>-3474500</v>
      </c>
      <c r="P32" s="10" t="s">
        <v>70</v>
      </c>
    </row>
    <row r="33" spans="2:16" ht="18" x14ac:dyDescent="0.25">
      <c r="B33" s="10"/>
      <c r="C33" s="10"/>
      <c r="D33" s="10"/>
      <c r="M33" s="2"/>
      <c r="N33"/>
    </row>
    <row r="34" spans="2:16" ht="18" x14ac:dyDescent="0.25">
      <c r="B34" s="10"/>
      <c r="C34" s="10"/>
      <c r="D34" s="10"/>
      <c r="M34" s="10" t="s">
        <v>62</v>
      </c>
      <c r="N34" s="10">
        <f>COUNTIFS(E6:E24,"ECHEC")*100000</f>
        <v>1800000</v>
      </c>
      <c r="O34" s="10">
        <f>N34+TONTNOV20!O34</f>
        <v>4200000</v>
      </c>
      <c r="P34" s="10" t="s">
        <v>70</v>
      </c>
    </row>
    <row r="35" spans="2:16" ht="18" x14ac:dyDescent="0.25">
      <c r="B35" s="10" t="s">
        <v>27</v>
      </c>
      <c r="C35" s="10">
        <f>Q25</f>
        <v>0</v>
      </c>
      <c r="M35" s="10" t="s">
        <v>71</v>
      </c>
      <c r="N35" s="36">
        <f>SUMIFS(F6:F24,G6:G24,"ECHEC")</f>
        <v>0</v>
      </c>
      <c r="O35" s="10"/>
      <c r="P35" s="10" t="s">
        <v>70</v>
      </c>
    </row>
    <row r="36" spans="2:16" ht="18" x14ac:dyDescent="0.25">
      <c r="B36" s="10" t="s">
        <v>21</v>
      </c>
      <c r="C36" s="10">
        <f>+I25</f>
        <v>0</v>
      </c>
    </row>
    <row r="38" spans="2:16" ht="18" x14ac:dyDescent="0.25">
      <c r="B38" s="6" t="s">
        <v>6</v>
      </c>
      <c r="C38" s="10">
        <v>1500000</v>
      </c>
    </row>
    <row r="39" spans="2:16" ht="29.25" x14ac:dyDescent="0.25">
      <c r="B39" s="12" t="s">
        <v>33</v>
      </c>
      <c r="C39" s="13">
        <f>H25</f>
        <v>0</v>
      </c>
    </row>
  </sheetData>
  <autoFilter ref="A5:S23">
    <sortState ref="A6:P32">
      <sortCondition ref="B6:B32"/>
    </sortState>
  </autoFilter>
  <mergeCells count="1">
    <mergeCell ref="C4:L4"/>
  </mergeCells>
  <dataValidations count="1">
    <dataValidation type="list" allowBlank="1" showInputMessage="1" showErrorMessage="1" sqref="N18:N24 M18:M23 M6:N17 J6:K23 E6:E23 G6:G23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xSplit="2" ySplit="5" topLeftCell="C6" activePane="bottomRight" state="frozen"/>
      <selection activeCell="H8" sqref="H8"/>
      <selection pane="topRight" activeCell="H8" sqref="H8"/>
      <selection pane="bottomLeft" activeCell="H8" sqref="H8"/>
      <selection pane="bottomRight" activeCell="M22" sqref="M2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7" style="2" customWidth="1"/>
    <col min="4" max="4" width="18.28515625" customWidth="1"/>
    <col min="5" max="5" width="16.7109375" customWidth="1"/>
    <col min="6" max="6" width="17.42578125" customWidth="1"/>
    <col min="7" max="7" width="17.5703125" style="3" customWidth="1"/>
    <col min="8" max="8" width="19" bestFit="1" customWidth="1"/>
    <col min="9" max="9" width="14" bestFit="1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D1" s="4" t="s">
        <v>60</v>
      </c>
    </row>
    <row r="2" spans="1:10" x14ac:dyDescent="0.25">
      <c r="A2" s="1" t="s">
        <v>2</v>
      </c>
      <c r="B2" s="1" t="s">
        <v>57</v>
      </c>
    </row>
    <row r="3" spans="1:10" x14ac:dyDescent="0.25">
      <c r="A3" s="1" t="s">
        <v>3</v>
      </c>
      <c r="B3" s="4">
        <v>100000</v>
      </c>
    </row>
    <row r="4" spans="1:10" ht="18" x14ac:dyDescent="0.25">
      <c r="B4" s="5"/>
      <c r="C4" s="32">
        <v>44185</v>
      </c>
      <c r="D4" s="33"/>
      <c r="E4" s="33"/>
      <c r="F4" s="33"/>
      <c r="G4" s="26"/>
    </row>
    <row r="5" spans="1:10" ht="43.5" x14ac:dyDescent="0.25">
      <c r="A5" s="1" t="s">
        <v>4</v>
      </c>
      <c r="B5" s="1" t="s">
        <v>5</v>
      </c>
      <c r="C5" s="6" t="s">
        <v>6</v>
      </c>
      <c r="D5" s="6" t="s">
        <v>28</v>
      </c>
      <c r="E5" s="6" t="s">
        <v>21</v>
      </c>
      <c r="F5" s="24" t="s">
        <v>8</v>
      </c>
      <c r="G5" s="6" t="s">
        <v>26</v>
      </c>
      <c r="H5" s="4" t="s">
        <v>27</v>
      </c>
      <c r="I5" s="6" t="s">
        <v>30</v>
      </c>
      <c r="J5" s="6" t="s">
        <v>66</v>
      </c>
    </row>
    <row r="6" spans="1:10" x14ac:dyDescent="0.25">
      <c r="A6" s="1" t="s">
        <v>34</v>
      </c>
      <c r="B6" s="1" t="str">
        <f>VLOOKUP(A6,[1]LISTADHERENT!A$5:H$60,3,0)</f>
        <v>DJUOMBESSY ANTOINE</v>
      </c>
      <c r="C6" s="8">
        <f>TONTNOV!C6+TONTDEC!C6+TONTJANV!C6+TONTFEV!C6+TONTMARS!C6+TONTAVRIL!C6+TONTMAI!C6+TONTJUIN!C6+TONTJUIL!C6+TONTAOUT!C6+TONTSEPT!C6+TONTOCT!C6+TONTNOV20!C6+TONTDEC20!C6</f>
        <v>1200000</v>
      </c>
      <c r="D6" s="8">
        <f>TONTNOV!H6+TONTDEC!H6+TONTJANV!H6+TONTFEV!H6+TONTMARS!H6+TONTAVRIL!H6+TONTMAI!H6+TONTJUIN!H6+TONTJUIL!H6+TONTAOUT!H6+TONTSEPT!H6+TONTOCT!H6+TONTNOV20!H6+TONTDEC20!H6</f>
        <v>0</v>
      </c>
      <c r="E6" s="8">
        <f>TONTNOV!I6+TONTDEC!I6+TONTJANV!I6+TONTFEV!I6+TONTMARS!I6+TONTAVRIL!I6+TONTMAI!I6+TONTJUIN!I6+TONTJUIL!I6+TONTAOUT!I6+TONTSEPT!I6+TONTOCT!I6+TONTNOV20!I6+TONTDEC20!I6</f>
        <v>0</v>
      </c>
      <c r="F6" s="8">
        <f>TONTNOV!L6+TONTDEC!L6+TONTJANV!L6+TONTFEV!L6+TONTMARS!L6+TONTAVRIL!L6+TONTMAI!L6+TONTJUIN!L6+TONTJUIL!L6+TONTAOUT!L6+TONTSEPT!L6+TONTOCT!L6+TONTNOV20!L6+TONTDEC20!L6</f>
        <v>0</v>
      </c>
      <c r="G6" s="8">
        <f>TONTNOV!P6+TONTDEC!P6+TONTJANV!P6+TONTFEV!P6+TONTMARS!P6+TONTAVRIL!P6+TONTMAI!P6+TONTJUIN!P6+TONTJUIL!P6+TONTAOUT!P6+TONTSEPT!P6+TONTOCT!P6+TONTNOV20!P6+TONTDEC20!P6</f>
        <v>0</v>
      </c>
      <c r="H6" s="8">
        <f>TONTNOV!Q6+TONTDEC!Q6+TONTJANV!Q6+TONTFEV!Q6+TONTMARS!Q6+TONTAVRIL!Q6+TONTMAI!Q6+TONTJUIN!Q6+TONTJUIL!Q6+TONTAOUT!Q6+TONTSEPT!Q6+TONTOCT!Q6+TONTNOV20!Q6+TONTDEC20!Q6</f>
        <v>0</v>
      </c>
      <c r="I6" s="23"/>
      <c r="J6" s="8">
        <f>IF(G6=0,0,(H6-100000))</f>
        <v>0</v>
      </c>
    </row>
    <row r="7" spans="1:10" x14ac:dyDescent="0.25">
      <c r="A7" s="1" t="s">
        <v>35</v>
      </c>
      <c r="B7" s="1" t="str">
        <f>VLOOKUP(A7,[1]LISTADHERENT!A$5:H$60,3,0)</f>
        <v>HOTCHO BENJAMIN</v>
      </c>
      <c r="C7" s="8">
        <f>TONTNOV!C7+TONTDEC!C7+TONTJANV!C7+TONTFEV!C7+TONTMARS!C7+TONTAVRIL!C7+TONTMAI!C7+TONTJUIN!C7+TONTJUIL!C7+TONTAOUT!C7+TONTSEPT!C7+TONTOCT!C7+TONTNOV20!C7+TONTDEC20!C7</f>
        <v>1200000</v>
      </c>
      <c r="D7" s="8">
        <f>TONTNOV!H7+TONTDEC!H7+TONTJANV!H7+TONTFEV!H7+TONTMARS!H7+TONTAVRIL!H7+TONTMAI!H7+TONTJUIN!H7+TONTJUIL!H7+TONTAOUT!H7+TONTSEPT!H7+TONTOCT!H7+TONTNOV20!H7+TONTDEC20!H7</f>
        <v>0</v>
      </c>
      <c r="E7" s="8">
        <f>TONTNOV!I7+TONTDEC!I7+TONTJANV!I7+TONTFEV!I7+TONTMARS!I7+TONTAVRIL!I7+TONTMAI!I7+TONTJUIN!I7+TONTJUIL!I7+TONTAOUT!I7+TONTSEPT!I7+TONTOCT!I7+TONTNOV20!I7+TONTDEC20!I7</f>
        <v>0</v>
      </c>
      <c r="F7" s="8">
        <f>TONTNOV!L7+TONTDEC!L7+TONTJANV!L7+TONTFEV!L7+TONTMARS!L7+TONTAVRIL!L7+TONTMAI!L7+TONTJUIN!L7+TONTJUIL!L7+TONTAOUT!L7+TONTSEPT!L7+TONTOCT!L7+TONTNOV20!L7+TONTDEC20!L7</f>
        <v>0</v>
      </c>
      <c r="G7" s="8">
        <f>TONTNOV!P7+TONTDEC!P7+TONTJANV!P7+TONTFEV!P7+TONTMARS!P7+TONTAVRIL!P7+TONTMAI!P7+TONTJUIN!P7+TONTJUIL!P7+TONTAOUT!P7+TONTSEPT!P7+TONTOCT!P7+TONTNOV20!P7+TONTDEC20!P7</f>
        <v>1400000</v>
      </c>
      <c r="H7" s="8">
        <f>TONTNOV!Q7+TONTDEC!Q7+TONTJANV!Q7+TONTFEV!Q7+TONTMARS!Q7+TONTAVRIL!Q7+TONTMAI!Q7+TONTJUIN!Q7+TONTJUIL!Q7+TONTAOUT!Q7+TONTSEPT!Q7+TONTOCT!Q7+TONTNOV20!Q7+TONTDEC20!Q7</f>
        <v>100000</v>
      </c>
      <c r="I7" s="23">
        <v>43940</v>
      </c>
      <c r="J7" s="8">
        <f t="shared" ref="J7:J23" si="0">IF(G7=0,0,(H7-100000))</f>
        <v>0</v>
      </c>
    </row>
    <row r="8" spans="1:10" s="15" customFormat="1" x14ac:dyDescent="0.25">
      <c r="A8" s="1" t="s">
        <v>11</v>
      </c>
      <c r="B8" s="1" t="str">
        <f>VLOOKUP(A8,[1]LISTADHERENT!A$5:H$60,3,0)</f>
        <v>KOUATCHO MESSACK</v>
      </c>
      <c r="C8" s="8">
        <f>TONTNOV!C8+TONTDEC!C8+TONTJANV!C8+TONTFEV!C8+TONTMARS!C8+TONTAVRIL!C8+TONTMAI!C8+TONTJUIN!C8+TONTJUIL!C8+TONTAOUT!C8+TONTSEPT!C8+TONTOCT!C8+TONTNOV20!C8+TONTDEC20!C8</f>
        <v>1200000</v>
      </c>
      <c r="D8" s="8">
        <f>TONTNOV!H8+TONTDEC!H8+TONTJANV!H8+TONTFEV!H8+TONTMARS!H8+TONTAVRIL!H8+TONTMAI!H8+TONTJUIN!H8+TONTJUIL!H8+TONTAOUT!H8+TONTSEPT!H8+TONTOCT!H8+TONTNOV20!H8+TONTDEC20!H8</f>
        <v>1584000</v>
      </c>
      <c r="E8" s="8">
        <f>TONTNOV!I8+TONTDEC!I8+TONTJANV!I8+TONTFEV!I8+TONTMARS!I8+TONTAVRIL!I8+TONTMAI!I8+TONTJUIN!I8+TONTJUIL!I8+TONTAOUT!I8+TONTSEPT!I8+TONTOCT!I8+TONTNOV20!I8+TONTDEC20!I8</f>
        <v>44500</v>
      </c>
      <c r="F8" s="8">
        <f>TONTNOV!L8+TONTDEC!L8+TONTJANV!L8+TONTFEV!L8+TONTMARS!L8+TONTAVRIL!L8+TONTMAI!L8+TONTJUIN!L8+TONTJUIL!L8+TONTAOUT!L8+TONTSEPT!L8+TONTOCT!L8+TONTNOV20!L8+TONTDEC20!L8</f>
        <v>1628500</v>
      </c>
      <c r="G8" s="8">
        <f>TONTNOV!P8+TONTDEC!P8+TONTJANV!P8+TONTFEV!P8+TONTMARS!P8+TONTAVRIL!P8+TONTMAI!P8+TONTJUIN!P8+TONTJUIL!P8+TONTAOUT!P8+TONTSEPT!P8+TONTOCT!P8+TONTNOV20!P8+TONTDEC20!P8</f>
        <v>1250000</v>
      </c>
      <c r="H8" s="8">
        <f>TONTNOV!Q8+TONTDEC!Q8+TONTJANV!Q8+TONTFEV!Q8+TONTMARS!Q8+TONTAVRIL!Q8+TONTMAI!Q8+TONTJUIN!Q8+TONTJUIL!Q8+TONTAOUT!Q8+TONTSEPT!Q8+TONTOCT!Q8+TONTNOV20!Q8+TONTDEC20!Q8</f>
        <v>250000</v>
      </c>
      <c r="I8" s="23">
        <v>43819</v>
      </c>
      <c r="J8" s="8">
        <f t="shared" si="0"/>
        <v>150000</v>
      </c>
    </row>
    <row r="9" spans="1:10" s="15" customFormat="1" x14ac:dyDescent="0.25">
      <c r="A9" s="1" t="s">
        <v>58</v>
      </c>
      <c r="B9" s="1" t="str">
        <f>VLOOKUP(A9,[1]LISTADHERENT!A$5:H$60,3,0)</f>
        <v>KOUAMOU MOISE</v>
      </c>
      <c r="C9" s="8">
        <f>TONTNOV!C9+TONTDEC!C9+TONTJANV!C9+TONTFEV!C9+TONTMARS!C9+TONTAVRIL!C9+TONTMAI!C9+TONTJUIN!C9+TONTJUIL!C9+TONTAOUT!C9+TONTSEPT!C9+TONTOCT!C9+TONTNOV20!C9+TONTDEC20!C9</f>
        <v>1200000</v>
      </c>
      <c r="D9" s="8">
        <f>TONTNOV!H9+TONTDEC!H9+TONTJANV!H9+TONTFEV!H9+TONTMARS!H9+TONTAVRIL!H9+TONTMAI!H9+TONTJUIN!H9+TONTJUIL!H9+TONTAOUT!H9+TONTSEPT!H9+TONTOCT!H9+TONTNOV20!H9+TONTDEC20!H9</f>
        <v>0</v>
      </c>
      <c r="E9" s="8">
        <f>TONTNOV!I9+TONTDEC!I9+TONTJANV!I9+TONTFEV!I9+TONTMARS!I9+TONTAVRIL!I9+TONTMAI!I9+TONTJUIN!I9+TONTJUIL!I9+TONTAOUT!I9+TONTSEPT!I9+TONTOCT!I9+TONTNOV20!I9+TONTDEC20!I9</f>
        <v>0</v>
      </c>
      <c r="F9" s="8">
        <f>TONTNOV!L9+TONTDEC!L9+TONTJANV!L9+TONTFEV!L9+TONTMARS!L9+TONTAVRIL!L9+TONTMAI!L9+TONTJUIN!L9+TONTJUIL!L9+TONTAOUT!L9+TONTSEPT!L9+TONTOCT!L9+TONTNOV20!L9+TONTDEC20!L9</f>
        <v>0</v>
      </c>
      <c r="G9" s="8">
        <f>TONTNOV!P9+TONTDEC!P9+TONTJANV!P9+TONTFEV!P9+TONTMARS!P9+TONTAVRIL!P9+TONTMAI!P9+TONTJUIN!P9+TONTJUIL!P9+TONTAOUT!P9+TONTSEPT!P9+TONTOCT!P9+TONTNOV20!P9+TONTDEC20!P9</f>
        <v>1365000</v>
      </c>
      <c r="H9" s="8">
        <f>TONTNOV!Q9+TONTDEC!Q9+TONTJANV!Q9+TONTFEV!Q9+TONTMARS!Q9+TONTAVRIL!Q9+TONTMAI!Q9+TONTJUIN!Q9+TONTJUIL!Q9+TONTAOUT!Q9+TONTSEPT!Q9+TONTOCT!Q9+TONTNOV20!Q9+TONTDEC20!Q9</f>
        <v>135000</v>
      </c>
      <c r="I9" s="23">
        <v>43912</v>
      </c>
      <c r="J9" s="8">
        <f t="shared" si="0"/>
        <v>35000</v>
      </c>
    </row>
    <row r="10" spans="1:10" x14ac:dyDescent="0.25">
      <c r="A10" s="1" t="s">
        <v>51</v>
      </c>
      <c r="B10" s="1" t="str">
        <f>VLOOKUP(A10,[1]LISTADHERENT!A$5:H$60,3,0)</f>
        <v>MBOGNING TUGMA GUY</v>
      </c>
      <c r="C10" s="8">
        <f>TONTNOV!C10+TONTDEC!C10+TONTJANV!C10+TONTFEV!C10+TONTMARS!C10+TONTAVRIL!C10+TONTMAI!C10+TONTJUIN!C10+TONTJUIL!C10+TONTAOUT!C10+TONTSEPT!C10+TONTOCT!C10+TONTNOV20!C10+TONTDEC20!C10</f>
        <v>1200000</v>
      </c>
      <c r="D10" s="8">
        <f>TONTNOV!H10+TONTDEC!H10+TONTJANV!H10+TONTFEV!H10+TONTMARS!H10+TONTAVRIL!H10+TONTMAI!H10+TONTJUIN!H10+TONTJUIL!H10+TONTAOUT!H10+TONTSEPT!H10+TONTOCT!H10+TONTNOV20!H10+TONTDEC20!H10</f>
        <v>759000</v>
      </c>
      <c r="E10" s="8">
        <f>TONTNOV!I10+TONTDEC!I10+TONTJANV!I10+TONTFEV!I10+TONTMARS!I10+TONTAVRIL!I10+TONTMAI!I10+TONTJUIN!I10+TONTJUIL!I10+TONTAOUT!I10+TONTSEPT!I10+TONTOCT!I10+TONTNOV20!I10+TONTDEC20!I10</f>
        <v>17500</v>
      </c>
      <c r="F10" s="8">
        <f>TONTNOV!L10+TONTDEC!L10+TONTJANV!L10+TONTFEV!L10+TONTMARS!L10+TONTAVRIL!L10+TONTMAI!L10+TONTJUIN!L10+TONTJUIL!L10+TONTAOUT!L10+TONTSEPT!L10+TONTOCT!L10+TONTNOV20!L10+TONTDEC20!L10</f>
        <v>776500</v>
      </c>
      <c r="G10" s="8">
        <f>TONTNOV!P10+TONTDEC!P10+TONTJANV!P10+TONTFEV!P10+TONTMARS!P10+TONTAVRIL!P10+TONTMAI!P10+TONTJUIN!P10+TONTJUIL!P10+TONTAOUT!P10+TONTSEPT!P10+TONTOCT!P10+TONTNOV20!P10+TONTDEC20!P10</f>
        <v>1270000</v>
      </c>
      <c r="H10" s="8">
        <f>TONTNOV!Q10+TONTDEC!Q10+TONTJANV!Q10+TONTFEV!Q10+TONTMARS!Q10+TONTAVRIL!Q10+TONTMAI!Q10+TONTJUIN!Q10+TONTJUIL!Q10+TONTAOUT!Q10+TONTSEPT!Q10+TONTOCT!Q10+TONTNOV20!Q10+TONTDEC20!Q10</f>
        <v>230000</v>
      </c>
      <c r="I10" s="23">
        <v>43849</v>
      </c>
      <c r="J10" s="8">
        <f t="shared" si="0"/>
        <v>130000</v>
      </c>
    </row>
    <row r="11" spans="1:10" x14ac:dyDescent="0.25">
      <c r="A11" s="1" t="s">
        <v>51</v>
      </c>
      <c r="B11" s="1" t="str">
        <f>VLOOKUP(A11,[1]LISTADHERENT!A$5:H$60,3,0)</f>
        <v>MBOGNING TUGMA GUY</v>
      </c>
      <c r="C11" s="8">
        <f>TONTNOV!C11+TONTDEC!C11+TONTJANV!C11+TONTFEV!C11+TONTMARS!C11+TONTAVRIL!C11+TONTMAI!C11+TONTJUIN!C11+TONTJUIL!C11+TONTAOUT!C11+TONTSEPT!C11+TONTOCT!C11+TONTNOV20!C11+TONTDEC20!C11</f>
        <v>1200000</v>
      </c>
      <c r="D11" s="8">
        <f>TONTNOV!H11+TONTDEC!H11+TONTJANV!H11+TONTFEV!H11+TONTMARS!H11+TONTAVRIL!H11+TONTMAI!H11+TONTJUIN!H11+TONTJUIL!H11+TONTAOUT!H11+TONTSEPT!H11+TONTOCT!H11+TONTNOV20!H11+TONTDEC20!H11</f>
        <v>0</v>
      </c>
      <c r="E11" s="8">
        <f>TONTNOV!I11+TONTDEC!I11+TONTJANV!I11+TONTFEV!I11+TONTMARS!I11+TONTAVRIL!I11+TONTMAI!I11+TONTJUIN!I11+TONTJUIL!I11+TONTAOUT!I11+TONTSEPT!I11+TONTOCT!I11+TONTNOV20!I11+TONTDEC20!I11</f>
        <v>0</v>
      </c>
      <c r="F11" s="8">
        <f>TONTNOV!L11+TONTDEC!L11+TONTJANV!L11+TONTFEV!L11+TONTMARS!L11+TONTAVRIL!L11+TONTMAI!L11+TONTJUIN!L11+TONTJUIL!L11+TONTAOUT!L11+TONTSEPT!L11+TONTOCT!L11+TONTNOV20!L11+TONTDEC20!L11</f>
        <v>0</v>
      </c>
      <c r="G11" s="8">
        <f>TONTNOV!P11+TONTDEC!P11+TONTJANV!P11+TONTFEV!P11+TONTMARS!P11+TONTAVRIL!P11+TONTMAI!P11+TONTJUIN!P11+TONTJUIL!P11+TONTAOUT!P11+TONTSEPT!P11+TONTOCT!P11+TONTNOV20!P11+TONTDEC20!P11</f>
        <v>1255000</v>
      </c>
      <c r="H11" s="8">
        <f>TONTNOV!Q11+TONTDEC!Q11+TONTJANV!Q11+TONTFEV!Q11+TONTMARS!Q11+TONTAVRIL!Q11+TONTMAI!Q11+TONTJUIN!Q11+TONTJUIL!Q11+TONTAOUT!Q11+TONTSEPT!Q11+TONTOCT!Q11+TONTNOV20!Q11+TONTDEC20!Q11</f>
        <v>245000</v>
      </c>
      <c r="I11" s="23">
        <v>44031</v>
      </c>
      <c r="J11" s="8">
        <f t="shared" si="0"/>
        <v>145000</v>
      </c>
    </row>
    <row r="12" spans="1:10" x14ac:dyDescent="0.25">
      <c r="A12" s="1" t="s">
        <v>16</v>
      </c>
      <c r="B12" s="1" t="str">
        <f>VLOOKUP(A12,[1]LISTADHERENT!A$5:H$60,3,0)</f>
        <v>NANGUEN MARTIN</v>
      </c>
      <c r="C12" s="8">
        <f>TONTNOV!C12+TONTDEC!C12+TONTJANV!C12+TONTFEV!C12+TONTMARS!C12+TONTAVRIL!C12+TONTMAI!C12+TONTJUIN!C12+TONTJUIL!C12+TONTAOUT!C12+TONTSEPT!C12+TONTOCT!C12+TONTNOV20!C12+TONTDEC20!C12</f>
        <v>1200000</v>
      </c>
      <c r="D12" s="8">
        <f>TONTNOV!H12+TONTDEC!H12+TONTJANV!H12+TONTFEV!H12+TONTMARS!H12+TONTAVRIL!H12+TONTMAI!H12+TONTJUIN!H12+TONTJUIL!H12+TONTAOUT!H12+TONTSEPT!H12+TONTOCT!H12+TONTNOV20!H12+TONTDEC20!H12</f>
        <v>0</v>
      </c>
      <c r="E12" s="8">
        <f>TONTNOV!I12+TONTDEC!I12+TONTJANV!I12+TONTFEV!I12+TONTMARS!I12+TONTAVRIL!I12+TONTMAI!I12+TONTJUIN!I12+TONTJUIL!I12+TONTAOUT!I12+TONTSEPT!I12+TONTOCT!I12+TONTNOV20!I12+TONTDEC20!I12</f>
        <v>0</v>
      </c>
      <c r="F12" s="8">
        <f>TONTNOV!L12+TONTDEC!L12+TONTJANV!L12+TONTFEV!L12+TONTMARS!L12+TONTAVRIL!L12+TONTMAI!L12+TONTJUIN!L12+TONTJUIL!L12+TONTAOUT!L12+TONTSEPT!L12+TONTOCT!L12+TONTNOV20!L12+TONTDEC20!L12</f>
        <v>0</v>
      </c>
      <c r="G12" s="8">
        <f>TONTNOV!P12+TONTDEC!P12+TONTJANV!P12+TONTFEV!P12+TONTMARS!P12+TONTAVRIL!P12+TONTMAI!P12+TONTJUIN!P12+TONTJUIL!P12+TONTAOUT!P12+TONTSEPT!P12+TONTOCT!P12+TONTNOV20!P12+TONTDEC20!P12</f>
        <v>1390000</v>
      </c>
      <c r="H12" s="8">
        <f>TONTNOV!Q12+TONTDEC!Q12+TONTJANV!Q12+TONTFEV!Q12+TONTMARS!Q12+TONTAVRIL!Q12+TONTMAI!Q12+TONTJUIN!Q12+TONTJUIL!Q12+TONTAOUT!Q12+TONTSEPT!Q12+TONTOCT!Q12+TONTNOV20!Q12+TONTDEC20!Q12</f>
        <v>110000</v>
      </c>
      <c r="I12" s="23">
        <v>44122</v>
      </c>
      <c r="J12" s="8">
        <f t="shared" si="0"/>
        <v>10000</v>
      </c>
    </row>
    <row r="13" spans="1:10" x14ac:dyDescent="0.25">
      <c r="A13" s="1" t="s">
        <v>12</v>
      </c>
      <c r="B13" s="1" t="str">
        <f>VLOOKUP(A13,[1]LISTADHERENT!A$5:H$60,3,0)</f>
        <v>NDJOMO ETIENNE</v>
      </c>
      <c r="C13" s="8">
        <f>TONTNOV!C13+TONTDEC!C13+TONTJANV!C13+TONTFEV!C13+TONTMARS!C13+TONTAVRIL!C13+TONTMAI!C13+TONTJUIN!C13+TONTJUIL!C13+TONTAOUT!C13+TONTSEPT!C13+TONTOCT!C13+TONTNOV20!C13+TONTDEC20!C13</f>
        <v>1200000</v>
      </c>
      <c r="D13" s="8">
        <f>TONTNOV!H13+TONTDEC!H13+TONTJANV!H13+TONTFEV!H13+TONTMARS!H13+TONTAVRIL!H13+TONTMAI!H13+TONTJUIN!H13+TONTJUIL!H13+TONTAOUT!H13+TONTSEPT!H13+TONTOCT!H13+TONTNOV20!H13+TONTDEC20!H13</f>
        <v>526000</v>
      </c>
      <c r="E13" s="8">
        <f>TONTNOV!I13+TONTDEC!I13+TONTJANV!I13+TONTFEV!I13+TONTMARS!I13+TONTAVRIL!I13+TONTMAI!I13+TONTJUIN!I13+TONTJUIL!I13+TONTAOUT!I13+TONTSEPT!I13+TONTOCT!I13+TONTNOV20!I13+TONTDEC20!I13</f>
        <v>7500</v>
      </c>
      <c r="F13" s="8">
        <f>TONTNOV!L13+TONTDEC!L13+TONTJANV!L13+TONTFEV!L13+TONTMARS!L13+TONTAVRIL!L13+TONTMAI!L13+TONTJUIN!L13+TONTJUIL!L13+TONTAOUT!L13+TONTSEPT!L13+TONTOCT!L13+TONTNOV20!L13+TONTDEC20!L13</f>
        <v>533500</v>
      </c>
      <c r="G13" s="8">
        <f>TONTNOV!P13+TONTDEC!P13+TONTJANV!P13+TONTFEV!P13+TONTMARS!P13+TONTAVRIL!P13+TONTMAI!P13+TONTJUIN!P13+TONTJUIL!P13+TONTAOUT!P13+TONTSEPT!P13+TONTOCT!P13+TONTNOV20!P13+TONTDEC20!P13</f>
        <v>1400000</v>
      </c>
      <c r="H13" s="8">
        <f>TONTNOV!Q13+TONTDEC!Q13+TONTJANV!Q13+TONTFEV!Q13+TONTMARS!Q13+TONTAVRIL!Q13+TONTMAI!Q13+TONTJUIN!Q13+TONTJUIL!Q13+TONTAOUT!Q13+TONTSEPT!Q13+TONTOCT!Q13+TONTNOV20!Q13+TONTDEC20!Q13</f>
        <v>100000</v>
      </c>
      <c r="I13" s="23">
        <v>43940</v>
      </c>
      <c r="J13" s="8">
        <f t="shared" si="0"/>
        <v>0</v>
      </c>
    </row>
    <row r="14" spans="1:10" x14ac:dyDescent="0.25">
      <c r="A14" s="1" t="s">
        <v>13</v>
      </c>
      <c r="B14" s="1" t="str">
        <f>VLOOKUP(A14,[1]LISTADHERENT!A$5:H$60,3,0)</f>
        <v>NGONDIEP CLAUDE</v>
      </c>
      <c r="C14" s="8">
        <f>TONTNOV!C14+TONTDEC!C14+TONTJANV!C14+TONTFEV!C14+TONTMARS!C14+TONTAVRIL!C14+TONTMAI!C14+TONTJUIN!C14+TONTJUIL!C14+TONTAOUT!C14+TONTSEPT!C14+TONTOCT!C14+TONTNOV20!C14+TONTDEC20!C14</f>
        <v>1200000</v>
      </c>
      <c r="D14" s="8">
        <f>TONTNOV!H14+TONTDEC!H14+TONTJANV!H14+TONTFEV!H14+TONTMARS!H14+TONTAVRIL!H14+TONTMAI!H14+TONTJUIN!H14+TONTJUIL!H14+TONTAOUT!H14+TONTSEPT!H14+TONTOCT!H14+TONTNOV20!H14+TONTDEC20!H14</f>
        <v>99500</v>
      </c>
      <c r="E14" s="8">
        <f>TONTNOV!I14+TONTDEC!I14+TONTJANV!I14+TONTFEV!I14+TONTMARS!I14+TONTAVRIL!I14+TONTMAI!I14+TONTJUIN!I14+TONTJUIL!I14+TONTAOUT!I14+TONTSEPT!I14+TONTOCT!I14+TONTNOV20!I14+TONTDEC20!I14</f>
        <v>4000</v>
      </c>
      <c r="F14" s="8">
        <f>TONTNOV!L14+TONTDEC!L14+TONTJANV!L14+TONTFEV!L14+TONTMARS!L14+TONTAVRIL!L14+TONTMAI!L14+TONTJUIN!L14+TONTJUIL!L14+TONTAOUT!L14+TONTSEPT!L14+TONTOCT!L14+TONTNOV20!L14+TONTDEC20!L14</f>
        <v>103500</v>
      </c>
      <c r="G14" s="8">
        <f>TONTNOV!P14+TONTDEC!P14+TONTJANV!P14+TONTFEV!P14+TONTMARS!P14+TONTAVRIL!P14+TONTMAI!P14+TONTJUIN!P14+TONTJUIL!P14+TONTAOUT!P14+TONTSEPT!P14+TONTOCT!P14+TONTNOV20!P14+TONTDEC20!P14</f>
        <v>1370000</v>
      </c>
      <c r="H14" s="8">
        <f>TONTNOV!Q14+TONTDEC!Q14+TONTJANV!Q14+TONTFEV!Q14+TONTMARS!Q14+TONTAVRIL!Q14+TONTMAI!Q14+TONTJUIN!Q14+TONTJUIL!Q14+TONTAOUT!Q14+TONTSEPT!Q14+TONTOCT!Q14+TONTNOV20!Q14+TONTDEC20!Q14</f>
        <v>130000</v>
      </c>
      <c r="I14" s="23">
        <v>43968</v>
      </c>
      <c r="J14" s="8">
        <f t="shared" si="0"/>
        <v>30000</v>
      </c>
    </row>
    <row r="15" spans="1:10" x14ac:dyDescent="0.25">
      <c r="A15" s="18" t="s">
        <v>52</v>
      </c>
      <c r="B15" s="1" t="str">
        <f>VLOOKUP(A15,[1]LISTADHERENT!A$5:H$60,3,0)</f>
        <v>NKEHE DAVID</v>
      </c>
      <c r="C15" s="8">
        <f>TONTNOV!C15+TONTDEC!C15+TONTJANV!C15+TONTFEV!C15+TONTMARS!C15+TONTAVRIL!C15+TONTMAI!C15+TONTJUIN!C15+TONTJUIL!C15+TONTAOUT!C15+TONTSEPT!C15+TONTOCT!C15+TONTNOV20!C15+TONTDEC20!C15</f>
        <v>700000</v>
      </c>
      <c r="D15" s="8">
        <f>TONTNOV!H15+TONTDEC!H15+TONTJANV!H15+TONTFEV!H15+TONTMARS!H15+TONTAVRIL!H15+TONTMAI!H15+TONTJUIN!H15+TONTJUIL!H15+TONTAOUT!H15+TONTSEPT!H15+TONTOCT!H15+TONTNOV20!H15+TONTDEC20!H15</f>
        <v>531000</v>
      </c>
      <c r="E15" s="8">
        <f>TONTNOV!I15+TONTDEC!I15+TONTJANV!I15+TONTFEV!I15+TONTMARS!I15+TONTAVRIL!I15+TONTMAI!I15+TONTJUIN!I15+TONTJUIL!I15+TONTAOUT!I15+TONTSEPT!I15+TONTOCT!I15+TONTNOV20!I15+TONTDEC20!I15</f>
        <v>18000</v>
      </c>
      <c r="F15" s="8">
        <f>TONTNOV!L15+TONTDEC!L15+TONTJANV!L15+TONTFEV!L15+TONTMARS!L15+TONTAVRIL!L15+TONTMAI!L15+TONTJUIN!L15+TONTJUIL!L15+TONTAOUT!L15+TONTSEPT!L15+TONTOCT!L15+TONTNOV20!L15+TONTDEC20!L15</f>
        <v>549000</v>
      </c>
      <c r="G15" s="8">
        <f>TONTNOV!P15+TONTDEC!P15+TONTJANV!P15+TONTFEV!P15+TONTMARS!P15+TONTAVRIL!P15+TONTMAI!P15+TONTJUIN!P15+TONTJUIL!P15+TONTAOUT!P15+TONTSEPT!P15+TONTOCT!P15+TONTNOV20!P15+TONTDEC20!P15</f>
        <v>1350000</v>
      </c>
      <c r="H15" s="8">
        <f>TONTNOV!Q15+TONTDEC!Q15+TONTJANV!Q15+TONTFEV!Q15+TONTMARS!Q15+TONTAVRIL!Q15+TONTMAI!Q15+TONTJUIN!Q15+TONTJUIL!Q15+TONTAOUT!Q15+TONTSEPT!Q15+TONTOCT!Q15+TONTNOV20!Q15+TONTDEC20!Q15</f>
        <v>150000</v>
      </c>
      <c r="I15" s="23">
        <v>43793</v>
      </c>
      <c r="J15" s="8">
        <f t="shared" si="0"/>
        <v>50000</v>
      </c>
    </row>
    <row r="16" spans="1:10" x14ac:dyDescent="0.25">
      <c r="A16" s="1" t="s">
        <v>14</v>
      </c>
      <c r="B16" s="1" t="str">
        <f>VLOOKUP(A16,[1]LISTADHERENT!A$5:H$60,3,0)</f>
        <v>NKEPSEU DIEUDONNE</v>
      </c>
      <c r="C16" s="8">
        <f>TONTNOV!C16+TONTDEC!C16+TONTJANV!C16+TONTFEV!C16+TONTMARS!C16+TONTAVRIL!C16+TONTMAI!C16+TONTJUIN!C16+TONTJUIL!C16+TONTAOUT!C16+TONTSEPT!C16+TONTOCT!C16+TONTNOV20!C16+TONTDEC20!C16</f>
        <v>1200000</v>
      </c>
      <c r="D16" s="8">
        <f>TONTNOV!H16+TONTDEC!H16+TONTJANV!H16+TONTFEV!H16+TONTMARS!H16+TONTAVRIL!H16+TONTMAI!H16+TONTJUIN!H16+TONTJUIL!H16+TONTAOUT!H16+TONTSEPT!H16+TONTOCT!H16+TONTNOV20!H16+TONTDEC20!H16</f>
        <v>400000</v>
      </c>
      <c r="E16" s="8">
        <f>TONTNOV!I16+TONTDEC!I16+TONTJANV!I16+TONTFEV!I16+TONTMARS!I16+TONTAVRIL!I16+TONTMAI!I16+TONTJUIN!I16+TONTJUIL!I16+TONTAOUT!I16+TONTSEPT!I16+TONTOCT!I16+TONTNOV20!I16+TONTDEC20!I16</f>
        <v>6000</v>
      </c>
      <c r="F16" s="8">
        <f>TONTNOV!L16+TONTDEC!L16+TONTJANV!L16+TONTFEV!L16+TONTMARS!L16+TONTAVRIL!L16+TONTMAI!L16+TONTJUIN!L16+TONTJUIL!L16+TONTAOUT!L16+TONTSEPT!L16+TONTOCT!L16+TONTNOV20!L16+TONTDEC20!L16</f>
        <v>406000</v>
      </c>
      <c r="G16" s="8">
        <f>TONTNOV!P16+TONTDEC!P16+TONTJANV!P16+TONTFEV!P16+TONTMARS!P16+TONTAVRIL!P16+TONTMAI!P16+TONTJUIN!P16+TONTJUIL!P16+TONTAOUT!P16+TONTSEPT!P16+TONTOCT!P16+TONTNOV20!P16+TONTDEC20!P16</f>
        <v>1400000</v>
      </c>
      <c r="H16" s="8">
        <f>TONTNOV!Q16+TONTDEC!Q16+TONTJANV!Q16+TONTFEV!Q16+TONTMARS!Q16+TONTAVRIL!Q16+TONTMAI!Q16+TONTJUIN!Q16+TONTJUIL!Q16+TONTAOUT!Q16+TONTSEPT!Q16+TONTOCT!Q16+TONTNOV20!Q16+TONTDEC20!Q16</f>
        <v>100000</v>
      </c>
      <c r="I16" s="23">
        <v>43877</v>
      </c>
      <c r="J16" s="8">
        <f t="shared" si="0"/>
        <v>0</v>
      </c>
    </row>
    <row r="17" spans="1:10" x14ac:dyDescent="0.25">
      <c r="A17" s="1" t="s">
        <v>15</v>
      </c>
      <c r="B17" s="1" t="str">
        <f>VLOOKUP(A17,[1]LISTADHERENT!A$5:H$60,3,0)</f>
        <v>SIMO FONGANG ERIC</v>
      </c>
      <c r="C17" s="8">
        <f>TONTNOV!C17+TONTDEC!C17+TONTJANV!C17+TONTFEV!C17+TONTMARS!C17+TONTAVRIL!C17+TONTMAI!C17+TONTJUIN!C17+TONTJUIL!C17+TONTAOUT!C17+TONTSEPT!C17+TONTOCT!C17+TONTNOV20!C17+TONTDEC20!C17</f>
        <v>1200000</v>
      </c>
      <c r="D17" s="8">
        <f>TONTNOV!H17+TONTDEC!H17+TONTJANV!H17+TONTFEV!H17+TONTMARS!H17+TONTAVRIL!H17+TONTMAI!H17+TONTJUIN!H17+TONTJUIL!H17+TONTAOUT!H17+TONTSEPT!H17+TONTOCT!H17+TONTNOV20!H17+TONTDEC20!H17</f>
        <v>400000</v>
      </c>
      <c r="E17" s="8">
        <f>TONTNOV!I17+TONTDEC!I17+TONTJANV!I17+TONTFEV!I17+TONTMARS!I17+TONTAVRIL!I17+TONTMAI!I17+TONTJUIN!I17+TONTJUIL!I17+TONTAOUT!I17+TONTSEPT!I17+TONTOCT!I17+TONTNOV20!I17+TONTDEC20!I17</f>
        <v>13500</v>
      </c>
      <c r="F17" s="8">
        <f>TONTNOV!L17+TONTDEC!L17+TONTJANV!L17+TONTFEV!L17+TONTMARS!L17+TONTAVRIL!L17+TONTMAI!L17+TONTJUIN!L17+TONTJUIL!L17+TONTAOUT!L17+TONTSEPT!L17+TONTOCT!L17+TONTNOV20!L17+TONTDEC20!L17</f>
        <v>413500</v>
      </c>
      <c r="G17" s="8">
        <f>TONTNOV!P17+TONTDEC!P17+TONTJANV!P17+TONTFEV!P17+TONTMARS!P17+TONTAVRIL!P17+TONTMAI!P17+TONTJUIN!P17+TONTJUIL!P17+TONTAOUT!P17+TONTSEPT!P17+TONTOCT!P17+TONTNOV20!P17+TONTDEC20!P17</f>
        <v>1255000</v>
      </c>
      <c r="H17" s="8">
        <f>TONTNOV!Q17+TONTDEC!Q17+TONTJANV!Q17+TONTFEV!Q17+TONTMARS!Q17+TONTAVRIL!Q17+TONTMAI!Q17+TONTJUIN!Q17+TONTJUIL!Q17+TONTAOUT!Q17+TONTSEPT!Q17+TONTOCT!Q17+TONTNOV20!Q17+TONTDEC20!Q17</f>
        <v>245000</v>
      </c>
      <c r="I17" s="23">
        <v>43819</v>
      </c>
      <c r="J17" s="8">
        <f t="shared" si="0"/>
        <v>145000</v>
      </c>
    </row>
    <row r="18" spans="1:10" x14ac:dyDescent="0.25">
      <c r="A18" s="1" t="s">
        <v>15</v>
      </c>
      <c r="B18" s="1" t="str">
        <f>VLOOKUP(A18,[1]LISTADHERENT!A$5:H$60,3,0)</f>
        <v>SIMO FONGANG ERIC</v>
      </c>
      <c r="C18" s="8">
        <f>TONTNOV!C18+TONTDEC!C18+TONTJANV!C18+TONTFEV!C18+TONTMARS!C18+TONTAVRIL!C18+TONTMAI!C18+TONTJUIN!C18+TONTJUIL!C18+TONTAOUT!C18+TONTSEPT!C18+TONTOCT!C18+TONTNOV20!C18+TONTDEC20!C18</f>
        <v>1200000</v>
      </c>
      <c r="D18" s="8">
        <f>TONTNOV!H18+TONTDEC!H18+TONTJANV!H18+TONTFEV!H18+TONTMARS!H18+TONTAVRIL!H18+TONTMAI!H18+TONTJUIN!H18+TONTJUIL!H18+TONTAOUT!H18+TONTSEPT!H18+TONTOCT!H18+TONTNOV20!H18+TONTDEC20!H18</f>
        <v>0</v>
      </c>
      <c r="E18" s="8">
        <f>TONTNOV!I18+TONTDEC!I18+TONTJANV!I18+TONTFEV!I18+TONTMARS!I18+TONTAVRIL!I18+TONTMAI!I18+TONTJUIN!I18+TONTJUIL!I18+TONTAOUT!I18+TONTSEPT!I18+TONTOCT!I18+TONTNOV20!I18+TONTDEC20!I18</f>
        <v>0</v>
      </c>
      <c r="F18" s="8">
        <f>TONTNOV!L18+TONTDEC!L18+TONTJANV!L18+TONTFEV!L18+TONTMARS!L18+TONTAVRIL!L18+TONTMAI!L18+TONTJUIN!L18+TONTJUIL!L18+TONTAOUT!L18+TONTSEPT!L18+TONTOCT!L18+TONTNOV20!L18+TONTDEC20!L18</f>
        <v>0</v>
      </c>
      <c r="G18" s="8">
        <f>TONTNOV!P18+TONTDEC!P18+TONTJANV!P18+TONTFEV!P18+TONTMARS!P18+TONTAVRIL!P18+TONTMAI!P18+TONTJUIN!P18+TONTJUIL!P18+TONTAOUT!P18+TONTSEPT!P18+TONTOCT!P18+TONTNOV20!P18+TONTDEC20!P18</f>
        <v>1254000</v>
      </c>
      <c r="H18" s="8">
        <f>TONTNOV!Q18+TONTDEC!Q18+TONTJANV!Q18+TONTFEV!Q18+TONTMARS!Q18+TONTAVRIL!Q18+TONTMAI!Q18+TONTJUIN!Q18+TONTJUIL!Q18+TONTAOUT!Q18+TONTSEPT!Q18+TONTOCT!Q18+TONTNOV20!Q18+TONTDEC20!Q18</f>
        <v>246000</v>
      </c>
      <c r="I18" s="23">
        <v>44031</v>
      </c>
      <c r="J18" s="8">
        <f t="shared" si="0"/>
        <v>146000</v>
      </c>
    </row>
    <row r="19" spans="1:10" x14ac:dyDescent="0.25">
      <c r="A19" s="1" t="s">
        <v>36</v>
      </c>
      <c r="B19" s="1" t="str">
        <f>VLOOKUP(A19,[1]LISTADHERENT!A$5:H$60,3,0)</f>
        <v>SIME MATHIEU</v>
      </c>
      <c r="C19" s="8">
        <f>TONTNOV!C19+TONTDEC!C19+TONTJANV!C19+TONTFEV!C19+TONTMARS!C19+TONTAVRIL!C19+TONTMAI!C19+TONTJUIN!C19+TONTJUIL!C19+TONTAOUT!C19+TONTSEPT!C19+TONTOCT!C19+TONTNOV20!C19+TONTDEC20!C19</f>
        <v>1200000</v>
      </c>
      <c r="D19" s="8">
        <f>TONTNOV!H19+TONTDEC!H19+TONTJANV!H19+TONTFEV!H19+TONTMARS!H19+TONTAVRIL!H19+TONTMAI!H19+TONTJUIN!H19+TONTJUIL!H19+TONTAOUT!H19+TONTSEPT!H19+TONTOCT!H19+TONTNOV20!H19+TONTDEC20!H19</f>
        <v>200000</v>
      </c>
      <c r="E19" s="8">
        <f>TONTNOV!I19+TONTDEC!I19+TONTJANV!I19+TONTFEV!I19+TONTMARS!I19+TONTAVRIL!I19+TONTMAI!I19+TONTJUIN!I19+TONTJUIL!I19+TONTAOUT!I19+TONTSEPT!I19+TONTOCT!I19+TONTNOV20!I19+TONTDEC20!I19</f>
        <v>8000</v>
      </c>
      <c r="F19" s="8">
        <f>TONTNOV!L19+TONTDEC!L19+TONTJANV!L19+TONTFEV!L19+TONTMARS!L19+TONTAVRIL!L19+TONTMAI!L19+TONTJUIN!L19+TONTJUIL!L19+TONTAOUT!L19+TONTSEPT!L19+TONTOCT!L19+TONTNOV20!L19+TONTDEC20!L19</f>
        <v>208000</v>
      </c>
      <c r="G19" s="8">
        <f>TONTNOV!P19+TONTDEC!P19+TONTJANV!P19+TONTFEV!P19+TONTMARS!P19+TONTAVRIL!P19+TONTMAI!P19+TONTJUIN!P19+TONTJUIL!P19+TONTAOUT!P19+TONTSEPT!P19+TONTOCT!P19+TONTNOV20!P19+TONTDEC20!P19</f>
        <v>1340000</v>
      </c>
      <c r="H19" s="8">
        <f>TONTNOV!Q19+TONTDEC!Q19+TONTJANV!Q19+TONTFEV!Q19+TONTMARS!Q19+TONTAVRIL!Q19+TONTMAI!Q19+TONTJUIN!Q19+TONTJUIL!Q19+TONTAOUT!Q19+TONTSEPT!Q19+TONTOCT!Q19+TONTNOV20!Q19+TONTDEC20!Q19</f>
        <v>160000</v>
      </c>
      <c r="I19" s="23">
        <v>44059</v>
      </c>
      <c r="J19" s="8">
        <f t="shared" si="0"/>
        <v>60000</v>
      </c>
    </row>
    <row r="20" spans="1:10" s="15" customFormat="1" x14ac:dyDescent="0.25">
      <c r="A20" s="1" t="s">
        <v>36</v>
      </c>
      <c r="B20" s="1" t="str">
        <f>VLOOKUP(A20,[1]LISTADHERENT!A$5:H$60,3,0)</f>
        <v>SIME MATHIEU</v>
      </c>
      <c r="C20" s="8">
        <f>TONTNOV!C20+TONTDEC!C20+TONTJANV!C20+TONTFEV!C20+TONTMARS!C20+TONTAVRIL!C20+TONTMAI!C20+TONTJUIN!C20+TONTJUIL!C20+TONTAOUT!C20+TONTSEPT!C20+TONTOCT!C20+TONTNOV20!C20+TONTDEC20!C20</f>
        <v>1200000</v>
      </c>
      <c r="D20" s="8">
        <f>TONTNOV!H20+TONTDEC!H20+TONTJANV!H20+TONTFEV!H20+TONTMARS!H20+TONTAVRIL!H20+TONTMAI!H20+TONTJUIN!H20+TONTJUIL!H20+TONTAOUT!H20+TONTSEPT!H20+TONTOCT!H20+TONTNOV20!H20+TONTDEC20!H20</f>
        <v>0</v>
      </c>
      <c r="E20" s="8">
        <f>TONTNOV!I20+TONTDEC!I20+TONTJANV!I20+TONTFEV!I20+TONTMARS!I20+TONTAVRIL!I20+TONTMAI!I20+TONTJUIN!I20+TONTJUIL!I20+TONTAOUT!I20+TONTSEPT!I20+TONTOCT!I20+TONTNOV20!I20+TONTDEC20!I20</f>
        <v>0</v>
      </c>
      <c r="F20" s="8">
        <f>TONTNOV!L20+TONTDEC!L20+TONTJANV!L20+TONTFEV!L20+TONTMARS!L20+TONTAVRIL!L20+TONTMAI!L20+TONTJUIN!L20+TONTJUIL!L20+TONTAOUT!L20+TONTSEPT!L20+TONTOCT!L20+TONTNOV20!L20+TONTDEC20!L20</f>
        <v>0</v>
      </c>
      <c r="G20" s="8">
        <f>TONTNOV!P20+TONTDEC!P20+TONTJANV!P20+TONTFEV!P20+TONTMARS!P20+TONTAVRIL!P20+TONTMAI!P20+TONTJUIN!P20+TONTJUIL!P20+TONTAOUT!P20+TONTSEPT!P20+TONTOCT!P20+TONTNOV20!P20+TONTDEC20!P20</f>
        <v>0</v>
      </c>
      <c r="H20" s="8">
        <f>TONTNOV!Q20+TONTDEC!Q20+TONTJANV!Q20+TONTFEV!Q20+TONTMARS!Q20+TONTAVRIL!Q20+TONTMAI!Q20+TONTJUIN!Q20+TONTJUIL!Q20+TONTAOUT!Q20+TONTSEPT!Q20+TONTOCT!Q20+TONTNOV20!Q20+TONTDEC20!Q20</f>
        <v>0</v>
      </c>
      <c r="I20" s="11"/>
      <c r="J20" s="8">
        <f t="shared" si="0"/>
        <v>0</v>
      </c>
    </row>
    <row r="21" spans="1:10" x14ac:dyDescent="0.25">
      <c r="A21" s="1" t="s">
        <v>37</v>
      </c>
      <c r="B21" s="1" t="str">
        <f>VLOOKUP(A21,[1]LISTADHERENT!A$5:H$60,3,0)</f>
        <v>TCHOUAMOU MATHIEU</v>
      </c>
      <c r="C21" s="8">
        <f>TONTNOV!C21+TONTDEC!C21+TONTJANV!C21+TONTFEV!C21+TONTMARS!C21+TONTAVRIL!C21+TONTMAI!C21+TONTJUIN!C21+TONTJUIL!C21+TONTAOUT!C21+TONTSEPT!C21+TONTOCT!C21+TONTNOV20!C21+TONTDEC20!C21</f>
        <v>1200000</v>
      </c>
      <c r="D21" s="8">
        <f>TONTNOV!H21+TONTDEC!H21+TONTJANV!H21+TONTFEV!H21+TONTMARS!H21+TONTAVRIL!H21+TONTMAI!H21+TONTJUIN!H21+TONTJUIL!H21+TONTAOUT!H21+TONTSEPT!H21+TONTOCT!H21+TONTNOV20!H21+TONTDEC20!H21</f>
        <v>638000</v>
      </c>
      <c r="E21" s="8">
        <f>TONTNOV!I21+TONTDEC!I21+TONTJANV!I21+TONTFEV!I21+TONTMARS!I21+TONTAVRIL!I21+TONTMAI!I21+TONTJUIN!I21+TONTJUIL!I21+TONTAOUT!I21+TONTSEPT!I21+TONTOCT!I21+TONTNOV20!I21+TONTDEC20!I21</f>
        <v>8500</v>
      </c>
      <c r="F21" s="8">
        <f>TONTNOV!L21+TONTDEC!L21+TONTJANV!L21+TONTFEV!L21+TONTMARS!L21+TONTAVRIL!L21+TONTMAI!L21+TONTJUIN!L21+TONTJUIL!L21+TONTAOUT!L21+TONTSEPT!L21+TONTOCT!L21+TONTNOV20!L21+TONTDEC20!L21</f>
        <v>646500</v>
      </c>
      <c r="G21" s="8">
        <f>TONTNOV!P21+TONTDEC!P21+TONTJANV!P21+TONTFEV!P21+TONTMARS!P21+TONTAVRIL!P21+TONTMAI!P21+TONTJUIN!P21+TONTJUIL!P21+TONTAOUT!P21+TONTSEPT!P21+TONTOCT!P21+TONTNOV20!P21+TONTDEC20!P21</f>
        <v>1400000</v>
      </c>
      <c r="H21" s="8">
        <f>TONTNOV!Q21+TONTDEC!Q21+TONTJANV!Q21+TONTFEV!Q21+TONTMARS!Q21+TONTAVRIL!Q21+TONTMAI!Q21+TONTJUIN!Q21+TONTJUIL!Q21+TONTAOUT!Q21+TONTSEPT!Q21+TONTOCT!Q21+TONTNOV20!Q21+TONTDEC20!Q21</f>
        <v>100000</v>
      </c>
      <c r="I21" s="23">
        <v>44094</v>
      </c>
      <c r="J21" s="8">
        <f t="shared" si="0"/>
        <v>0</v>
      </c>
    </row>
    <row r="22" spans="1:10" x14ac:dyDescent="0.25">
      <c r="A22" s="1" t="s">
        <v>38</v>
      </c>
      <c r="B22" s="1" t="str">
        <f>VLOOKUP(A22,[1]LISTADHERENT!A$5:H$60,3,0)</f>
        <v>TIEYAM ERNEST</v>
      </c>
      <c r="C22" s="8">
        <f>TONTNOV!C22+TONTDEC!C22+TONTJANV!C22+TONTFEV!C22+TONTMARS!C22+TONTAVRIL!C22+TONTMAI!C22+TONTJUIN!C22+TONTJUIL!C22+TONTAOUT!C22+TONTSEPT!C22+TONTOCT!C22+TONTNOV20!C22+TONTDEC20!C22</f>
        <v>1100000</v>
      </c>
      <c r="D22" s="8">
        <f>TONTNOV!H22+TONTDEC!H22+TONTJANV!H22+TONTFEV!H22+TONTMARS!H22+TONTAVRIL!H22+TONTMAI!H22+TONTJUIN!H22+TONTJUIL!H22+TONTAOUT!H22+TONTSEPT!H22+TONTOCT!H22+TONTNOV20!H22+TONTDEC20!H22</f>
        <v>800000</v>
      </c>
      <c r="E22" s="8">
        <f>TONTNOV!I22+TONTDEC!I22+TONTJANV!I22+TONTFEV!I22+TONTMARS!I22+TONTAVRIL!I22+TONTMAI!I22+TONTJUIN!I22+TONTJUIL!I22+TONTAOUT!I22+TONTSEPT!I22+TONTOCT!I22+TONTNOV20!I22+TONTDEC20!I22</f>
        <v>32000</v>
      </c>
      <c r="F22" s="8">
        <f>TONTNOV!L22+TONTDEC!L22+TONTJANV!L22+TONTFEV!L22+TONTMARS!L22+TONTAVRIL!L22+TONTMAI!L22+TONTJUIN!L22+TONTJUIL!L22+TONTAOUT!L22+TONTSEPT!L22+TONTOCT!L22+TONTNOV20!L22+TONTDEC20!L22</f>
        <v>832000</v>
      </c>
      <c r="G22" s="8">
        <f>TONTNOV!P22+TONTDEC!P22+TONTJANV!P22+TONTFEV!P22+TONTMARS!P22+TONTAVRIL!P22+TONTMAI!P22+TONTJUIN!P22+TONTJUIL!P22+TONTAOUT!P22+TONTSEPT!P22+TONTOCT!P22+TONTNOV20!P22+TONTDEC20!P22</f>
        <v>1305000</v>
      </c>
      <c r="H22" s="8">
        <f>TONTNOV!Q22+TONTDEC!Q22+TONTJANV!Q22+TONTFEV!Q22+TONTMARS!Q22+TONTAVRIL!Q22+TONTMAI!Q22+TONTJUIN!Q22+TONTJUIL!Q22+TONTAOUT!Q22+TONTSEPT!Q22+TONTOCT!Q22+TONTNOV20!Q22+TONTDEC20!Q22</f>
        <v>195000</v>
      </c>
      <c r="I22" s="23">
        <v>44003</v>
      </c>
      <c r="J22" s="8">
        <f t="shared" si="0"/>
        <v>95000</v>
      </c>
    </row>
    <row r="23" spans="1:10" x14ac:dyDescent="0.25">
      <c r="A23" s="1" t="s">
        <v>39</v>
      </c>
      <c r="B23" s="1" t="str">
        <f>VLOOKUP(A23,[1]LISTADHERENT!A$5:H$60,3,0)</f>
        <v>YOUMBI EMMANUEL</v>
      </c>
      <c r="C23" s="8">
        <f>TONTNOV!C23+TONTDEC!C23+TONTJANV!C23+TONTFEV!C23+TONTMARS!C23+TONTAVRIL!C23+TONTMAI!C23+TONTJUIN!C23+TONTJUIL!C23+TONTAOUT!C23+TONTSEPT!C23+TONTOCT!C23+TONTNOV20!C23+TONTDEC20!C23</f>
        <v>1200000</v>
      </c>
      <c r="D23" s="8">
        <f>TONTNOV!H23+TONTDEC!H23+TONTJANV!H23+TONTFEV!H23+TONTMARS!H23+TONTAVRIL!H23+TONTMAI!H23+TONTJUIN!H23+TONTJUIL!H23+TONTAOUT!H23+TONTSEPT!H23+TONTOCT!H23+TONTNOV20!H23+TONTDEC20!H23</f>
        <v>0</v>
      </c>
      <c r="E23" s="8">
        <f>TONTNOV!I23+TONTDEC!I23+TONTJANV!I23+TONTFEV!I23+TONTMARS!I23+TONTAVRIL!I23+TONTMAI!I23+TONTJUIN!I23+TONTJUIL!I23+TONTAOUT!I23+TONTSEPT!I23+TONTOCT!I23+TONTNOV20!I23+TONTDEC20!I23</f>
        <v>0</v>
      </c>
      <c r="F23" s="8">
        <f>TONTNOV!L23+TONTDEC!L23+TONTJANV!L23+TONTFEV!L23+TONTMARS!L23+TONTAVRIL!L23+TONTMAI!L23+TONTJUIN!L23+TONTJUIL!L23+TONTAOUT!L23+TONTSEPT!L23+TONTOCT!L23+TONTNOV20!L23+TONTDEC20!L23</f>
        <v>0</v>
      </c>
      <c r="G23" s="8">
        <f>TONTNOV!P23+TONTDEC!P23+TONTJANV!P23+TONTFEV!P23+TONTMARS!P23+TONTAVRIL!P23+TONTMAI!P23+TONTJUIN!P23+TONTJUIL!P23+TONTAOUT!P23+TONTSEPT!P23+TONTOCT!P23+TONTNOV20!P23+TONTDEC20!P23</f>
        <v>0</v>
      </c>
      <c r="H23" s="8">
        <f>TONTNOV!Q23+TONTDEC!Q23+TONTJANV!Q23+TONTFEV!Q23+TONTMARS!Q23+TONTAVRIL!Q23+TONTMAI!Q23+TONTJUIN!Q23+TONTJUIL!Q23+TONTAOUT!Q23+TONTSEPT!Q23+TONTOCT!Q23+TONTNOV20!Q23+TONTDEC20!Q23</f>
        <v>0</v>
      </c>
      <c r="I23" s="11"/>
      <c r="J23" s="8">
        <f t="shared" si="0"/>
        <v>0</v>
      </c>
    </row>
    <row r="25" spans="1:10" ht="18" x14ac:dyDescent="0.25">
      <c r="A25" s="9" t="s">
        <v>17</v>
      </c>
      <c r="B25" s="9"/>
      <c r="C25" s="10">
        <f t="shared" ref="C25:J25" si="1">SUM(C6:C24)</f>
        <v>21000000</v>
      </c>
      <c r="D25" s="10">
        <f t="shared" si="1"/>
        <v>5937500</v>
      </c>
      <c r="E25" s="10">
        <f t="shared" si="1"/>
        <v>159500</v>
      </c>
      <c r="F25" s="10">
        <f t="shared" si="1"/>
        <v>6097000</v>
      </c>
      <c r="G25" s="10">
        <f t="shared" si="1"/>
        <v>20004000</v>
      </c>
      <c r="H25" s="10">
        <f t="shared" si="1"/>
        <v>2496000</v>
      </c>
      <c r="J25" s="10">
        <f t="shared" si="1"/>
        <v>996000</v>
      </c>
    </row>
    <row r="26" spans="1:10" x14ac:dyDescent="0.25">
      <c r="C26" s="2" t="s">
        <v>19</v>
      </c>
    </row>
    <row r="27" spans="1:10" ht="18" x14ac:dyDescent="0.25">
      <c r="B27" s="10"/>
      <c r="C27" s="10"/>
    </row>
    <row r="28" spans="1:10" ht="18" x14ac:dyDescent="0.25">
      <c r="B28" s="10"/>
      <c r="C28" s="10"/>
      <c r="F28" t="s">
        <v>61</v>
      </c>
      <c r="G28" s="27">
        <f>(G25+H25)-C25</f>
        <v>1500000</v>
      </c>
    </row>
    <row r="30" spans="1:10" x14ac:dyDescent="0.25">
      <c r="F30" t="s">
        <v>54</v>
      </c>
      <c r="G30" s="27">
        <f>TONTNOV!N30+TONTDEC!N30+TONTJANV!N30+TONTFEV!N30+TONTMARS!N30+TONTAVRIL!N30+TONTMAI!N30+TONTJUIN!N30+TONTJUIL!N30</f>
        <v>4045500</v>
      </c>
    </row>
    <row r="32" spans="1:10" x14ac:dyDescent="0.25">
      <c r="F32" t="s">
        <v>62</v>
      </c>
      <c r="G32" s="27">
        <f>TONTJUIN!N32+TONTJUIL!N32</f>
        <v>-233000</v>
      </c>
      <c r="H32" t="s">
        <v>64</v>
      </c>
    </row>
    <row r="33" spans="6:8" x14ac:dyDescent="0.25">
      <c r="F33" t="s">
        <v>63</v>
      </c>
      <c r="G33" s="27" t="e">
        <f>+TONTMARS!P32+TONTJUIL!N33</f>
        <v>#VALUE!</v>
      </c>
      <c r="H33" t="s">
        <v>65</v>
      </c>
    </row>
  </sheetData>
  <autoFilter ref="A5:I23">
    <sortState ref="A6:I23">
      <sortCondition ref="B6:B32"/>
    </sortState>
  </autoFilter>
  <mergeCells count="1"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tabSelected="1" workbookViewId="0">
      <selection activeCell="L14" sqref="L14"/>
    </sheetView>
  </sheetViews>
  <sheetFormatPr baseColWidth="10" defaultRowHeight="15" x14ac:dyDescent="0.25"/>
  <sheetData>
    <row r="1" spans="2:10" x14ac:dyDescent="0.25">
      <c r="D1" s="11">
        <v>44096</v>
      </c>
      <c r="E1" s="11"/>
      <c r="F1" s="11" t="s">
        <v>98</v>
      </c>
      <c r="G1" t="s">
        <v>80</v>
      </c>
      <c r="H1" t="s">
        <v>78</v>
      </c>
      <c r="I1" t="s">
        <v>79</v>
      </c>
      <c r="J1" t="s">
        <v>17</v>
      </c>
    </row>
    <row r="2" spans="2:10" x14ac:dyDescent="0.25">
      <c r="B2" t="s">
        <v>72</v>
      </c>
      <c r="C2" s="2">
        <v>105000</v>
      </c>
      <c r="D2" s="2"/>
      <c r="E2" s="2"/>
      <c r="F2" s="2"/>
      <c r="G2" s="2">
        <v>30000</v>
      </c>
      <c r="H2" s="2">
        <v>75000</v>
      </c>
      <c r="I2" s="2"/>
      <c r="J2" s="2">
        <f>SUM(G2:I2)</f>
        <v>105000</v>
      </c>
    </row>
    <row r="3" spans="2:10" x14ac:dyDescent="0.25">
      <c r="B3" t="s">
        <v>73</v>
      </c>
      <c r="C3" s="2">
        <v>608000</v>
      </c>
      <c r="D3" s="2"/>
      <c r="E3" s="2"/>
      <c r="F3" s="2"/>
      <c r="G3" s="2">
        <v>30000</v>
      </c>
      <c r="H3" s="2"/>
      <c r="I3" s="2"/>
      <c r="J3" s="2">
        <f t="shared" ref="J3:J26" si="0">SUM(G3:I3)</f>
        <v>30000</v>
      </c>
    </row>
    <row r="4" spans="2:10" x14ac:dyDescent="0.25">
      <c r="B4" t="s">
        <v>74</v>
      </c>
      <c r="C4" s="2">
        <v>40000</v>
      </c>
      <c r="D4" s="2"/>
      <c r="E4" s="2"/>
      <c r="F4" s="2"/>
      <c r="G4" s="2"/>
      <c r="H4" s="2"/>
      <c r="I4" s="2"/>
      <c r="J4" s="2">
        <f t="shared" si="0"/>
        <v>0</v>
      </c>
    </row>
    <row r="5" spans="2:10" x14ac:dyDescent="0.25">
      <c r="B5" t="s">
        <v>75</v>
      </c>
      <c r="C5" s="2">
        <v>230000</v>
      </c>
      <c r="D5" s="2"/>
      <c r="E5" s="2"/>
      <c r="F5" s="2"/>
      <c r="G5" s="2"/>
      <c r="H5" s="2"/>
      <c r="I5" s="2"/>
      <c r="J5" s="2">
        <f t="shared" si="0"/>
        <v>0</v>
      </c>
    </row>
    <row r="6" spans="2:10" x14ac:dyDescent="0.25">
      <c r="B6" t="s">
        <v>49</v>
      </c>
      <c r="C6" s="2">
        <v>140000</v>
      </c>
      <c r="D6" s="2">
        <v>140000</v>
      </c>
      <c r="E6" s="2"/>
      <c r="F6" s="2"/>
      <c r="G6" s="2"/>
      <c r="H6" s="2"/>
      <c r="I6" s="2"/>
      <c r="J6" s="2">
        <f t="shared" si="0"/>
        <v>0</v>
      </c>
    </row>
    <row r="7" spans="2:10" x14ac:dyDescent="0.25">
      <c r="B7" t="s">
        <v>50</v>
      </c>
      <c r="C7" s="2">
        <v>100000</v>
      </c>
      <c r="D7" s="2">
        <v>100000</v>
      </c>
      <c r="E7" s="2">
        <v>30000</v>
      </c>
      <c r="F7" s="2"/>
      <c r="G7" s="2">
        <v>30000</v>
      </c>
      <c r="H7" s="2"/>
      <c r="I7" s="2">
        <v>200000</v>
      </c>
      <c r="J7" s="2">
        <f t="shared" si="0"/>
        <v>230000</v>
      </c>
    </row>
    <row r="8" spans="2:10" x14ac:dyDescent="0.25">
      <c r="B8" t="s">
        <v>76</v>
      </c>
      <c r="C8" s="2">
        <v>30000</v>
      </c>
      <c r="D8" s="2"/>
      <c r="E8" s="2"/>
      <c r="F8" s="2"/>
      <c r="G8" s="2"/>
      <c r="H8" s="2"/>
      <c r="I8" s="2"/>
      <c r="J8" s="2">
        <f t="shared" si="0"/>
        <v>0</v>
      </c>
    </row>
    <row r="9" spans="2:10" x14ac:dyDescent="0.25">
      <c r="B9" t="s">
        <v>77</v>
      </c>
      <c r="C9" s="2">
        <v>332000</v>
      </c>
      <c r="D9" s="2"/>
      <c r="E9" s="2"/>
      <c r="F9" s="2"/>
      <c r="G9" s="2"/>
      <c r="H9" s="2"/>
      <c r="I9" s="2"/>
      <c r="J9" s="2">
        <f t="shared" si="0"/>
        <v>0</v>
      </c>
    </row>
    <row r="10" spans="2:10" x14ac:dyDescent="0.25">
      <c r="B10" t="s">
        <v>81</v>
      </c>
      <c r="C10" s="2">
        <v>280000</v>
      </c>
      <c r="D10" s="2">
        <v>180000</v>
      </c>
      <c r="E10" s="2"/>
      <c r="F10" s="2"/>
      <c r="G10" s="2"/>
      <c r="H10" s="2"/>
      <c r="I10" s="2"/>
      <c r="J10" s="2">
        <f t="shared" si="0"/>
        <v>0</v>
      </c>
    </row>
    <row r="11" spans="2:10" x14ac:dyDescent="0.25">
      <c r="B11" t="s">
        <v>82</v>
      </c>
      <c r="C11" s="2"/>
      <c r="D11" s="2">
        <v>110000</v>
      </c>
      <c r="E11" s="2"/>
      <c r="F11" s="2"/>
      <c r="G11" s="2"/>
      <c r="H11" s="2"/>
      <c r="I11" s="2"/>
      <c r="J11" s="2">
        <f t="shared" si="0"/>
        <v>0</v>
      </c>
    </row>
    <row r="12" spans="2:10" x14ac:dyDescent="0.25">
      <c r="B12" t="s">
        <v>83</v>
      </c>
      <c r="C12" s="2">
        <v>161000</v>
      </c>
      <c r="G12" s="2"/>
      <c r="H12" s="2"/>
      <c r="I12" s="2"/>
      <c r="J12" s="2">
        <f t="shared" si="0"/>
        <v>0</v>
      </c>
    </row>
    <row r="13" spans="2:10" x14ac:dyDescent="0.25">
      <c r="B13" t="s">
        <v>84</v>
      </c>
      <c r="C13" s="2">
        <v>240000</v>
      </c>
      <c r="G13" s="2"/>
      <c r="H13" s="2"/>
      <c r="I13" s="2"/>
      <c r="J13" s="2">
        <f t="shared" si="0"/>
        <v>0</v>
      </c>
    </row>
    <row r="14" spans="2:10" x14ac:dyDescent="0.25">
      <c r="B14" t="s">
        <v>85</v>
      </c>
      <c r="C14" s="2">
        <v>105000</v>
      </c>
      <c r="D14" s="2"/>
      <c r="E14" s="2"/>
      <c r="F14" s="2"/>
      <c r="G14" s="2"/>
      <c r="H14" s="2"/>
      <c r="I14" s="2"/>
      <c r="J14" s="2">
        <f t="shared" si="0"/>
        <v>0</v>
      </c>
    </row>
    <row r="15" spans="2:10" x14ac:dyDescent="0.25">
      <c r="B15" t="s">
        <v>86</v>
      </c>
      <c r="C15" s="2">
        <v>85000</v>
      </c>
      <c r="D15" s="2"/>
      <c r="E15" s="2"/>
      <c r="F15" s="2"/>
      <c r="G15" s="2"/>
      <c r="H15" s="2"/>
      <c r="I15" s="2"/>
      <c r="J15" s="2">
        <f t="shared" si="0"/>
        <v>0</v>
      </c>
    </row>
    <row r="16" spans="2:10" x14ac:dyDescent="0.25">
      <c r="B16" t="s">
        <v>87</v>
      </c>
      <c r="C16" s="2">
        <v>130000</v>
      </c>
      <c r="D16" s="2"/>
      <c r="E16" s="2"/>
      <c r="F16" s="2"/>
      <c r="G16" s="2"/>
      <c r="H16" s="2"/>
      <c r="I16" s="2"/>
      <c r="J16" s="2">
        <f t="shared" si="0"/>
        <v>0</v>
      </c>
    </row>
    <row r="17" spans="2:10" x14ac:dyDescent="0.25">
      <c r="B17" t="s">
        <v>88</v>
      </c>
      <c r="C17" s="2">
        <v>280000</v>
      </c>
      <c r="J17" s="2">
        <f t="shared" si="0"/>
        <v>0</v>
      </c>
    </row>
    <row r="18" spans="2:10" x14ac:dyDescent="0.25">
      <c r="B18" t="s">
        <v>89</v>
      </c>
      <c r="C18" s="2">
        <v>55000</v>
      </c>
      <c r="D18">
        <v>100000</v>
      </c>
      <c r="J18" s="2">
        <f t="shared" si="0"/>
        <v>0</v>
      </c>
    </row>
    <row r="19" spans="2:10" x14ac:dyDescent="0.25">
      <c r="B19" t="s">
        <v>90</v>
      </c>
      <c r="C19" s="2">
        <v>158000</v>
      </c>
      <c r="J19" s="2">
        <f t="shared" si="0"/>
        <v>0</v>
      </c>
    </row>
    <row r="20" spans="2:10" x14ac:dyDescent="0.25">
      <c r="B20" t="s">
        <v>91</v>
      </c>
      <c r="C20" s="2">
        <v>105000</v>
      </c>
      <c r="J20" s="2">
        <f t="shared" si="0"/>
        <v>0</v>
      </c>
    </row>
    <row r="21" spans="2:10" x14ac:dyDescent="0.25">
      <c r="B21" t="s">
        <v>92</v>
      </c>
      <c r="C21" s="2">
        <v>190000</v>
      </c>
      <c r="J21" s="2">
        <f t="shared" si="0"/>
        <v>0</v>
      </c>
    </row>
    <row r="22" spans="2:10" x14ac:dyDescent="0.25">
      <c r="B22" t="s">
        <v>93</v>
      </c>
      <c r="C22" s="2">
        <v>75000</v>
      </c>
      <c r="J22" s="2">
        <f t="shared" si="0"/>
        <v>0</v>
      </c>
    </row>
    <row r="23" spans="2:10" x14ac:dyDescent="0.25">
      <c r="B23" t="s">
        <v>94</v>
      </c>
      <c r="C23" s="2">
        <v>30000</v>
      </c>
      <c r="J23" s="2">
        <f t="shared" si="0"/>
        <v>0</v>
      </c>
    </row>
    <row r="24" spans="2:10" x14ac:dyDescent="0.25">
      <c r="B24" t="s">
        <v>95</v>
      </c>
      <c r="C24" s="2">
        <v>205000</v>
      </c>
      <c r="J24" s="2">
        <f t="shared" si="0"/>
        <v>0</v>
      </c>
    </row>
    <row r="25" spans="2:10" x14ac:dyDescent="0.25">
      <c r="B25" t="s">
        <v>96</v>
      </c>
      <c r="C25" s="2">
        <v>105000</v>
      </c>
      <c r="J25" s="2">
        <f t="shared" si="0"/>
        <v>0</v>
      </c>
    </row>
    <row r="26" spans="2:10" x14ac:dyDescent="0.25">
      <c r="B26" t="s">
        <v>97</v>
      </c>
      <c r="C26" s="2">
        <v>30000</v>
      </c>
      <c r="J26" s="2">
        <f t="shared" si="0"/>
        <v>0</v>
      </c>
    </row>
    <row r="30" spans="2:10" x14ac:dyDescent="0.25">
      <c r="C30">
        <v>5984000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2</vt:i4>
      </vt:variant>
    </vt:vector>
  </HeadingPairs>
  <TitlesOfParts>
    <vt:vector size="20" baseType="lpstr">
      <vt:lpstr>Feuil1</vt:lpstr>
      <vt:lpstr>MODEPAID</vt:lpstr>
      <vt:lpstr>TONTNOV</vt:lpstr>
      <vt:lpstr>TONTDEC</vt:lpstr>
      <vt:lpstr>TONTJANV</vt:lpstr>
      <vt:lpstr>TONTFEV</vt:lpstr>
      <vt:lpstr>TONTMARS</vt:lpstr>
      <vt:lpstr>TONTAVRIL</vt:lpstr>
      <vt:lpstr>TONTMAI</vt:lpstr>
      <vt:lpstr>TONTJUIN</vt:lpstr>
      <vt:lpstr>TONTJUIL</vt:lpstr>
      <vt:lpstr>TONTAOUT</vt:lpstr>
      <vt:lpstr>TONTSEPT</vt:lpstr>
      <vt:lpstr>TONTOCT</vt:lpstr>
      <vt:lpstr>TONTNOV20</vt:lpstr>
      <vt:lpstr>TONTDEC20</vt:lpstr>
      <vt:lpstr>TONTRESUME</vt:lpstr>
      <vt:lpstr>HISTORIQUE OCT</vt:lpstr>
      <vt:lpstr>MODEPAID!MODEPAID</vt:lpstr>
      <vt:lpstr>VALMODEPAID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dcterms:created xsi:type="dcterms:W3CDTF">2016-12-19T08:36:25Z</dcterms:created>
  <dcterms:modified xsi:type="dcterms:W3CDTF">2020-11-13T09:58:34Z</dcterms:modified>
</cp:coreProperties>
</file>