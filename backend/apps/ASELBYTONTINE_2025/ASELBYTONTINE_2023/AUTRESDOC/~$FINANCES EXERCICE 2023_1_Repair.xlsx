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</sheets>
</workbook>
</file>

<file path=xl/calcChain.xml><?xml version="1.0" encoding="utf-8"?>
<calcChain xmlns="http://schemas.openxmlformats.org/spreadsheetml/2006/main">
  <c r="T22" i="116" l="1"/>
  <c r="S22" i="116"/>
  <c r="P19" i="115" l="1"/>
  <c r="M19" i="115" s="1"/>
  <c r="N19" i="115"/>
  <c r="I19" i="115"/>
  <c r="G19" i="115"/>
  <c r="H19" i="115" s="1"/>
  <c r="F19" i="115"/>
  <c r="E19" i="115"/>
  <c r="D19" i="115" s="1"/>
  <c r="B19" i="115" s="1"/>
  <c r="P18" i="115"/>
  <c r="M18" i="115" s="1"/>
  <c r="N18" i="115"/>
  <c r="I18" i="115"/>
  <c r="G18" i="115"/>
  <c r="H18" i="115" s="1"/>
  <c r="F18" i="115"/>
  <c r="E18" i="115"/>
  <c r="D18" i="115" s="1"/>
  <c r="B18" i="115" s="1"/>
  <c r="P17" i="115"/>
  <c r="M17" i="115" s="1"/>
  <c r="N17" i="115"/>
  <c r="I17" i="115"/>
  <c r="G17" i="115"/>
  <c r="H17" i="115" s="1"/>
  <c r="F17" i="115"/>
  <c r="E17" i="115"/>
  <c r="D17" i="115" s="1"/>
  <c r="B17" i="115" s="1"/>
  <c r="P16" i="115"/>
  <c r="M16" i="115" s="1"/>
  <c r="N16" i="115"/>
  <c r="I16" i="115"/>
  <c r="G16" i="115"/>
  <c r="H16" i="115" s="1"/>
  <c r="F16" i="115"/>
  <c r="E16" i="115"/>
  <c r="D16" i="115" s="1"/>
  <c r="B16" i="115" s="1"/>
  <c r="P15" i="115"/>
  <c r="M15" i="115" s="1"/>
  <c r="N15" i="115"/>
  <c r="I15" i="115"/>
  <c r="G15" i="115"/>
  <c r="H15" i="115" s="1"/>
  <c r="F15" i="115"/>
  <c r="E15" i="115"/>
  <c r="D15" i="115" s="1"/>
  <c r="B15" i="115" s="1"/>
  <c r="P14" i="115"/>
  <c r="M14" i="115" s="1"/>
  <c r="N14" i="115"/>
  <c r="I14" i="115"/>
  <c r="G14" i="115"/>
  <c r="H14" i="115" s="1"/>
  <c r="F14" i="115"/>
  <c r="E14" i="115"/>
  <c r="D14" i="115" s="1"/>
  <c r="B14" i="115" s="1"/>
  <c r="P13" i="115"/>
  <c r="M13" i="115" s="1"/>
  <c r="N13" i="115"/>
  <c r="I13" i="115"/>
  <c r="G13" i="115"/>
  <c r="H13" i="115" s="1"/>
  <c r="F13" i="115"/>
  <c r="E13" i="115"/>
  <c r="D13" i="115" s="1"/>
  <c r="B13" i="115" s="1"/>
  <c r="P12" i="115"/>
  <c r="M12" i="115" s="1"/>
  <c r="N12" i="115"/>
  <c r="I12" i="115"/>
  <c r="G12" i="115"/>
  <c r="H12" i="115" s="1"/>
  <c r="F12" i="115"/>
  <c r="E12" i="115"/>
  <c r="D12" i="115" s="1"/>
  <c r="B12" i="115" s="1"/>
  <c r="P11" i="115"/>
  <c r="M11" i="115" s="1"/>
  <c r="N11" i="115"/>
  <c r="I11" i="115"/>
  <c r="G11" i="115"/>
  <c r="H11" i="115" s="1"/>
  <c r="F11" i="115"/>
  <c r="E11" i="115"/>
  <c r="D11" i="115" s="1"/>
  <c r="B11" i="115" s="1"/>
  <c r="P10" i="115"/>
  <c r="M10" i="115" s="1"/>
  <c r="N10" i="115"/>
  <c r="I10" i="115"/>
  <c r="G10" i="115"/>
  <c r="H10" i="115" s="1"/>
  <c r="F10" i="115"/>
  <c r="E10" i="115"/>
  <c r="D10" i="115" s="1"/>
  <c r="B10" i="115" s="1"/>
  <c r="P9" i="115"/>
  <c r="M9" i="115" s="1"/>
  <c r="N9" i="115"/>
  <c r="I9" i="115"/>
  <c r="G9" i="115"/>
  <c r="H9" i="115" s="1"/>
  <c r="F9" i="115"/>
  <c r="E9" i="115"/>
  <c r="D9" i="115" s="1"/>
  <c r="B9" i="115" s="1"/>
  <c r="P8" i="115"/>
  <c r="M8" i="115" s="1"/>
  <c r="N8" i="115"/>
  <c r="I8" i="115"/>
  <c r="G8" i="115"/>
  <c r="H8" i="115" s="1"/>
  <c r="F8" i="115"/>
  <c r="E8" i="115"/>
  <c r="D8" i="115" s="1"/>
  <c r="B8" i="115" s="1"/>
  <c r="P7" i="115"/>
  <c r="M7" i="115" s="1"/>
  <c r="N7" i="115"/>
  <c r="I7" i="115"/>
  <c r="G7" i="115"/>
  <c r="H7" i="115" s="1"/>
  <c r="F7" i="115"/>
  <c r="E7" i="115"/>
  <c r="D7" i="115" s="1"/>
  <c r="B7" i="115" s="1"/>
  <c r="P6" i="115"/>
  <c r="M6" i="115" s="1"/>
  <c r="N6" i="115"/>
  <c r="K6" i="115"/>
  <c r="L6" i="115" s="1"/>
  <c r="I6" i="115"/>
  <c r="G6" i="115"/>
  <c r="H6" i="115" s="1"/>
  <c r="F6" i="115"/>
  <c r="E6" i="115"/>
  <c r="D6" i="115" s="1"/>
  <c r="B6" i="115" s="1"/>
  <c r="P19" i="114"/>
  <c r="M19" i="114" s="1"/>
  <c r="N19" i="114"/>
  <c r="I19" i="114"/>
  <c r="G19" i="114"/>
  <c r="F19" i="114"/>
  <c r="E19" i="114"/>
  <c r="D19" i="114" s="1"/>
  <c r="B19" i="114" s="1"/>
  <c r="P18" i="114"/>
  <c r="M18" i="114" s="1"/>
  <c r="N18" i="114"/>
  <c r="I18" i="114"/>
  <c r="G18" i="114"/>
  <c r="H18" i="114" s="1"/>
  <c r="F18" i="114"/>
  <c r="E18" i="114"/>
  <c r="D18" i="114" s="1"/>
  <c r="B18" i="114" s="1"/>
  <c r="P17" i="114"/>
  <c r="M17" i="114" s="1"/>
  <c r="N17" i="114"/>
  <c r="I17" i="114"/>
  <c r="G17" i="114"/>
  <c r="H17" i="114" s="1"/>
  <c r="F17" i="114"/>
  <c r="E17" i="114"/>
  <c r="D17" i="114" s="1"/>
  <c r="B17" i="114" s="1"/>
  <c r="P16" i="114"/>
  <c r="M16" i="114" s="1"/>
  <c r="N16" i="114"/>
  <c r="I16" i="114"/>
  <c r="G16" i="114"/>
  <c r="F16" i="114"/>
  <c r="E16" i="114"/>
  <c r="D16" i="114" s="1"/>
  <c r="B16" i="114" s="1"/>
  <c r="P15" i="114"/>
  <c r="M15" i="114" s="1"/>
  <c r="N15" i="114"/>
  <c r="I15" i="114"/>
  <c r="G15" i="114"/>
  <c r="F15" i="114"/>
  <c r="E15" i="114"/>
  <c r="D15" i="114" s="1"/>
  <c r="B15" i="114" s="1"/>
  <c r="P14" i="114"/>
  <c r="M14" i="114" s="1"/>
  <c r="N14" i="114"/>
  <c r="I14" i="114"/>
  <c r="G14" i="114"/>
  <c r="H14" i="114" s="1"/>
  <c r="F14" i="114"/>
  <c r="E14" i="114"/>
  <c r="D14" i="114" s="1"/>
  <c r="B14" i="114" s="1"/>
  <c r="P13" i="114"/>
  <c r="M13" i="114" s="1"/>
  <c r="N13" i="114"/>
  <c r="I13" i="114"/>
  <c r="G13" i="114"/>
  <c r="H13" i="114" s="1"/>
  <c r="F13" i="114"/>
  <c r="E13" i="114"/>
  <c r="D13" i="114" s="1"/>
  <c r="B13" i="114" s="1"/>
  <c r="P12" i="114"/>
  <c r="M12" i="114" s="1"/>
  <c r="N12" i="114"/>
  <c r="I12" i="114"/>
  <c r="G12" i="114"/>
  <c r="F12" i="114"/>
  <c r="E12" i="114"/>
  <c r="D12" i="114" s="1"/>
  <c r="B12" i="114" s="1"/>
  <c r="P11" i="114"/>
  <c r="M11" i="114" s="1"/>
  <c r="N11" i="114"/>
  <c r="I11" i="114"/>
  <c r="G11" i="114"/>
  <c r="F11" i="114"/>
  <c r="E11" i="114"/>
  <c r="D11" i="114" s="1"/>
  <c r="B11" i="114" s="1"/>
  <c r="P10" i="114"/>
  <c r="M10" i="114" s="1"/>
  <c r="N10" i="114"/>
  <c r="I10" i="114"/>
  <c r="G10" i="114"/>
  <c r="H10" i="114" s="1"/>
  <c r="F10" i="114"/>
  <c r="E10" i="114"/>
  <c r="D10" i="114" s="1"/>
  <c r="B10" i="114" s="1"/>
  <c r="P9" i="114"/>
  <c r="M9" i="114" s="1"/>
  <c r="N9" i="114"/>
  <c r="I9" i="114"/>
  <c r="G9" i="114"/>
  <c r="H9" i="114" s="1"/>
  <c r="F9" i="114"/>
  <c r="E9" i="114"/>
  <c r="D9" i="114" s="1"/>
  <c r="B9" i="114" s="1"/>
  <c r="P8" i="114"/>
  <c r="M8" i="114" s="1"/>
  <c r="N8" i="114"/>
  <c r="I8" i="114"/>
  <c r="G8" i="114"/>
  <c r="F8" i="114"/>
  <c r="E8" i="114"/>
  <c r="D8" i="114" s="1"/>
  <c r="B8" i="114" s="1"/>
  <c r="P7" i="114"/>
  <c r="M7" i="114" s="1"/>
  <c r="N7" i="114"/>
  <c r="I7" i="114"/>
  <c r="G7" i="114"/>
  <c r="F7" i="114"/>
  <c r="E7" i="114"/>
  <c r="D7" i="114" s="1"/>
  <c r="B7" i="114" s="1"/>
  <c r="P6" i="114"/>
  <c r="M6" i="114" s="1"/>
  <c r="N6" i="114"/>
  <c r="K6" i="114"/>
  <c r="L6" i="114" s="1"/>
  <c r="I6" i="114"/>
  <c r="G6" i="114"/>
  <c r="H6" i="114" s="1"/>
  <c r="F6" i="114"/>
  <c r="E6" i="114"/>
  <c r="D6" i="114" s="1"/>
  <c r="B6" i="114" s="1"/>
  <c r="P19" i="113"/>
  <c r="M19" i="113" s="1"/>
  <c r="N19" i="113"/>
  <c r="I19" i="113"/>
  <c r="G19" i="113"/>
  <c r="H19" i="113" s="1"/>
  <c r="F19" i="113"/>
  <c r="E19" i="113"/>
  <c r="D19" i="113" s="1"/>
  <c r="B19" i="113" s="1"/>
  <c r="P18" i="113"/>
  <c r="M18" i="113" s="1"/>
  <c r="N18" i="113"/>
  <c r="I18" i="113"/>
  <c r="G18" i="113"/>
  <c r="F18" i="113"/>
  <c r="E18" i="113"/>
  <c r="D18" i="113" s="1"/>
  <c r="B18" i="113" s="1"/>
  <c r="P17" i="113"/>
  <c r="M17" i="113" s="1"/>
  <c r="N17" i="113"/>
  <c r="I17" i="113"/>
  <c r="G17" i="113"/>
  <c r="F17" i="113"/>
  <c r="E17" i="113"/>
  <c r="D17" i="113" s="1"/>
  <c r="B17" i="113" s="1"/>
  <c r="P16" i="113"/>
  <c r="M16" i="113" s="1"/>
  <c r="N16" i="113"/>
  <c r="I16" i="113"/>
  <c r="G16" i="113"/>
  <c r="H16" i="113" s="1"/>
  <c r="F16" i="113"/>
  <c r="E16" i="113"/>
  <c r="D16" i="113" s="1"/>
  <c r="B16" i="113" s="1"/>
  <c r="P15" i="113"/>
  <c r="M15" i="113" s="1"/>
  <c r="N15" i="113"/>
  <c r="I15" i="113"/>
  <c r="G15" i="113"/>
  <c r="H15" i="113" s="1"/>
  <c r="F15" i="113"/>
  <c r="E15" i="113"/>
  <c r="D15" i="113" s="1"/>
  <c r="B15" i="113" s="1"/>
  <c r="P14" i="113"/>
  <c r="M14" i="113" s="1"/>
  <c r="N14" i="113"/>
  <c r="I14" i="113"/>
  <c r="G14" i="113"/>
  <c r="H14" i="113" s="1"/>
  <c r="F14" i="113"/>
  <c r="E14" i="113"/>
  <c r="D14" i="113" s="1"/>
  <c r="B14" i="113" s="1"/>
  <c r="P13" i="113"/>
  <c r="M13" i="113" s="1"/>
  <c r="N13" i="113"/>
  <c r="I13" i="113"/>
  <c r="G13" i="113"/>
  <c r="F13" i="113"/>
  <c r="E13" i="113"/>
  <c r="D13" i="113" s="1"/>
  <c r="B13" i="113" s="1"/>
  <c r="P12" i="113"/>
  <c r="M12" i="113" s="1"/>
  <c r="N12" i="113"/>
  <c r="I12" i="113"/>
  <c r="G12" i="113"/>
  <c r="H12" i="113" s="1"/>
  <c r="F12" i="113"/>
  <c r="E12" i="113"/>
  <c r="D12" i="113" s="1"/>
  <c r="B12" i="113" s="1"/>
  <c r="P11" i="113"/>
  <c r="M11" i="113" s="1"/>
  <c r="N11" i="113"/>
  <c r="I11" i="113"/>
  <c r="G11" i="113"/>
  <c r="H11" i="113" s="1"/>
  <c r="F11" i="113"/>
  <c r="E11" i="113"/>
  <c r="D11" i="113" s="1"/>
  <c r="B11" i="113" s="1"/>
  <c r="P10" i="113"/>
  <c r="M10" i="113" s="1"/>
  <c r="N10" i="113"/>
  <c r="I10" i="113"/>
  <c r="G10" i="113"/>
  <c r="F10" i="113"/>
  <c r="E10" i="113"/>
  <c r="D10" i="113" s="1"/>
  <c r="B10" i="113" s="1"/>
  <c r="P9" i="113"/>
  <c r="M9" i="113" s="1"/>
  <c r="N9" i="113"/>
  <c r="I9" i="113"/>
  <c r="G9" i="113"/>
  <c r="F9" i="113"/>
  <c r="E9" i="113"/>
  <c r="D9" i="113" s="1"/>
  <c r="B9" i="113" s="1"/>
  <c r="P8" i="113"/>
  <c r="M8" i="113" s="1"/>
  <c r="N8" i="113"/>
  <c r="I8" i="113"/>
  <c r="G8" i="113"/>
  <c r="H8" i="113" s="1"/>
  <c r="F8" i="113"/>
  <c r="E8" i="113"/>
  <c r="D8" i="113" s="1"/>
  <c r="B8" i="113" s="1"/>
  <c r="P7" i="113"/>
  <c r="M7" i="113" s="1"/>
  <c r="N7" i="113"/>
  <c r="I7" i="113"/>
  <c r="G7" i="113"/>
  <c r="H7" i="113" s="1"/>
  <c r="F7" i="113"/>
  <c r="E7" i="113"/>
  <c r="D7" i="113" s="1"/>
  <c r="B7" i="113" s="1"/>
  <c r="P6" i="113"/>
  <c r="M6" i="113" s="1"/>
  <c r="N6" i="113"/>
  <c r="K6" i="113"/>
  <c r="L6" i="113" s="1"/>
  <c r="I6" i="113"/>
  <c r="G6" i="113"/>
  <c r="F6" i="113"/>
  <c r="E6" i="113"/>
  <c r="D6" i="113" s="1"/>
  <c r="B6" i="113" s="1"/>
  <c r="P19" i="112"/>
  <c r="M19" i="112" s="1"/>
  <c r="N19" i="112"/>
  <c r="I19" i="112"/>
  <c r="G19" i="112"/>
  <c r="H19" i="112" s="1"/>
  <c r="F19" i="112"/>
  <c r="E19" i="112"/>
  <c r="D19" i="112" s="1"/>
  <c r="B19" i="112" s="1"/>
  <c r="P18" i="112"/>
  <c r="M18" i="112" s="1"/>
  <c r="N18" i="112"/>
  <c r="I18" i="112"/>
  <c r="G18" i="112"/>
  <c r="H18" i="112" s="1"/>
  <c r="F18" i="112"/>
  <c r="E18" i="112"/>
  <c r="D18" i="112" s="1"/>
  <c r="B18" i="112" s="1"/>
  <c r="P17" i="112"/>
  <c r="M17" i="112" s="1"/>
  <c r="N17" i="112"/>
  <c r="I17" i="112"/>
  <c r="G17" i="112"/>
  <c r="H17" i="112" s="1"/>
  <c r="F17" i="112"/>
  <c r="E17" i="112"/>
  <c r="D17" i="112" s="1"/>
  <c r="B17" i="112" s="1"/>
  <c r="P16" i="112"/>
  <c r="M16" i="112" s="1"/>
  <c r="N16" i="112"/>
  <c r="I16" i="112"/>
  <c r="G16" i="112"/>
  <c r="H16" i="112" s="1"/>
  <c r="F16" i="112"/>
  <c r="E16" i="112"/>
  <c r="D16" i="112" s="1"/>
  <c r="B16" i="112" s="1"/>
  <c r="P15" i="112"/>
  <c r="M15" i="112" s="1"/>
  <c r="N15" i="112"/>
  <c r="I15" i="112"/>
  <c r="G15" i="112"/>
  <c r="H15" i="112" s="1"/>
  <c r="F15" i="112"/>
  <c r="E15" i="112"/>
  <c r="D15" i="112" s="1"/>
  <c r="B15" i="112" s="1"/>
  <c r="P14" i="112"/>
  <c r="M14" i="112" s="1"/>
  <c r="N14" i="112"/>
  <c r="I14" i="112"/>
  <c r="G14" i="112"/>
  <c r="H14" i="112" s="1"/>
  <c r="F14" i="112"/>
  <c r="E14" i="112"/>
  <c r="D14" i="112" s="1"/>
  <c r="B14" i="112" s="1"/>
  <c r="P13" i="112"/>
  <c r="M13" i="112" s="1"/>
  <c r="N13" i="112"/>
  <c r="I13" i="112"/>
  <c r="G13" i="112"/>
  <c r="H13" i="112" s="1"/>
  <c r="F13" i="112"/>
  <c r="E13" i="112"/>
  <c r="D13" i="112" s="1"/>
  <c r="B13" i="112" s="1"/>
  <c r="P12" i="112"/>
  <c r="M12" i="112" s="1"/>
  <c r="N12" i="112"/>
  <c r="I12" i="112"/>
  <c r="G12" i="112"/>
  <c r="F12" i="112"/>
  <c r="E12" i="112"/>
  <c r="D12" i="112" s="1"/>
  <c r="B12" i="112" s="1"/>
  <c r="P11" i="112"/>
  <c r="M11" i="112" s="1"/>
  <c r="N11" i="112"/>
  <c r="I11" i="112"/>
  <c r="G11" i="112"/>
  <c r="F11" i="112"/>
  <c r="E11" i="112"/>
  <c r="D11" i="112" s="1"/>
  <c r="B11" i="112" s="1"/>
  <c r="P10" i="112"/>
  <c r="M10" i="112" s="1"/>
  <c r="N10" i="112"/>
  <c r="I10" i="112"/>
  <c r="G10" i="112"/>
  <c r="H10" i="112" s="1"/>
  <c r="F10" i="112"/>
  <c r="E10" i="112"/>
  <c r="D10" i="112" s="1"/>
  <c r="B10" i="112" s="1"/>
  <c r="P9" i="112"/>
  <c r="M9" i="112" s="1"/>
  <c r="N9" i="112"/>
  <c r="I9" i="112"/>
  <c r="G9" i="112"/>
  <c r="H9" i="112" s="1"/>
  <c r="F9" i="112"/>
  <c r="E9" i="112"/>
  <c r="D9" i="112" s="1"/>
  <c r="B9" i="112" s="1"/>
  <c r="P8" i="112"/>
  <c r="M8" i="112" s="1"/>
  <c r="N8" i="112"/>
  <c r="I8" i="112"/>
  <c r="G8" i="112"/>
  <c r="H8" i="112" s="1"/>
  <c r="F8" i="112"/>
  <c r="E8" i="112"/>
  <c r="D8" i="112" s="1"/>
  <c r="B8" i="112" s="1"/>
  <c r="P7" i="112"/>
  <c r="M7" i="112" s="1"/>
  <c r="N7" i="112"/>
  <c r="I7" i="112"/>
  <c r="G7" i="112"/>
  <c r="F7" i="112"/>
  <c r="E7" i="112"/>
  <c r="D7" i="112" s="1"/>
  <c r="B7" i="112" s="1"/>
  <c r="P6" i="112"/>
  <c r="M6" i="112" s="1"/>
  <c r="N6" i="112"/>
  <c r="K6" i="112"/>
  <c r="L6" i="112" s="1"/>
  <c r="I6" i="112"/>
  <c r="G6" i="112"/>
  <c r="H6" i="112" s="1"/>
  <c r="F6" i="112"/>
  <c r="E6" i="112"/>
  <c r="D6" i="112" s="1"/>
  <c r="B6" i="112" s="1"/>
  <c r="P19" i="111"/>
  <c r="M19" i="111" s="1"/>
  <c r="N19" i="111"/>
  <c r="I19" i="111"/>
  <c r="G19" i="111"/>
  <c r="H19" i="111" s="1"/>
  <c r="F19" i="111"/>
  <c r="E19" i="111"/>
  <c r="D19" i="111" s="1"/>
  <c r="B19" i="111" s="1"/>
  <c r="P18" i="111"/>
  <c r="M18" i="111" s="1"/>
  <c r="N18" i="111"/>
  <c r="I18" i="111"/>
  <c r="G18" i="111"/>
  <c r="F18" i="111"/>
  <c r="E18" i="111"/>
  <c r="D18" i="111" s="1"/>
  <c r="B18" i="111" s="1"/>
  <c r="P17" i="111"/>
  <c r="M17" i="111" s="1"/>
  <c r="N17" i="111"/>
  <c r="I17" i="111"/>
  <c r="G17" i="111"/>
  <c r="F17" i="111"/>
  <c r="E17" i="111"/>
  <c r="D17" i="111" s="1"/>
  <c r="B17" i="111" s="1"/>
  <c r="P16" i="111"/>
  <c r="M16" i="111" s="1"/>
  <c r="N16" i="111"/>
  <c r="I16" i="111"/>
  <c r="G16" i="111"/>
  <c r="H16" i="111" s="1"/>
  <c r="F16" i="111"/>
  <c r="E16" i="111"/>
  <c r="D16" i="111" s="1"/>
  <c r="B16" i="111" s="1"/>
  <c r="P15" i="111"/>
  <c r="M15" i="111" s="1"/>
  <c r="N15" i="111"/>
  <c r="I15" i="111"/>
  <c r="G15" i="111"/>
  <c r="H15" i="111" s="1"/>
  <c r="F15" i="111"/>
  <c r="E15" i="111"/>
  <c r="D15" i="111" s="1"/>
  <c r="B15" i="111" s="1"/>
  <c r="P14" i="111"/>
  <c r="M14" i="111" s="1"/>
  <c r="N14" i="111"/>
  <c r="I14" i="111"/>
  <c r="G14" i="111"/>
  <c r="H14" i="111" s="1"/>
  <c r="F14" i="111"/>
  <c r="E14" i="111"/>
  <c r="D14" i="111" s="1"/>
  <c r="B14" i="111" s="1"/>
  <c r="P13" i="111"/>
  <c r="M13" i="111" s="1"/>
  <c r="N13" i="111"/>
  <c r="I13" i="111"/>
  <c r="G13" i="111"/>
  <c r="F13" i="111"/>
  <c r="E13" i="111"/>
  <c r="D13" i="111" s="1"/>
  <c r="B13" i="111" s="1"/>
  <c r="P12" i="111"/>
  <c r="M12" i="111" s="1"/>
  <c r="N12" i="111"/>
  <c r="I12" i="111"/>
  <c r="G12" i="111"/>
  <c r="H12" i="111" s="1"/>
  <c r="F12" i="111"/>
  <c r="E12" i="111"/>
  <c r="D12" i="111" s="1"/>
  <c r="B12" i="111" s="1"/>
  <c r="P11" i="111"/>
  <c r="M11" i="111" s="1"/>
  <c r="N11" i="111"/>
  <c r="I11" i="111"/>
  <c r="G11" i="111"/>
  <c r="H11" i="111" s="1"/>
  <c r="F11" i="111"/>
  <c r="E11" i="111"/>
  <c r="D11" i="111" s="1"/>
  <c r="B11" i="111" s="1"/>
  <c r="P10" i="111"/>
  <c r="M10" i="111" s="1"/>
  <c r="N10" i="111"/>
  <c r="I10" i="111"/>
  <c r="G10" i="111"/>
  <c r="F10" i="111"/>
  <c r="E10" i="111"/>
  <c r="D10" i="111" s="1"/>
  <c r="B10" i="111" s="1"/>
  <c r="P9" i="111"/>
  <c r="M9" i="111" s="1"/>
  <c r="N9" i="111"/>
  <c r="I9" i="111"/>
  <c r="G9" i="111"/>
  <c r="F9" i="111"/>
  <c r="E9" i="111"/>
  <c r="D9" i="111" s="1"/>
  <c r="B9" i="111" s="1"/>
  <c r="P8" i="111"/>
  <c r="M8" i="111" s="1"/>
  <c r="N8" i="111"/>
  <c r="I8" i="111"/>
  <c r="G8" i="111"/>
  <c r="H8" i="111" s="1"/>
  <c r="F8" i="111"/>
  <c r="E8" i="111"/>
  <c r="D8" i="111" s="1"/>
  <c r="B8" i="111" s="1"/>
  <c r="P7" i="111"/>
  <c r="M7" i="111" s="1"/>
  <c r="N7" i="111"/>
  <c r="I7" i="111"/>
  <c r="G7" i="111"/>
  <c r="H7" i="111" s="1"/>
  <c r="F7" i="111"/>
  <c r="E7" i="111"/>
  <c r="D7" i="111" s="1"/>
  <c r="B7" i="111" s="1"/>
  <c r="P6" i="111"/>
  <c r="M6" i="111" s="1"/>
  <c r="N6" i="111"/>
  <c r="K6" i="111"/>
  <c r="L6" i="111" s="1"/>
  <c r="I6" i="111"/>
  <c r="G6" i="111"/>
  <c r="H6" i="111" s="1"/>
  <c r="F6" i="111"/>
  <c r="E6" i="111"/>
  <c r="D6" i="111" s="1"/>
  <c r="B6" i="111" s="1"/>
  <c r="P19" i="110"/>
  <c r="M19" i="110" s="1"/>
  <c r="N19" i="110"/>
  <c r="I19" i="110"/>
  <c r="G19" i="110"/>
  <c r="H19" i="110" s="1"/>
  <c r="F19" i="110"/>
  <c r="E19" i="110"/>
  <c r="D19" i="110" s="1"/>
  <c r="B19" i="110" s="1"/>
  <c r="P18" i="110"/>
  <c r="M18" i="110" s="1"/>
  <c r="N18" i="110"/>
  <c r="I18" i="110"/>
  <c r="G18" i="110"/>
  <c r="F18" i="110"/>
  <c r="E18" i="110"/>
  <c r="D18" i="110" s="1"/>
  <c r="B18" i="110" s="1"/>
  <c r="P17" i="110"/>
  <c r="M17" i="110" s="1"/>
  <c r="N17" i="110"/>
  <c r="I17" i="110"/>
  <c r="G17" i="110"/>
  <c r="F17" i="110"/>
  <c r="E17" i="110"/>
  <c r="D17" i="110" s="1"/>
  <c r="B17" i="110" s="1"/>
  <c r="P16" i="110"/>
  <c r="M16" i="110" s="1"/>
  <c r="N16" i="110"/>
  <c r="I16" i="110"/>
  <c r="G16" i="110"/>
  <c r="F16" i="110"/>
  <c r="E16" i="110"/>
  <c r="D16" i="110" s="1"/>
  <c r="B16" i="110" s="1"/>
  <c r="P15" i="110"/>
  <c r="M15" i="110" s="1"/>
  <c r="N15" i="110"/>
  <c r="I15" i="110"/>
  <c r="G15" i="110"/>
  <c r="H15" i="110" s="1"/>
  <c r="F15" i="110"/>
  <c r="E15" i="110"/>
  <c r="D15" i="110" s="1"/>
  <c r="B15" i="110" s="1"/>
  <c r="P14" i="110"/>
  <c r="M14" i="110" s="1"/>
  <c r="N14" i="110"/>
  <c r="I14" i="110"/>
  <c r="G14" i="110"/>
  <c r="H14" i="110" s="1"/>
  <c r="F14" i="110"/>
  <c r="E14" i="110"/>
  <c r="D14" i="110" s="1"/>
  <c r="B14" i="110" s="1"/>
  <c r="P13" i="110"/>
  <c r="M13" i="110" s="1"/>
  <c r="N13" i="110"/>
  <c r="I13" i="110"/>
  <c r="G13" i="110"/>
  <c r="F13" i="110"/>
  <c r="E13" i="110"/>
  <c r="D13" i="110" s="1"/>
  <c r="B13" i="110" s="1"/>
  <c r="P12" i="110"/>
  <c r="M12" i="110" s="1"/>
  <c r="N12" i="110"/>
  <c r="I12" i="110"/>
  <c r="G12" i="110"/>
  <c r="F12" i="110"/>
  <c r="E12" i="110"/>
  <c r="D12" i="110" s="1"/>
  <c r="B12" i="110" s="1"/>
  <c r="P11" i="110"/>
  <c r="M11" i="110" s="1"/>
  <c r="N11" i="110"/>
  <c r="I11" i="110"/>
  <c r="G11" i="110"/>
  <c r="H11" i="110" s="1"/>
  <c r="F11" i="110"/>
  <c r="E11" i="110"/>
  <c r="D11" i="110" s="1"/>
  <c r="B11" i="110" s="1"/>
  <c r="P10" i="110"/>
  <c r="M10" i="110" s="1"/>
  <c r="N10" i="110"/>
  <c r="I10" i="110"/>
  <c r="G10" i="110"/>
  <c r="H10" i="110" s="1"/>
  <c r="F10" i="110"/>
  <c r="E10" i="110"/>
  <c r="D10" i="110" s="1"/>
  <c r="B10" i="110" s="1"/>
  <c r="P9" i="110"/>
  <c r="M9" i="110" s="1"/>
  <c r="N9" i="110"/>
  <c r="I9" i="110"/>
  <c r="G9" i="110"/>
  <c r="F9" i="110"/>
  <c r="E9" i="110"/>
  <c r="D9" i="110" s="1"/>
  <c r="B9" i="110" s="1"/>
  <c r="P8" i="110"/>
  <c r="M8" i="110" s="1"/>
  <c r="N8" i="110"/>
  <c r="I8" i="110"/>
  <c r="G8" i="110"/>
  <c r="F8" i="110"/>
  <c r="E8" i="110"/>
  <c r="D8" i="110" s="1"/>
  <c r="B8" i="110" s="1"/>
  <c r="P7" i="110"/>
  <c r="M7" i="110" s="1"/>
  <c r="N7" i="110"/>
  <c r="I7" i="110"/>
  <c r="G7" i="110"/>
  <c r="H7" i="110" s="1"/>
  <c r="F7" i="110"/>
  <c r="E7" i="110"/>
  <c r="D7" i="110" s="1"/>
  <c r="B7" i="110" s="1"/>
  <c r="P6" i="110"/>
  <c r="M6" i="110" s="1"/>
  <c r="N6" i="110"/>
  <c r="K6" i="110"/>
  <c r="L6" i="110" s="1"/>
  <c r="I6" i="110"/>
  <c r="G6" i="110"/>
  <c r="H6" i="110" s="1"/>
  <c r="F6" i="110"/>
  <c r="E6" i="110"/>
  <c r="D6" i="110" s="1"/>
  <c r="B6" i="110" s="1"/>
  <c r="P19" i="109"/>
  <c r="M19" i="109" s="1"/>
  <c r="N19" i="109"/>
  <c r="I19" i="109"/>
  <c r="G19" i="109"/>
  <c r="F19" i="109"/>
  <c r="E19" i="109"/>
  <c r="D19" i="109" s="1"/>
  <c r="B19" i="109" s="1"/>
  <c r="P18" i="109"/>
  <c r="M18" i="109" s="1"/>
  <c r="N18" i="109"/>
  <c r="I18" i="109"/>
  <c r="G18" i="109"/>
  <c r="F18" i="109"/>
  <c r="E18" i="109"/>
  <c r="D18" i="109" s="1"/>
  <c r="B18" i="109" s="1"/>
  <c r="P17" i="109"/>
  <c r="M17" i="109" s="1"/>
  <c r="N17" i="109"/>
  <c r="I17" i="109"/>
  <c r="G17" i="109"/>
  <c r="H17" i="109" s="1"/>
  <c r="F17" i="109"/>
  <c r="E17" i="109"/>
  <c r="D17" i="109" s="1"/>
  <c r="B17" i="109" s="1"/>
  <c r="P16" i="109"/>
  <c r="M16" i="109" s="1"/>
  <c r="N16" i="109"/>
  <c r="I16" i="109"/>
  <c r="G16" i="109"/>
  <c r="H16" i="109" s="1"/>
  <c r="F16" i="109"/>
  <c r="E16" i="109"/>
  <c r="D16" i="109" s="1"/>
  <c r="B16" i="109" s="1"/>
  <c r="P15" i="109"/>
  <c r="M15" i="109" s="1"/>
  <c r="N15" i="109"/>
  <c r="I15" i="109"/>
  <c r="G15" i="109"/>
  <c r="F15" i="109"/>
  <c r="E15" i="109"/>
  <c r="D15" i="109" s="1"/>
  <c r="B15" i="109" s="1"/>
  <c r="P14" i="109"/>
  <c r="M14" i="109" s="1"/>
  <c r="N14" i="109"/>
  <c r="I14" i="109"/>
  <c r="G14" i="109"/>
  <c r="F14" i="109"/>
  <c r="E14" i="109"/>
  <c r="D14" i="109" s="1"/>
  <c r="B14" i="109" s="1"/>
  <c r="P13" i="109"/>
  <c r="M13" i="109" s="1"/>
  <c r="N13" i="109"/>
  <c r="I13" i="109"/>
  <c r="G13" i="109"/>
  <c r="H13" i="109" s="1"/>
  <c r="F13" i="109"/>
  <c r="E13" i="109"/>
  <c r="D13" i="109" s="1"/>
  <c r="B13" i="109" s="1"/>
  <c r="P12" i="109"/>
  <c r="M12" i="109" s="1"/>
  <c r="N12" i="109"/>
  <c r="I12" i="109"/>
  <c r="G12" i="109"/>
  <c r="F12" i="109"/>
  <c r="E12" i="109"/>
  <c r="D12" i="109" s="1"/>
  <c r="B12" i="109" s="1"/>
  <c r="P11" i="109"/>
  <c r="M11" i="109" s="1"/>
  <c r="N11" i="109"/>
  <c r="I11" i="109"/>
  <c r="G11" i="109"/>
  <c r="F11" i="109"/>
  <c r="E11" i="109"/>
  <c r="D11" i="109" s="1"/>
  <c r="B11" i="109" s="1"/>
  <c r="P10" i="109"/>
  <c r="M10" i="109" s="1"/>
  <c r="N10" i="109"/>
  <c r="I10" i="109"/>
  <c r="G10" i="109"/>
  <c r="H10" i="109" s="1"/>
  <c r="F10" i="109"/>
  <c r="E10" i="109"/>
  <c r="D10" i="109" s="1"/>
  <c r="B10" i="109" s="1"/>
  <c r="P9" i="109"/>
  <c r="M9" i="109" s="1"/>
  <c r="N9" i="109"/>
  <c r="I9" i="109"/>
  <c r="G9" i="109"/>
  <c r="H9" i="109" s="1"/>
  <c r="F9" i="109"/>
  <c r="E9" i="109"/>
  <c r="D9" i="109" s="1"/>
  <c r="B9" i="109" s="1"/>
  <c r="P8" i="109"/>
  <c r="M8" i="109" s="1"/>
  <c r="N8" i="109"/>
  <c r="I8" i="109"/>
  <c r="G8" i="109"/>
  <c r="H8" i="109" s="1"/>
  <c r="F8" i="109"/>
  <c r="E8" i="109"/>
  <c r="D8" i="109" s="1"/>
  <c r="B8" i="109" s="1"/>
  <c r="P7" i="109"/>
  <c r="M7" i="109" s="1"/>
  <c r="N7" i="109"/>
  <c r="I7" i="109"/>
  <c r="G7" i="109"/>
  <c r="F7" i="109"/>
  <c r="E7" i="109"/>
  <c r="D7" i="109" s="1"/>
  <c r="B7" i="109" s="1"/>
  <c r="P6" i="109"/>
  <c r="M6" i="109" s="1"/>
  <c r="N6" i="109"/>
  <c r="K6" i="109"/>
  <c r="L6" i="109" s="1"/>
  <c r="I6" i="109"/>
  <c r="G6" i="109"/>
  <c r="F6" i="109"/>
  <c r="E6" i="109"/>
  <c r="D6" i="109" s="1"/>
  <c r="B6" i="109" s="1"/>
  <c r="P19" i="108"/>
  <c r="M19" i="108" s="1"/>
  <c r="N19" i="108"/>
  <c r="I19" i="108"/>
  <c r="G19" i="108"/>
  <c r="H19" i="108" s="1"/>
  <c r="F19" i="108"/>
  <c r="E19" i="108"/>
  <c r="D19" i="108" s="1"/>
  <c r="B19" i="108" s="1"/>
  <c r="P18" i="108"/>
  <c r="M18" i="108" s="1"/>
  <c r="N18" i="108"/>
  <c r="I18" i="108"/>
  <c r="G18" i="108"/>
  <c r="H18" i="108" s="1"/>
  <c r="F18" i="108"/>
  <c r="E18" i="108"/>
  <c r="D18" i="108" s="1"/>
  <c r="B18" i="108" s="1"/>
  <c r="P17" i="108"/>
  <c r="M17" i="108" s="1"/>
  <c r="N17" i="108"/>
  <c r="I17" i="108"/>
  <c r="G17" i="108"/>
  <c r="H17" i="108" s="1"/>
  <c r="F17" i="108"/>
  <c r="E17" i="108"/>
  <c r="D17" i="108" s="1"/>
  <c r="B17" i="108" s="1"/>
  <c r="P16" i="108"/>
  <c r="M16" i="108" s="1"/>
  <c r="N16" i="108"/>
  <c r="I16" i="108"/>
  <c r="G16" i="108"/>
  <c r="H16" i="108" s="1"/>
  <c r="F16" i="108"/>
  <c r="E16" i="108"/>
  <c r="D16" i="108" s="1"/>
  <c r="B16" i="108" s="1"/>
  <c r="P15" i="108"/>
  <c r="M15" i="108" s="1"/>
  <c r="N15" i="108"/>
  <c r="I15" i="108"/>
  <c r="G15" i="108"/>
  <c r="H15" i="108" s="1"/>
  <c r="F15" i="108"/>
  <c r="E15" i="108"/>
  <c r="D15" i="108" s="1"/>
  <c r="B15" i="108" s="1"/>
  <c r="P14" i="108"/>
  <c r="M14" i="108" s="1"/>
  <c r="N14" i="108"/>
  <c r="I14" i="108"/>
  <c r="G14" i="108"/>
  <c r="H14" i="108" s="1"/>
  <c r="F14" i="108"/>
  <c r="E14" i="108"/>
  <c r="D14" i="108" s="1"/>
  <c r="B14" i="108" s="1"/>
  <c r="P13" i="108"/>
  <c r="M13" i="108" s="1"/>
  <c r="N13" i="108"/>
  <c r="I13" i="108"/>
  <c r="G13" i="108"/>
  <c r="H13" i="108" s="1"/>
  <c r="F13" i="108"/>
  <c r="E13" i="108"/>
  <c r="D13" i="108" s="1"/>
  <c r="B13" i="108" s="1"/>
  <c r="P12" i="108"/>
  <c r="M12" i="108" s="1"/>
  <c r="N12" i="108"/>
  <c r="I12" i="108"/>
  <c r="G12" i="108"/>
  <c r="F12" i="108"/>
  <c r="E12" i="108"/>
  <c r="D12" i="108" s="1"/>
  <c r="B12" i="108" s="1"/>
  <c r="P11" i="108"/>
  <c r="M11" i="108" s="1"/>
  <c r="N11" i="108"/>
  <c r="I11" i="108"/>
  <c r="G11" i="108"/>
  <c r="H11" i="108" s="1"/>
  <c r="F11" i="108"/>
  <c r="E11" i="108"/>
  <c r="D11" i="108" s="1"/>
  <c r="B11" i="108" s="1"/>
  <c r="P10" i="108"/>
  <c r="M10" i="108" s="1"/>
  <c r="N10" i="108"/>
  <c r="I10" i="108"/>
  <c r="G10" i="108"/>
  <c r="H10" i="108" s="1"/>
  <c r="F10" i="108"/>
  <c r="E10" i="108"/>
  <c r="D10" i="108" s="1"/>
  <c r="B10" i="108" s="1"/>
  <c r="P9" i="108"/>
  <c r="M9" i="108" s="1"/>
  <c r="N9" i="108"/>
  <c r="I9" i="108"/>
  <c r="G9" i="108"/>
  <c r="H9" i="108" s="1"/>
  <c r="F9" i="108"/>
  <c r="E9" i="108"/>
  <c r="D9" i="108" s="1"/>
  <c r="B9" i="108" s="1"/>
  <c r="P8" i="108"/>
  <c r="M8" i="108" s="1"/>
  <c r="N8" i="108"/>
  <c r="I8" i="108"/>
  <c r="G8" i="108"/>
  <c r="H8" i="108" s="1"/>
  <c r="F8" i="108"/>
  <c r="E8" i="108"/>
  <c r="D8" i="108" s="1"/>
  <c r="B8" i="108" s="1"/>
  <c r="P7" i="108"/>
  <c r="M7" i="108" s="1"/>
  <c r="N7" i="108"/>
  <c r="I7" i="108"/>
  <c r="G7" i="108"/>
  <c r="H7" i="108" s="1"/>
  <c r="F7" i="108"/>
  <c r="E7" i="108"/>
  <c r="D7" i="108" s="1"/>
  <c r="B7" i="108" s="1"/>
  <c r="P6" i="108"/>
  <c r="M6" i="108" s="1"/>
  <c r="N6" i="108"/>
  <c r="K6" i="108"/>
  <c r="L6" i="108" s="1"/>
  <c r="I6" i="108"/>
  <c r="G6" i="108"/>
  <c r="H6" i="108" s="1"/>
  <c r="F6" i="108"/>
  <c r="E6" i="108"/>
  <c r="D6" i="108" s="1"/>
  <c r="B6" i="108" s="1"/>
  <c r="C19" i="116"/>
  <c r="C18" i="116"/>
  <c r="C17" i="116"/>
  <c r="C16" i="116"/>
  <c r="C15" i="116"/>
  <c r="C14" i="116"/>
  <c r="C13" i="116"/>
  <c r="C12" i="116"/>
  <c r="C11" i="116"/>
  <c r="C10" i="116"/>
  <c r="C9" i="116"/>
  <c r="C8" i="116"/>
  <c r="C7" i="116"/>
  <c r="D26" i="116"/>
  <c r="C6" i="116"/>
  <c r="C19" i="115"/>
  <c r="C18" i="115"/>
  <c r="C17" i="115"/>
  <c r="C16" i="115"/>
  <c r="C15" i="115"/>
  <c r="C14" i="115"/>
  <c r="C13" i="115"/>
  <c r="C12" i="115"/>
  <c r="C11" i="115"/>
  <c r="C10" i="115"/>
  <c r="C9" i="115"/>
  <c r="C8" i="115"/>
  <c r="C7" i="115"/>
  <c r="C6" i="115"/>
  <c r="C19" i="114"/>
  <c r="C18" i="114"/>
  <c r="C17" i="114"/>
  <c r="C16" i="114"/>
  <c r="C15" i="114"/>
  <c r="C14" i="114"/>
  <c r="C13" i="114"/>
  <c r="C12" i="114"/>
  <c r="C11" i="114"/>
  <c r="C10" i="114"/>
  <c r="C9" i="114"/>
  <c r="C8" i="114"/>
  <c r="C7" i="114"/>
  <c r="C6" i="114"/>
  <c r="C19" i="113"/>
  <c r="C18" i="113"/>
  <c r="C17" i="113"/>
  <c r="C16" i="113"/>
  <c r="C15" i="113"/>
  <c r="C14" i="113"/>
  <c r="C13" i="113"/>
  <c r="C12" i="113"/>
  <c r="C11" i="113"/>
  <c r="C10" i="113"/>
  <c r="C9" i="113"/>
  <c r="C8" i="113"/>
  <c r="C7" i="113"/>
  <c r="C6" i="113"/>
  <c r="C19" i="112"/>
  <c r="C18" i="112"/>
  <c r="C17" i="112"/>
  <c r="C16" i="112"/>
  <c r="C15" i="112"/>
  <c r="C14" i="112"/>
  <c r="C13" i="112"/>
  <c r="C12" i="112"/>
  <c r="C11" i="112"/>
  <c r="C10" i="112"/>
  <c r="C9" i="112"/>
  <c r="C8" i="112"/>
  <c r="C7" i="112"/>
  <c r="C6" i="112"/>
  <c r="C19" i="111"/>
  <c r="C18" i="111"/>
  <c r="O17" i="111"/>
  <c r="C17" i="111"/>
  <c r="C16" i="111"/>
  <c r="C15" i="111"/>
  <c r="C14" i="111"/>
  <c r="C13" i="111"/>
  <c r="C12" i="111"/>
  <c r="C11" i="111"/>
  <c r="C10" i="111"/>
  <c r="C9" i="111"/>
  <c r="C8" i="111"/>
  <c r="C7" i="111"/>
  <c r="C6" i="111"/>
  <c r="C19" i="110"/>
  <c r="C18" i="110"/>
  <c r="C17" i="110"/>
  <c r="C16" i="110"/>
  <c r="C15" i="110"/>
  <c r="C14" i="110"/>
  <c r="C13" i="110"/>
  <c r="C12" i="110"/>
  <c r="C11" i="110"/>
  <c r="C10" i="110"/>
  <c r="C9" i="110"/>
  <c r="C8" i="110"/>
  <c r="C7" i="110"/>
  <c r="C6" i="110"/>
  <c r="C19" i="109"/>
  <c r="C18" i="109"/>
  <c r="C17" i="109"/>
  <c r="C16" i="109"/>
  <c r="C15" i="109"/>
  <c r="C14" i="109"/>
  <c r="C13" i="109"/>
  <c r="C12" i="109"/>
  <c r="C11" i="109"/>
  <c r="C10" i="109"/>
  <c r="C9" i="109"/>
  <c r="C8" i="109"/>
  <c r="C7" i="109"/>
  <c r="C6" i="109"/>
  <c r="C19" i="108"/>
  <c r="C18" i="108"/>
  <c r="C17" i="108"/>
  <c r="C16" i="108"/>
  <c r="C15" i="108"/>
  <c r="C14" i="108"/>
  <c r="C13" i="108"/>
  <c r="C12" i="108"/>
  <c r="C11" i="108"/>
  <c r="C10" i="108"/>
  <c r="C9" i="108"/>
  <c r="C8" i="108"/>
  <c r="C7" i="108"/>
  <c r="C6" i="108"/>
  <c r="P7" i="107"/>
  <c r="O7" i="107" s="1"/>
  <c r="P8" i="107"/>
  <c r="M8" i="107" s="1"/>
  <c r="P9" i="107"/>
  <c r="M9" i="107" s="1"/>
  <c r="P10" i="107"/>
  <c r="P11" i="107"/>
  <c r="M11" i="107" s="1"/>
  <c r="P12" i="107"/>
  <c r="O12" i="107" s="1"/>
  <c r="P13" i="107"/>
  <c r="M13" i="107" s="1"/>
  <c r="P14" i="107"/>
  <c r="O14" i="107" s="1"/>
  <c r="P15" i="107"/>
  <c r="O15" i="107" s="1"/>
  <c r="P16" i="107"/>
  <c r="P17" i="107"/>
  <c r="O17" i="107" s="1"/>
  <c r="P18" i="107"/>
  <c r="O18" i="107" s="1"/>
  <c r="P19" i="107"/>
  <c r="N7" i="107"/>
  <c r="N8" i="107"/>
  <c r="N9" i="107"/>
  <c r="N10" i="107"/>
  <c r="N11" i="107"/>
  <c r="N12" i="107"/>
  <c r="N13" i="107"/>
  <c r="N14" i="107"/>
  <c r="N15" i="107"/>
  <c r="N16" i="107"/>
  <c r="N17" i="107"/>
  <c r="N18" i="107"/>
  <c r="N19" i="107"/>
  <c r="F8" i="107"/>
  <c r="G8" i="107"/>
  <c r="I8" i="107"/>
  <c r="F9" i="107"/>
  <c r="G9" i="107"/>
  <c r="I9" i="107"/>
  <c r="F10" i="107"/>
  <c r="G10" i="107"/>
  <c r="I10" i="107"/>
  <c r="F11" i="107"/>
  <c r="G11" i="107"/>
  <c r="H11" i="107" s="1"/>
  <c r="I11" i="107"/>
  <c r="F12" i="107"/>
  <c r="G12" i="107"/>
  <c r="I12" i="107"/>
  <c r="F13" i="107"/>
  <c r="G13" i="107"/>
  <c r="H13" i="107" s="1"/>
  <c r="I13" i="107"/>
  <c r="F14" i="107"/>
  <c r="G14" i="107"/>
  <c r="I14" i="107"/>
  <c r="F15" i="107"/>
  <c r="G15" i="107"/>
  <c r="I15" i="107"/>
  <c r="F16" i="107"/>
  <c r="G16" i="107"/>
  <c r="I16" i="107"/>
  <c r="F17" i="107"/>
  <c r="G17" i="107"/>
  <c r="I17" i="107"/>
  <c r="F18" i="107"/>
  <c r="G18" i="107"/>
  <c r="I18" i="107"/>
  <c r="F19" i="107"/>
  <c r="G19" i="107"/>
  <c r="H19" i="107" s="1"/>
  <c r="I19" i="107"/>
  <c r="C7" i="107"/>
  <c r="E7" i="107"/>
  <c r="F7" i="107"/>
  <c r="G7" i="107"/>
  <c r="H7" i="107" s="1"/>
  <c r="I7" i="107"/>
  <c r="C8" i="107"/>
  <c r="E8" i="107"/>
  <c r="D8" i="107" s="1"/>
  <c r="B8" i="107" s="1"/>
  <c r="C9" i="107"/>
  <c r="E9" i="107"/>
  <c r="D9" i="107" s="1"/>
  <c r="B9" i="107" s="1"/>
  <c r="C10" i="107"/>
  <c r="E10" i="107"/>
  <c r="D10" i="107" s="1"/>
  <c r="B10" i="107" s="1"/>
  <c r="C11" i="107"/>
  <c r="E11" i="107"/>
  <c r="D11" i="107" s="1"/>
  <c r="C12" i="107"/>
  <c r="E12" i="107"/>
  <c r="D12" i="107" s="1"/>
  <c r="C13" i="107"/>
  <c r="E13" i="107"/>
  <c r="D13" i="107" s="1"/>
  <c r="C14" i="107"/>
  <c r="E14" i="107"/>
  <c r="D14" i="107" s="1"/>
  <c r="C15" i="107"/>
  <c r="E15" i="107"/>
  <c r="D15" i="107" s="1"/>
  <c r="C16" i="107"/>
  <c r="E16" i="107"/>
  <c r="D16" i="107" s="1"/>
  <c r="B16" i="107" s="1"/>
  <c r="C17" i="107"/>
  <c r="E17" i="107"/>
  <c r="D17" i="107" s="1"/>
  <c r="C18" i="107"/>
  <c r="E18" i="107"/>
  <c r="D18" i="107" s="1"/>
  <c r="C19" i="107"/>
  <c r="E19" i="107"/>
  <c r="D19" i="107" s="1"/>
  <c r="C7" i="106"/>
  <c r="E7" i="106"/>
  <c r="D7" i="106" s="1"/>
  <c r="B7" i="106" s="1"/>
  <c r="F7" i="106"/>
  <c r="G7" i="106"/>
  <c r="H7" i="106" s="1"/>
  <c r="I7" i="106"/>
  <c r="N7" i="106"/>
  <c r="P7" i="106"/>
  <c r="O7" i="106" s="1"/>
  <c r="C8" i="106"/>
  <c r="E8" i="106"/>
  <c r="D8" i="106" s="1"/>
  <c r="B8" i="106" s="1"/>
  <c r="F8" i="106"/>
  <c r="G8" i="106"/>
  <c r="H8" i="106" s="1"/>
  <c r="I8" i="106"/>
  <c r="N8" i="106"/>
  <c r="P8" i="106"/>
  <c r="O8" i="106" s="1"/>
  <c r="C9" i="106"/>
  <c r="E9" i="106"/>
  <c r="D9" i="106" s="1"/>
  <c r="B9" i="106" s="1"/>
  <c r="F9" i="106"/>
  <c r="G9" i="106"/>
  <c r="H9" i="106" s="1"/>
  <c r="I9" i="106"/>
  <c r="N9" i="106"/>
  <c r="P9" i="106"/>
  <c r="M9" i="106" s="1"/>
  <c r="C10" i="106"/>
  <c r="E10" i="106"/>
  <c r="D10" i="106" s="1"/>
  <c r="B10" i="106" s="1"/>
  <c r="F10" i="106"/>
  <c r="G10" i="106"/>
  <c r="H10" i="106" s="1"/>
  <c r="I10" i="106"/>
  <c r="N10" i="106"/>
  <c r="P10" i="106"/>
  <c r="M10" i="106" s="1"/>
  <c r="C11" i="106"/>
  <c r="E11" i="106"/>
  <c r="D11" i="106" s="1"/>
  <c r="B11" i="106" s="1"/>
  <c r="F11" i="106"/>
  <c r="G11" i="106"/>
  <c r="H11" i="106" s="1"/>
  <c r="I11" i="106"/>
  <c r="N11" i="106"/>
  <c r="P11" i="106"/>
  <c r="O11" i="106" s="1"/>
  <c r="C12" i="106"/>
  <c r="E12" i="106"/>
  <c r="D12" i="106" s="1"/>
  <c r="B12" i="106" s="1"/>
  <c r="F12" i="106"/>
  <c r="G12" i="106"/>
  <c r="H12" i="106" s="1"/>
  <c r="I12" i="106"/>
  <c r="N12" i="106"/>
  <c r="P12" i="106"/>
  <c r="O12" i="106" s="1"/>
  <c r="C13" i="106"/>
  <c r="E13" i="106"/>
  <c r="D13" i="106" s="1"/>
  <c r="B13" i="106" s="1"/>
  <c r="F13" i="106"/>
  <c r="G13" i="106"/>
  <c r="H13" i="106" s="1"/>
  <c r="I13" i="106"/>
  <c r="N13" i="106"/>
  <c r="P13" i="106"/>
  <c r="M13" i="106" s="1"/>
  <c r="C14" i="106"/>
  <c r="E14" i="106"/>
  <c r="D14" i="106" s="1"/>
  <c r="B14" i="106" s="1"/>
  <c r="F14" i="106"/>
  <c r="G14" i="106"/>
  <c r="H14" i="106" s="1"/>
  <c r="I14" i="106"/>
  <c r="N14" i="106"/>
  <c r="P14" i="106"/>
  <c r="M14" i="106" s="1"/>
  <c r="C15" i="106"/>
  <c r="E15" i="106"/>
  <c r="D15" i="106" s="1"/>
  <c r="B15" i="106" s="1"/>
  <c r="F15" i="106"/>
  <c r="G15" i="106"/>
  <c r="H15" i="106" s="1"/>
  <c r="I15" i="106"/>
  <c r="N15" i="106"/>
  <c r="P15" i="106"/>
  <c r="O15" i="106" s="1"/>
  <c r="C16" i="106"/>
  <c r="E16" i="106"/>
  <c r="D16" i="106" s="1"/>
  <c r="B16" i="106" s="1"/>
  <c r="F16" i="106"/>
  <c r="G16" i="106"/>
  <c r="H16" i="106" s="1"/>
  <c r="I16" i="106"/>
  <c r="N16" i="106"/>
  <c r="P16" i="106"/>
  <c r="O16" i="106" s="1"/>
  <c r="C17" i="106"/>
  <c r="E17" i="106"/>
  <c r="D17" i="106" s="1"/>
  <c r="B17" i="106" s="1"/>
  <c r="F17" i="106"/>
  <c r="G17" i="106"/>
  <c r="H17" i="106" s="1"/>
  <c r="I17" i="106"/>
  <c r="N17" i="106"/>
  <c r="P17" i="106"/>
  <c r="M17" i="106" s="1"/>
  <c r="C18" i="106"/>
  <c r="E18" i="106"/>
  <c r="D18" i="106" s="1"/>
  <c r="B18" i="106" s="1"/>
  <c r="F18" i="106"/>
  <c r="G18" i="106"/>
  <c r="H18" i="106" s="1"/>
  <c r="I18" i="106"/>
  <c r="N18" i="106"/>
  <c r="P18" i="106"/>
  <c r="M18" i="106" s="1"/>
  <c r="C19" i="106"/>
  <c r="E19" i="106"/>
  <c r="D19" i="106" s="1"/>
  <c r="B19" i="106" s="1"/>
  <c r="F19" i="106"/>
  <c r="G19" i="106"/>
  <c r="H19" i="106" s="1"/>
  <c r="I19" i="106"/>
  <c r="N19" i="106"/>
  <c r="P19" i="106"/>
  <c r="O19" i="106" s="1"/>
  <c r="C3" i="116"/>
  <c r="C3" i="115"/>
  <c r="C3" i="114"/>
  <c r="C3" i="113"/>
  <c r="C3" i="112"/>
  <c r="C3" i="111"/>
  <c r="C3" i="110"/>
  <c r="C3" i="109"/>
  <c r="C3" i="108"/>
  <c r="P6" i="107"/>
  <c r="N6" i="107"/>
  <c r="K6" i="107"/>
  <c r="I6" i="107"/>
  <c r="G6" i="107"/>
  <c r="F6" i="107"/>
  <c r="E6" i="107"/>
  <c r="D6" i="107" s="1"/>
  <c r="B6" i="107" s="1"/>
  <c r="C6" i="107"/>
  <c r="C3" i="107"/>
  <c r="O16" i="113" l="1"/>
  <c r="O11" i="115"/>
  <c r="O19" i="115"/>
  <c r="O8" i="113"/>
  <c r="O14" i="113"/>
  <c r="O6" i="113"/>
  <c r="O12" i="113"/>
  <c r="O17" i="113"/>
  <c r="O13" i="111"/>
  <c r="O9" i="113"/>
  <c r="J7" i="108"/>
  <c r="J11" i="109"/>
  <c r="J6" i="112"/>
  <c r="J19" i="113"/>
  <c r="O12" i="111"/>
  <c r="O6" i="112"/>
  <c r="J10" i="110"/>
  <c r="J16" i="113"/>
  <c r="J18" i="113"/>
  <c r="O15" i="108"/>
  <c r="J10" i="115"/>
  <c r="J14" i="115"/>
  <c r="J18" i="115"/>
  <c r="J8" i="112"/>
  <c r="J9" i="114"/>
  <c r="O10" i="111"/>
  <c r="O11" i="110"/>
  <c r="O8" i="111"/>
  <c r="O16" i="111"/>
  <c r="O18" i="111"/>
  <c r="J8" i="110"/>
  <c r="J14" i="113"/>
  <c r="J13" i="114"/>
  <c r="O7" i="110"/>
  <c r="J8" i="114"/>
  <c r="J14" i="111"/>
  <c r="O8" i="109"/>
  <c r="O6" i="109"/>
  <c r="O7" i="108"/>
  <c r="J16" i="107"/>
  <c r="J12" i="107"/>
  <c r="J8" i="107"/>
  <c r="O9" i="109"/>
  <c r="O6" i="114"/>
  <c r="J16" i="114"/>
  <c r="J6" i="115"/>
  <c r="J13" i="109"/>
  <c r="J16" i="109"/>
  <c r="J18" i="109"/>
  <c r="O13" i="109"/>
  <c r="O15" i="110"/>
  <c r="J14" i="114"/>
  <c r="J10" i="113"/>
  <c r="J17" i="114"/>
  <c r="O17" i="109"/>
  <c r="J12" i="114"/>
  <c r="J17" i="107"/>
  <c r="J13" i="107"/>
  <c r="J9" i="107"/>
  <c r="J15" i="109"/>
  <c r="J12" i="112"/>
  <c r="J10" i="109"/>
  <c r="J6" i="111"/>
  <c r="J7" i="113"/>
  <c r="J11" i="113"/>
  <c r="J7" i="109"/>
  <c r="J16" i="112"/>
  <c r="J6" i="113"/>
  <c r="J7" i="110"/>
  <c r="J11" i="110"/>
  <c r="J15" i="110"/>
  <c r="J19" i="110"/>
  <c r="J18" i="111"/>
  <c r="J7" i="115"/>
  <c r="J11" i="115"/>
  <c r="J15" i="115"/>
  <c r="J19" i="115"/>
  <c r="J14" i="112"/>
  <c r="J9" i="112"/>
  <c r="J13" i="112"/>
  <c r="J17" i="112"/>
  <c r="H18" i="109"/>
  <c r="J18" i="110"/>
  <c r="J10" i="107"/>
  <c r="O13" i="113"/>
  <c r="J8" i="108"/>
  <c r="J8" i="109"/>
  <c r="J19" i="107"/>
  <c r="J15" i="107"/>
  <c r="J11" i="107"/>
  <c r="J7" i="107"/>
  <c r="J6" i="108"/>
  <c r="J6" i="109"/>
  <c r="H8" i="110"/>
  <c r="J8" i="111"/>
  <c r="J18" i="107"/>
  <c r="J14" i="107"/>
  <c r="H18" i="111"/>
  <c r="J18" i="112"/>
  <c r="H12" i="114"/>
  <c r="J12" i="115"/>
  <c r="J8" i="113"/>
  <c r="J19" i="108"/>
  <c r="J19" i="109"/>
  <c r="H6" i="109"/>
  <c r="J6" i="110"/>
  <c r="H10" i="113"/>
  <c r="J10" i="114"/>
  <c r="H12" i="108"/>
  <c r="F26" i="108" s="1"/>
  <c r="J12" i="109"/>
  <c r="H14" i="109"/>
  <c r="J14" i="110"/>
  <c r="H12" i="110"/>
  <c r="J12" i="111"/>
  <c r="H6" i="113"/>
  <c r="J6" i="114"/>
  <c r="H16" i="114"/>
  <c r="J16" i="115"/>
  <c r="J16" i="110"/>
  <c r="J15" i="113"/>
  <c r="J17" i="109"/>
  <c r="J10" i="111"/>
  <c r="H8" i="114"/>
  <c r="J8" i="115"/>
  <c r="J15" i="108"/>
  <c r="J16" i="108"/>
  <c r="H12" i="109"/>
  <c r="J12" i="110"/>
  <c r="H16" i="110"/>
  <c r="J16" i="111"/>
  <c r="H10" i="111"/>
  <c r="J10" i="112"/>
  <c r="H12" i="112"/>
  <c r="J12" i="113"/>
  <c r="H18" i="113"/>
  <c r="J18" i="114"/>
  <c r="J9" i="109"/>
  <c r="J11" i="108"/>
  <c r="J12" i="108"/>
  <c r="J14" i="109"/>
  <c r="J9" i="110"/>
  <c r="J13" i="110"/>
  <c r="J17" i="110"/>
  <c r="J9" i="111"/>
  <c r="J13" i="111"/>
  <c r="J17" i="111"/>
  <c r="J7" i="112"/>
  <c r="J11" i="112"/>
  <c r="J15" i="112"/>
  <c r="J19" i="112"/>
  <c r="J9" i="113"/>
  <c r="J13" i="113"/>
  <c r="J17" i="113"/>
  <c r="J7" i="114"/>
  <c r="J11" i="114"/>
  <c r="J15" i="114"/>
  <c r="J19" i="114"/>
  <c r="J9" i="115"/>
  <c r="J13" i="115"/>
  <c r="J17" i="115"/>
  <c r="H7" i="114"/>
  <c r="H11" i="114"/>
  <c r="H15" i="114"/>
  <c r="H19" i="114"/>
  <c r="H9" i="113"/>
  <c r="H13" i="113"/>
  <c r="H17" i="113"/>
  <c r="H7" i="112"/>
  <c r="H11" i="112"/>
  <c r="O9" i="111"/>
  <c r="H9" i="111"/>
  <c r="H13" i="111"/>
  <c r="H17" i="111"/>
  <c r="J19" i="111"/>
  <c r="J15" i="111"/>
  <c r="J11" i="111"/>
  <c r="J7" i="111"/>
  <c r="H9" i="110"/>
  <c r="H13" i="110"/>
  <c r="H17" i="110"/>
  <c r="H18" i="110"/>
  <c r="H7" i="109"/>
  <c r="H11" i="109"/>
  <c r="H15" i="109"/>
  <c r="H19" i="109"/>
  <c r="J9" i="108"/>
  <c r="J13" i="108"/>
  <c r="J17" i="108"/>
  <c r="J10" i="108"/>
  <c r="J14" i="108"/>
  <c r="J18" i="108"/>
  <c r="O12" i="109"/>
  <c r="O16" i="110"/>
  <c r="O10" i="114"/>
  <c r="M19" i="106"/>
  <c r="O9" i="106"/>
  <c r="M8" i="106"/>
  <c r="M7" i="106"/>
  <c r="O13" i="106"/>
  <c r="O17" i="106"/>
  <c r="O13" i="107"/>
  <c r="M15" i="106"/>
  <c r="M11" i="106"/>
  <c r="O14" i="114"/>
  <c r="M12" i="106"/>
  <c r="M16" i="106"/>
  <c r="O16" i="109"/>
  <c r="O14" i="111"/>
  <c r="O19" i="108"/>
  <c r="O14" i="109"/>
  <c r="O8" i="110"/>
  <c r="O6" i="111"/>
  <c r="O19" i="114"/>
  <c r="O18" i="109"/>
  <c r="O19" i="110"/>
  <c r="O13" i="115"/>
  <c r="D26" i="111"/>
  <c r="M7" i="107"/>
  <c r="O9" i="108"/>
  <c r="O10" i="109"/>
  <c r="O12" i="110"/>
  <c r="O7" i="115"/>
  <c r="O12" i="108"/>
  <c r="O15" i="112"/>
  <c r="O9" i="114"/>
  <c r="O15" i="114"/>
  <c r="O10" i="113"/>
  <c r="M15" i="107"/>
  <c r="O11" i="107"/>
  <c r="I22" i="108"/>
  <c r="O9" i="112"/>
  <c r="O19" i="112"/>
  <c r="K31" i="107"/>
  <c r="M31" i="107" s="1"/>
  <c r="O11" i="108"/>
  <c r="O17" i="108"/>
  <c r="N22" i="112"/>
  <c r="O14" i="112"/>
  <c r="O18" i="112"/>
  <c r="O18" i="113"/>
  <c r="O15" i="115"/>
  <c r="I22" i="111"/>
  <c r="N22" i="111"/>
  <c r="B14" i="107"/>
  <c r="B18" i="107"/>
  <c r="B15" i="107"/>
  <c r="B12" i="107"/>
  <c r="B19" i="107"/>
  <c r="B11" i="107"/>
  <c r="H14" i="107"/>
  <c r="M16" i="107"/>
  <c r="M12" i="107"/>
  <c r="O8" i="108"/>
  <c r="F22" i="110"/>
  <c r="O9" i="110"/>
  <c r="O13" i="110"/>
  <c r="O17" i="110"/>
  <c r="O7" i="112"/>
  <c r="O11" i="112"/>
  <c r="O13" i="114"/>
  <c r="O17" i="115"/>
  <c r="H12" i="107"/>
  <c r="O16" i="107"/>
  <c r="O16" i="108"/>
  <c r="H6" i="107"/>
  <c r="B13" i="107"/>
  <c r="D26" i="109"/>
  <c r="P22" i="109"/>
  <c r="O13" i="112"/>
  <c r="D26" i="113"/>
  <c r="P22" i="113"/>
  <c r="B17" i="107"/>
  <c r="D7" i="107"/>
  <c r="D22" i="107" s="1"/>
  <c r="H18" i="107"/>
  <c r="H17" i="107"/>
  <c r="H10" i="107"/>
  <c r="H9" i="107"/>
  <c r="M19" i="107"/>
  <c r="O9" i="107"/>
  <c r="O10" i="107"/>
  <c r="F22" i="109"/>
  <c r="D26" i="112"/>
  <c r="K31" i="112"/>
  <c r="M31" i="112" s="1"/>
  <c r="O17" i="112"/>
  <c r="F22" i="113"/>
  <c r="F22" i="114"/>
  <c r="O7" i="114"/>
  <c r="O17" i="114"/>
  <c r="O12" i="115"/>
  <c r="O16" i="115"/>
  <c r="O9" i="115"/>
  <c r="L6" i="107"/>
  <c r="H16" i="107"/>
  <c r="H15" i="107"/>
  <c r="H8" i="107"/>
  <c r="O19" i="107"/>
  <c r="O8" i="107"/>
  <c r="M17" i="107"/>
  <c r="N22" i="108"/>
  <c r="O13" i="108"/>
  <c r="P22" i="112"/>
  <c r="O18" i="114"/>
  <c r="O8" i="115"/>
  <c r="O10" i="112"/>
  <c r="K31" i="114"/>
  <c r="M31" i="114" s="1"/>
  <c r="O11" i="114"/>
  <c r="E22" i="112"/>
  <c r="K33" i="112" s="1"/>
  <c r="M33" i="112" s="1"/>
  <c r="I22" i="112"/>
  <c r="D26" i="114"/>
  <c r="N22" i="115"/>
  <c r="F22" i="108"/>
  <c r="I22" i="109"/>
  <c r="N22" i="109"/>
  <c r="N22" i="110"/>
  <c r="F22" i="111"/>
  <c r="P22" i="111"/>
  <c r="F22" i="112"/>
  <c r="I22" i="113"/>
  <c r="N22" i="113"/>
  <c r="N22" i="114"/>
  <c r="E22" i="114"/>
  <c r="K33" i="114" s="1"/>
  <c r="M33" i="114" s="1"/>
  <c r="I22" i="114"/>
  <c r="F22" i="115"/>
  <c r="N22" i="116"/>
  <c r="E22" i="116"/>
  <c r="I22" i="116"/>
  <c r="G25" i="116"/>
  <c r="G26" i="116"/>
  <c r="M22" i="116"/>
  <c r="L22" i="116"/>
  <c r="E26" i="116"/>
  <c r="E25" i="116"/>
  <c r="H22" i="116"/>
  <c r="F25" i="116"/>
  <c r="F26" i="116"/>
  <c r="K31" i="116"/>
  <c r="M31" i="116" s="1"/>
  <c r="D25" i="116"/>
  <c r="O6" i="115"/>
  <c r="P22" i="115"/>
  <c r="F26" i="115"/>
  <c r="F25" i="115"/>
  <c r="O14" i="115"/>
  <c r="H22" i="115"/>
  <c r="K31" i="115"/>
  <c r="M31" i="115" s="1"/>
  <c r="D26" i="115"/>
  <c r="O10" i="115"/>
  <c r="O18" i="115"/>
  <c r="D25" i="115"/>
  <c r="E22" i="115"/>
  <c r="K33" i="115" s="1"/>
  <c r="M33" i="115" s="1"/>
  <c r="I22" i="115"/>
  <c r="G22" i="115"/>
  <c r="O8" i="114"/>
  <c r="O12" i="114"/>
  <c r="O16" i="114"/>
  <c r="G22" i="114"/>
  <c r="P22" i="114"/>
  <c r="D25" i="114"/>
  <c r="G22" i="113"/>
  <c r="K31" i="113"/>
  <c r="M31" i="113" s="1"/>
  <c r="O7" i="113"/>
  <c r="O11" i="113"/>
  <c r="O15" i="113"/>
  <c r="O19" i="113"/>
  <c r="E22" i="113"/>
  <c r="K33" i="113" s="1"/>
  <c r="M33" i="113" s="1"/>
  <c r="D25" i="113"/>
  <c r="O8" i="112"/>
  <c r="O12" i="112"/>
  <c r="O16" i="112"/>
  <c r="G22" i="112"/>
  <c r="D25" i="112"/>
  <c r="G22" i="111"/>
  <c r="K31" i="111"/>
  <c r="M31" i="111" s="1"/>
  <c r="O7" i="111"/>
  <c r="O11" i="111"/>
  <c r="O15" i="111"/>
  <c r="O19" i="111"/>
  <c r="E22" i="111"/>
  <c r="K33" i="111" s="1"/>
  <c r="M33" i="111" s="1"/>
  <c r="D25" i="111"/>
  <c r="O6" i="110"/>
  <c r="P22" i="110"/>
  <c r="O14" i="110"/>
  <c r="K31" i="110"/>
  <c r="M31" i="110" s="1"/>
  <c r="D26" i="110"/>
  <c r="O10" i="110"/>
  <c r="O18" i="110"/>
  <c r="D25" i="110"/>
  <c r="E22" i="110"/>
  <c r="K33" i="110" s="1"/>
  <c r="M33" i="110" s="1"/>
  <c r="I22" i="110"/>
  <c r="G22" i="110"/>
  <c r="G22" i="109"/>
  <c r="K31" i="109"/>
  <c r="M31" i="109" s="1"/>
  <c r="O7" i="109"/>
  <c r="O11" i="109"/>
  <c r="O15" i="109"/>
  <c r="O19" i="109"/>
  <c r="E22" i="109"/>
  <c r="K33" i="109" s="1"/>
  <c r="M33" i="109" s="1"/>
  <c r="D25" i="109"/>
  <c r="K31" i="108"/>
  <c r="M31" i="108" s="1"/>
  <c r="D26" i="108"/>
  <c r="O10" i="108"/>
  <c r="O18" i="108"/>
  <c r="D25" i="108"/>
  <c r="E22" i="108"/>
  <c r="K33" i="108" s="1"/>
  <c r="M33" i="108" s="1"/>
  <c r="O6" i="108"/>
  <c r="P22" i="108"/>
  <c r="O14" i="108"/>
  <c r="G22" i="108"/>
  <c r="M18" i="107"/>
  <c r="M14" i="107"/>
  <c r="M10" i="107"/>
  <c r="O18" i="106"/>
  <c r="O14" i="106"/>
  <c r="O10" i="106"/>
  <c r="F22" i="107"/>
  <c r="N22" i="107"/>
  <c r="P22" i="107"/>
  <c r="D26" i="107"/>
  <c r="I22" i="107"/>
  <c r="M6" i="107"/>
  <c r="O6" i="107"/>
  <c r="E22" i="107"/>
  <c r="G22" i="107"/>
  <c r="D25" i="107"/>
  <c r="F26" i="112" l="1"/>
  <c r="H22" i="112"/>
  <c r="F26" i="114"/>
  <c r="F25" i="110"/>
  <c r="H22" i="109"/>
  <c r="F25" i="112"/>
  <c r="F25" i="111"/>
  <c r="H22" i="114"/>
  <c r="H22" i="108"/>
  <c r="F25" i="114"/>
  <c r="H22" i="110"/>
  <c r="F26" i="111"/>
  <c r="F25" i="108"/>
  <c r="F28" i="108" s="1"/>
  <c r="H22" i="113"/>
  <c r="F26" i="110"/>
  <c r="F25" i="113"/>
  <c r="F26" i="113"/>
  <c r="H22" i="111"/>
  <c r="F26" i="109"/>
  <c r="O22" i="114"/>
  <c r="G26" i="114"/>
  <c r="F25" i="109"/>
  <c r="D22" i="110"/>
  <c r="G25" i="114"/>
  <c r="G25" i="109"/>
  <c r="F26" i="107"/>
  <c r="B22" i="110"/>
  <c r="K25" i="114"/>
  <c r="M22" i="114"/>
  <c r="H22" i="107"/>
  <c r="B22" i="107"/>
  <c r="G26" i="108"/>
  <c r="M25" i="110"/>
  <c r="F25" i="107"/>
  <c r="G25" i="112"/>
  <c r="G25" i="115"/>
  <c r="G26" i="113"/>
  <c r="M25" i="115"/>
  <c r="B22" i="115"/>
  <c r="G25" i="110"/>
  <c r="M22" i="112"/>
  <c r="M25" i="114"/>
  <c r="G26" i="115"/>
  <c r="M22" i="115"/>
  <c r="M22" i="109"/>
  <c r="G26" i="110"/>
  <c r="M22" i="110"/>
  <c r="G26" i="111"/>
  <c r="G26" i="112"/>
  <c r="M22" i="113"/>
  <c r="K25" i="115"/>
  <c r="D22" i="115"/>
  <c r="M25" i="108"/>
  <c r="K25" i="110"/>
  <c r="O22" i="112"/>
  <c r="F28" i="115"/>
  <c r="B7" i="107"/>
  <c r="E28" i="116"/>
  <c r="H26" i="116"/>
  <c r="H25" i="116"/>
  <c r="D28" i="116"/>
  <c r="F28" i="116"/>
  <c r="G28" i="116"/>
  <c r="D28" i="115"/>
  <c r="O22" i="115"/>
  <c r="B21" i="115"/>
  <c r="D28" i="114"/>
  <c r="D22" i="114"/>
  <c r="B22" i="114"/>
  <c r="B21" i="114"/>
  <c r="D22" i="113"/>
  <c r="B21" i="113"/>
  <c r="B22" i="113"/>
  <c r="M25" i="113"/>
  <c r="K25" i="113"/>
  <c r="O22" i="113"/>
  <c r="G25" i="113"/>
  <c r="D28" i="113"/>
  <c r="D22" i="112"/>
  <c r="B21" i="112"/>
  <c r="B22" i="112"/>
  <c r="K25" i="112"/>
  <c r="M25" i="112"/>
  <c r="D28" i="112"/>
  <c r="D22" i="111"/>
  <c r="B21" i="111"/>
  <c r="B22" i="111"/>
  <c r="M22" i="111"/>
  <c r="M25" i="111"/>
  <c r="K25" i="111"/>
  <c r="O22" i="111"/>
  <c r="G25" i="111"/>
  <c r="D28" i="111"/>
  <c r="D28" i="110"/>
  <c r="O22" i="110"/>
  <c r="B21" i="110"/>
  <c r="M25" i="109"/>
  <c r="K25" i="109"/>
  <c r="O22" i="109"/>
  <c r="D28" i="109"/>
  <c r="G26" i="109"/>
  <c r="D22" i="109"/>
  <c r="B21" i="109"/>
  <c r="B22" i="109"/>
  <c r="K25" i="108"/>
  <c r="G25" i="108"/>
  <c r="M22" i="108"/>
  <c r="B22" i="108"/>
  <c r="B21" i="108"/>
  <c r="O22" i="108"/>
  <c r="D28" i="108"/>
  <c r="D22" i="108"/>
  <c r="M22" i="107"/>
  <c r="K25" i="107"/>
  <c r="M25" i="107"/>
  <c r="O22" i="107"/>
  <c r="D28" i="107"/>
  <c r="G26" i="107"/>
  <c r="G25" i="107"/>
  <c r="F28" i="112" l="1"/>
  <c r="F28" i="111"/>
  <c r="F28" i="114"/>
  <c r="F28" i="110"/>
  <c r="F28" i="113"/>
  <c r="G28" i="109"/>
  <c r="F28" i="109"/>
  <c r="G28" i="111"/>
  <c r="G28" i="108"/>
  <c r="G28" i="114"/>
  <c r="G28" i="115"/>
  <c r="F28" i="107"/>
  <c r="G28" i="110"/>
  <c r="G28" i="112"/>
  <c r="G28" i="113"/>
  <c r="B21" i="107"/>
  <c r="H28" i="116"/>
  <c r="G28" i="107"/>
  <c r="P6" i="106" l="1"/>
  <c r="O6" i="106" s="1"/>
  <c r="N6" i="106"/>
  <c r="K6" i="106"/>
  <c r="L6" i="106" s="1"/>
  <c r="I6" i="106"/>
  <c r="G6" i="106"/>
  <c r="H6" i="106" s="1"/>
  <c r="F6" i="106"/>
  <c r="C6" i="106"/>
  <c r="C3" i="106"/>
  <c r="J6" i="107" l="1"/>
  <c r="N22" i="106"/>
  <c r="F22" i="106"/>
  <c r="P22" i="106"/>
  <c r="I22" i="106"/>
  <c r="M6" i="106"/>
  <c r="F26" i="106"/>
  <c r="F25" i="106"/>
  <c r="H22" i="106"/>
  <c r="G22" i="106"/>
  <c r="O22" i="106" l="1"/>
  <c r="G26" i="106"/>
  <c r="K25" i="106"/>
  <c r="M25" i="106"/>
  <c r="F28" i="106"/>
  <c r="M22" i="106"/>
  <c r="G25" i="106"/>
  <c r="G28" i="106" l="1"/>
  <c r="P19" i="105" l="1"/>
  <c r="M19" i="105" s="1"/>
  <c r="N19" i="105"/>
  <c r="I19" i="105"/>
  <c r="G19" i="105"/>
  <c r="H19" i="105" s="1"/>
  <c r="F19" i="105"/>
  <c r="P18" i="105"/>
  <c r="M18" i="105" s="1"/>
  <c r="N18" i="105"/>
  <c r="I18" i="105"/>
  <c r="G18" i="105"/>
  <c r="H18" i="105" s="1"/>
  <c r="F18" i="105"/>
  <c r="P17" i="105"/>
  <c r="M17" i="105" s="1"/>
  <c r="N17" i="105"/>
  <c r="I17" i="105"/>
  <c r="G17" i="105"/>
  <c r="H17" i="105" s="1"/>
  <c r="F17" i="105"/>
  <c r="P16" i="105"/>
  <c r="M16" i="105" s="1"/>
  <c r="N16" i="105"/>
  <c r="I16" i="105"/>
  <c r="G16" i="105"/>
  <c r="H16" i="105" s="1"/>
  <c r="F16" i="105"/>
  <c r="P15" i="105"/>
  <c r="M15" i="105" s="1"/>
  <c r="N15" i="105"/>
  <c r="I15" i="105"/>
  <c r="G15" i="105"/>
  <c r="H15" i="105" s="1"/>
  <c r="F15" i="105"/>
  <c r="P14" i="105"/>
  <c r="M14" i="105" s="1"/>
  <c r="N14" i="105"/>
  <c r="I14" i="105"/>
  <c r="G14" i="105"/>
  <c r="H14" i="105" s="1"/>
  <c r="F14" i="105"/>
  <c r="P13" i="105"/>
  <c r="M13" i="105" s="1"/>
  <c r="N13" i="105"/>
  <c r="I13" i="105"/>
  <c r="G13" i="105"/>
  <c r="H13" i="105" s="1"/>
  <c r="F13" i="105"/>
  <c r="P12" i="105"/>
  <c r="M12" i="105" s="1"/>
  <c r="N12" i="105"/>
  <c r="I12" i="105"/>
  <c r="G12" i="105"/>
  <c r="H12" i="105" s="1"/>
  <c r="F12" i="105"/>
  <c r="P11" i="105"/>
  <c r="O11" i="105" s="1"/>
  <c r="N11" i="105"/>
  <c r="I11" i="105"/>
  <c r="G11" i="105"/>
  <c r="H11" i="105" s="1"/>
  <c r="F11" i="105"/>
  <c r="P10" i="105"/>
  <c r="M10" i="105" s="1"/>
  <c r="N10" i="105"/>
  <c r="I10" i="105"/>
  <c r="G10" i="105"/>
  <c r="H10" i="105" s="1"/>
  <c r="F10" i="105"/>
  <c r="P9" i="105"/>
  <c r="M9" i="105" s="1"/>
  <c r="N9" i="105"/>
  <c r="I9" i="105"/>
  <c r="G9" i="105"/>
  <c r="H9" i="105" s="1"/>
  <c r="F9" i="105"/>
  <c r="P8" i="105"/>
  <c r="M8" i="105" s="1"/>
  <c r="N8" i="105"/>
  <c r="I8" i="105"/>
  <c r="G8" i="105"/>
  <c r="H8" i="105" s="1"/>
  <c r="F8" i="105"/>
  <c r="P7" i="105"/>
  <c r="O7" i="105" s="1"/>
  <c r="N7" i="105"/>
  <c r="I7" i="105"/>
  <c r="G7" i="105"/>
  <c r="H7" i="105" s="1"/>
  <c r="F7" i="105"/>
  <c r="P6" i="105"/>
  <c r="M6" i="105" s="1"/>
  <c r="N6" i="105"/>
  <c r="K6" i="105"/>
  <c r="L6" i="105" s="1"/>
  <c r="I6" i="105"/>
  <c r="G6" i="105"/>
  <c r="H6" i="105" s="1"/>
  <c r="F6" i="105"/>
  <c r="C19" i="105"/>
  <c r="C18" i="105"/>
  <c r="C17" i="105"/>
  <c r="C16" i="105"/>
  <c r="C15" i="105"/>
  <c r="C14" i="105"/>
  <c r="C13" i="105"/>
  <c r="C12" i="105"/>
  <c r="C11" i="105"/>
  <c r="C10" i="105"/>
  <c r="C9" i="105"/>
  <c r="C8" i="105"/>
  <c r="C7" i="105"/>
  <c r="C6" i="105"/>
  <c r="C3" i="105"/>
  <c r="J8" i="106" l="1"/>
  <c r="J12" i="106"/>
  <c r="J13" i="106"/>
  <c r="J17" i="106"/>
  <c r="J10" i="106"/>
  <c r="J14" i="106"/>
  <c r="J18" i="106"/>
  <c r="J16" i="106"/>
  <c r="J9" i="106"/>
  <c r="J7" i="106"/>
  <c r="J11" i="106"/>
  <c r="J15" i="106"/>
  <c r="J19" i="106"/>
  <c r="J6" i="106"/>
  <c r="O13" i="105"/>
  <c r="O17" i="105"/>
  <c r="O14" i="105"/>
  <c r="O6" i="105"/>
  <c r="F22" i="105"/>
  <c r="M7" i="105"/>
  <c r="O10" i="105"/>
  <c r="N22" i="105"/>
  <c r="I22" i="105"/>
  <c r="M11" i="105"/>
  <c r="O9" i="105"/>
  <c r="O18" i="105"/>
  <c r="O8" i="105"/>
  <c r="O12" i="105"/>
  <c r="O15" i="105"/>
  <c r="F26" i="105"/>
  <c r="F25" i="105"/>
  <c r="O16" i="105"/>
  <c r="H22" i="105"/>
  <c r="O19" i="105"/>
  <c r="P22" i="105"/>
  <c r="G22" i="105"/>
  <c r="P8" i="104"/>
  <c r="P8" i="116" s="1"/>
  <c r="N8" i="104"/>
  <c r="K8" i="104"/>
  <c r="I8" i="104"/>
  <c r="G8" i="104"/>
  <c r="G8" i="116" s="1"/>
  <c r="C8" i="104"/>
  <c r="J22" i="112" l="1"/>
  <c r="J22" i="111"/>
  <c r="J22" i="109"/>
  <c r="J22" i="115"/>
  <c r="J22" i="110"/>
  <c r="J22" i="108"/>
  <c r="J22" i="114"/>
  <c r="J22" i="113"/>
  <c r="L8" i="104"/>
  <c r="H8" i="104"/>
  <c r="M8" i="104"/>
  <c r="J22" i="107"/>
  <c r="K25" i="105"/>
  <c r="F28" i="105"/>
  <c r="O22" i="105"/>
  <c r="G25" i="105"/>
  <c r="M25" i="105"/>
  <c r="M22" i="105"/>
  <c r="G26" i="105"/>
  <c r="O8" i="104"/>
  <c r="O8" i="116" s="1"/>
  <c r="G28" i="105" l="1"/>
  <c r="C7" i="104"/>
  <c r="C9" i="104"/>
  <c r="C10" i="104"/>
  <c r="C11" i="104"/>
  <c r="C12" i="104"/>
  <c r="C13" i="104"/>
  <c r="C14" i="104"/>
  <c r="C15" i="104"/>
  <c r="C16" i="104"/>
  <c r="C17" i="104"/>
  <c r="C18" i="104"/>
  <c r="C19" i="104"/>
  <c r="C6" i="104" l="1"/>
  <c r="F7" i="104" l="1"/>
  <c r="F7" i="116" s="1"/>
  <c r="G7" i="104"/>
  <c r="G7" i="116" s="1"/>
  <c r="I7" i="104"/>
  <c r="N7" i="104"/>
  <c r="P7" i="104"/>
  <c r="P7" i="116" s="1"/>
  <c r="G9" i="104"/>
  <c r="G9" i="116" s="1"/>
  <c r="I9" i="104"/>
  <c r="N9" i="104"/>
  <c r="P9" i="104"/>
  <c r="P9" i="116" s="1"/>
  <c r="F10" i="104"/>
  <c r="F10" i="116" s="1"/>
  <c r="G10" i="104"/>
  <c r="G10" i="116" s="1"/>
  <c r="I10" i="104"/>
  <c r="N10" i="104"/>
  <c r="P10" i="104"/>
  <c r="P10" i="116" s="1"/>
  <c r="F11" i="104"/>
  <c r="F11" i="116" s="1"/>
  <c r="G11" i="104"/>
  <c r="G11" i="116" s="1"/>
  <c r="I11" i="104"/>
  <c r="N11" i="104"/>
  <c r="P11" i="104"/>
  <c r="P11" i="116" s="1"/>
  <c r="F12" i="104"/>
  <c r="F12" i="116" s="1"/>
  <c r="G12" i="104"/>
  <c r="G12" i="116" s="1"/>
  <c r="I12" i="104"/>
  <c r="N12" i="104"/>
  <c r="P12" i="104"/>
  <c r="P12" i="116" s="1"/>
  <c r="F13" i="104"/>
  <c r="F13" i="116" s="1"/>
  <c r="G13" i="104"/>
  <c r="G13" i="116" s="1"/>
  <c r="I13" i="104"/>
  <c r="N13" i="104"/>
  <c r="P13" i="104"/>
  <c r="P13" i="116" s="1"/>
  <c r="F14" i="104"/>
  <c r="F14" i="116" s="1"/>
  <c r="G14" i="104"/>
  <c r="G14" i="116" s="1"/>
  <c r="I14" i="104"/>
  <c r="N14" i="104"/>
  <c r="P14" i="104"/>
  <c r="P14" i="116" s="1"/>
  <c r="F15" i="104"/>
  <c r="F15" i="116" s="1"/>
  <c r="G15" i="104"/>
  <c r="G15" i="116" s="1"/>
  <c r="I15" i="104"/>
  <c r="N15" i="104"/>
  <c r="P15" i="104"/>
  <c r="P15" i="116" s="1"/>
  <c r="F16" i="104"/>
  <c r="F16" i="116" s="1"/>
  <c r="G16" i="104"/>
  <c r="G16" i="116" s="1"/>
  <c r="I16" i="104"/>
  <c r="N16" i="104"/>
  <c r="P16" i="104"/>
  <c r="P16" i="116" s="1"/>
  <c r="F17" i="104"/>
  <c r="F17" i="116" s="1"/>
  <c r="G17" i="104"/>
  <c r="G17" i="116" s="1"/>
  <c r="I17" i="104"/>
  <c r="N17" i="104"/>
  <c r="P17" i="104"/>
  <c r="P17" i="116" s="1"/>
  <c r="F18" i="104"/>
  <c r="F18" i="116" s="1"/>
  <c r="G18" i="104"/>
  <c r="G18" i="116" s="1"/>
  <c r="I18" i="104"/>
  <c r="K18" i="104"/>
  <c r="N18" i="104"/>
  <c r="P18" i="104"/>
  <c r="P18" i="116" s="1"/>
  <c r="F19" i="104"/>
  <c r="F19" i="116" s="1"/>
  <c r="G19" i="104"/>
  <c r="G19" i="116" s="1"/>
  <c r="I19" i="104"/>
  <c r="N19" i="104"/>
  <c r="P19" i="104"/>
  <c r="P19" i="116" s="1"/>
  <c r="P6" i="104"/>
  <c r="P6" i="116" s="1"/>
  <c r="N6" i="104"/>
  <c r="K6" i="104"/>
  <c r="K6" i="116" s="1"/>
  <c r="I6" i="104"/>
  <c r="G6" i="104"/>
  <c r="G6" i="116" s="1"/>
  <c r="F6" i="104"/>
  <c r="F6" i="116" s="1"/>
  <c r="J22" i="104"/>
  <c r="C3" i="104"/>
  <c r="G22" i="116" l="1"/>
  <c r="P22" i="116"/>
  <c r="H6" i="104"/>
  <c r="M6" i="104"/>
  <c r="L18" i="104"/>
  <c r="O14" i="104"/>
  <c r="O14" i="116" s="1"/>
  <c r="H13" i="104"/>
  <c r="O10" i="104"/>
  <c r="O10" i="116" s="1"/>
  <c r="H9" i="104"/>
  <c r="O19" i="104"/>
  <c r="O19" i="116" s="1"/>
  <c r="O17" i="104"/>
  <c r="O17" i="116" s="1"/>
  <c r="H16" i="104"/>
  <c r="O13" i="104"/>
  <c r="O13" i="116" s="1"/>
  <c r="H12" i="104"/>
  <c r="K34" i="110"/>
  <c r="M34" i="110" s="1"/>
  <c r="K34" i="113"/>
  <c r="M34" i="113" s="1"/>
  <c r="L6" i="104"/>
  <c r="O18" i="104"/>
  <c r="O18" i="116" s="1"/>
  <c r="H18" i="104"/>
  <c r="O16" i="104"/>
  <c r="O16" i="116" s="1"/>
  <c r="H15" i="104"/>
  <c r="O12" i="104"/>
  <c r="O12" i="116" s="1"/>
  <c r="H11" i="104"/>
  <c r="H19" i="104"/>
  <c r="H17" i="104"/>
  <c r="H7" i="104"/>
  <c r="O9" i="104"/>
  <c r="O9" i="116" s="1"/>
  <c r="O7" i="104"/>
  <c r="O7" i="116" s="1"/>
  <c r="O15" i="104"/>
  <c r="O15" i="116" s="1"/>
  <c r="H14" i="104"/>
  <c r="O11" i="104"/>
  <c r="O11" i="116" s="1"/>
  <c r="H10" i="104"/>
  <c r="K34" i="108"/>
  <c r="M34" i="108" s="1"/>
  <c r="K34" i="111"/>
  <c r="M34" i="111" s="1"/>
  <c r="K34" i="109"/>
  <c r="M34" i="109" s="1"/>
  <c r="K34" i="112"/>
  <c r="M34" i="112" s="1"/>
  <c r="J14" i="105"/>
  <c r="J14" i="116" s="1"/>
  <c r="J11" i="105"/>
  <c r="J11" i="116" s="1"/>
  <c r="J16" i="105"/>
  <c r="J16" i="116" s="1"/>
  <c r="J19" i="105"/>
  <c r="J19" i="116" s="1"/>
  <c r="J17" i="105"/>
  <c r="J17" i="116" s="1"/>
  <c r="J13" i="105"/>
  <c r="J13" i="116" s="1"/>
  <c r="J10" i="105"/>
  <c r="J10" i="116" s="1"/>
  <c r="J6" i="105"/>
  <c r="J6" i="116" s="1"/>
  <c r="J18" i="105"/>
  <c r="J18" i="116" s="1"/>
  <c r="J15" i="105"/>
  <c r="J15" i="116" s="1"/>
  <c r="J12" i="105"/>
  <c r="J12" i="116" s="1"/>
  <c r="J7" i="105"/>
  <c r="J7" i="116" s="1"/>
  <c r="M14" i="104"/>
  <c r="M16" i="104"/>
  <c r="M9" i="104"/>
  <c r="M19" i="104"/>
  <c r="M11" i="104"/>
  <c r="M18" i="104"/>
  <c r="M17" i="104"/>
  <c r="M15" i="104"/>
  <c r="M13" i="104"/>
  <c r="M12" i="104"/>
  <c r="M10" i="104"/>
  <c r="M7" i="104"/>
  <c r="I22" i="104"/>
  <c r="N22" i="104"/>
  <c r="P22" i="104"/>
  <c r="O6" i="104"/>
  <c r="O6" i="116" s="1"/>
  <c r="G22" i="104"/>
  <c r="Q26" i="116" l="1"/>
  <c r="Q28" i="116" s="1"/>
  <c r="Q24" i="116"/>
  <c r="O22" i="116"/>
  <c r="M25" i="116"/>
  <c r="K25" i="116"/>
  <c r="M25" i="104"/>
  <c r="F26" i="104"/>
  <c r="H22" i="104"/>
  <c r="F25" i="104"/>
  <c r="J22" i="106"/>
  <c r="G26" i="104"/>
  <c r="K25" i="104"/>
  <c r="O22" i="104"/>
  <c r="G25" i="104"/>
  <c r="M22" i="104"/>
  <c r="S18" i="116" l="1"/>
  <c r="S7" i="116"/>
  <c r="S19" i="116"/>
  <c r="S16" i="116"/>
  <c r="S8" i="116"/>
  <c r="S14" i="116"/>
  <c r="S13" i="116"/>
  <c r="S11" i="116"/>
  <c r="S10" i="116"/>
  <c r="S9" i="116"/>
  <c r="S6" i="116"/>
  <c r="S12" i="116"/>
  <c r="S17" i="116"/>
  <c r="S15" i="116"/>
  <c r="F28" i="104"/>
  <c r="G28" i="104"/>
  <c r="F8" i="104" l="1"/>
  <c r="F8" i="116" s="1"/>
  <c r="J8" i="105" l="1"/>
  <c r="J8" i="116" s="1"/>
  <c r="F9" i="104"/>
  <c r="F9" i="116" s="1"/>
  <c r="F22" i="116" s="1"/>
  <c r="J9" i="105" l="1"/>
  <c r="J9" i="116" s="1"/>
  <c r="J22" i="116" s="1"/>
  <c r="K32" i="116" s="1"/>
  <c r="M32" i="116" s="1"/>
  <c r="F22" i="104"/>
  <c r="J22" i="105" l="1"/>
  <c r="K31" i="106"/>
  <c r="M31" i="106" s="1"/>
  <c r="E6" i="106"/>
  <c r="E22" i="106" l="1"/>
  <c r="D25" i="106"/>
  <c r="D6" i="106"/>
  <c r="D26" i="106" l="1"/>
  <c r="B22" i="106"/>
  <c r="D22" i="106"/>
  <c r="B6" i="106"/>
  <c r="B21" i="106" s="1"/>
  <c r="E9" i="105"/>
  <c r="D9" i="105" s="1"/>
  <c r="B9" i="105" s="1"/>
  <c r="E13" i="105"/>
  <c r="D13" i="105" s="1"/>
  <c r="B13" i="105" s="1"/>
  <c r="D28" i="106" l="1"/>
  <c r="E16" i="105"/>
  <c r="D16" i="105" s="1"/>
  <c r="B16" i="105" s="1"/>
  <c r="E7" i="105"/>
  <c r="E15" i="105"/>
  <c r="D15" i="105" s="1"/>
  <c r="B15" i="105" s="1"/>
  <c r="D7" i="105" l="1"/>
  <c r="B7" i="105" s="1"/>
  <c r="E11" i="105" l="1"/>
  <c r="D11" i="105" s="1"/>
  <c r="B11" i="105" s="1"/>
  <c r="E6" i="105"/>
  <c r="E8" i="105"/>
  <c r="E17" i="105"/>
  <c r="D17" i="105" s="1"/>
  <c r="B17" i="105" s="1"/>
  <c r="E10" i="105"/>
  <c r="D10" i="105" s="1"/>
  <c r="B10" i="105" s="1"/>
  <c r="E19" i="105"/>
  <c r="D19" i="105" s="1"/>
  <c r="B19" i="105" s="1"/>
  <c r="E12" i="105"/>
  <c r="D12" i="105" s="1"/>
  <c r="B12" i="105" s="1"/>
  <c r="E18" i="105"/>
  <c r="D18" i="105" s="1"/>
  <c r="B18" i="105" s="1"/>
  <c r="E14" i="105"/>
  <c r="D14" i="105" s="1"/>
  <c r="B14" i="105" s="1"/>
  <c r="D6" i="105" l="1"/>
  <c r="D25" i="105"/>
  <c r="E22" i="105"/>
  <c r="D8" i="105"/>
  <c r="K31" i="105"/>
  <c r="M31" i="105" s="1"/>
  <c r="D26" i="105" l="1"/>
  <c r="D22" i="105"/>
  <c r="B8" i="105"/>
  <c r="B6" i="105"/>
  <c r="B22" i="105"/>
  <c r="D28" i="105" l="1"/>
  <c r="B21" i="105"/>
  <c r="E17" i="104" l="1"/>
  <c r="D17" i="104" s="1"/>
  <c r="D17" i="116" s="1"/>
  <c r="E10" i="104"/>
  <c r="D10" i="104" s="1"/>
  <c r="D10" i="116" s="1"/>
  <c r="E14" i="104"/>
  <c r="D14" i="104" s="1"/>
  <c r="D14" i="116" s="1"/>
  <c r="E15" i="104"/>
  <c r="D15" i="104" s="1"/>
  <c r="D15" i="116" s="1"/>
  <c r="E18" i="104"/>
  <c r="D18" i="104" s="1"/>
  <c r="D18" i="116" s="1"/>
  <c r="E8" i="104"/>
  <c r="D8" i="104" s="1"/>
  <c r="D8" i="116" s="1"/>
  <c r="E11" i="104"/>
  <c r="D11" i="104" s="1"/>
  <c r="D11" i="116" s="1"/>
  <c r="E13" i="104"/>
  <c r="D13" i="104" s="1"/>
  <c r="D13" i="116" s="1"/>
  <c r="E6" i="104"/>
  <c r="E7" i="104"/>
  <c r="E16" i="104"/>
  <c r="D16" i="104" s="1"/>
  <c r="D16" i="116" s="1"/>
  <c r="E19" i="104"/>
  <c r="D19" i="104" s="1"/>
  <c r="D19" i="116" s="1"/>
  <c r="E9" i="104"/>
  <c r="D9" i="104" s="1"/>
  <c r="D9" i="116" s="1"/>
  <c r="E12" i="104"/>
  <c r="D12" i="104" s="1"/>
  <c r="D12" i="116" s="1"/>
  <c r="B9" i="104" l="1"/>
  <c r="B9" i="116" s="1"/>
  <c r="B14" i="104"/>
  <c r="B14" i="116" s="1"/>
  <c r="B19" i="104"/>
  <c r="B19" i="116" s="1"/>
  <c r="B11" i="104"/>
  <c r="B11" i="116" s="1"/>
  <c r="B8" i="104"/>
  <c r="B8" i="116" s="1"/>
  <c r="B10" i="104"/>
  <c r="B10" i="116" s="1"/>
  <c r="B16" i="104"/>
  <c r="B16" i="116" s="1"/>
  <c r="B15" i="104"/>
  <c r="B15" i="116" s="1"/>
  <c r="B17" i="104"/>
  <c r="B17" i="116" s="1"/>
  <c r="B12" i="104"/>
  <c r="B12" i="116" s="1"/>
  <c r="B13" i="104"/>
  <c r="B13" i="116" s="1"/>
  <c r="B18" i="104"/>
  <c r="B18" i="116" s="1"/>
  <c r="D6" i="104"/>
  <c r="D6" i="116" s="1"/>
  <c r="D25" i="104"/>
  <c r="E22" i="104"/>
  <c r="D7" i="104"/>
  <c r="D7" i="116" s="1"/>
  <c r="K31" i="104"/>
  <c r="M31" i="104" s="1"/>
  <c r="D22" i="116" l="1"/>
  <c r="B22" i="116"/>
  <c r="B6" i="104"/>
  <c r="B6" i="116" s="1"/>
  <c r="B22" i="104"/>
  <c r="D26" i="104"/>
  <c r="D22" i="104"/>
  <c r="B7" i="104"/>
  <c r="B7" i="116" s="1"/>
  <c r="B21" i="116" l="1"/>
  <c r="B21" i="104"/>
  <c r="D28" i="104"/>
  <c r="D3" i="112" l="1"/>
  <c r="L25" i="112" s="1"/>
  <c r="D3" i="113"/>
  <c r="L25" i="113" s="1"/>
  <c r="D3" i="108"/>
  <c r="L25" i="108" s="1"/>
  <c r="D3" i="109"/>
  <c r="L25" i="109" s="1"/>
  <c r="D3" i="114"/>
  <c r="L25" i="114" s="1"/>
  <c r="D3" i="111"/>
  <c r="L25" i="111" s="1"/>
  <c r="D3" i="115"/>
  <c r="L25" i="115" s="1"/>
  <c r="D3" i="110"/>
  <c r="L25" i="110" s="1"/>
  <c r="K7" i="108" l="1"/>
  <c r="K11" i="109"/>
  <c r="L11" i="109" s="1"/>
  <c r="K19" i="113"/>
  <c r="L19" i="113" s="1"/>
  <c r="K10" i="110"/>
  <c r="L10" i="110" s="1"/>
  <c r="K16" i="113"/>
  <c r="L16" i="113" s="1"/>
  <c r="K18" i="113"/>
  <c r="L18" i="113" s="1"/>
  <c r="K10" i="115"/>
  <c r="L10" i="115" s="1"/>
  <c r="K14" i="115"/>
  <c r="L14" i="115" s="1"/>
  <c r="K18" i="115"/>
  <c r="L18" i="115" s="1"/>
  <c r="K8" i="112"/>
  <c r="L8" i="112" s="1"/>
  <c r="K9" i="114"/>
  <c r="L9" i="114" s="1"/>
  <c r="K8" i="110"/>
  <c r="L8" i="110" s="1"/>
  <c r="K14" i="113"/>
  <c r="L14" i="113" s="1"/>
  <c r="K13" i="114"/>
  <c r="L13" i="114" s="1"/>
  <c r="K8" i="114"/>
  <c r="L8" i="114" s="1"/>
  <c r="K14" i="111"/>
  <c r="L14" i="111" s="1"/>
  <c r="K16" i="114"/>
  <c r="L16" i="114" s="1"/>
  <c r="K13" i="109"/>
  <c r="L13" i="109" s="1"/>
  <c r="K16" i="109"/>
  <c r="L16" i="109" s="1"/>
  <c r="K18" i="109"/>
  <c r="L18" i="109" s="1"/>
  <c r="K14" i="114"/>
  <c r="L14" i="114" s="1"/>
  <c r="K10" i="113"/>
  <c r="L10" i="113" s="1"/>
  <c r="K17" i="114"/>
  <c r="L17" i="114" s="1"/>
  <c r="K12" i="114"/>
  <c r="L12" i="114" s="1"/>
  <c r="K15" i="109"/>
  <c r="L15" i="109" s="1"/>
  <c r="K12" i="112"/>
  <c r="L12" i="112" s="1"/>
  <c r="K10" i="109"/>
  <c r="L10" i="109" s="1"/>
  <c r="K7" i="113"/>
  <c r="K11" i="113"/>
  <c r="L11" i="113" s="1"/>
  <c r="K7" i="109"/>
  <c r="K16" i="112"/>
  <c r="L16" i="112" s="1"/>
  <c r="K7" i="110"/>
  <c r="K11" i="110"/>
  <c r="L11" i="110" s="1"/>
  <c r="K15" i="110"/>
  <c r="L15" i="110" s="1"/>
  <c r="K19" i="110"/>
  <c r="L19" i="110" s="1"/>
  <c r="K18" i="111"/>
  <c r="L18" i="111" s="1"/>
  <c r="K7" i="115"/>
  <c r="K11" i="115"/>
  <c r="L11" i="115" s="1"/>
  <c r="K15" i="115"/>
  <c r="L15" i="115" s="1"/>
  <c r="K19" i="115"/>
  <c r="L19" i="115" s="1"/>
  <c r="K14" i="112"/>
  <c r="L14" i="112" s="1"/>
  <c r="K9" i="112"/>
  <c r="L9" i="112" s="1"/>
  <c r="K13" i="112"/>
  <c r="L13" i="112" s="1"/>
  <c r="K17" i="112"/>
  <c r="L17" i="112" s="1"/>
  <c r="K18" i="110"/>
  <c r="L18" i="110" s="1"/>
  <c r="K8" i="108"/>
  <c r="L8" i="108" s="1"/>
  <c r="K8" i="109"/>
  <c r="L8" i="109" s="1"/>
  <c r="K8" i="111"/>
  <c r="L8" i="111" s="1"/>
  <c r="K18" i="112"/>
  <c r="L18" i="112" s="1"/>
  <c r="K12" i="115"/>
  <c r="L12" i="115" s="1"/>
  <c r="K8" i="113"/>
  <c r="L8" i="113" s="1"/>
  <c r="K19" i="108"/>
  <c r="L19" i="108" s="1"/>
  <c r="K19" i="109"/>
  <c r="L19" i="109" s="1"/>
  <c r="K10" i="114"/>
  <c r="L10" i="114" s="1"/>
  <c r="K12" i="109"/>
  <c r="L12" i="109" s="1"/>
  <c r="K14" i="110"/>
  <c r="L14" i="110" s="1"/>
  <c r="K12" i="111"/>
  <c r="L12" i="111" s="1"/>
  <c r="K16" i="115"/>
  <c r="L16" i="115" s="1"/>
  <c r="K16" i="110"/>
  <c r="L16" i="110" s="1"/>
  <c r="K15" i="113"/>
  <c r="L15" i="113" s="1"/>
  <c r="K17" i="109"/>
  <c r="L17" i="109" s="1"/>
  <c r="K10" i="111"/>
  <c r="L10" i="111" s="1"/>
  <c r="K8" i="115"/>
  <c r="L8" i="115" s="1"/>
  <c r="K15" i="108"/>
  <c r="L15" i="108" s="1"/>
  <c r="K16" i="108"/>
  <c r="L16" i="108" s="1"/>
  <c r="K12" i="110"/>
  <c r="L12" i="110" s="1"/>
  <c r="K16" i="111"/>
  <c r="L16" i="111" s="1"/>
  <c r="K10" i="112"/>
  <c r="L10" i="112" s="1"/>
  <c r="K12" i="113"/>
  <c r="L12" i="113" s="1"/>
  <c r="K18" i="114"/>
  <c r="L18" i="114" s="1"/>
  <c r="K9" i="109"/>
  <c r="L9" i="109" s="1"/>
  <c r="K11" i="108"/>
  <c r="L11" i="108" s="1"/>
  <c r="K12" i="108"/>
  <c r="L12" i="108" s="1"/>
  <c r="K14" i="109"/>
  <c r="L14" i="109" s="1"/>
  <c r="K9" i="110"/>
  <c r="L9" i="110" s="1"/>
  <c r="K13" i="110"/>
  <c r="L13" i="110" s="1"/>
  <c r="K17" i="110"/>
  <c r="L17" i="110" s="1"/>
  <c r="K9" i="111"/>
  <c r="L9" i="111" s="1"/>
  <c r="K13" i="111"/>
  <c r="L13" i="111" s="1"/>
  <c r="K17" i="111"/>
  <c r="L17" i="111" s="1"/>
  <c r="K7" i="112"/>
  <c r="K11" i="112"/>
  <c r="L11" i="112" s="1"/>
  <c r="K15" i="112"/>
  <c r="L15" i="112" s="1"/>
  <c r="K19" i="112"/>
  <c r="L19" i="112" s="1"/>
  <c r="K9" i="113"/>
  <c r="L9" i="113" s="1"/>
  <c r="K13" i="113"/>
  <c r="L13" i="113" s="1"/>
  <c r="K17" i="113"/>
  <c r="L17" i="113" s="1"/>
  <c r="K7" i="114"/>
  <c r="K11" i="114"/>
  <c r="L11" i="114" s="1"/>
  <c r="K15" i="114"/>
  <c r="L15" i="114" s="1"/>
  <c r="K19" i="114"/>
  <c r="L19" i="114" s="1"/>
  <c r="K9" i="115"/>
  <c r="L9" i="115" s="1"/>
  <c r="K13" i="115"/>
  <c r="L13" i="115" s="1"/>
  <c r="K17" i="115"/>
  <c r="L17" i="115" s="1"/>
  <c r="K19" i="111"/>
  <c r="L19" i="111" s="1"/>
  <c r="K15" i="111"/>
  <c r="L15" i="111" s="1"/>
  <c r="K11" i="111"/>
  <c r="L11" i="111" s="1"/>
  <c r="K7" i="111"/>
  <c r="K9" i="108"/>
  <c r="L9" i="108" s="1"/>
  <c r="K13" i="108"/>
  <c r="L13" i="108" s="1"/>
  <c r="K17" i="108"/>
  <c r="L17" i="108" s="1"/>
  <c r="K10" i="108"/>
  <c r="L10" i="108" s="1"/>
  <c r="K14" i="108"/>
  <c r="L14" i="108" s="1"/>
  <c r="K18" i="108"/>
  <c r="L18" i="108" s="1"/>
  <c r="L7" i="114" l="1"/>
  <c r="K22" i="114"/>
  <c r="L7" i="110"/>
  <c r="K22" i="110"/>
  <c r="K22" i="113"/>
  <c r="L7" i="113"/>
  <c r="K22" i="111"/>
  <c r="L7" i="111"/>
  <c r="L7" i="109"/>
  <c r="K22" i="109"/>
  <c r="L7" i="112"/>
  <c r="K22" i="112"/>
  <c r="L7" i="115"/>
  <c r="K22" i="115"/>
  <c r="L7" i="108"/>
  <c r="K22" i="108"/>
  <c r="E25" i="111" l="1"/>
  <c r="L22" i="111"/>
  <c r="E26" i="111"/>
  <c r="H26" i="111" s="1"/>
  <c r="E26" i="108"/>
  <c r="H26" i="108" s="1"/>
  <c r="E25" i="108"/>
  <c r="L22" i="108"/>
  <c r="L22" i="112"/>
  <c r="E25" i="112"/>
  <c r="E26" i="112"/>
  <c r="H26" i="112" s="1"/>
  <c r="L22" i="110"/>
  <c r="E25" i="110"/>
  <c r="E26" i="110"/>
  <c r="H26" i="110" s="1"/>
  <c r="E26" i="113"/>
  <c r="H26" i="113" s="1"/>
  <c r="L22" i="113"/>
  <c r="E25" i="113"/>
  <c r="E25" i="115"/>
  <c r="L22" i="115"/>
  <c r="E26" i="115"/>
  <c r="H26" i="115" s="1"/>
  <c r="E25" i="109"/>
  <c r="L22" i="109"/>
  <c r="E26" i="109"/>
  <c r="H26" i="109" s="1"/>
  <c r="L22" i="114"/>
  <c r="E26" i="114"/>
  <c r="H26" i="114" s="1"/>
  <c r="E25" i="114"/>
  <c r="H25" i="114" l="1"/>
  <c r="H28" i="114" s="1"/>
  <c r="E28" i="114"/>
  <c r="E28" i="115"/>
  <c r="H25" i="115"/>
  <c r="H28" i="115" s="1"/>
  <c r="H25" i="112"/>
  <c r="H28" i="112" s="1"/>
  <c r="E28" i="112"/>
  <c r="K32" i="112" s="1"/>
  <c r="M32" i="112" s="1"/>
  <c r="E28" i="109"/>
  <c r="K32" i="109" s="1"/>
  <c r="M32" i="109" s="1"/>
  <c r="H25" i="109"/>
  <c r="H28" i="109" s="1"/>
  <c r="E28" i="113"/>
  <c r="K32" i="113" s="1"/>
  <c r="M32" i="113" s="1"/>
  <c r="H25" i="113"/>
  <c r="H28" i="113" s="1"/>
  <c r="H25" i="110"/>
  <c r="H28" i="110" s="1"/>
  <c r="E28" i="110"/>
  <c r="K32" i="110" s="1"/>
  <c r="M32" i="110" s="1"/>
  <c r="E28" i="108"/>
  <c r="K32" i="108" s="1"/>
  <c r="M32" i="108" s="1"/>
  <c r="H25" i="108"/>
  <c r="H28" i="108" s="1"/>
  <c r="E28" i="111"/>
  <c r="K32" i="111" s="1"/>
  <c r="M32" i="111" s="1"/>
  <c r="H25" i="111"/>
  <c r="H28" i="111" s="1"/>
  <c r="K32" i="115" l="1"/>
  <c r="M32" i="115" s="1"/>
  <c r="K34" i="115"/>
  <c r="M34" i="115" s="1"/>
  <c r="K34" i="114"/>
  <c r="M34" i="114" s="1"/>
  <c r="K32" i="114"/>
  <c r="M32" i="114" s="1"/>
  <c r="K8" i="107" l="1"/>
  <c r="L8" i="107" s="1"/>
  <c r="K12" i="107"/>
  <c r="L12" i="107" s="1"/>
  <c r="K13" i="107"/>
  <c r="L13" i="107" s="1"/>
  <c r="K17" i="107"/>
  <c r="L17" i="107" s="1"/>
  <c r="K10" i="107"/>
  <c r="L10" i="107" s="1"/>
  <c r="K14" i="107"/>
  <c r="L14" i="107" s="1"/>
  <c r="K18" i="107"/>
  <c r="L18" i="107" s="1"/>
  <c r="K16" i="107"/>
  <c r="L16" i="107" s="1"/>
  <c r="K9" i="107"/>
  <c r="L9" i="107" s="1"/>
  <c r="K7" i="107"/>
  <c r="K11" i="107"/>
  <c r="L11" i="107" s="1"/>
  <c r="K15" i="107"/>
  <c r="L15" i="107" s="1"/>
  <c r="K19" i="107"/>
  <c r="L19" i="107" s="1"/>
  <c r="L7" i="107" l="1"/>
  <c r="K22" i="107"/>
  <c r="L22" i="107" l="1"/>
  <c r="E25" i="107"/>
  <c r="E26" i="107"/>
  <c r="H26" i="107" s="1"/>
  <c r="E28" i="107" l="1"/>
  <c r="H25" i="107"/>
  <c r="H28" i="107" s="1"/>
  <c r="K32" i="107" l="1"/>
  <c r="M32" i="107" s="1"/>
  <c r="K19" i="104" l="1"/>
  <c r="L19" i="104" s="1"/>
  <c r="K17" i="104"/>
  <c r="L17" i="104" s="1"/>
  <c r="K16" i="104"/>
  <c r="L16" i="104" s="1"/>
  <c r="K15" i="104"/>
  <c r="L15" i="104" s="1"/>
  <c r="K14" i="104"/>
  <c r="L14" i="104" s="1"/>
  <c r="K13" i="104"/>
  <c r="L13" i="104" s="1"/>
  <c r="K11" i="104"/>
  <c r="L11" i="104" s="1"/>
  <c r="K12" i="104"/>
  <c r="L12" i="104" s="1"/>
  <c r="K10" i="104"/>
  <c r="L10" i="104" s="1"/>
  <c r="K9" i="104"/>
  <c r="L9" i="104" s="1"/>
  <c r="K7" i="104"/>
  <c r="K22" i="104" l="1"/>
  <c r="L7" i="104"/>
  <c r="L22" i="104" l="1"/>
  <c r="E26" i="104"/>
  <c r="H26" i="104" s="1"/>
  <c r="E25" i="104"/>
  <c r="E28" i="104" l="1"/>
  <c r="H25" i="104"/>
  <c r="H28" i="104" s="1"/>
  <c r="K32" i="104" l="1"/>
  <c r="M32" i="104" s="1"/>
  <c r="K24" i="104"/>
  <c r="D3" i="104" l="1"/>
  <c r="L25" i="104" s="1"/>
  <c r="K27" i="104"/>
  <c r="K29" i="104" s="1"/>
  <c r="M29" i="104" s="1"/>
  <c r="K8" i="106" l="1"/>
  <c r="L8" i="106" s="1"/>
  <c r="K8" i="105" l="1"/>
  <c r="K8" i="116" l="1"/>
  <c r="L8" i="105"/>
  <c r="K9" i="106"/>
  <c r="L9" i="106" s="1"/>
  <c r="K10" i="106"/>
  <c r="L10" i="106" s="1"/>
  <c r="K13" i="106"/>
  <c r="L13" i="106" s="1"/>
  <c r="K17" i="106"/>
  <c r="L17" i="106" s="1"/>
  <c r="K19" i="106"/>
  <c r="L19" i="106" s="1"/>
  <c r="K14" i="106" l="1"/>
  <c r="L14" i="106" s="1"/>
  <c r="K11" i="106"/>
  <c r="L11" i="106" s="1"/>
  <c r="K16" i="106"/>
  <c r="L16" i="106" s="1"/>
  <c r="K18" i="106"/>
  <c r="L18" i="106" s="1"/>
  <c r="K15" i="106"/>
  <c r="L15" i="106" s="1"/>
  <c r="K12" i="106"/>
  <c r="L12" i="106" s="1"/>
  <c r="K7" i="106"/>
  <c r="K14" i="105"/>
  <c r="K11" i="105"/>
  <c r="K16" i="105"/>
  <c r="K9" i="105"/>
  <c r="K19" i="105"/>
  <c r="K17" i="105"/>
  <c r="K13" i="105"/>
  <c r="K10" i="105"/>
  <c r="K18" i="105"/>
  <c r="K15" i="105"/>
  <c r="K12" i="105"/>
  <c r="K7" i="105"/>
  <c r="K19" i="116" l="1"/>
  <c r="L19" i="105"/>
  <c r="L14" i="105"/>
  <c r="K14" i="116"/>
  <c r="K18" i="116"/>
  <c r="L18" i="105"/>
  <c r="K7" i="116"/>
  <c r="K22" i="105"/>
  <c r="L7" i="105"/>
  <c r="L10" i="105"/>
  <c r="K10" i="116"/>
  <c r="L9" i="105"/>
  <c r="K9" i="116"/>
  <c r="L7" i="106"/>
  <c r="K22" i="106"/>
  <c r="L12" i="105"/>
  <c r="K12" i="116"/>
  <c r="K13" i="116"/>
  <c r="L13" i="105"/>
  <c r="L16" i="105"/>
  <c r="K16" i="116"/>
  <c r="K15" i="116"/>
  <c r="L15" i="105"/>
  <c r="K17" i="116"/>
  <c r="L17" i="105"/>
  <c r="K11" i="116"/>
  <c r="L11" i="105"/>
  <c r="K22" i="116" l="1"/>
  <c r="E25" i="106"/>
  <c r="L22" i="106"/>
  <c r="E26" i="106"/>
  <c r="H26" i="106" s="1"/>
  <c r="L22" i="105"/>
  <c r="E26" i="105"/>
  <c r="H26" i="105" s="1"/>
  <c r="E25" i="105"/>
  <c r="H25" i="105" l="1"/>
  <c r="H28" i="105" s="1"/>
  <c r="E28" i="105"/>
  <c r="H25" i="106"/>
  <c r="H28" i="106" s="1"/>
  <c r="E28" i="106"/>
  <c r="K32" i="106" s="1"/>
  <c r="M32" i="106" s="1"/>
  <c r="K32" i="105" l="1"/>
  <c r="M32" i="105" s="1"/>
  <c r="K24" i="105"/>
  <c r="D3" i="105" l="1"/>
  <c r="L25" i="105" s="1"/>
  <c r="K27" i="105"/>
  <c r="K29" i="105" s="1"/>
  <c r="M29" i="105" s="1"/>
  <c r="K24" i="106" s="1"/>
  <c r="D3" i="106" l="1"/>
  <c r="L25" i="106" s="1"/>
  <c r="K27" i="106"/>
  <c r="K29" i="106" s="1"/>
  <c r="M29" i="106" s="1"/>
  <c r="K24" i="116" l="1"/>
  <c r="K24" i="107"/>
  <c r="K27" i="107" l="1"/>
  <c r="K29" i="107" s="1"/>
  <c r="M29" i="107" s="1"/>
  <c r="K24" i="108" s="1"/>
  <c r="K27" i="108" s="1"/>
  <c r="K29" i="108" s="1"/>
  <c r="M29" i="108" s="1"/>
  <c r="K24" i="109" s="1"/>
  <c r="K27" i="109" s="1"/>
  <c r="K29" i="109" s="1"/>
  <c r="M29" i="109" s="1"/>
  <c r="K24" i="110" s="1"/>
  <c r="K27" i="110" s="1"/>
  <c r="K29" i="110" s="1"/>
  <c r="M29" i="110" s="1"/>
  <c r="K24" i="111" s="1"/>
  <c r="K27" i="111" s="1"/>
  <c r="K29" i="111" s="1"/>
  <c r="M29" i="111" s="1"/>
  <c r="K24" i="112" s="1"/>
  <c r="K27" i="112" s="1"/>
  <c r="K29" i="112" s="1"/>
  <c r="M29" i="112" s="1"/>
  <c r="K24" i="113" s="1"/>
  <c r="K27" i="113" s="1"/>
  <c r="K29" i="113" s="1"/>
  <c r="M29" i="113" s="1"/>
  <c r="K24" i="114" s="1"/>
  <c r="K27" i="114" s="1"/>
  <c r="K29" i="114" s="1"/>
  <c r="M29" i="114" s="1"/>
  <c r="K24" i="115" s="1"/>
  <c r="K27" i="115" s="1"/>
  <c r="K29" i="115" s="1"/>
  <c r="M29" i="115" s="1"/>
  <c r="D3" i="107"/>
  <c r="L25" i="107" s="1"/>
  <c r="K27" i="116"/>
  <c r="K29" i="116" s="1"/>
  <c r="M29" i="116" s="1"/>
  <c r="D3" i="116"/>
  <c r="L25" i="116" s="1"/>
</calcChain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25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TONTINE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1/ASELBY2021TONTINE35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10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ABBOR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LISTEADHER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1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RESUMETONTINE"/>
      <sheetName val="TONTOCT (2)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1"/>
      <sheetName val="TONTFEV21"/>
      <sheetName val="TONTJANV212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HISTOMVTDEPENSE"/>
      <sheetName val="COMPTE BANQUE"/>
      <sheetName val="HISTODEC22"/>
      <sheetName val="HISTOJANV24"/>
      <sheetName val="HISTOFEV24"/>
      <sheetName val="HISTOMARS24"/>
      <sheetName val="HISTOAVRIL24"/>
      <sheetName val="HISTOMAI24"/>
      <sheetName val="HISTOJUIN24"/>
      <sheetName val="HISTOJUIL24"/>
      <sheetName val="HISTOAOUT24"/>
      <sheetName val="HISTOSEPT24"/>
      <sheetName val="HISTOOCT24"/>
      <sheetName val="HISTONOV24"/>
      <sheetName val="HISTODEC24"/>
      <sheetName val="HISTORESUME24"/>
      <sheetName val="HISTOJANV23"/>
      <sheetName val="HISTOFEV23"/>
      <sheetName val="HISTOMARS23"/>
      <sheetName val="HISTOAVRIL23"/>
      <sheetName val="HISTOMAI23"/>
      <sheetName val="HISTOJUIN23"/>
      <sheetName val="HISTOJUIL23"/>
      <sheetName val="HISTOAOUT23"/>
      <sheetName val="HISTOSEPT23"/>
      <sheetName val="HISTOOCT23"/>
      <sheetName val="HISTONOV23"/>
      <sheetName val="HISTODEC23"/>
      <sheetName val="HISTORESUME23"/>
      <sheetName val="DETAILSORTIE"/>
    </sheetNames>
    <sheetDataSet>
      <sheetData sheetId="0"/>
      <sheetData sheetId="1"/>
      <sheetData sheetId="2"/>
      <sheetData sheetId="3"/>
      <sheetData sheetId="4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527000</v>
          </cell>
          <cell r="BA6">
            <v>27000</v>
          </cell>
        </row>
        <row r="7">
          <cell r="A7" t="str">
            <v>AS201601</v>
          </cell>
          <cell r="B7" t="str">
            <v>BAKOP ACHILLE</v>
          </cell>
          <cell r="C7">
            <v>6000</v>
          </cell>
          <cell r="D7">
            <v>56000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Q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U9">
            <v>250000</v>
          </cell>
          <cell r="AE9">
            <v>115000</v>
          </cell>
          <cell r="AF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1085000</v>
          </cell>
          <cell r="AZ9">
            <v>1085000</v>
          </cell>
          <cell r="BA9">
            <v>500000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125000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U10">
            <v>125000</v>
          </cell>
          <cell r="AJ10">
            <v>100000</v>
          </cell>
          <cell r="AM10">
            <v>2000</v>
          </cell>
          <cell r="AQ10">
            <v>0</v>
          </cell>
          <cell r="AR10">
            <v>0</v>
          </cell>
          <cell r="AS10">
            <v>25000</v>
          </cell>
          <cell r="AW10">
            <v>0</v>
          </cell>
          <cell r="AX10">
            <v>100000</v>
          </cell>
          <cell r="AY10">
            <v>0</v>
          </cell>
          <cell r="AZ10">
            <v>100000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125000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Q11">
            <v>0</v>
          </cell>
          <cell r="U11">
            <v>125000</v>
          </cell>
          <cell r="AJ11">
            <v>100000</v>
          </cell>
          <cell r="AM11">
            <v>2000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100000</v>
          </cell>
          <cell r="AY11">
            <v>0</v>
          </cell>
          <cell r="AZ11">
            <v>100000</v>
          </cell>
          <cell r="BA11">
            <v>100000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330000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Q12">
            <v>0</v>
          </cell>
          <cell r="U12">
            <v>330000</v>
          </cell>
          <cell r="AD12">
            <v>60000</v>
          </cell>
          <cell r="AF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840000</v>
          </cell>
          <cell r="AY12">
            <v>0</v>
          </cell>
          <cell r="AZ12">
            <v>840000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0</v>
          </cell>
          <cell r="E14">
            <v>50000</v>
          </cell>
          <cell r="F14">
            <v>0</v>
          </cell>
          <cell r="G14">
            <v>0</v>
          </cell>
          <cell r="H14" t="str">
            <v>ESPECES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Q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Q16">
            <v>0</v>
          </cell>
          <cell r="U16">
            <v>260000</v>
          </cell>
          <cell r="AC16">
            <v>12000</v>
          </cell>
          <cell r="AF16" t="str">
            <v>BANQUE</v>
          </cell>
          <cell r="AQ16">
            <v>0</v>
          </cell>
          <cell r="AR16">
            <v>0</v>
          </cell>
          <cell r="AS16">
            <v>60000</v>
          </cell>
          <cell r="AW16">
            <v>288000</v>
          </cell>
          <cell r="AX16">
            <v>0</v>
          </cell>
          <cell r="AY16">
            <v>0</v>
          </cell>
          <cell r="AZ16">
            <v>288000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150000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U17">
            <v>150000</v>
          </cell>
          <cell r="Z17">
            <v>1000000</v>
          </cell>
          <cell r="AK17">
            <v>100000</v>
          </cell>
          <cell r="AN17">
            <v>1000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100000</v>
          </cell>
          <cell r="AZ17">
            <v>1150000</v>
          </cell>
          <cell r="BA17">
            <v>100000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U18">
            <v>150000</v>
          </cell>
          <cell r="AC18">
            <v>13000</v>
          </cell>
          <cell r="AF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287000</v>
          </cell>
          <cell r="AX18">
            <v>0</v>
          </cell>
          <cell r="AY18">
            <v>0</v>
          </cell>
          <cell r="AZ18">
            <v>287000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25000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U19">
            <v>75000</v>
          </cell>
          <cell r="W19">
            <v>25000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225000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Q20">
            <v>0</v>
          </cell>
          <cell r="U20">
            <v>225000</v>
          </cell>
          <cell r="AE20">
            <v>115000</v>
          </cell>
          <cell r="AF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0</v>
          </cell>
          <cell r="AY20">
            <v>1085000</v>
          </cell>
          <cell r="AZ20">
            <v>1085000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Q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260000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U23">
            <v>260000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56000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225000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Q24">
            <v>0</v>
          </cell>
          <cell r="U24">
            <v>225000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375000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Q25">
            <v>0</v>
          </cell>
          <cell r="U25">
            <v>375000</v>
          </cell>
          <cell r="AD25">
            <v>65000</v>
          </cell>
          <cell r="AE25">
            <v>125000</v>
          </cell>
          <cell r="AF25" t="str">
            <v>BANQUE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835000</v>
          </cell>
          <cell r="AY25">
            <v>1075000</v>
          </cell>
          <cell r="AZ25">
            <v>1910000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50000</v>
          </cell>
          <cell r="F26">
            <v>0</v>
          </cell>
          <cell r="G26">
            <v>0</v>
          </cell>
          <cell r="H26" t="str">
            <v>ESPECES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U26">
            <v>50000</v>
          </cell>
          <cell r="AC26">
            <v>13000</v>
          </cell>
          <cell r="AF26" t="str">
            <v>BANQUE</v>
          </cell>
          <cell r="AQ26">
            <v>0</v>
          </cell>
          <cell r="AR26">
            <v>0</v>
          </cell>
          <cell r="AS26">
            <v>25000</v>
          </cell>
          <cell r="AW26">
            <v>287000</v>
          </cell>
          <cell r="AX26">
            <v>0</v>
          </cell>
          <cell r="AY26">
            <v>0</v>
          </cell>
          <cell r="AZ26">
            <v>287000</v>
          </cell>
          <cell r="BA26">
            <v>7000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Q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450000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U29">
            <v>500000</v>
          </cell>
          <cell r="AQ29">
            <v>0</v>
          </cell>
          <cell r="AR29">
            <v>0</v>
          </cell>
          <cell r="AS29">
            <v>475000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U32">
            <v>125000</v>
          </cell>
          <cell r="Z32">
            <v>1000000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940000</v>
          </cell>
        </row>
        <row r="33">
          <cell r="A33" t="str">
            <v>AS201660</v>
          </cell>
          <cell r="B33" t="str">
            <v>TCHOUATEU AUGUSTIN</v>
          </cell>
          <cell r="C33">
            <v>120000</v>
          </cell>
          <cell r="D33">
            <v>540000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245000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U33">
            <v>420000</v>
          </cell>
          <cell r="W33">
            <v>25000</v>
          </cell>
          <cell r="AQ33">
            <v>0</v>
          </cell>
          <cell r="AR33">
            <v>0</v>
          </cell>
          <cell r="AS33">
            <v>270000</v>
          </cell>
          <cell r="AT33">
            <v>120000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0</v>
          </cell>
          <cell r="E36">
            <v>50000</v>
          </cell>
          <cell r="F36">
            <v>0</v>
          </cell>
          <cell r="G36">
            <v>0</v>
          </cell>
          <cell r="H36" t="str">
            <v>ESPECES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25000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U37">
            <v>175000</v>
          </cell>
          <cell r="W37">
            <v>25000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Q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</row>
        <row r="40">
          <cell r="B40" t="str">
            <v>TOTAUX</v>
          </cell>
          <cell r="C40">
            <v>126000</v>
          </cell>
          <cell r="D40">
            <v>5356000</v>
          </cell>
          <cell r="E40">
            <v>200000</v>
          </cell>
          <cell r="F40">
            <v>0</v>
          </cell>
          <cell r="G40">
            <v>0</v>
          </cell>
          <cell r="H40">
            <v>0</v>
          </cell>
          <cell r="I40">
            <v>755000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U40">
            <v>5430000</v>
          </cell>
          <cell r="V40">
            <v>0</v>
          </cell>
          <cell r="W40">
            <v>75000</v>
          </cell>
          <cell r="X40">
            <v>0</v>
          </cell>
          <cell r="Y40">
            <v>0</v>
          </cell>
          <cell r="Z40">
            <v>2000000</v>
          </cell>
          <cell r="AA40">
            <v>0</v>
          </cell>
          <cell r="AC40">
            <v>38000</v>
          </cell>
          <cell r="AD40">
            <v>125000</v>
          </cell>
          <cell r="AE40">
            <v>355000</v>
          </cell>
          <cell r="AF40">
            <v>0</v>
          </cell>
          <cell r="AG40">
            <v>0</v>
          </cell>
          <cell r="AI40">
            <v>0</v>
          </cell>
          <cell r="AJ40">
            <v>200000</v>
          </cell>
          <cell r="AK40">
            <v>100000</v>
          </cell>
          <cell r="AL40">
            <v>0</v>
          </cell>
          <cell r="AM40">
            <v>4000</v>
          </cell>
          <cell r="AN40">
            <v>1000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1555000</v>
          </cell>
          <cell r="AT40">
            <v>120000</v>
          </cell>
          <cell r="AU40">
            <v>0</v>
          </cell>
          <cell r="AV40">
            <v>0</v>
          </cell>
          <cell r="AW40">
            <v>862000</v>
          </cell>
          <cell r="AX40">
            <v>1875000</v>
          </cell>
          <cell r="AY40">
            <v>3345000</v>
          </cell>
          <cell r="AZ40">
            <v>8599000</v>
          </cell>
          <cell r="BA40">
            <v>790000</v>
          </cell>
          <cell r="BB40">
            <v>0</v>
          </cell>
        </row>
        <row r="43">
          <cell r="B43" t="str">
            <v>AS201643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8599000</v>
          </cell>
          <cell r="D47">
            <v>5125000</v>
          </cell>
          <cell r="F47">
            <v>200000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227000</v>
          </cell>
        </row>
        <row r="7">
          <cell r="A7" t="str">
            <v>AS201601</v>
          </cell>
          <cell r="B7" t="str">
            <v>BAKOP ACHILLE</v>
          </cell>
          <cell r="C7">
            <v>6000</v>
          </cell>
          <cell r="D7">
            <v>78000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22000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U7">
            <v>72000</v>
          </cell>
          <cell r="AI7">
            <v>60000</v>
          </cell>
          <cell r="AL7">
            <v>1000</v>
          </cell>
          <cell r="AQ7">
            <v>0</v>
          </cell>
          <cell r="AR7">
            <v>0</v>
          </cell>
          <cell r="AS7">
            <v>47000</v>
          </cell>
          <cell r="AW7">
            <v>60000</v>
          </cell>
          <cell r="AX7">
            <v>0</v>
          </cell>
          <cell r="AY7">
            <v>0</v>
          </cell>
          <cell r="AZ7">
            <v>60000</v>
          </cell>
        </row>
        <row r="8">
          <cell r="A8" t="str">
            <v>AS201602</v>
          </cell>
          <cell r="B8" t="str">
            <v>BOUTCHOUANG WILLIAM</v>
          </cell>
          <cell r="C8">
            <v>3000</v>
          </cell>
          <cell r="D8">
            <v>100000</v>
          </cell>
          <cell r="E8">
            <v>25000</v>
          </cell>
          <cell r="F8">
            <v>0</v>
          </cell>
          <cell r="G8">
            <v>0</v>
          </cell>
          <cell r="H8" t="str">
            <v>BANQUE</v>
          </cell>
          <cell r="I8">
            <v>-3000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122000</v>
          </cell>
          <cell r="AQ8">
            <v>0</v>
          </cell>
          <cell r="AR8">
            <v>0</v>
          </cell>
          <cell r="AS8">
            <v>22000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R9">
            <v>0</v>
          </cell>
          <cell r="U9">
            <v>250000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125000</v>
          </cell>
          <cell r="E10">
            <v>105000</v>
          </cell>
          <cell r="F10">
            <v>0</v>
          </cell>
          <cell r="G10">
            <v>3000</v>
          </cell>
          <cell r="H10" t="str">
            <v>BANQUE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102000</v>
          </cell>
          <cell r="U10">
            <v>230000</v>
          </cell>
          <cell r="AI10">
            <v>60000</v>
          </cell>
          <cell r="AL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60000</v>
          </cell>
          <cell r="AX10">
            <v>0</v>
          </cell>
          <cell r="AY10">
            <v>0</v>
          </cell>
          <cell r="AZ10">
            <v>60000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227000</v>
          </cell>
          <cell r="E11">
            <v>0</v>
          </cell>
          <cell r="F11">
            <v>1000000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102000</v>
          </cell>
          <cell r="S11">
            <v>1000000</v>
          </cell>
          <cell r="U11">
            <v>1227000</v>
          </cell>
          <cell r="Z11">
            <v>1000000</v>
          </cell>
          <cell r="AC11">
            <v>16000</v>
          </cell>
          <cell r="AD11">
            <v>16000</v>
          </cell>
          <cell r="AF11" t="str">
            <v>BANQUE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284000</v>
          </cell>
          <cell r="AX11">
            <v>884000</v>
          </cell>
          <cell r="AY11">
            <v>0</v>
          </cell>
          <cell r="AZ11">
            <v>1148000</v>
          </cell>
          <cell r="BA11">
            <v>168000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330000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330000</v>
          </cell>
          <cell r="AK12">
            <v>131000</v>
          </cell>
          <cell r="AN12">
            <v>1000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131000</v>
          </cell>
          <cell r="AZ12">
            <v>131000</v>
          </cell>
          <cell r="BA12">
            <v>66700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251000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101000</v>
          </cell>
          <cell r="U17">
            <v>251000</v>
          </cell>
          <cell r="AC17">
            <v>17000</v>
          </cell>
          <cell r="AF17" t="str">
            <v>BANQUE</v>
          </cell>
          <cell r="AP17" t="str">
            <v>BANQUE</v>
          </cell>
          <cell r="AQ17">
            <v>0</v>
          </cell>
          <cell r="AR17">
            <v>0</v>
          </cell>
          <cell r="AS17">
            <v>25000</v>
          </cell>
          <cell r="AW17">
            <v>283000</v>
          </cell>
          <cell r="AX17">
            <v>0</v>
          </cell>
          <cell r="AY17">
            <v>0</v>
          </cell>
          <cell r="AZ17">
            <v>283000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160000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R18">
            <v>0</v>
          </cell>
          <cell r="U18">
            <v>160000</v>
          </cell>
          <cell r="AE18">
            <v>40000</v>
          </cell>
          <cell r="AF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1160000</v>
          </cell>
          <cell r="AZ18">
            <v>1160000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225000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0</v>
          </cell>
          <cell r="U20">
            <v>225000</v>
          </cell>
          <cell r="AD20">
            <v>16000</v>
          </cell>
          <cell r="AF20" t="str">
            <v>BANQUE</v>
          </cell>
          <cell r="AK20">
            <v>200000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884000</v>
          </cell>
          <cell r="AY20">
            <v>200000</v>
          </cell>
          <cell r="AZ20">
            <v>1084000</v>
          </cell>
          <cell r="BA20">
            <v>200000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260000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260000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240000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240000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375000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U25">
            <v>375000</v>
          </cell>
          <cell r="AK25">
            <v>100000</v>
          </cell>
          <cell r="AN25">
            <v>1500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A25">
            <v>100000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U26">
            <v>50000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U29">
            <v>50000</v>
          </cell>
          <cell r="AI29">
            <v>51000</v>
          </cell>
          <cell r="AL29">
            <v>1000</v>
          </cell>
          <cell r="AQ29">
            <v>0</v>
          </cell>
          <cell r="AR29">
            <v>0</v>
          </cell>
          <cell r="AS29">
            <v>25000</v>
          </cell>
          <cell r="AW29">
            <v>51000</v>
          </cell>
          <cell r="AX29">
            <v>0</v>
          </cell>
          <cell r="AY29">
            <v>0</v>
          </cell>
          <cell r="AZ29">
            <v>51000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R30">
            <v>0</v>
          </cell>
          <cell r="U30">
            <v>250000</v>
          </cell>
          <cell r="AE30">
            <v>35000</v>
          </cell>
          <cell r="AF30" t="str">
            <v>BANQUE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1165000</v>
          </cell>
          <cell r="AZ30">
            <v>1165000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125000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180000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30000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R33">
            <v>0</v>
          </cell>
          <cell r="U33">
            <v>180000</v>
          </cell>
          <cell r="AQ33">
            <v>0</v>
          </cell>
          <cell r="AR33">
            <v>0</v>
          </cell>
          <cell r="AS33">
            <v>55000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</row>
        <row r="40">
          <cell r="B40" t="str">
            <v>TOTAUX</v>
          </cell>
          <cell r="C40">
            <v>9000</v>
          </cell>
          <cell r="D40">
            <v>4771000</v>
          </cell>
          <cell r="E40">
            <v>534700</v>
          </cell>
          <cell r="F40">
            <v>1000000</v>
          </cell>
          <cell r="G40">
            <v>6000</v>
          </cell>
          <cell r="H40">
            <v>0</v>
          </cell>
          <cell r="I40">
            <v>134000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0</v>
          </cell>
          <cell r="Q40">
            <v>204000</v>
          </cell>
          <cell r="R40">
            <v>101000</v>
          </cell>
          <cell r="S40">
            <v>1000000</v>
          </cell>
          <cell r="U40">
            <v>6045000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1000000</v>
          </cell>
          <cell r="AA40">
            <v>0</v>
          </cell>
          <cell r="AC40">
            <v>33000</v>
          </cell>
          <cell r="AD40">
            <v>32000</v>
          </cell>
          <cell r="AE40">
            <v>75000</v>
          </cell>
          <cell r="AF40">
            <v>0</v>
          </cell>
          <cell r="AG40">
            <v>0</v>
          </cell>
          <cell r="AI40">
            <v>171000</v>
          </cell>
          <cell r="AJ40">
            <v>0</v>
          </cell>
          <cell r="AK40">
            <v>431000</v>
          </cell>
          <cell r="AL40">
            <v>3000</v>
          </cell>
          <cell r="AM40">
            <v>0</v>
          </cell>
          <cell r="AN40">
            <v>4500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934000</v>
          </cell>
          <cell r="AT40">
            <v>0</v>
          </cell>
          <cell r="AU40">
            <v>0</v>
          </cell>
          <cell r="AV40">
            <v>0</v>
          </cell>
          <cell r="AW40">
            <v>738000</v>
          </cell>
          <cell r="AX40">
            <v>1768000</v>
          </cell>
          <cell r="AY40">
            <v>2756000</v>
          </cell>
          <cell r="AZ40">
            <v>5469000</v>
          </cell>
          <cell r="BA40">
            <v>534700</v>
          </cell>
          <cell r="BB40">
            <v>0</v>
          </cell>
        </row>
        <row r="43">
          <cell r="B43" t="str">
            <v>AS201643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5469000</v>
          </cell>
          <cell r="D47">
            <v>4518000</v>
          </cell>
          <cell r="F47">
            <v>534700</v>
          </cell>
        </row>
      </sheetData>
      <sheetData sheetId="6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148000</v>
          </cell>
        </row>
        <row r="7">
          <cell r="A7" t="str">
            <v>AS201601</v>
          </cell>
          <cell r="B7" t="str">
            <v>BAKOP ACHILLE</v>
          </cell>
          <cell r="C7">
            <v>6000</v>
          </cell>
          <cell r="D7">
            <v>56000</v>
          </cell>
          <cell r="E7">
            <v>61000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61000</v>
          </cell>
          <cell r="U7">
            <v>111000</v>
          </cell>
          <cell r="AC7">
            <v>10000</v>
          </cell>
          <cell r="AF7" t="str">
            <v>BANQUE</v>
          </cell>
          <cell r="AQ7">
            <v>0</v>
          </cell>
          <cell r="AR7">
            <v>0</v>
          </cell>
          <cell r="AS7">
            <v>25000</v>
          </cell>
          <cell r="AW7">
            <v>290000</v>
          </cell>
          <cell r="AX7">
            <v>0</v>
          </cell>
          <cell r="AY7">
            <v>0</v>
          </cell>
          <cell r="AZ7">
            <v>284000</v>
          </cell>
        </row>
        <row r="8">
          <cell r="A8" t="str">
            <v>AS201602</v>
          </cell>
          <cell r="B8" t="str">
            <v>BOUTCHOUANG WILLIAM</v>
          </cell>
          <cell r="C8">
            <v>25000</v>
          </cell>
          <cell r="D8">
            <v>150000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R9">
            <v>0</v>
          </cell>
          <cell r="U9">
            <v>250000</v>
          </cell>
          <cell r="AC9">
            <v>18000</v>
          </cell>
          <cell r="AF9" t="str">
            <v>BANQUE</v>
          </cell>
          <cell r="AK9">
            <v>205500</v>
          </cell>
          <cell r="AN9">
            <v>2000</v>
          </cell>
          <cell r="AQ9">
            <v>0</v>
          </cell>
          <cell r="AR9">
            <v>0</v>
          </cell>
          <cell r="AS9">
            <v>25000</v>
          </cell>
          <cell r="AW9">
            <v>282000</v>
          </cell>
          <cell r="AX9">
            <v>0</v>
          </cell>
          <cell r="AY9">
            <v>205500</v>
          </cell>
          <cell r="AZ9">
            <v>487500</v>
          </cell>
          <cell r="BA9">
            <v>282000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180000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-6000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61000</v>
          </cell>
          <cell r="Q10">
            <v>0</v>
          </cell>
          <cell r="U10">
            <v>180000</v>
          </cell>
          <cell r="AD10">
            <v>28000</v>
          </cell>
          <cell r="AF10" t="str">
            <v>BANQUE</v>
          </cell>
          <cell r="AI10">
            <v>40000</v>
          </cell>
          <cell r="AL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19000</v>
          </cell>
          <cell r="AW10">
            <v>40000</v>
          </cell>
          <cell r="AX10">
            <v>872000</v>
          </cell>
          <cell r="AY10">
            <v>0</v>
          </cell>
          <cell r="AZ10">
            <v>912000</v>
          </cell>
          <cell r="BA10">
            <v>39000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125000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0</v>
          </cell>
          <cell r="U11">
            <v>125000</v>
          </cell>
          <cell r="AI11">
            <v>40000</v>
          </cell>
          <cell r="AJ11">
            <v>100000</v>
          </cell>
          <cell r="AL11">
            <v>1000</v>
          </cell>
          <cell r="AM11">
            <v>3000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40000</v>
          </cell>
          <cell r="AX11">
            <v>100000</v>
          </cell>
          <cell r="AY11">
            <v>0</v>
          </cell>
          <cell r="AZ11">
            <v>140000</v>
          </cell>
          <cell r="BA11">
            <v>100000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462000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132000</v>
          </cell>
          <cell r="U12">
            <v>462000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150000</v>
          </cell>
          <cell r="E17">
            <v>0</v>
          </cell>
          <cell r="F17">
            <v>500000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S17">
            <v>500000</v>
          </cell>
          <cell r="T17" t="str">
            <v>BANQUE</v>
          </cell>
          <cell r="U17">
            <v>650000</v>
          </cell>
          <cell r="AE17">
            <v>70000</v>
          </cell>
          <cell r="AF17" t="str">
            <v>BANQUE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1130000</v>
          </cell>
          <cell r="AZ17">
            <v>630000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160000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R18">
            <v>0</v>
          </cell>
          <cell r="U18">
            <v>160000</v>
          </cell>
          <cell r="AK18">
            <v>200000</v>
          </cell>
          <cell r="AN18">
            <v>2000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427000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202000</v>
          </cell>
          <cell r="U20">
            <v>427000</v>
          </cell>
          <cell r="AJ20">
            <v>89000</v>
          </cell>
          <cell r="AK20">
            <v>200000</v>
          </cell>
          <cell r="AM20">
            <v>2000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89000</v>
          </cell>
          <cell r="AY20">
            <v>200000</v>
          </cell>
          <cell r="AZ20">
            <v>289000</v>
          </cell>
          <cell r="BA20">
            <v>145500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125000</v>
          </cell>
          <cell r="AC22">
            <v>17000</v>
          </cell>
          <cell r="AF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283000</v>
          </cell>
          <cell r="AX22">
            <v>0</v>
          </cell>
          <cell r="AY22">
            <v>0</v>
          </cell>
          <cell r="AZ22">
            <v>283000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260000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260000</v>
          </cell>
          <cell r="AK23">
            <v>200000</v>
          </cell>
          <cell r="AN23">
            <v>2000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200000</v>
          </cell>
          <cell r="AZ23">
            <v>200000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240000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240000</v>
          </cell>
          <cell r="AK24">
            <v>100000</v>
          </cell>
          <cell r="AN24">
            <v>2000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100000</v>
          </cell>
          <cell r="AZ24">
            <v>100000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375000</v>
          </cell>
          <cell r="E25">
            <v>104500</v>
          </cell>
          <cell r="F25">
            <v>0</v>
          </cell>
          <cell r="G25">
            <v>3000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101500</v>
          </cell>
          <cell r="U25">
            <v>479500</v>
          </cell>
          <cell r="AK25">
            <v>200000</v>
          </cell>
          <cell r="AN25">
            <v>2000</v>
          </cell>
          <cell r="AP25" t="str">
            <v>BANQUE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0</v>
          </cell>
          <cell r="AY25">
            <v>200000</v>
          </cell>
          <cell r="AZ25">
            <v>200000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U26">
            <v>50000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Z27">
            <v>50000</v>
          </cell>
          <cell r="AA27" t="str">
            <v>BANQUE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48500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102000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52000</v>
          </cell>
          <cell r="U29">
            <v>102000</v>
          </cell>
          <cell r="AI29">
            <v>40000</v>
          </cell>
          <cell r="AL29">
            <v>2500</v>
          </cell>
          <cell r="AQ29">
            <v>0</v>
          </cell>
          <cell r="AR29">
            <v>0</v>
          </cell>
          <cell r="AS29">
            <v>25000</v>
          </cell>
          <cell r="AW29">
            <v>40000</v>
          </cell>
          <cell r="AX29">
            <v>0</v>
          </cell>
          <cell r="AY29">
            <v>0</v>
          </cell>
          <cell r="AZ29">
            <v>40000</v>
          </cell>
          <cell r="BA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400000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S31">
            <v>250000</v>
          </cell>
          <cell r="U31">
            <v>400000</v>
          </cell>
          <cell r="Z31">
            <v>1000000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1000000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125000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200000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50000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R33">
            <v>0</v>
          </cell>
          <cell r="U33">
            <v>200000</v>
          </cell>
          <cell r="AQ33">
            <v>0</v>
          </cell>
          <cell r="AR33">
            <v>0</v>
          </cell>
          <cell r="AS33">
            <v>75000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</row>
        <row r="40">
          <cell r="B40" t="str">
            <v>TOTAUX</v>
          </cell>
          <cell r="C40">
            <v>31000</v>
          </cell>
          <cell r="D40">
            <v>5307000</v>
          </cell>
          <cell r="E40">
            <v>318500</v>
          </cell>
          <cell r="F40">
            <v>500000</v>
          </cell>
          <cell r="G40">
            <v>6000</v>
          </cell>
          <cell r="H40">
            <v>0</v>
          </cell>
          <cell r="I40">
            <v>129000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174000</v>
          </cell>
          <cell r="Q40">
            <v>0</v>
          </cell>
          <cell r="R40">
            <v>435500</v>
          </cell>
          <cell r="S40">
            <v>750000</v>
          </cell>
          <cell r="U40">
            <v>6094500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1050000</v>
          </cell>
          <cell r="AA40">
            <v>0</v>
          </cell>
          <cell r="AC40">
            <v>45000</v>
          </cell>
          <cell r="AD40">
            <v>28000</v>
          </cell>
          <cell r="AE40">
            <v>70000</v>
          </cell>
          <cell r="AF40">
            <v>0</v>
          </cell>
          <cell r="AG40">
            <v>0</v>
          </cell>
          <cell r="AI40">
            <v>120000</v>
          </cell>
          <cell r="AJ40">
            <v>189000</v>
          </cell>
          <cell r="AK40">
            <v>1105500</v>
          </cell>
          <cell r="AL40">
            <v>4500</v>
          </cell>
          <cell r="AM40">
            <v>5000</v>
          </cell>
          <cell r="AN40">
            <v>12000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929000</v>
          </cell>
          <cell r="AT40">
            <v>0</v>
          </cell>
          <cell r="AU40">
            <v>0</v>
          </cell>
          <cell r="AV40">
            <v>0</v>
          </cell>
          <cell r="AW40">
            <v>975000</v>
          </cell>
          <cell r="AX40">
            <v>1061000</v>
          </cell>
          <cell r="AY40">
            <v>2235500</v>
          </cell>
          <cell r="AZ40">
            <v>4962000</v>
          </cell>
          <cell r="BA40">
            <v>606500</v>
          </cell>
          <cell r="BB40">
            <v>0</v>
          </cell>
        </row>
        <row r="43">
          <cell r="B43" t="str">
            <v>AS201643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4962000</v>
          </cell>
          <cell r="D47">
            <v>5076000</v>
          </cell>
          <cell r="F47">
            <v>318500</v>
          </cell>
        </row>
      </sheetData>
      <sheetData sheetId="7">
        <row r="6">
          <cell r="A6" t="str">
            <v>AS201648</v>
          </cell>
          <cell r="B6" t="str">
            <v>ASELBY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 t="str">
            <v>ECHEC</v>
          </cell>
          <cell r="K6">
            <v>0</v>
          </cell>
          <cell r="L6">
            <v>1</v>
          </cell>
          <cell r="M6">
            <v>0</v>
          </cell>
          <cell r="N6">
            <v>1</v>
          </cell>
          <cell r="O6">
            <v>0</v>
          </cell>
          <cell r="U6">
            <v>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 t="str">
            <v>ECHEC</v>
          </cell>
          <cell r="J7">
            <v>1</v>
          </cell>
          <cell r="K7">
            <v>0</v>
          </cell>
          <cell r="M7">
            <v>0</v>
          </cell>
          <cell r="O7">
            <v>0</v>
          </cell>
          <cell r="P7">
            <v>0</v>
          </cell>
          <cell r="U7">
            <v>0</v>
          </cell>
          <cell r="AQ7">
            <v>0</v>
          </cell>
          <cell r="AR7">
            <v>0</v>
          </cell>
          <cell r="AS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 t="str">
            <v>ECHEC</v>
          </cell>
          <cell r="J8">
            <v>1</v>
          </cell>
          <cell r="K8">
            <v>0</v>
          </cell>
          <cell r="L8">
            <v>1</v>
          </cell>
          <cell r="M8">
            <v>0</v>
          </cell>
          <cell r="O8">
            <v>0</v>
          </cell>
          <cell r="P8">
            <v>0</v>
          </cell>
          <cell r="Q8">
            <v>0</v>
          </cell>
          <cell r="U8">
            <v>0</v>
          </cell>
          <cell r="AQ8">
            <v>0</v>
          </cell>
          <cell r="AR8">
            <v>0</v>
          </cell>
          <cell r="AS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-207500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 t="str">
            <v>ECHEC</v>
          </cell>
          <cell r="J9">
            <v>1</v>
          </cell>
          <cell r="K9">
            <v>0</v>
          </cell>
          <cell r="M9">
            <v>0</v>
          </cell>
          <cell r="N9">
            <v>2</v>
          </cell>
          <cell r="O9">
            <v>0</v>
          </cell>
          <cell r="P9">
            <v>0</v>
          </cell>
          <cell r="R9">
            <v>207500</v>
          </cell>
          <cell r="U9">
            <v>207500</v>
          </cell>
          <cell r="AQ9">
            <v>0</v>
          </cell>
          <cell r="AR9">
            <v>0</v>
          </cell>
          <cell r="AS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AS201654</v>
          </cell>
          <cell r="B10" t="str">
            <v>DJOMOU TCHAPDA</v>
          </cell>
          <cell r="C10">
            <v>-41000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ECHEC</v>
          </cell>
          <cell r="J10">
            <v>1</v>
          </cell>
          <cell r="K10">
            <v>0</v>
          </cell>
          <cell r="L10">
            <v>1</v>
          </cell>
          <cell r="M10">
            <v>0</v>
          </cell>
          <cell r="O10">
            <v>0</v>
          </cell>
          <cell r="P10">
            <v>41000</v>
          </cell>
          <cell r="Q10">
            <v>0</v>
          </cell>
          <cell r="U10">
            <v>41000</v>
          </cell>
          <cell r="AQ10">
            <v>0</v>
          </cell>
          <cell r="AR10">
            <v>0</v>
          </cell>
          <cell r="AS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A11" t="str">
            <v>AS201605</v>
          </cell>
          <cell r="B11" t="str">
            <v>DJOUKWE NANGUEN GUY BLAISE</v>
          </cell>
          <cell r="C11">
            <v>-144000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ECHEC</v>
          </cell>
          <cell r="J11">
            <v>1</v>
          </cell>
          <cell r="K11">
            <v>0</v>
          </cell>
          <cell r="L11">
            <v>1</v>
          </cell>
          <cell r="M11">
            <v>0</v>
          </cell>
          <cell r="O11">
            <v>0</v>
          </cell>
          <cell r="P11">
            <v>41000</v>
          </cell>
          <cell r="Q11">
            <v>103000</v>
          </cell>
          <cell r="U11">
            <v>144000</v>
          </cell>
          <cell r="AQ11">
            <v>0</v>
          </cell>
          <cell r="AR11">
            <v>0</v>
          </cell>
          <cell r="AS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 t="str">
            <v>ECHEC</v>
          </cell>
          <cell r="J12">
            <v>1</v>
          </cell>
          <cell r="K12">
            <v>0</v>
          </cell>
          <cell r="L12">
            <v>1</v>
          </cell>
          <cell r="M12">
            <v>0</v>
          </cell>
          <cell r="N12">
            <v>2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U12">
            <v>0</v>
          </cell>
          <cell r="AQ12">
            <v>0</v>
          </cell>
          <cell r="AR12">
            <v>0</v>
          </cell>
          <cell r="AS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 t="str">
            <v>ECHEC</v>
          </cell>
          <cell r="J13">
            <v>1</v>
          </cell>
          <cell r="K13">
            <v>0</v>
          </cell>
          <cell r="M13">
            <v>0</v>
          </cell>
          <cell r="O13">
            <v>0</v>
          </cell>
          <cell r="P13">
            <v>0</v>
          </cell>
          <cell r="U13">
            <v>0</v>
          </cell>
          <cell r="AQ13">
            <v>0</v>
          </cell>
          <cell r="AR13">
            <v>0</v>
          </cell>
          <cell r="AS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1</v>
          </cell>
          <cell r="K14">
            <v>0</v>
          </cell>
          <cell r="M14">
            <v>0</v>
          </cell>
          <cell r="O14">
            <v>0</v>
          </cell>
          <cell r="P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 t="str">
            <v>ECHEC</v>
          </cell>
          <cell r="J15">
            <v>1</v>
          </cell>
          <cell r="K15">
            <v>0</v>
          </cell>
          <cell r="L15">
            <v>1</v>
          </cell>
          <cell r="M15">
            <v>0</v>
          </cell>
          <cell r="O15">
            <v>0</v>
          </cell>
          <cell r="P15">
            <v>0</v>
          </cell>
          <cell r="Q15">
            <v>0</v>
          </cell>
          <cell r="U15">
            <v>0</v>
          </cell>
          <cell r="AQ15">
            <v>0</v>
          </cell>
          <cell r="AR15">
            <v>0</v>
          </cell>
          <cell r="AS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 t="str">
            <v>ECHEC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0</v>
          </cell>
          <cell r="AQ16">
            <v>0</v>
          </cell>
          <cell r="AR16">
            <v>0</v>
          </cell>
          <cell r="AS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 t="str">
            <v>ECHEC</v>
          </cell>
          <cell r="J17">
            <v>1</v>
          </cell>
          <cell r="K17">
            <v>0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  <cell r="R17">
            <v>0</v>
          </cell>
          <cell r="U17">
            <v>0</v>
          </cell>
          <cell r="AQ17">
            <v>0</v>
          </cell>
          <cell r="AR17">
            <v>0</v>
          </cell>
          <cell r="AS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-202000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 t="str">
            <v>ECHEC</v>
          </cell>
          <cell r="J18">
            <v>1</v>
          </cell>
          <cell r="K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  <cell r="R18">
            <v>202000</v>
          </cell>
          <cell r="U18">
            <v>202000</v>
          </cell>
          <cell r="AQ18">
            <v>0</v>
          </cell>
          <cell r="AR18">
            <v>0</v>
          </cell>
          <cell r="AS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 t="str">
            <v>ECHEC</v>
          </cell>
          <cell r="J19">
            <v>1</v>
          </cell>
          <cell r="K19">
            <v>0</v>
          </cell>
          <cell r="M19">
            <v>0</v>
          </cell>
          <cell r="O19">
            <v>0</v>
          </cell>
          <cell r="P19">
            <v>0</v>
          </cell>
          <cell r="U19">
            <v>0</v>
          </cell>
          <cell r="AQ19">
            <v>0</v>
          </cell>
          <cell r="AR19">
            <v>0</v>
          </cell>
          <cell r="AS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-293000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 t="str">
            <v>ECHEC</v>
          </cell>
          <cell r="J20">
            <v>1</v>
          </cell>
          <cell r="K20">
            <v>0</v>
          </cell>
          <cell r="L20">
            <v>1</v>
          </cell>
          <cell r="M20">
            <v>0</v>
          </cell>
          <cell r="N20">
            <v>1</v>
          </cell>
          <cell r="O20">
            <v>0</v>
          </cell>
          <cell r="P20">
            <v>0</v>
          </cell>
          <cell r="Q20">
            <v>91000</v>
          </cell>
          <cell r="R20">
            <v>202000</v>
          </cell>
          <cell r="U20">
            <v>293000</v>
          </cell>
          <cell r="AQ20">
            <v>0</v>
          </cell>
          <cell r="AR20">
            <v>0</v>
          </cell>
          <cell r="AS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 t="str">
            <v>ECHEC</v>
          </cell>
          <cell r="J21">
            <v>1</v>
          </cell>
          <cell r="K21">
            <v>0</v>
          </cell>
          <cell r="M21">
            <v>0</v>
          </cell>
          <cell r="O21">
            <v>0</v>
          </cell>
          <cell r="P21">
            <v>0</v>
          </cell>
          <cell r="U21">
            <v>0</v>
          </cell>
          <cell r="AQ21">
            <v>0</v>
          </cell>
          <cell r="AR21">
            <v>0</v>
          </cell>
          <cell r="AS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 t="str">
            <v>ECHEC</v>
          </cell>
          <cell r="J22">
            <v>1</v>
          </cell>
          <cell r="K22">
            <v>0</v>
          </cell>
          <cell r="L22">
            <v>1</v>
          </cell>
          <cell r="M22">
            <v>0</v>
          </cell>
          <cell r="O22">
            <v>0</v>
          </cell>
          <cell r="P22">
            <v>0</v>
          </cell>
          <cell r="Q22">
            <v>0</v>
          </cell>
          <cell r="U22">
            <v>0</v>
          </cell>
          <cell r="AQ22">
            <v>0</v>
          </cell>
          <cell r="AR22">
            <v>0</v>
          </cell>
          <cell r="AS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-202000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 t="str">
            <v>ECHEC</v>
          </cell>
          <cell r="J23">
            <v>1</v>
          </cell>
          <cell r="K23">
            <v>0</v>
          </cell>
          <cell r="M23">
            <v>0</v>
          </cell>
          <cell r="N23">
            <v>2</v>
          </cell>
          <cell r="O23">
            <v>0</v>
          </cell>
          <cell r="P23">
            <v>0</v>
          </cell>
          <cell r="R23">
            <v>202000</v>
          </cell>
          <cell r="U23">
            <v>202000</v>
          </cell>
          <cell r="AQ23">
            <v>0</v>
          </cell>
          <cell r="AR23">
            <v>0</v>
          </cell>
          <cell r="AS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AS201624</v>
          </cell>
          <cell r="B24" t="str">
            <v>NGONDIEP CLAUDE</v>
          </cell>
          <cell r="C24">
            <v>-102000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ECHEC</v>
          </cell>
          <cell r="J24">
            <v>1</v>
          </cell>
          <cell r="K24">
            <v>0</v>
          </cell>
          <cell r="L24">
            <v>1</v>
          </cell>
          <cell r="M24">
            <v>0</v>
          </cell>
          <cell r="N24">
            <v>1</v>
          </cell>
          <cell r="O24">
            <v>0</v>
          </cell>
          <cell r="P24">
            <v>0</v>
          </cell>
          <cell r="Q24">
            <v>0</v>
          </cell>
          <cell r="R24">
            <v>102000</v>
          </cell>
          <cell r="U24">
            <v>102000</v>
          </cell>
          <cell r="AQ24">
            <v>0</v>
          </cell>
          <cell r="AR24">
            <v>0</v>
          </cell>
          <cell r="AS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A25" t="str">
            <v>AS201626</v>
          </cell>
          <cell r="B25" t="str">
            <v>NGUIEMEGNI MATHIEU BLAISE</v>
          </cell>
          <cell r="C25">
            <v>-202000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 t="str">
            <v>ECHEC</v>
          </cell>
          <cell r="J25">
            <v>1</v>
          </cell>
          <cell r="K25">
            <v>0</v>
          </cell>
          <cell r="L25">
            <v>3</v>
          </cell>
          <cell r="M25">
            <v>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202000</v>
          </cell>
          <cell r="U25">
            <v>202000</v>
          </cell>
          <cell r="AQ25">
            <v>0</v>
          </cell>
          <cell r="AR25">
            <v>0</v>
          </cell>
          <cell r="AS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 t="str">
            <v>ECHEC</v>
          </cell>
          <cell r="J26">
            <v>1</v>
          </cell>
          <cell r="K26">
            <v>0</v>
          </cell>
          <cell r="M26">
            <v>0</v>
          </cell>
          <cell r="O26">
            <v>0</v>
          </cell>
          <cell r="P26">
            <v>0</v>
          </cell>
          <cell r="U26">
            <v>0</v>
          </cell>
          <cell r="AQ26">
            <v>0</v>
          </cell>
          <cell r="AR26">
            <v>0</v>
          </cell>
          <cell r="AS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 t="str">
            <v>ECHEC</v>
          </cell>
          <cell r="J27">
            <v>1</v>
          </cell>
          <cell r="K27">
            <v>0</v>
          </cell>
          <cell r="M27">
            <v>0</v>
          </cell>
          <cell r="O27">
            <v>0</v>
          </cell>
          <cell r="P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 t="str">
            <v>ECHEC</v>
          </cell>
          <cell r="J28">
            <v>1</v>
          </cell>
          <cell r="K28">
            <v>0</v>
          </cell>
          <cell r="L28">
            <v>1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U28">
            <v>0</v>
          </cell>
          <cell r="AQ28">
            <v>0</v>
          </cell>
          <cell r="AR28">
            <v>0</v>
          </cell>
          <cell r="AS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-42500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 t="str">
            <v>ECHEC</v>
          </cell>
          <cell r="J29">
            <v>1</v>
          </cell>
          <cell r="K29">
            <v>0</v>
          </cell>
          <cell r="M29">
            <v>0</v>
          </cell>
          <cell r="O29">
            <v>0</v>
          </cell>
          <cell r="P29">
            <v>42500</v>
          </cell>
          <cell r="U29">
            <v>42500</v>
          </cell>
          <cell r="AQ29">
            <v>0</v>
          </cell>
          <cell r="AR29">
            <v>0</v>
          </cell>
          <cell r="AS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 t="str">
            <v>ECHEC</v>
          </cell>
          <cell r="J30">
            <v>1</v>
          </cell>
          <cell r="K30">
            <v>0</v>
          </cell>
          <cell r="M30">
            <v>0</v>
          </cell>
          <cell r="N30">
            <v>2</v>
          </cell>
          <cell r="O30">
            <v>0</v>
          </cell>
          <cell r="P30">
            <v>0</v>
          </cell>
          <cell r="R30">
            <v>0</v>
          </cell>
          <cell r="U30">
            <v>0</v>
          </cell>
          <cell r="AQ30">
            <v>0</v>
          </cell>
          <cell r="AR30">
            <v>0</v>
          </cell>
          <cell r="AS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1</v>
          </cell>
          <cell r="K31">
            <v>0</v>
          </cell>
          <cell r="M31">
            <v>0</v>
          </cell>
          <cell r="N31">
            <v>1</v>
          </cell>
          <cell r="O31">
            <v>0</v>
          </cell>
          <cell r="P31">
            <v>0</v>
          </cell>
          <cell r="R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 t="str">
            <v>ECHEC</v>
          </cell>
          <cell r="J32">
            <v>1</v>
          </cell>
          <cell r="K32">
            <v>0</v>
          </cell>
          <cell r="L32">
            <v>1</v>
          </cell>
          <cell r="M32">
            <v>0</v>
          </cell>
          <cell r="O32">
            <v>0</v>
          </cell>
          <cell r="P32">
            <v>0</v>
          </cell>
          <cell r="Q32">
            <v>0</v>
          </cell>
          <cell r="U32">
            <v>0</v>
          </cell>
          <cell r="AQ32">
            <v>0</v>
          </cell>
          <cell r="AR32">
            <v>0</v>
          </cell>
          <cell r="AS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 t="str">
            <v>ECHEC</v>
          </cell>
          <cell r="J33">
            <v>1</v>
          </cell>
          <cell r="K33">
            <v>0</v>
          </cell>
          <cell r="M33">
            <v>0</v>
          </cell>
          <cell r="N33">
            <v>1</v>
          </cell>
          <cell r="O33">
            <v>0</v>
          </cell>
          <cell r="P33">
            <v>0</v>
          </cell>
          <cell r="R33">
            <v>0</v>
          </cell>
          <cell r="U33">
            <v>0</v>
          </cell>
          <cell r="AQ33">
            <v>0</v>
          </cell>
          <cell r="AR33">
            <v>0</v>
          </cell>
          <cell r="AS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J34">
            <v>1</v>
          </cell>
          <cell r="K34">
            <v>0</v>
          </cell>
          <cell r="M34">
            <v>0</v>
          </cell>
          <cell r="O34">
            <v>0</v>
          </cell>
          <cell r="P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 t="str">
            <v>ECHEC</v>
          </cell>
          <cell r="J35">
            <v>1</v>
          </cell>
          <cell r="K35">
            <v>0</v>
          </cell>
          <cell r="M35">
            <v>0</v>
          </cell>
          <cell r="O35">
            <v>0</v>
          </cell>
          <cell r="P35">
            <v>0</v>
          </cell>
          <cell r="U35">
            <v>0</v>
          </cell>
          <cell r="AQ35">
            <v>0</v>
          </cell>
          <cell r="AR35">
            <v>0</v>
          </cell>
          <cell r="AS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 t="str">
            <v>ECHEC</v>
          </cell>
          <cell r="J36">
            <v>1</v>
          </cell>
          <cell r="K36">
            <v>0</v>
          </cell>
          <cell r="M36">
            <v>0</v>
          </cell>
          <cell r="O36">
            <v>0</v>
          </cell>
          <cell r="P36">
            <v>0</v>
          </cell>
          <cell r="U36">
            <v>0</v>
          </cell>
          <cell r="AQ36">
            <v>0</v>
          </cell>
          <cell r="AR36">
            <v>0</v>
          </cell>
          <cell r="AS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 t="str">
            <v>ECHEC</v>
          </cell>
          <cell r="J37">
            <v>1</v>
          </cell>
          <cell r="K37">
            <v>0</v>
          </cell>
          <cell r="M37">
            <v>0</v>
          </cell>
          <cell r="N37">
            <v>1</v>
          </cell>
          <cell r="O37">
            <v>0</v>
          </cell>
          <cell r="P37">
            <v>0</v>
          </cell>
          <cell r="R37">
            <v>0</v>
          </cell>
          <cell r="U37">
            <v>0</v>
          </cell>
          <cell r="AQ37">
            <v>0</v>
          </cell>
          <cell r="AR37">
            <v>0</v>
          </cell>
          <cell r="AS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 t="str">
            <v>ECHEC</v>
          </cell>
          <cell r="J38">
            <v>1</v>
          </cell>
          <cell r="K38">
            <v>0</v>
          </cell>
          <cell r="L38">
            <v>1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U38">
            <v>0</v>
          </cell>
          <cell r="AQ38">
            <v>0</v>
          </cell>
          <cell r="AR38">
            <v>0</v>
          </cell>
          <cell r="AS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</row>
        <row r="40">
          <cell r="B40" t="str">
            <v>TOTAUX</v>
          </cell>
          <cell r="C40">
            <v>-1436000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32</v>
          </cell>
          <cell r="K40">
            <v>0</v>
          </cell>
          <cell r="L40">
            <v>16</v>
          </cell>
          <cell r="M40">
            <v>0</v>
          </cell>
          <cell r="N40">
            <v>18</v>
          </cell>
          <cell r="O40">
            <v>0</v>
          </cell>
          <cell r="P40">
            <v>124500</v>
          </cell>
          <cell r="Q40">
            <v>194000</v>
          </cell>
          <cell r="R40">
            <v>1117500</v>
          </cell>
          <cell r="S40">
            <v>0</v>
          </cell>
          <cell r="U40">
            <v>1436000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</row>
        <row r="43">
          <cell r="B43" t="str">
            <v>AS201643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0</v>
          </cell>
          <cell r="D47">
            <v>0</v>
          </cell>
          <cell r="F47">
            <v>0</v>
          </cell>
        </row>
      </sheetData>
      <sheetData sheetId="8">
        <row r="6">
          <cell r="A6" t="str">
            <v>AS201648</v>
          </cell>
          <cell r="B6" t="str">
            <v>ASELBY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 t="str">
            <v>ECHEC</v>
          </cell>
          <cell r="K6">
            <v>0</v>
          </cell>
          <cell r="L6">
            <v>1</v>
          </cell>
          <cell r="M6">
            <v>0</v>
          </cell>
          <cell r="N6">
            <v>1</v>
          </cell>
          <cell r="O6">
            <v>0</v>
          </cell>
          <cell r="U6">
            <v>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 t="str">
            <v>ECHEC</v>
          </cell>
          <cell r="J7">
            <v>1</v>
          </cell>
          <cell r="K7">
            <v>0</v>
          </cell>
          <cell r="M7">
            <v>0</v>
          </cell>
          <cell r="O7">
            <v>0</v>
          </cell>
          <cell r="P7">
            <v>0</v>
          </cell>
          <cell r="U7">
            <v>0</v>
          </cell>
          <cell r="AQ7">
            <v>0</v>
          </cell>
          <cell r="AR7">
            <v>0</v>
          </cell>
          <cell r="AS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 t="str">
            <v>ECHEC</v>
          </cell>
          <cell r="J8">
            <v>1</v>
          </cell>
          <cell r="K8">
            <v>0</v>
          </cell>
          <cell r="L8">
            <v>1</v>
          </cell>
          <cell r="M8">
            <v>0</v>
          </cell>
          <cell r="O8">
            <v>0</v>
          </cell>
          <cell r="P8">
            <v>0</v>
          </cell>
          <cell r="Q8">
            <v>0</v>
          </cell>
          <cell r="U8">
            <v>0</v>
          </cell>
          <cell r="AQ8">
            <v>0</v>
          </cell>
          <cell r="AR8">
            <v>0</v>
          </cell>
          <cell r="AS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 t="str">
            <v>ECHEC</v>
          </cell>
          <cell r="J9">
            <v>1</v>
          </cell>
          <cell r="K9">
            <v>0</v>
          </cell>
          <cell r="M9">
            <v>0</v>
          </cell>
          <cell r="N9">
            <v>2</v>
          </cell>
          <cell r="O9">
            <v>0</v>
          </cell>
          <cell r="P9">
            <v>0</v>
          </cell>
          <cell r="R9">
            <v>0</v>
          </cell>
          <cell r="U9">
            <v>0</v>
          </cell>
          <cell r="AQ9">
            <v>0</v>
          </cell>
          <cell r="AR9">
            <v>0</v>
          </cell>
          <cell r="AS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ECHEC</v>
          </cell>
          <cell r="J10">
            <v>1</v>
          </cell>
          <cell r="K10">
            <v>0</v>
          </cell>
          <cell r="L10">
            <v>1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U10">
            <v>0</v>
          </cell>
          <cell r="AQ10">
            <v>0</v>
          </cell>
          <cell r="AR10">
            <v>0</v>
          </cell>
          <cell r="AS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ECHEC</v>
          </cell>
          <cell r="J11">
            <v>1</v>
          </cell>
          <cell r="K11">
            <v>0</v>
          </cell>
          <cell r="L11">
            <v>1</v>
          </cell>
          <cell r="M11">
            <v>0</v>
          </cell>
          <cell r="O11">
            <v>0</v>
          </cell>
          <cell r="P11">
            <v>0</v>
          </cell>
          <cell r="Q11">
            <v>0</v>
          </cell>
          <cell r="U11">
            <v>0</v>
          </cell>
          <cell r="AQ11">
            <v>0</v>
          </cell>
          <cell r="AR11">
            <v>0</v>
          </cell>
          <cell r="AS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 t="str">
            <v>ECHEC</v>
          </cell>
          <cell r="J12">
            <v>1</v>
          </cell>
          <cell r="K12">
            <v>0</v>
          </cell>
          <cell r="L12">
            <v>1</v>
          </cell>
          <cell r="M12">
            <v>0</v>
          </cell>
          <cell r="N12">
            <v>2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U12">
            <v>0</v>
          </cell>
          <cell r="AQ12">
            <v>0</v>
          </cell>
          <cell r="AR12">
            <v>0</v>
          </cell>
          <cell r="AS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 t="str">
            <v>ECHEC</v>
          </cell>
          <cell r="J13">
            <v>1</v>
          </cell>
          <cell r="K13">
            <v>0</v>
          </cell>
          <cell r="M13">
            <v>0</v>
          </cell>
          <cell r="O13">
            <v>0</v>
          </cell>
          <cell r="P13">
            <v>0</v>
          </cell>
          <cell r="U13">
            <v>0</v>
          </cell>
          <cell r="AQ13">
            <v>0</v>
          </cell>
          <cell r="AR13">
            <v>0</v>
          </cell>
          <cell r="AS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1</v>
          </cell>
          <cell r="K14">
            <v>0</v>
          </cell>
          <cell r="M14">
            <v>0</v>
          </cell>
          <cell r="O14">
            <v>0</v>
          </cell>
          <cell r="P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 t="str">
            <v>ECHEC</v>
          </cell>
          <cell r="J15">
            <v>1</v>
          </cell>
          <cell r="K15">
            <v>0</v>
          </cell>
          <cell r="L15">
            <v>1</v>
          </cell>
          <cell r="M15">
            <v>0</v>
          </cell>
          <cell r="O15">
            <v>0</v>
          </cell>
          <cell r="P15">
            <v>0</v>
          </cell>
          <cell r="Q15">
            <v>0</v>
          </cell>
          <cell r="U15">
            <v>0</v>
          </cell>
          <cell r="AQ15">
            <v>0</v>
          </cell>
          <cell r="AR15">
            <v>0</v>
          </cell>
          <cell r="AS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 t="str">
            <v>ECHEC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0</v>
          </cell>
          <cell r="AQ16">
            <v>0</v>
          </cell>
          <cell r="AR16">
            <v>0</v>
          </cell>
          <cell r="AS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 t="str">
            <v>ECHEC</v>
          </cell>
          <cell r="J17">
            <v>1</v>
          </cell>
          <cell r="K17">
            <v>0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  <cell r="R17">
            <v>0</v>
          </cell>
          <cell r="U17">
            <v>0</v>
          </cell>
          <cell r="AQ17">
            <v>0</v>
          </cell>
          <cell r="AR17">
            <v>0</v>
          </cell>
          <cell r="AS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 t="str">
            <v>ECHEC</v>
          </cell>
          <cell r="J18">
            <v>1</v>
          </cell>
          <cell r="K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  <cell r="R18">
            <v>0</v>
          </cell>
          <cell r="U18">
            <v>0</v>
          </cell>
          <cell r="AQ18">
            <v>0</v>
          </cell>
          <cell r="AR18">
            <v>0</v>
          </cell>
          <cell r="AS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 t="str">
            <v>ECHEC</v>
          </cell>
          <cell r="J19">
            <v>1</v>
          </cell>
          <cell r="K19">
            <v>0</v>
          </cell>
          <cell r="M19">
            <v>0</v>
          </cell>
          <cell r="O19">
            <v>0</v>
          </cell>
          <cell r="P19">
            <v>0</v>
          </cell>
          <cell r="U19">
            <v>0</v>
          </cell>
          <cell r="AQ19">
            <v>0</v>
          </cell>
          <cell r="AR19">
            <v>0</v>
          </cell>
          <cell r="AS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 t="str">
            <v>ECHEC</v>
          </cell>
          <cell r="J20">
            <v>1</v>
          </cell>
          <cell r="K20">
            <v>0</v>
          </cell>
          <cell r="L20">
            <v>1</v>
          </cell>
          <cell r="M20">
            <v>0</v>
          </cell>
          <cell r="N20">
            <v>1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U20">
            <v>0</v>
          </cell>
          <cell r="AQ20">
            <v>0</v>
          </cell>
          <cell r="AR20">
            <v>0</v>
          </cell>
          <cell r="AS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 t="str">
            <v>ECHEC</v>
          </cell>
          <cell r="J21">
            <v>1</v>
          </cell>
          <cell r="K21">
            <v>0</v>
          </cell>
          <cell r="M21">
            <v>0</v>
          </cell>
          <cell r="O21">
            <v>0</v>
          </cell>
          <cell r="P21">
            <v>0</v>
          </cell>
          <cell r="U21">
            <v>0</v>
          </cell>
          <cell r="AQ21">
            <v>0</v>
          </cell>
          <cell r="AR21">
            <v>0</v>
          </cell>
          <cell r="AS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 t="str">
            <v>ECHEC</v>
          </cell>
          <cell r="J22">
            <v>1</v>
          </cell>
          <cell r="K22">
            <v>0</v>
          </cell>
          <cell r="L22">
            <v>1</v>
          </cell>
          <cell r="M22">
            <v>0</v>
          </cell>
          <cell r="O22">
            <v>0</v>
          </cell>
          <cell r="P22">
            <v>0</v>
          </cell>
          <cell r="Q22">
            <v>0</v>
          </cell>
          <cell r="U22">
            <v>0</v>
          </cell>
          <cell r="AQ22">
            <v>0</v>
          </cell>
          <cell r="AR22">
            <v>0</v>
          </cell>
          <cell r="AS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 t="str">
            <v>ECHEC</v>
          </cell>
          <cell r="J23">
            <v>1</v>
          </cell>
          <cell r="K23">
            <v>0</v>
          </cell>
          <cell r="M23">
            <v>0</v>
          </cell>
          <cell r="N23">
            <v>2</v>
          </cell>
          <cell r="O23">
            <v>0</v>
          </cell>
          <cell r="P23">
            <v>0</v>
          </cell>
          <cell r="R23">
            <v>0</v>
          </cell>
          <cell r="U23">
            <v>0</v>
          </cell>
          <cell r="AQ23">
            <v>0</v>
          </cell>
          <cell r="AR23">
            <v>0</v>
          </cell>
          <cell r="AS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ECHEC</v>
          </cell>
          <cell r="J24">
            <v>1</v>
          </cell>
          <cell r="K24">
            <v>0</v>
          </cell>
          <cell r="L24">
            <v>1</v>
          </cell>
          <cell r="M24">
            <v>0</v>
          </cell>
          <cell r="N24">
            <v>1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0</v>
          </cell>
          <cell r="AQ24">
            <v>0</v>
          </cell>
          <cell r="AR24">
            <v>0</v>
          </cell>
          <cell r="AS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 t="str">
            <v>ECHEC</v>
          </cell>
          <cell r="J25">
            <v>1</v>
          </cell>
          <cell r="K25">
            <v>0</v>
          </cell>
          <cell r="L25">
            <v>3</v>
          </cell>
          <cell r="M25">
            <v>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U25">
            <v>0</v>
          </cell>
          <cell r="AQ25">
            <v>0</v>
          </cell>
          <cell r="AR25">
            <v>0</v>
          </cell>
          <cell r="AS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 t="str">
            <v>ECHEC</v>
          </cell>
          <cell r="J26">
            <v>1</v>
          </cell>
          <cell r="K26">
            <v>0</v>
          </cell>
          <cell r="M26">
            <v>0</v>
          </cell>
          <cell r="O26">
            <v>0</v>
          </cell>
          <cell r="P26">
            <v>0</v>
          </cell>
          <cell r="U26">
            <v>0</v>
          </cell>
          <cell r="AQ26">
            <v>0</v>
          </cell>
          <cell r="AR26">
            <v>0</v>
          </cell>
          <cell r="AS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 t="str">
            <v>ECHEC</v>
          </cell>
          <cell r="J27">
            <v>1</v>
          </cell>
          <cell r="K27">
            <v>0</v>
          </cell>
          <cell r="M27">
            <v>0</v>
          </cell>
          <cell r="O27">
            <v>0</v>
          </cell>
          <cell r="P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 t="str">
            <v>ECHEC</v>
          </cell>
          <cell r="J28">
            <v>1</v>
          </cell>
          <cell r="K28">
            <v>0</v>
          </cell>
          <cell r="L28">
            <v>1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U28">
            <v>0</v>
          </cell>
          <cell r="AQ28">
            <v>0</v>
          </cell>
          <cell r="AR28">
            <v>0</v>
          </cell>
          <cell r="AS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 t="str">
            <v>ECHEC</v>
          </cell>
          <cell r="J29">
            <v>1</v>
          </cell>
          <cell r="K29">
            <v>0</v>
          </cell>
          <cell r="M29">
            <v>0</v>
          </cell>
          <cell r="O29">
            <v>0</v>
          </cell>
          <cell r="P29">
            <v>0</v>
          </cell>
          <cell r="U29">
            <v>0</v>
          </cell>
          <cell r="AQ29">
            <v>0</v>
          </cell>
          <cell r="AR29">
            <v>0</v>
          </cell>
          <cell r="AS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 t="str">
            <v>ECHEC</v>
          </cell>
          <cell r="J30">
            <v>1</v>
          </cell>
          <cell r="K30">
            <v>0</v>
          </cell>
          <cell r="M30">
            <v>0</v>
          </cell>
          <cell r="N30">
            <v>2</v>
          </cell>
          <cell r="O30">
            <v>0</v>
          </cell>
          <cell r="P30">
            <v>0</v>
          </cell>
          <cell r="R30">
            <v>0</v>
          </cell>
          <cell r="U30">
            <v>0</v>
          </cell>
          <cell r="AQ30">
            <v>0</v>
          </cell>
          <cell r="AR30">
            <v>0</v>
          </cell>
          <cell r="AS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1</v>
          </cell>
          <cell r="K31">
            <v>0</v>
          </cell>
          <cell r="M31">
            <v>0</v>
          </cell>
          <cell r="N31">
            <v>1</v>
          </cell>
          <cell r="O31">
            <v>0</v>
          </cell>
          <cell r="P31">
            <v>0</v>
          </cell>
          <cell r="R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 t="str">
            <v>ECHEC</v>
          </cell>
          <cell r="J32">
            <v>1</v>
          </cell>
          <cell r="K32">
            <v>0</v>
          </cell>
          <cell r="L32">
            <v>1</v>
          </cell>
          <cell r="M32">
            <v>0</v>
          </cell>
          <cell r="O32">
            <v>0</v>
          </cell>
          <cell r="P32">
            <v>0</v>
          </cell>
          <cell r="Q32">
            <v>0</v>
          </cell>
          <cell r="U32">
            <v>0</v>
          </cell>
          <cell r="AQ32">
            <v>0</v>
          </cell>
          <cell r="AR32">
            <v>0</v>
          </cell>
          <cell r="AS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 t="str">
            <v>ECHEC</v>
          </cell>
          <cell r="J33">
            <v>1</v>
          </cell>
          <cell r="K33">
            <v>0</v>
          </cell>
          <cell r="M33">
            <v>0</v>
          </cell>
          <cell r="N33">
            <v>1</v>
          </cell>
          <cell r="O33">
            <v>0</v>
          </cell>
          <cell r="P33">
            <v>0</v>
          </cell>
          <cell r="R33">
            <v>0</v>
          </cell>
          <cell r="U33">
            <v>0</v>
          </cell>
          <cell r="AQ33">
            <v>0</v>
          </cell>
          <cell r="AR33">
            <v>0</v>
          </cell>
          <cell r="AS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J34">
            <v>1</v>
          </cell>
          <cell r="K34">
            <v>0</v>
          </cell>
          <cell r="M34">
            <v>0</v>
          </cell>
          <cell r="O34">
            <v>0</v>
          </cell>
          <cell r="P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 t="str">
            <v>ECHEC</v>
          </cell>
          <cell r="J35">
            <v>1</v>
          </cell>
          <cell r="K35">
            <v>0</v>
          </cell>
          <cell r="M35">
            <v>0</v>
          </cell>
          <cell r="O35">
            <v>0</v>
          </cell>
          <cell r="P35">
            <v>0</v>
          </cell>
          <cell r="U35">
            <v>0</v>
          </cell>
          <cell r="AQ35">
            <v>0</v>
          </cell>
          <cell r="AR35">
            <v>0</v>
          </cell>
          <cell r="AS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 t="str">
            <v>ECHEC</v>
          </cell>
          <cell r="J36">
            <v>1</v>
          </cell>
          <cell r="K36">
            <v>0</v>
          </cell>
          <cell r="M36">
            <v>0</v>
          </cell>
          <cell r="O36">
            <v>0</v>
          </cell>
          <cell r="P36">
            <v>0</v>
          </cell>
          <cell r="U36">
            <v>0</v>
          </cell>
          <cell r="AQ36">
            <v>0</v>
          </cell>
          <cell r="AR36">
            <v>0</v>
          </cell>
          <cell r="AS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 t="str">
            <v>ECHEC</v>
          </cell>
          <cell r="J37">
            <v>1</v>
          </cell>
          <cell r="K37">
            <v>0</v>
          </cell>
          <cell r="M37">
            <v>0</v>
          </cell>
          <cell r="N37">
            <v>1</v>
          </cell>
          <cell r="O37">
            <v>0</v>
          </cell>
          <cell r="P37">
            <v>0</v>
          </cell>
          <cell r="R37">
            <v>0</v>
          </cell>
          <cell r="U37">
            <v>0</v>
          </cell>
          <cell r="AQ37">
            <v>0</v>
          </cell>
          <cell r="AR37">
            <v>0</v>
          </cell>
          <cell r="AS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 t="str">
            <v>ECHEC</v>
          </cell>
          <cell r="J38">
            <v>1</v>
          </cell>
          <cell r="K38">
            <v>0</v>
          </cell>
          <cell r="L38">
            <v>1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U38">
            <v>0</v>
          </cell>
          <cell r="AQ38">
            <v>0</v>
          </cell>
          <cell r="AR38">
            <v>0</v>
          </cell>
          <cell r="AS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</row>
        <row r="40">
          <cell r="B40" t="str">
            <v>TOTAUX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32</v>
          </cell>
          <cell r="K40">
            <v>0</v>
          </cell>
          <cell r="L40">
            <v>16</v>
          </cell>
          <cell r="M40">
            <v>0</v>
          </cell>
          <cell r="N40">
            <v>18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</row>
        <row r="43">
          <cell r="B43" t="str">
            <v>AS201643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0</v>
          </cell>
          <cell r="D47">
            <v>0</v>
          </cell>
          <cell r="F47">
            <v>0</v>
          </cell>
        </row>
      </sheetData>
      <sheetData sheetId="9">
        <row r="6">
          <cell r="A6" t="str">
            <v>AS201648</v>
          </cell>
          <cell r="B6" t="str">
            <v>ASELBY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 t="str">
            <v>ECHEC</v>
          </cell>
          <cell r="K6">
            <v>0</v>
          </cell>
          <cell r="L6">
            <v>1</v>
          </cell>
          <cell r="M6">
            <v>0</v>
          </cell>
          <cell r="N6">
            <v>1</v>
          </cell>
          <cell r="O6">
            <v>0</v>
          </cell>
          <cell r="U6">
            <v>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 t="str">
            <v>ECHEC</v>
          </cell>
          <cell r="J7">
            <v>1</v>
          </cell>
          <cell r="K7">
            <v>0</v>
          </cell>
          <cell r="M7">
            <v>0</v>
          </cell>
          <cell r="O7">
            <v>0</v>
          </cell>
          <cell r="P7">
            <v>0</v>
          </cell>
          <cell r="U7">
            <v>0</v>
          </cell>
          <cell r="AQ7">
            <v>0</v>
          </cell>
          <cell r="AR7">
            <v>0</v>
          </cell>
          <cell r="AS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 t="str">
            <v>ECHEC</v>
          </cell>
          <cell r="J8">
            <v>1</v>
          </cell>
          <cell r="K8">
            <v>0</v>
          </cell>
          <cell r="L8">
            <v>1</v>
          </cell>
          <cell r="M8">
            <v>0</v>
          </cell>
          <cell r="O8">
            <v>0</v>
          </cell>
          <cell r="P8">
            <v>0</v>
          </cell>
          <cell r="Q8">
            <v>0</v>
          </cell>
          <cell r="U8">
            <v>0</v>
          </cell>
          <cell r="AQ8">
            <v>0</v>
          </cell>
          <cell r="AR8">
            <v>0</v>
          </cell>
          <cell r="AS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 t="str">
            <v>ECHEC</v>
          </cell>
          <cell r="J9">
            <v>1</v>
          </cell>
          <cell r="K9">
            <v>0</v>
          </cell>
          <cell r="M9">
            <v>0</v>
          </cell>
          <cell r="N9">
            <v>2</v>
          </cell>
          <cell r="O9">
            <v>0</v>
          </cell>
          <cell r="P9">
            <v>0</v>
          </cell>
          <cell r="R9">
            <v>0</v>
          </cell>
          <cell r="U9">
            <v>0</v>
          </cell>
          <cell r="AQ9">
            <v>0</v>
          </cell>
          <cell r="AR9">
            <v>0</v>
          </cell>
          <cell r="AS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ECHEC</v>
          </cell>
          <cell r="J10">
            <v>1</v>
          </cell>
          <cell r="K10">
            <v>0</v>
          </cell>
          <cell r="L10">
            <v>1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U10">
            <v>0</v>
          </cell>
          <cell r="AQ10">
            <v>0</v>
          </cell>
          <cell r="AR10">
            <v>0</v>
          </cell>
          <cell r="AS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ECHEC</v>
          </cell>
          <cell r="J11">
            <v>1</v>
          </cell>
          <cell r="K11">
            <v>0</v>
          </cell>
          <cell r="L11">
            <v>1</v>
          </cell>
          <cell r="M11">
            <v>0</v>
          </cell>
          <cell r="O11">
            <v>0</v>
          </cell>
          <cell r="P11">
            <v>0</v>
          </cell>
          <cell r="Q11">
            <v>0</v>
          </cell>
          <cell r="U11">
            <v>0</v>
          </cell>
          <cell r="AQ11">
            <v>0</v>
          </cell>
          <cell r="AR11">
            <v>0</v>
          </cell>
          <cell r="AS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 t="str">
            <v>ECHEC</v>
          </cell>
          <cell r="J12">
            <v>1</v>
          </cell>
          <cell r="K12">
            <v>0</v>
          </cell>
          <cell r="L12">
            <v>1</v>
          </cell>
          <cell r="M12">
            <v>0</v>
          </cell>
          <cell r="N12">
            <v>2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U12">
            <v>0</v>
          </cell>
          <cell r="AQ12">
            <v>0</v>
          </cell>
          <cell r="AR12">
            <v>0</v>
          </cell>
          <cell r="AS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 t="str">
            <v>ECHEC</v>
          </cell>
          <cell r="J13">
            <v>1</v>
          </cell>
          <cell r="K13">
            <v>0</v>
          </cell>
          <cell r="M13">
            <v>0</v>
          </cell>
          <cell r="O13">
            <v>0</v>
          </cell>
          <cell r="P13">
            <v>0</v>
          </cell>
          <cell r="U13">
            <v>0</v>
          </cell>
          <cell r="AQ13">
            <v>0</v>
          </cell>
          <cell r="AR13">
            <v>0</v>
          </cell>
          <cell r="AS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1</v>
          </cell>
          <cell r="K14">
            <v>0</v>
          </cell>
          <cell r="M14">
            <v>0</v>
          </cell>
          <cell r="O14">
            <v>0</v>
          </cell>
          <cell r="P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 t="str">
            <v>ECHEC</v>
          </cell>
          <cell r="J15">
            <v>1</v>
          </cell>
          <cell r="K15">
            <v>0</v>
          </cell>
          <cell r="L15">
            <v>1</v>
          </cell>
          <cell r="M15">
            <v>0</v>
          </cell>
          <cell r="O15">
            <v>0</v>
          </cell>
          <cell r="P15">
            <v>0</v>
          </cell>
          <cell r="Q15">
            <v>0</v>
          </cell>
          <cell r="U15">
            <v>0</v>
          </cell>
          <cell r="AQ15">
            <v>0</v>
          </cell>
          <cell r="AR15">
            <v>0</v>
          </cell>
          <cell r="AS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 t="str">
            <v>ECHEC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0</v>
          </cell>
          <cell r="AQ16">
            <v>0</v>
          </cell>
          <cell r="AR16">
            <v>0</v>
          </cell>
          <cell r="AS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 t="str">
            <v>ECHEC</v>
          </cell>
          <cell r="J17">
            <v>1</v>
          </cell>
          <cell r="K17">
            <v>0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  <cell r="R17">
            <v>0</v>
          </cell>
          <cell r="U17">
            <v>0</v>
          </cell>
          <cell r="AQ17">
            <v>0</v>
          </cell>
          <cell r="AR17">
            <v>0</v>
          </cell>
          <cell r="AS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 t="str">
            <v>ECHEC</v>
          </cell>
          <cell r="J18">
            <v>1</v>
          </cell>
          <cell r="K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  <cell r="R18">
            <v>0</v>
          </cell>
          <cell r="U18">
            <v>0</v>
          </cell>
          <cell r="AQ18">
            <v>0</v>
          </cell>
          <cell r="AR18">
            <v>0</v>
          </cell>
          <cell r="AS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 t="str">
            <v>ECHEC</v>
          </cell>
          <cell r="J19">
            <v>1</v>
          </cell>
          <cell r="K19">
            <v>0</v>
          </cell>
          <cell r="M19">
            <v>0</v>
          </cell>
          <cell r="O19">
            <v>0</v>
          </cell>
          <cell r="P19">
            <v>0</v>
          </cell>
          <cell r="U19">
            <v>0</v>
          </cell>
          <cell r="AQ19">
            <v>0</v>
          </cell>
          <cell r="AR19">
            <v>0</v>
          </cell>
          <cell r="AS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 t="str">
            <v>ECHEC</v>
          </cell>
          <cell r="J20">
            <v>1</v>
          </cell>
          <cell r="K20">
            <v>0</v>
          </cell>
          <cell r="L20">
            <v>1</v>
          </cell>
          <cell r="M20">
            <v>0</v>
          </cell>
          <cell r="N20">
            <v>1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U20">
            <v>0</v>
          </cell>
          <cell r="AQ20">
            <v>0</v>
          </cell>
          <cell r="AR20">
            <v>0</v>
          </cell>
          <cell r="AS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 t="str">
            <v>ECHEC</v>
          </cell>
          <cell r="J21">
            <v>1</v>
          </cell>
          <cell r="K21">
            <v>0</v>
          </cell>
          <cell r="M21">
            <v>0</v>
          </cell>
          <cell r="O21">
            <v>0</v>
          </cell>
          <cell r="P21">
            <v>0</v>
          </cell>
          <cell r="U21">
            <v>0</v>
          </cell>
          <cell r="AQ21">
            <v>0</v>
          </cell>
          <cell r="AR21">
            <v>0</v>
          </cell>
          <cell r="AS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 t="str">
            <v>ECHEC</v>
          </cell>
          <cell r="J22">
            <v>1</v>
          </cell>
          <cell r="K22">
            <v>0</v>
          </cell>
          <cell r="L22">
            <v>1</v>
          </cell>
          <cell r="M22">
            <v>0</v>
          </cell>
          <cell r="O22">
            <v>0</v>
          </cell>
          <cell r="P22">
            <v>0</v>
          </cell>
          <cell r="Q22">
            <v>0</v>
          </cell>
          <cell r="U22">
            <v>0</v>
          </cell>
          <cell r="AQ22">
            <v>0</v>
          </cell>
          <cell r="AR22">
            <v>0</v>
          </cell>
          <cell r="AS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 t="str">
            <v>ECHEC</v>
          </cell>
          <cell r="J23">
            <v>1</v>
          </cell>
          <cell r="K23">
            <v>0</v>
          </cell>
          <cell r="M23">
            <v>0</v>
          </cell>
          <cell r="N23">
            <v>2</v>
          </cell>
          <cell r="O23">
            <v>0</v>
          </cell>
          <cell r="P23">
            <v>0</v>
          </cell>
          <cell r="R23">
            <v>0</v>
          </cell>
          <cell r="U23">
            <v>0</v>
          </cell>
          <cell r="AQ23">
            <v>0</v>
          </cell>
          <cell r="AR23">
            <v>0</v>
          </cell>
          <cell r="AS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ECHEC</v>
          </cell>
          <cell r="J24">
            <v>1</v>
          </cell>
          <cell r="K24">
            <v>0</v>
          </cell>
          <cell r="L24">
            <v>1</v>
          </cell>
          <cell r="M24">
            <v>0</v>
          </cell>
          <cell r="N24">
            <v>1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0</v>
          </cell>
          <cell r="AQ24">
            <v>0</v>
          </cell>
          <cell r="AR24">
            <v>0</v>
          </cell>
          <cell r="AS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 t="str">
            <v>ECHEC</v>
          </cell>
          <cell r="J25">
            <v>1</v>
          </cell>
          <cell r="K25">
            <v>0</v>
          </cell>
          <cell r="L25">
            <v>3</v>
          </cell>
          <cell r="M25">
            <v>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U25">
            <v>0</v>
          </cell>
          <cell r="AQ25">
            <v>0</v>
          </cell>
          <cell r="AR25">
            <v>0</v>
          </cell>
          <cell r="AS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 t="str">
            <v>ECHEC</v>
          </cell>
          <cell r="J26">
            <v>1</v>
          </cell>
          <cell r="K26">
            <v>0</v>
          </cell>
          <cell r="M26">
            <v>0</v>
          </cell>
          <cell r="O26">
            <v>0</v>
          </cell>
          <cell r="P26">
            <v>0</v>
          </cell>
          <cell r="U26">
            <v>0</v>
          </cell>
          <cell r="AQ26">
            <v>0</v>
          </cell>
          <cell r="AR26">
            <v>0</v>
          </cell>
          <cell r="AS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 t="str">
            <v>ECHEC</v>
          </cell>
          <cell r="J27">
            <v>1</v>
          </cell>
          <cell r="K27">
            <v>0</v>
          </cell>
          <cell r="M27">
            <v>0</v>
          </cell>
          <cell r="O27">
            <v>0</v>
          </cell>
          <cell r="P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 t="str">
            <v>ECHEC</v>
          </cell>
          <cell r="J28">
            <v>1</v>
          </cell>
          <cell r="K28">
            <v>0</v>
          </cell>
          <cell r="L28">
            <v>1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U28">
            <v>0</v>
          </cell>
          <cell r="AQ28">
            <v>0</v>
          </cell>
          <cell r="AR28">
            <v>0</v>
          </cell>
          <cell r="AS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 t="str">
            <v>ECHEC</v>
          </cell>
          <cell r="J29">
            <v>1</v>
          </cell>
          <cell r="K29">
            <v>0</v>
          </cell>
          <cell r="M29">
            <v>0</v>
          </cell>
          <cell r="O29">
            <v>0</v>
          </cell>
          <cell r="P29">
            <v>0</v>
          </cell>
          <cell r="U29">
            <v>0</v>
          </cell>
          <cell r="AQ29">
            <v>0</v>
          </cell>
          <cell r="AR29">
            <v>0</v>
          </cell>
          <cell r="AS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 t="str">
            <v>ECHEC</v>
          </cell>
          <cell r="J30">
            <v>1</v>
          </cell>
          <cell r="K30">
            <v>0</v>
          </cell>
          <cell r="M30">
            <v>0</v>
          </cell>
          <cell r="N30">
            <v>2</v>
          </cell>
          <cell r="O30">
            <v>0</v>
          </cell>
          <cell r="P30">
            <v>0</v>
          </cell>
          <cell r="R30">
            <v>0</v>
          </cell>
          <cell r="U30">
            <v>0</v>
          </cell>
          <cell r="AQ30">
            <v>0</v>
          </cell>
          <cell r="AR30">
            <v>0</v>
          </cell>
          <cell r="AS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1</v>
          </cell>
          <cell r="K31">
            <v>0</v>
          </cell>
          <cell r="M31">
            <v>0</v>
          </cell>
          <cell r="N31">
            <v>1</v>
          </cell>
          <cell r="O31">
            <v>0</v>
          </cell>
          <cell r="P31">
            <v>0</v>
          </cell>
          <cell r="R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 t="str">
            <v>ECHEC</v>
          </cell>
          <cell r="J32">
            <v>1</v>
          </cell>
          <cell r="K32">
            <v>0</v>
          </cell>
          <cell r="L32">
            <v>1</v>
          </cell>
          <cell r="M32">
            <v>0</v>
          </cell>
          <cell r="O32">
            <v>0</v>
          </cell>
          <cell r="P32">
            <v>0</v>
          </cell>
          <cell r="Q32">
            <v>0</v>
          </cell>
          <cell r="U32">
            <v>0</v>
          </cell>
          <cell r="AQ32">
            <v>0</v>
          </cell>
          <cell r="AR32">
            <v>0</v>
          </cell>
          <cell r="AS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 t="str">
            <v>ECHEC</v>
          </cell>
          <cell r="J33">
            <v>1</v>
          </cell>
          <cell r="K33">
            <v>0</v>
          </cell>
          <cell r="M33">
            <v>0</v>
          </cell>
          <cell r="N33">
            <v>1</v>
          </cell>
          <cell r="O33">
            <v>0</v>
          </cell>
          <cell r="P33">
            <v>0</v>
          </cell>
          <cell r="R33">
            <v>0</v>
          </cell>
          <cell r="U33">
            <v>0</v>
          </cell>
          <cell r="AQ33">
            <v>0</v>
          </cell>
          <cell r="AR33">
            <v>0</v>
          </cell>
          <cell r="AS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J34">
            <v>1</v>
          </cell>
          <cell r="K34">
            <v>0</v>
          </cell>
          <cell r="M34">
            <v>0</v>
          </cell>
          <cell r="O34">
            <v>0</v>
          </cell>
          <cell r="P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 t="str">
            <v>ECHEC</v>
          </cell>
          <cell r="J35">
            <v>1</v>
          </cell>
          <cell r="K35">
            <v>0</v>
          </cell>
          <cell r="M35">
            <v>0</v>
          </cell>
          <cell r="O35">
            <v>0</v>
          </cell>
          <cell r="P35">
            <v>0</v>
          </cell>
          <cell r="U35">
            <v>0</v>
          </cell>
          <cell r="AQ35">
            <v>0</v>
          </cell>
          <cell r="AR35">
            <v>0</v>
          </cell>
          <cell r="AS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 t="str">
            <v>ECHEC</v>
          </cell>
          <cell r="J36">
            <v>1</v>
          </cell>
          <cell r="K36">
            <v>0</v>
          </cell>
          <cell r="M36">
            <v>0</v>
          </cell>
          <cell r="O36">
            <v>0</v>
          </cell>
          <cell r="P36">
            <v>0</v>
          </cell>
          <cell r="U36">
            <v>0</v>
          </cell>
          <cell r="AQ36">
            <v>0</v>
          </cell>
          <cell r="AR36">
            <v>0</v>
          </cell>
          <cell r="AS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 t="str">
            <v>ECHEC</v>
          </cell>
          <cell r="J37">
            <v>1</v>
          </cell>
          <cell r="K37">
            <v>0</v>
          </cell>
          <cell r="M37">
            <v>0</v>
          </cell>
          <cell r="N37">
            <v>1</v>
          </cell>
          <cell r="O37">
            <v>0</v>
          </cell>
          <cell r="P37">
            <v>0</v>
          </cell>
          <cell r="R37">
            <v>0</v>
          </cell>
          <cell r="U37">
            <v>0</v>
          </cell>
          <cell r="AQ37">
            <v>0</v>
          </cell>
          <cell r="AR37">
            <v>0</v>
          </cell>
          <cell r="AS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 t="str">
            <v>ECHEC</v>
          </cell>
          <cell r="J38">
            <v>1</v>
          </cell>
          <cell r="K38">
            <v>0</v>
          </cell>
          <cell r="L38">
            <v>1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U38">
            <v>0</v>
          </cell>
          <cell r="AQ38">
            <v>0</v>
          </cell>
          <cell r="AR38">
            <v>0</v>
          </cell>
          <cell r="AS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</row>
        <row r="40">
          <cell r="B40" t="str">
            <v>TOTAUX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32</v>
          </cell>
          <cell r="K40">
            <v>0</v>
          </cell>
          <cell r="L40">
            <v>16</v>
          </cell>
          <cell r="M40">
            <v>0</v>
          </cell>
          <cell r="N40">
            <v>18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</row>
        <row r="43">
          <cell r="B43" t="str">
            <v>AS201643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0</v>
          </cell>
          <cell r="D47">
            <v>0</v>
          </cell>
          <cell r="F47">
            <v>0</v>
          </cell>
        </row>
      </sheetData>
      <sheetData sheetId="10">
        <row r="6">
          <cell r="A6" t="str">
            <v>AS201648</v>
          </cell>
          <cell r="B6" t="str">
            <v>ASELBY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 t="str">
            <v>ECHEC</v>
          </cell>
          <cell r="K6">
            <v>0</v>
          </cell>
          <cell r="L6">
            <v>1</v>
          </cell>
          <cell r="M6">
            <v>0</v>
          </cell>
          <cell r="N6">
            <v>1</v>
          </cell>
          <cell r="O6">
            <v>0</v>
          </cell>
          <cell r="U6">
            <v>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 t="str">
            <v>ECHEC</v>
          </cell>
          <cell r="J7">
            <v>1</v>
          </cell>
          <cell r="K7">
            <v>0</v>
          </cell>
          <cell r="M7">
            <v>0</v>
          </cell>
          <cell r="O7">
            <v>0</v>
          </cell>
          <cell r="P7">
            <v>0</v>
          </cell>
          <cell r="U7">
            <v>0</v>
          </cell>
          <cell r="AQ7">
            <v>0</v>
          </cell>
          <cell r="AR7">
            <v>0</v>
          </cell>
          <cell r="AS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 t="str">
            <v>ECHEC</v>
          </cell>
          <cell r="J8">
            <v>1</v>
          </cell>
          <cell r="K8">
            <v>0</v>
          </cell>
          <cell r="L8">
            <v>1</v>
          </cell>
          <cell r="M8">
            <v>0</v>
          </cell>
          <cell r="O8">
            <v>0</v>
          </cell>
          <cell r="P8">
            <v>0</v>
          </cell>
          <cell r="Q8">
            <v>0</v>
          </cell>
          <cell r="U8">
            <v>0</v>
          </cell>
          <cell r="AQ8">
            <v>0</v>
          </cell>
          <cell r="AR8">
            <v>0</v>
          </cell>
          <cell r="AS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 t="str">
            <v>ECHEC</v>
          </cell>
          <cell r="J9">
            <v>1</v>
          </cell>
          <cell r="K9">
            <v>0</v>
          </cell>
          <cell r="M9">
            <v>0</v>
          </cell>
          <cell r="N9">
            <v>2</v>
          </cell>
          <cell r="O9">
            <v>0</v>
          </cell>
          <cell r="P9">
            <v>0</v>
          </cell>
          <cell r="R9">
            <v>0</v>
          </cell>
          <cell r="U9">
            <v>0</v>
          </cell>
          <cell r="AQ9">
            <v>0</v>
          </cell>
          <cell r="AR9">
            <v>0</v>
          </cell>
          <cell r="AS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ECHEC</v>
          </cell>
          <cell r="J10">
            <v>1</v>
          </cell>
          <cell r="K10">
            <v>0</v>
          </cell>
          <cell r="L10">
            <v>1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U10">
            <v>0</v>
          </cell>
          <cell r="AQ10">
            <v>0</v>
          </cell>
          <cell r="AR10">
            <v>0</v>
          </cell>
          <cell r="AS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ECHEC</v>
          </cell>
          <cell r="J11">
            <v>1</v>
          </cell>
          <cell r="K11">
            <v>0</v>
          </cell>
          <cell r="L11">
            <v>1</v>
          </cell>
          <cell r="M11">
            <v>0</v>
          </cell>
          <cell r="O11">
            <v>0</v>
          </cell>
          <cell r="P11">
            <v>0</v>
          </cell>
          <cell r="Q11">
            <v>0</v>
          </cell>
          <cell r="U11">
            <v>0</v>
          </cell>
          <cell r="AQ11">
            <v>0</v>
          </cell>
          <cell r="AR11">
            <v>0</v>
          </cell>
          <cell r="AS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 t="str">
            <v>ECHEC</v>
          </cell>
          <cell r="J12">
            <v>1</v>
          </cell>
          <cell r="K12">
            <v>0</v>
          </cell>
          <cell r="L12">
            <v>1</v>
          </cell>
          <cell r="M12">
            <v>0</v>
          </cell>
          <cell r="N12">
            <v>2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U12">
            <v>0</v>
          </cell>
          <cell r="AQ12">
            <v>0</v>
          </cell>
          <cell r="AR12">
            <v>0</v>
          </cell>
          <cell r="AS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 t="str">
            <v>ECHEC</v>
          </cell>
          <cell r="J13">
            <v>1</v>
          </cell>
          <cell r="K13">
            <v>0</v>
          </cell>
          <cell r="M13">
            <v>0</v>
          </cell>
          <cell r="O13">
            <v>0</v>
          </cell>
          <cell r="P13">
            <v>0</v>
          </cell>
          <cell r="U13">
            <v>0</v>
          </cell>
          <cell r="AQ13">
            <v>0</v>
          </cell>
          <cell r="AR13">
            <v>0</v>
          </cell>
          <cell r="AS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1</v>
          </cell>
          <cell r="K14">
            <v>0</v>
          </cell>
          <cell r="M14">
            <v>0</v>
          </cell>
          <cell r="O14">
            <v>0</v>
          </cell>
          <cell r="P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 t="str">
            <v>ECHEC</v>
          </cell>
          <cell r="J15">
            <v>1</v>
          </cell>
          <cell r="K15">
            <v>0</v>
          </cell>
          <cell r="L15">
            <v>1</v>
          </cell>
          <cell r="M15">
            <v>0</v>
          </cell>
          <cell r="O15">
            <v>0</v>
          </cell>
          <cell r="P15">
            <v>0</v>
          </cell>
          <cell r="Q15">
            <v>0</v>
          </cell>
          <cell r="U15">
            <v>0</v>
          </cell>
          <cell r="AQ15">
            <v>0</v>
          </cell>
          <cell r="AR15">
            <v>0</v>
          </cell>
          <cell r="AS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 t="str">
            <v>ECHEC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0</v>
          </cell>
          <cell r="AQ16">
            <v>0</v>
          </cell>
          <cell r="AR16">
            <v>0</v>
          </cell>
          <cell r="AS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 t="str">
            <v>ECHEC</v>
          </cell>
          <cell r="J17">
            <v>1</v>
          </cell>
          <cell r="K17">
            <v>0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  <cell r="R17">
            <v>0</v>
          </cell>
          <cell r="U17">
            <v>0</v>
          </cell>
          <cell r="AQ17">
            <v>0</v>
          </cell>
          <cell r="AR17">
            <v>0</v>
          </cell>
          <cell r="AS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 t="str">
            <v>ECHEC</v>
          </cell>
          <cell r="J18">
            <v>1</v>
          </cell>
          <cell r="K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  <cell r="R18">
            <v>0</v>
          </cell>
          <cell r="U18">
            <v>0</v>
          </cell>
          <cell r="AQ18">
            <v>0</v>
          </cell>
          <cell r="AR18">
            <v>0</v>
          </cell>
          <cell r="AS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 t="str">
            <v>ECHEC</v>
          </cell>
          <cell r="J19">
            <v>1</v>
          </cell>
          <cell r="K19">
            <v>0</v>
          </cell>
          <cell r="M19">
            <v>0</v>
          </cell>
          <cell r="O19">
            <v>0</v>
          </cell>
          <cell r="P19">
            <v>0</v>
          </cell>
          <cell r="U19">
            <v>0</v>
          </cell>
          <cell r="AQ19">
            <v>0</v>
          </cell>
          <cell r="AR19">
            <v>0</v>
          </cell>
          <cell r="AS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 t="str">
            <v>ECHEC</v>
          </cell>
          <cell r="J20">
            <v>1</v>
          </cell>
          <cell r="K20">
            <v>0</v>
          </cell>
          <cell r="L20">
            <v>1</v>
          </cell>
          <cell r="M20">
            <v>0</v>
          </cell>
          <cell r="N20">
            <v>1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U20">
            <v>0</v>
          </cell>
          <cell r="AQ20">
            <v>0</v>
          </cell>
          <cell r="AR20">
            <v>0</v>
          </cell>
          <cell r="AS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 t="str">
            <v>ECHEC</v>
          </cell>
          <cell r="J21">
            <v>1</v>
          </cell>
          <cell r="K21">
            <v>0</v>
          </cell>
          <cell r="M21">
            <v>0</v>
          </cell>
          <cell r="O21">
            <v>0</v>
          </cell>
          <cell r="P21">
            <v>0</v>
          </cell>
          <cell r="U21">
            <v>0</v>
          </cell>
          <cell r="AQ21">
            <v>0</v>
          </cell>
          <cell r="AR21">
            <v>0</v>
          </cell>
          <cell r="AS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 t="str">
            <v>ECHEC</v>
          </cell>
          <cell r="J22">
            <v>1</v>
          </cell>
          <cell r="K22">
            <v>0</v>
          </cell>
          <cell r="L22">
            <v>1</v>
          </cell>
          <cell r="M22">
            <v>0</v>
          </cell>
          <cell r="O22">
            <v>0</v>
          </cell>
          <cell r="P22">
            <v>0</v>
          </cell>
          <cell r="Q22">
            <v>0</v>
          </cell>
          <cell r="U22">
            <v>0</v>
          </cell>
          <cell r="AQ22">
            <v>0</v>
          </cell>
          <cell r="AR22">
            <v>0</v>
          </cell>
          <cell r="AS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 t="str">
            <v>ECHEC</v>
          </cell>
          <cell r="J23">
            <v>1</v>
          </cell>
          <cell r="K23">
            <v>0</v>
          </cell>
          <cell r="M23">
            <v>0</v>
          </cell>
          <cell r="N23">
            <v>2</v>
          </cell>
          <cell r="O23">
            <v>0</v>
          </cell>
          <cell r="P23">
            <v>0</v>
          </cell>
          <cell r="R23">
            <v>0</v>
          </cell>
          <cell r="U23">
            <v>0</v>
          </cell>
          <cell r="AQ23">
            <v>0</v>
          </cell>
          <cell r="AR23">
            <v>0</v>
          </cell>
          <cell r="AS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ECHEC</v>
          </cell>
          <cell r="J24">
            <v>1</v>
          </cell>
          <cell r="K24">
            <v>0</v>
          </cell>
          <cell r="L24">
            <v>1</v>
          </cell>
          <cell r="M24">
            <v>0</v>
          </cell>
          <cell r="N24">
            <v>1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0</v>
          </cell>
          <cell r="AQ24">
            <v>0</v>
          </cell>
          <cell r="AR24">
            <v>0</v>
          </cell>
          <cell r="AS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 t="str">
            <v>ECHEC</v>
          </cell>
          <cell r="J25">
            <v>1</v>
          </cell>
          <cell r="K25">
            <v>0</v>
          </cell>
          <cell r="L25">
            <v>3</v>
          </cell>
          <cell r="M25">
            <v>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U25">
            <v>0</v>
          </cell>
          <cell r="AQ25">
            <v>0</v>
          </cell>
          <cell r="AR25">
            <v>0</v>
          </cell>
          <cell r="AS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 t="str">
            <v>ECHEC</v>
          </cell>
          <cell r="J26">
            <v>1</v>
          </cell>
          <cell r="K26">
            <v>0</v>
          </cell>
          <cell r="M26">
            <v>0</v>
          </cell>
          <cell r="O26">
            <v>0</v>
          </cell>
          <cell r="P26">
            <v>0</v>
          </cell>
          <cell r="U26">
            <v>0</v>
          </cell>
          <cell r="AQ26">
            <v>0</v>
          </cell>
          <cell r="AR26">
            <v>0</v>
          </cell>
          <cell r="AS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 t="str">
            <v>ECHEC</v>
          </cell>
          <cell r="J27">
            <v>1</v>
          </cell>
          <cell r="K27">
            <v>0</v>
          </cell>
          <cell r="M27">
            <v>0</v>
          </cell>
          <cell r="O27">
            <v>0</v>
          </cell>
          <cell r="P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 t="str">
            <v>ECHEC</v>
          </cell>
          <cell r="J28">
            <v>1</v>
          </cell>
          <cell r="K28">
            <v>0</v>
          </cell>
          <cell r="L28">
            <v>1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U28">
            <v>0</v>
          </cell>
          <cell r="AQ28">
            <v>0</v>
          </cell>
          <cell r="AR28">
            <v>0</v>
          </cell>
          <cell r="AS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 t="str">
            <v>ECHEC</v>
          </cell>
          <cell r="J29">
            <v>1</v>
          </cell>
          <cell r="K29">
            <v>0</v>
          </cell>
          <cell r="M29">
            <v>0</v>
          </cell>
          <cell r="O29">
            <v>0</v>
          </cell>
          <cell r="P29">
            <v>0</v>
          </cell>
          <cell r="U29">
            <v>0</v>
          </cell>
          <cell r="AQ29">
            <v>0</v>
          </cell>
          <cell r="AR29">
            <v>0</v>
          </cell>
          <cell r="AS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 t="str">
            <v>ECHEC</v>
          </cell>
          <cell r="J30">
            <v>1</v>
          </cell>
          <cell r="K30">
            <v>0</v>
          </cell>
          <cell r="M30">
            <v>0</v>
          </cell>
          <cell r="N30">
            <v>2</v>
          </cell>
          <cell r="O30">
            <v>0</v>
          </cell>
          <cell r="P30">
            <v>0</v>
          </cell>
          <cell r="R30">
            <v>0</v>
          </cell>
          <cell r="U30">
            <v>0</v>
          </cell>
          <cell r="AQ30">
            <v>0</v>
          </cell>
          <cell r="AR30">
            <v>0</v>
          </cell>
          <cell r="AS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1</v>
          </cell>
          <cell r="K31">
            <v>0</v>
          </cell>
          <cell r="M31">
            <v>0</v>
          </cell>
          <cell r="N31">
            <v>1</v>
          </cell>
          <cell r="O31">
            <v>0</v>
          </cell>
          <cell r="P31">
            <v>0</v>
          </cell>
          <cell r="R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 t="str">
            <v>ECHEC</v>
          </cell>
          <cell r="J32">
            <v>1</v>
          </cell>
          <cell r="K32">
            <v>0</v>
          </cell>
          <cell r="L32">
            <v>1</v>
          </cell>
          <cell r="M32">
            <v>0</v>
          </cell>
          <cell r="O32">
            <v>0</v>
          </cell>
          <cell r="P32">
            <v>0</v>
          </cell>
          <cell r="Q32">
            <v>0</v>
          </cell>
          <cell r="U32">
            <v>0</v>
          </cell>
          <cell r="AQ32">
            <v>0</v>
          </cell>
          <cell r="AR32">
            <v>0</v>
          </cell>
          <cell r="AS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 t="str">
            <v>ECHEC</v>
          </cell>
          <cell r="J33">
            <v>1</v>
          </cell>
          <cell r="K33">
            <v>0</v>
          </cell>
          <cell r="M33">
            <v>0</v>
          </cell>
          <cell r="N33">
            <v>1</v>
          </cell>
          <cell r="O33">
            <v>0</v>
          </cell>
          <cell r="P33">
            <v>0</v>
          </cell>
          <cell r="R33">
            <v>0</v>
          </cell>
          <cell r="U33">
            <v>0</v>
          </cell>
          <cell r="AQ33">
            <v>0</v>
          </cell>
          <cell r="AR33">
            <v>0</v>
          </cell>
          <cell r="AS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J34">
            <v>1</v>
          </cell>
          <cell r="K34">
            <v>0</v>
          </cell>
          <cell r="M34">
            <v>0</v>
          </cell>
          <cell r="O34">
            <v>0</v>
          </cell>
          <cell r="P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 t="str">
            <v>ECHEC</v>
          </cell>
          <cell r="J35">
            <v>1</v>
          </cell>
          <cell r="K35">
            <v>0</v>
          </cell>
          <cell r="M35">
            <v>0</v>
          </cell>
          <cell r="O35">
            <v>0</v>
          </cell>
          <cell r="P35">
            <v>0</v>
          </cell>
          <cell r="U35">
            <v>0</v>
          </cell>
          <cell r="AQ35">
            <v>0</v>
          </cell>
          <cell r="AR35">
            <v>0</v>
          </cell>
          <cell r="AS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 t="str">
            <v>ECHEC</v>
          </cell>
          <cell r="J36">
            <v>1</v>
          </cell>
          <cell r="K36">
            <v>0</v>
          </cell>
          <cell r="M36">
            <v>0</v>
          </cell>
          <cell r="O36">
            <v>0</v>
          </cell>
          <cell r="P36">
            <v>0</v>
          </cell>
          <cell r="U36">
            <v>0</v>
          </cell>
          <cell r="AQ36">
            <v>0</v>
          </cell>
          <cell r="AR36">
            <v>0</v>
          </cell>
          <cell r="AS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 t="str">
            <v>ECHEC</v>
          </cell>
          <cell r="J37">
            <v>1</v>
          </cell>
          <cell r="K37">
            <v>0</v>
          </cell>
          <cell r="M37">
            <v>0</v>
          </cell>
          <cell r="N37">
            <v>1</v>
          </cell>
          <cell r="O37">
            <v>0</v>
          </cell>
          <cell r="P37">
            <v>0</v>
          </cell>
          <cell r="R37">
            <v>0</v>
          </cell>
          <cell r="U37">
            <v>0</v>
          </cell>
          <cell r="AQ37">
            <v>0</v>
          </cell>
          <cell r="AR37">
            <v>0</v>
          </cell>
          <cell r="AS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 t="str">
            <v>ECHEC</v>
          </cell>
          <cell r="J38">
            <v>1</v>
          </cell>
          <cell r="K38">
            <v>0</v>
          </cell>
          <cell r="L38">
            <v>1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U38">
            <v>0</v>
          </cell>
          <cell r="AQ38">
            <v>0</v>
          </cell>
          <cell r="AR38">
            <v>0</v>
          </cell>
          <cell r="AS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</row>
        <row r="40">
          <cell r="B40" t="str">
            <v>TOTAUX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32</v>
          </cell>
          <cell r="K40">
            <v>0</v>
          </cell>
          <cell r="L40">
            <v>16</v>
          </cell>
          <cell r="M40">
            <v>0</v>
          </cell>
          <cell r="N40">
            <v>18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</row>
        <row r="43">
          <cell r="B43" t="str">
            <v>AS201643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0</v>
          </cell>
          <cell r="D47">
            <v>0</v>
          </cell>
          <cell r="F47">
            <v>0</v>
          </cell>
        </row>
      </sheetData>
      <sheetData sheetId="11">
        <row r="6">
          <cell r="A6" t="str">
            <v>AS201648</v>
          </cell>
          <cell r="B6" t="str">
            <v>ASELBY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 t="str">
            <v>ECHEC</v>
          </cell>
          <cell r="K6">
            <v>0</v>
          </cell>
          <cell r="L6">
            <v>1</v>
          </cell>
          <cell r="M6">
            <v>0</v>
          </cell>
          <cell r="N6">
            <v>1</v>
          </cell>
          <cell r="O6">
            <v>0</v>
          </cell>
          <cell r="U6">
            <v>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 t="str">
            <v>ECHEC</v>
          </cell>
          <cell r="J7">
            <v>1</v>
          </cell>
          <cell r="K7">
            <v>0</v>
          </cell>
          <cell r="M7">
            <v>0</v>
          </cell>
          <cell r="O7">
            <v>0</v>
          </cell>
          <cell r="P7">
            <v>0</v>
          </cell>
          <cell r="U7">
            <v>0</v>
          </cell>
          <cell r="AQ7">
            <v>0</v>
          </cell>
          <cell r="AR7">
            <v>0</v>
          </cell>
          <cell r="AS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 t="str">
            <v>ECHEC</v>
          </cell>
          <cell r="J8">
            <v>1</v>
          </cell>
          <cell r="K8">
            <v>0</v>
          </cell>
          <cell r="L8">
            <v>1</v>
          </cell>
          <cell r="M8">
            <v>0</v>
          </cell>
          <cell r="O8">
            <v>0</v>
          </cell>
          <cell r="P8">
            <v>0</v>
          </cell>
          <cell r="Q8">
            <v>0</v>
          </cell>
          <cell r="U8">
            <v>0</v>
          </cell>
          <cell r="AQ8">
            <v>0</v>
          </cell>
          <cell r="AR8">
            <v>0</v>
          </cell>
          <cell r="AS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 t="str">
            <v>ECHEC</v>
          </cell>
          <cell r="J9">
            <v>1</v>
          </cell>
          <cell r="K9">
            <v>0</v>
          </cell>
          <cell r="M9">
            <v>0</v>
          </cell>
          <cell r="N9">
            <v>2</v>
          </cell>
          <cell r="O9">
            <v>0</v>
          </cell>
          <cell r="P9">
            <v>0</v>
          </cell>
          <cell r="R9">
            <v>0</v>
          </cell>
          <cell r="U9">
            <v>0</v>
          </cell>
          <cell r="AQ9">
            <v>0</v>
          </cell>
          <cell r="AR9">
            <v>0</v>
          </cell>
          <cell r="AS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ECHEC</v>
          </cell>
          <cell r="J10">
            <v>1</v>
          </cell>
          <cell r="K10">
            <v>0</v>
          </cell>
          <cell r="L10">
            <v>1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U10">
            <v>0</v>
          </cell>
          <cell r="AQ10">
            <v>0</v>
          </cell>
          <cell r="AR10">
            <v>0</v>
          </cell>
          <cell r="AS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ECHEC</v>
          </cell>
          <cell r="J11">
            <v>1</v>
          </cell>
          <cell r="K11">
            <v>0</v>
          </cell>
          <cell r="L11">
            <v>1</v>
          </cell>
          <cell r="M11">
            <v>0</v>
          </cell>
          <cell r="O11">
            <v>0</v>
          </cell>
          <cell r="P11">
            <v>0</v>
          </cell>
          <cell r="Q11">
            <v>0</v>
          </cell>
          <cell r="U11">
            <v>0</v>
          </cell>
          <cell r="AQ11">
            <v>0</v>
          </cell>
          <cell r="AR11">
            <v>0</v>
          </cell>
          <cell r="AS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 t="str">
            <v>ECHEC</v>
          </cell>
          <cell r="J12">
            <v>1</v>
          </cell>
          <cell r="K12">
            <v>0</v>
          </cell>
          <cell r="L12">
            <v>1</v>
          </cell>
          <cell r="M12">
            <v>0</v>
          </cell>
          <cell r="N12">
            <v>2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U12">
            <v>0</v>
          </cell>
          <cell r="AQ12">
            <v>0</v>
          </cell>
          <cell r="AR12">
            <v>0</v>
          </cell>
          <cell r="AS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 t="str">
            <v>ECHEC</v>
          </cell>
          <cell r="J13">
            <v>1</v>
          </cell>
          <cell r="K13">
            <v>0</v>
          </cell>
          <cell r="M13">
            <v>0</v>
          </cell>
          <cell r="O13">
            <v>0</v>
          </cell>
          <cell r="P13">
            <v>0</v>
          </cell>
          <cell r="U13">
            <v>0</v>
          </cell>
          <cell r="AQ13">
            <v>0</v>
          </cell>
          <cell r="AR13">
            <v>0</v>
          </cell>
          <cell r="AS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1</v>
          </cell>
          <cell r="K14">
            <v>0</v>
          </cell>
          <cell r="M14">
            <v>0</v>
          </cell>
          <cell r="O14">
            <v>0</v>
          </cell>
          <cell r="P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 t="str">
            <v>ECHEC</v>
          </cell>
          <cell r="J15">
            <v>1</v>
          </cell>
          <cell r="K15">
            <v>0</v>
          </cell>
          <cell r="L15">
            <v>1</v>
          </cell>
          <cell r="M15">
            <v>0</v>
          </cell>
          <cell r="O15">
            <v>0</v>
          </cell>
          <cell r="P15">
            <v>0</v>
          </cell>
          <cell r="Q15">
            <v>0</v>
          </cell>
          <cell r="U15">
            <v>0</v>
          </cell>
          <cell r="AQ15">
            <v>0</v>
          </cell>
          <cell r="AR15">
            <v>0</v>
          </cell>
          <cell r="AS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 t="str">
            <v>ECHEC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0</v>
          </cell>
          <cell r="AQ16">
            <v>0</v>
          </cell>
          <cell r="AR16">
            <v>0</v>
          </cell>
          <cell r="AS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 t="str">
            <v>ECHEC</v>
          </cell>
          <cell r="J17">
            <v>1</v>
          </cell>
          <cell r="K17">
            <v>0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  <cell r="R17">
            <v>0</v>
          </cell>
          <cell r="U17">
            <v>0</v>
          </cell>
          <cell r="AQ17">
            <v>0</v>
          </cell>
          <cell r="AR17">
            <v>0</v>
          </cell>
          <cell r="AS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 t="str">
            <v>ECHEC</v>
          </cell>
          <cell r="J18">
            <v>1</v>
          </cell>
          <cell r="K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  <cell r="R18">
            <v>0</v>
          </cell>
          <cell r="U18">
            <v>0</v>
          </cell>
          <cell r="AQ18">
            <v>0</v>
          </cell>
          <cell r="AR18">
            <v>0</v>
          </cell>
          <cell r="AS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 t="str">
            <v>ECHEC</v>
          </cell>
          <cell r="J19">
            <v>1</v>
          </cell>
          <cell r="K19">
            <v>0</v>
          </cell>
          <cell r="M19">
            <v>0</v>
          </cell>
          <cell r="O19">
            <v>0</v>
          </cell>
          <cell r="P19">
            <v>0</v>
          </cell>
          <cell r="U19">
            <v>0</v>
          </cell>
          <cell r="AQ19">
            <v>0</v>
          </cell>
          <cell r="AR19">
            <v>0</v>
          </cell>
          <cell r="AS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 t="str">
            <v>ECHEC</v>
          </cell>
          <cell r="J20">
            <v>1</v>
          </cell>
          <cell r="K20">
            <v>0</v>
          </cell>
          <cell r="L20">
            <v>1</v>
          </cell>
          <cell r="M20">
            <v>0</v>
          </cell>
          <cell r="N20">
            <v>1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U20">
            <v>0</v>
          </cell>
          <cell r="AQ20">
            <v>0</v>
          </cell>
          <cell r="AR20">
            <v>0</v>
          </cell>
          <cell r="AS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 t="str">
            <v>ECHEC</v>
          </cell>
          <cell r="J21">
            <v>1</v>
          </cell>
          <cell r="K21">
            <v>0</v>
          </cell>
          <cell r="M21">
            <v>0</v>
          </cell>
          <cell r="O21">
            <v>0</v>
          </cell>
          <cell r="P21">
            <v>0</v>
          </cell>
          <cell r="U21">
            <v>0</v>
          </cell>
          <cell r="AQ21">
            <v>0</v>
          </cell>
          <cell r="AR21">
            <v>0</v>
          </cell>
          <cell r="AS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 t="str">
            <v>ECHEC</v>
          </cell>
          <cell r="J22">
            <v>1</v>
          </cell>
          <cell r="K22">
            <v>0</v>
          </cell>
          <cell r="L22">
            <v>1</v>
          </cell>
          <cell r="M22">
            <v>0</v>
          </cell>
          <cell r="O22">
            <v>0</v>
          </cell>
          <cell r="P22">
            <v>0</v>
          </cell>
          <cell r="Q22">
            <v>0</v>
          </cell>
          <cell r="U22">
            <v>0</v>
          </cell>
          <cell r="AQ22">
            <v>0</v>
          </cell>
          <cell r="AR22">
            <v>0</v>
          </cell>
          <cell r="AS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 t="str">
            <v>ECHEC</v>
          </cell>
          <cell r="J23">
            <v>1</v>
          </cell>
          <cell r="K23">
            <v>0</v>
          </cell>
          <cell r="M23">
            <v>0</v>
          </cell>
          <cell r="N23">
            <v>2</v>
          </cell>
          <cell r="O23">
            <v>0</v>
          </cell>
          <cell r="P23">
            <v>0</v>
          </cell>
          <cell r="R23">
            <v>0</v>
          </cell>
          <cell r="U23">
            <v>0</v>
          </cell>
          <cell r="AQ23">
            <v>0</v>
          </cell>
          <cell r="AR23">
            <v>0</v>
          </cell>
          <cell r="AS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ECHEC</v>
          </cell>
          <cell r="J24">
            <v>1</v>
          </cell>
          <cell r="K24">
            <v>0</v>
          </cell>
          <cell r="L24">
            <v>1</v>
          </cell>
          <cell r="M24">
            <v>0</v>
          </cell>
          <cell r="N24">
            <v>1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0</v>
          </cell>
          <cell r="AQ24">
            <v>0</v>
          </cell>
          <cell r="AR24">
            <v>0</v>
          </cell>
          <cell r="AS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 t="str">
            <v>ECHEC</v>
          </cell>
          <cell r="J25">
            <v>1</v>
          </cell>
          <cell r="K25">
            <v>0</v>
          </cell>
          <cell r="L25">
            <v>3</v>
          </cell>
          <cell r="M25">
            <v>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U25">
            <v>0</v>
          </cell>
          <cell r="AQ25">
            <v>0</v>
          </cell>
          <cell r="AR25">
            <v>0</v>
          </cell>
          <cell r="AS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 t="str">
            <v>ECHEC</v>
          </cell>
          <cell r="J26">
            <v>1</v>
          </cell>
          <cell r="K26">
            <v>0</v>
          </cell>
          <cell r="M26">
            <v>0</v>
          </cell>
          <cell r="O26">
            <v>0</v>
          </cell>
          <cell r="P26">
            <v>0</v>
          </cell>
          <cell r="U26">
            <v>0</v>
          </cell>
          <cell r="AQ26">
            <v>0</v>
          </cell>
          <cell r="AR26">
            <v>0</v>
          </cell>
          <cell r="AS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 t="str">
            <v>ECHEC</v>
          </cell>
          <cell r="J27">
            <v>1</v>
          </cell>
          <cell r="K27">
            <v>0</v>
          </cell>
          <cell r="M27">
            <v>0</v>
          </cell>
          <cell r="O27">
            <v>0</v>
          </cell>
          <cell r="P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 t="str">
            <v>ECHEC</v>
          </cell>
          <cell r="J28">
            <v>1</v>
          </cell>
          <cell r="K28">
            <v>0</v>
          </cell>
          <cell r="L28">
            <v>1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U28">
            <v>0</v>
          </cell>
          <cell r="AQ28">
            <v>0</v>
          </cell>
          <cell r="AR28">
            <v>0</v>
          </cell>
          <cell r="AS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 t="str">
            <v>ECHEC</v>
          </cell>
          <cell r="J29">
            <v>1</v>
          </cell>
          <cell r="K29">
            <v>0</v>
          </cell>
          <cell r="M29">
            <v>0</v>
          </cell>
          <cell r="O29">
            <v>0</v>
          </cell>
          <cell r="P29">
            <v>0</v>
          </cell>
          <cell r="U29">
            <v>0</v>
          </cell>
          <cell r="AQ29">
            <v>0</v>
          </cell>
          <cell r="AR29">
            <v>0</v>
          </cell>
          <cell r="AS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 t="str">
            <v>ECHEC</v>
          </cell>
          <cell r="J30">
            <v>1</v>
          </cell>
          <cell r="K30">
            <v>0</v>
          </cell>
          <cell r="M30">
            <v>0</v>
          </cell>
          <cell r="N30">
            <v>2</v>
          </cell>
          <cell r="O30">
            <v>0</v>
          </cell>
          <cell r="P30">
            <v>0</v>
          </cell>
          <cell r="R30">
            <v>0</v>
          </cell>
          <cell r="U30">
            <v>0</v>
          </cell>
          <cell r="AQ30">
            <v>0</v>
          </cell>
          <cell r="AR30">
            <v>0</v>
          </cell>
          <cell r="AS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1</v>
          </cell>
          <cell r="K31">
            <v>0</v>
          </cell>
          <cell r="M31">
            <v>0</v>
          </cell>
          <cell r="N31">
            <v>1</v>
          </cell>
          <cell r="O31">
            <v>0</v>
          </cell>
          <cell r="P31">
            <v>0</v>
          </cell>
          <cell r="R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 t="str">
            <v>ECHEC</v>
          </cell>
          <cell r="J32">
            <v>1</v>
          </cell>
          <cell r="K32">
            <v>0</v>
          </cell>
          <cell r="L32">
            <v>1</v>
          </cell>
          <cell r="M32">
            <v>0</v>
          </cell>
          <cell r="O32">
            <v>0</v>
          </cell>
          <cell r="P32">
            <v>0</v>
          </cell>
          <cell r="Q32">
            <v>0</v>
          </cell>
          <cell r="U32">
            <v>0</v>
          </cell>
          <cell r="AQ32">
            <v>0</v>
          </cell>
          <cell r="AR32">
            <v>0</v>
          </cell>
          <cell r="AS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 t="str">
            <v>ECHEC</v>
          </cell>
          <cell r="J33">
            <v>1</v>
          </cell>
          <cell r="K33">
            <v>0</v>
          </cell>
          <cell r="M33">
            <v>0</v>
          </cell>
          <cell r="N33">
            <v>1</v>
          </cell>
          <cell r="O33">
            <v>0</v>
          </cell>
          <cell r="P33">
            <v>0</v>
          </cell>
          <cell r="R33">
            <v>0</v>
          </cell>
          <cell r="U33">
            <v>0</v>
          </cell>
          <cell r="AQ33">
            <v>0</v>
          </cell>
          <cell r="AR33">
            <v>0</v>
          </cell>
          <cell r="AS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J34">
            <v>1</v>
          </cell>
          <cell r="K34">
            <v>0</v>
          </cell>
          <cell r="M34">
            <v>0</v>
          </cell>
          <cell r="O34">
            <v>0</v>
          </cell>
          <cell r="P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 t="str">
            <v>ECHEC</v>
          </cell>
          <cell r="J35">
            <v>1</v>
          </cell>
          <cell r="K35">
            <v>0</v>
          </cell>
          <cell r="M35">
            <v>0</v>
          </cell>
          <cell r="O35">
            <v>0</v>
          </cell>
          <cell r="P35">
            <v>0</v>
          </cell>
          <cell r="U35">
            <v>0</v>
          </cell>
          <cell r="AQ35">
            <v>0</v>
          </cell>
          <cell r="AR35">
            <v>0</v>
          </cell>
          <cell r="AS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 t="str">
            <v>ECHEC</v>
          </cell>
          <cell r="J36">
            <v>1</v>
          </cell>
          <cell r="K36">
            <v>0</v>
          </cell>
          <cell r="M36">
            <v>0</v>
          </cell>
          <cell r="O36">
            <v>0</v>
          </cell>
          <cell r="P36">
            <v>0</v>
          </cell>
          <cell r="U36">
            <v>0</v>
          </cell>
          <cell r="AQ36">
            <v>0</v>
          </cell>
          <cell r="AR36">
            <v>0</v>
          </cell>
          <cell r="AS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 t="str">
            <v>ECHEC</v>
          </cell>
          <cell r="J37">
            <v>1</v>
          </cell>
          <cell r="K37">
            <v>0</v>
          </cell>
          <cell r="M37">
            <v>0</v>
          </cell>
          <cell r="N37">
            <v>1</v>
          </cell>
          <cell r="O37">
            <v>0</v>
          </cell>
          <cell r="P37">
            <v>0</v>
          </cell>
          <cell r="R37">
            <v>0</v>
          </cell>
          <cell r="U37">
            <v>0</v>
          </cell>
          <cell r="AQ37">
            <v>0</v>
          </cell>
          <cell r="AR37">
            <v>0</v>
          </cell>
          <cell r="AS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 t="str">
            <v>ECHEC</v>
          </cell>
          <cell r="J38">
            <v>1</v>
          </cell>
          <cell r="K38">
            <v>0</v>
          </cell>
          <cell r="L38">
            <v>1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U38">
            <v>0</v>
          </cell>
          <cell r="AQ38">
            <v>0</v>
          </cell>
          <cell r="AR38">
            <v>0</v>
          </cell>
          <cell r="AS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</row>
        <row r="40">
          <cell r="B40" t="str">
            <v>TOTAUX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32</v>
          </cell>
          <cell r="K40">
            <v>0</v>
          </cell>
          <cell r="L40">
            <v>16</v>
          </cell>
          <cell r="M40">
            <v>0</v>
          </cell>
          <cell r="N40">
            <v>18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</row>
        <row r="43">
          <cell r="B43" t="str">
            <v>AS201643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0</v>
          </cell>
          <cell r="D47">
            <v>0</v>
          </cell>
          <cell r="F47">
            <v>0</v>
          </cell>
        </row>
      </sheetData>
      <sheetData sheetId="12">
        <row r="6">
          <cell r="A6" t="str">
            <v>AS201648</v>
          </cell>
          <cell r="B6" t="str">
            <v>ASELBY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 t="str">
            <v>ECHEC</v>
          </cell>
          <cell r="K6">
            <v>0</v>
          </cell>
          <cell r="L6">
            <v>1</v>
          </cell>
          <cell r="M6">
            <v>0</v>
          </cell>
          <cell r="N6">
            <v>1</v>
          </cell>
          <cell r="O6">
            <v>0</v>
          </cell>
          <cell r="U6">
            <v>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 t="str">
            <v>ECHEC</v>
          </cell>
          <cell r="J7">
            <v>1</v>
          </cell>
          <cell r="K7">
            <v>0</v>
          </cell>
          <cell r="M7">
            <v>0</v>
          </cell>
          <cell r="O7">
            <v>0</v>
          </cell>
          <cell r="P7">
            <v>0</v>
          </cell>
          <cell r="U7">
            <v>0</v>
          </cell>
          <cell r="AQ7">
            <v>0</v>
          </cell>
          <cell r="AR7">
            <v>0</v>
          </cell>
          <cell r="AS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 t="str">
            <v>ECHEC</v>
          </cell>
          <cell r="J8">
            <v>1</v>
          </cell>
          <cell r="K8">
            <v>0</v>
          </cell>
          <cell r="L8">
            <v>1</v>
          </cell>
          <cell r="M8">
            <v>0</v>
          </cell>
          <cell r="O8">
            <v>0</v>
          </cell>
          <cell r="P8">
            <v>0</v>
          </cell>
          <cell r="Q8">
            <v>0</v>
          </cell>
          <cell r="U8">
            <v>0</v>
          </cell>
          <cell r="AQ8">
            <v>0</v>
          </cell>
          <cell r="AR8">
            <v>0</v>
          </cell>
          <cell r="AS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 t="str">
            <v>ECHEC</v>
          </cell>
          <cell r="J9">
            <v>1</v>
          </cell>
          <cell r="K9">
            <v>0</v>
          </cell>
          <cell r="M9">
            <v>0</v>
          </cell>
          <cell r="N9">
            <v>2</v>
          </cell>
          <cell r="O9">
            <v>0</v>
          </cell>
          <cell r="P9">
            <v>0</v>
          </cell>
          <cell r="R9">
            <v>0</v>
          </cell>
          <cell r="U9">
            <v>0</v>
          </cell>
          <cell r="AQ9">
            <v>0</v>
          </cell>
          <cell r="AR9">
            <v>0</v>
          </cell>
          <cell r="AS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ECHEC</v>
          </cell>
          <cell r="J10">
            <v>1</v>
          </cell>
          <cell r="K10">
            <v>0</v>
          </cell>
          <cell r="L10">
            <v>1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U10">
            <v>0</v>
          </cell>
          <cell r="AQ10">
            <v>0</v>
          </cell>
          <cell r="AR10">
            <v>0</v>
          </cell>
          <cell r="AS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ECHEC</v>
          </cell>
          <cell r="J11">
            <v>1</v>
          </cell>
          <cell r="K11">
            <v>0</v>
          </cell>
          <cell r="L11">
            <v>1</v>
          </cell>
          <cell r="M11">
            <v>0</v>
          </cell>
          <cell r="O11">
            <v>0</v>
          </cell>
          <cell r="P11">
            <v>0</v>
          </cell>
          <cell r="Q11">
            <v>0</v>
          </cell>
          <cell r="U11">
            <v>0</v>
          </cell>
          <cell r="AQ11">
            <v>0</v>
          </cell>
          <cell r="AR11">
            <v>0</v>
          </cell>
          <cell r="AS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 t="str">
            <v>ECHEC</v>
          </cell>
          <cell r="J12">
            <v>1</v>
          </cell>
          <cell r="K12">
            <v>0</v>
          </cell>
          <cell r="L12">
            <v>1</v>
          </cell>
          <cell r="M12">
            <v>0</v>
          </cell>
          <cell r="N12">
            <v>2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U12">
            <v>0</v>
          </cell>
          <cell r="AQ12">
            <v>0</v>
          </cell>
          <cell r="AR12">
            <v>0</v>
          </cell>
          <cell r="AS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 t="str">
            <v>ECHEC</v>
          </cell>
          <cell r="J13">
            <v>1</v>
          </cell>
          <cell r="K13">
            <v>0</v>
          </cell>
          <cell r="M13">
            <v>0</v>
          </cell>
          <cell r="O13">
            <v>0</v>
          </cell>
          <cell r="P13">
            <v>0</v>
          </cell>
          <cell r="U13">
            <v>0</v>
          </cell>
          <cell r="AQ13">
            <v>0</v>
          </cell>
          <cell r="AR13">
            <v>0</v>
          </cell>
          <cell r="AS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1</v>
          </cell>
          <cell r="K14">
            <v>0</v>
          </cell>
          <cell r="M14">
            <v>0</v>
          </cell>
          <cell r="O14">
            <v>0</v>
          </cell>
          <cell r="P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 t="str">
            <v>ECHEC</v>
          </cell>
          <cell r="J15">
            <v>1</v>
          </cell>
          <cell r="K15">
            <v>0</v>
          </cell>
          <cell r="L15">
            <v>1</v>
          </cell>
          <cell r="M15">
            <v>0</v>
          </cell>
          <cell r="O15">
            <v>0</v>
          </cell>
          <cell r="P15">
            <v>0</v>
          </cell>
          <cell r="Q15">
            <v>0</v>
          </cell>
          <cell r="U15">
            <v>0</v>
          </cell>
          <cell r="AQ15">
            <v>0</v>
          </cell>
          <cell r="AR15">
            <v>0</v>
          </cell>
          <cell r="AS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 t="str">
            <v>ECHEC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0</v>
          </cell>
          <cell r="AQ16">
            <v>0</v>
          </cell>
          <cell r="AR16">
            <v>0</v>
          </cell>
          <cell r="AS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 t="str">
            <v>ECHEC</v>
          </cell>
          <cell r="J17">
            <v>1</v>
          </cell>
          <cell r="K17">
            <v>0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  <cell r="R17">
            <v>0</v>
          </cell>
          <cell r="U17">
            <v>0</v>
          </cell>
          <cell r="AQ17">
            <v>0</v>
          </cell>
          <cell r="AR17">
            <v>0</v>
          </cell>
          <cell r="AS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 t="str">
            <v>ECHEC</v>
          </cell>
          <cell r="J18">
            <v>1</v>
          </cell>
          <cell r="K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  <cell r="R18">
            <v>0</v>
          </cell>
          <cell r="U18">
            <v>0</v>
          </cell>
          <cell r="AQ18">
            <v>0</v>
          </cell>
          <cell r="AR18">
            <v>0</v>
          </cell>
          <cell r="AS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 t="str">
            <v>ECHEC</v>
          </cell>
          <cell r="J19">
            <v>1</v>
          </cell>
          <cell r="K19">
            <v>0</v>
          </cell>
          <cell r="M19">
            <v>0</v>
          </cell>
          <cell r="O19">
            <v>0</v>
          </cell>
          <cell r="P19">
            <v>0</v>
          </cell>
          <cell r="U19">
            <v>0</v>
          </cell>
          <cell r="AQ19">
            <v>0</v>
          </cell>
          <cell r="AR19">
            <v>0</v>
          </cell>
          <cell r="AS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 t="str">
            <v>ECHEC</v>
          </cell>
          <cell r="J20">
            <v>1</v>
          </cell>
          <cell r="K20">
            <v>0</v>
          </cell>
          <cell r="L20">
            <v>1</v>
          </cell>
          <cell r="M20">
            <v>0</v>
          </cell>
          <cell r="N20">
            <v>1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U20">
            <v>0</v>
          </cell>
          <cell r="AQ20">
            <v>0</v>
          </cell>
          <cell r="AR20">
            <v>0</v>
          </cell>
          <cell r="AS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 t="str">
            <v>ECHEC</v>
          </cell>
          <cell r="J21">
            <v>1</v>
          </cell>
          <cell r="K21">
            <v>0</v>
          </cell>
          <cell r="M21">
            <v>0</v>
          </cell>
          <cell r="O21">
            <v>0</v>
          </cell>
          <cell r="P21">
            <v>0</v>
          </cell>
          <cell r="U21">
            <v>0</v>
          </cell>
          <cell r="AQ21">
            <v>0</v>
          </cell>
          <cell r="AR21">
            <v>0</v>
          </cell>
          <cell r="AS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 t="str">
            <v>ECHEC</v>
          </cell>
          <cell r="J22">
            <v>1</v>
          </cell>
          <cell r="K22">
            <v>0</v>
          </cell>
          <cell r="L22">
            <v>1</v>
          </cell>
          <cell r="M22">
            <v>0</v>
          </cell>
          <cell r="O22">
            <v>0</v>
          </cell>
          <cell r="P22">
            <v>0</v>
          </cell>
          <cell r="Q22">
            <v>0</v>
          </cell>
          <cell r="U22">
            <v>0</v>
          </cell>
          <cell r="AQ22">
            <v>0</v>
          </cell>
          <cell r="AR22">
            <v>0</v>
          </cell>
          <cell r="AS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 t="str">
            <v>ECHEC</v>
          </cell>
          <cell r="J23">
            <v>1</v>
          </cell>
          <cell r="K23">
            <v>0</v>
          </cell>
          <cell r="M23">
            <v>0</v>
          </cell>
          <cell r="N23">
            <v>2</v>
          </cell>
          <cell r="O23">
            <v>0</v>
          </cell>
          <cell r="P23">
            <v>0</v>
          </cell>
          <cell r="R23">
            <v>0</v>
          </cell>
          <cell r="U23">
            <v>0</v>
          </cell>
          <cell r="AQ23">
            <v>0</v>
          </cell>
          <cell r="AR23">
            <v>0</v>
          </cell>
          <cell r="AS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ECHEC</v>
          </cell>
          <cell r="J24">
            <v>1</v>
          </cell>
          <cell r="K24">
            <v>0</v>
          </cell>
          <cell r="L24">
            <v>1</v>
          </cell>
          <cell r="M24">
            <v>0</v>
          </cell>
          <cell r="N24">
            <v>1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0</v>
          </cell>
          <cell r="AQ24">
            <v>0</v>
          </cell>
          <cell r="AR24">
            <v>0</v>
          </cell>
          <cell r="AS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 t="str">
            <v>ECHEC</v>
          </cell>
          <cell r="J25">
            <v>1</v>
          </cell>
          <cell r="K25">
            <v>0</v>
          </cell>
          <cell r="L25">
            <v>3</v>
          </cell>
          <cell r="M25">
            <v>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U25">
            <v>0</v>
          </cell>
          <cell r="AQ25">
            <v>0</v>
          </cell>
          <cell r="AR25">
            <v>0</v>
          </cell>
          <cell r="AS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 t="str">
            <v>ECHEC</v>
          </cell>
          <cell r="J26">
            <v>1</v>
          </cell>
          <cell r="K26">
            <v>0</v>
          </cell>
          <cell r="M26">
            <v>0</v>
          </cell>
          <cell r="O26">
            <v>0</v>
          </cell>
          <cell r="P26">
            <v>0</v>
          </cell>
          <cell r="U26">
            <v>0</v>
          </cell>
          <cell r="AQ26">
            <v>0</v>
          </cell>
          <cell r="AR26">
            <v>0</v>
          </cell>
          <cell r="AS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 t="str">
            <v>ECHEC</v>
          </cell>
          <cell r="J27">
            <v>1</v>
          </cell>
          <cell r="K27">
            <v>0</v>
          </cell>
          <cell r="M27">
            <v>0</v>
          </cell>
          <cell r="O27">
            <v>0</v>
          </cell>
          <cell r="P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 t="str">
            <v>ECHEC</v>
          </cell>
          <cell r="J28">
            <v>1</v>
          </cell>
          <cell r="K28">
            <v>0</v>
          </cell>
          <cell r="L28">
            <v>1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U28">
            <v>0</v>
          </cell>
          <cell r="AQ28">
            <v>0</v>
          </cell>
          <cell r="AR28">
            <v>0</v>
          </cell>
          <cell r="AS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 t="str">
            <v>ECHEC</v>
          </cell>
          <cell r="J29">
            <v>1</v>
          </cell>
          <cell r="K29">
            <v>0</v>
          </cell>
          <cell r="M29">
            <v>0</v>
          </cell>
          <cell r="O29">
            <v>0</v>
          </cell>
          <cell r="P29">
            <v>0</v>
          </cell>
          <cell r="U29">
            <v>0</v>
          </cell>
          <cell r="AQ29">
            <v>0</v>
          </cell>
          <cell r="AR29">
            <v>0</v>
          </cell>
          <cell r="AS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 t="str">
            <v>ECHEC</v>
          </cell>
          <cell r="J30">
            <v>1</v>
          </cell>
          <cell r="K30">
            <v>0</v>
          </cell>
          <cell r="M30">
            <v>0</v>
          </cell>
          <cell r="N30">
            <v>2</v>
          </cell>
          <cell r="O30">
            <v>0</v>
          </cell>
          <cell r="P30">
            <v>0</v>
          </cell>
          <cell r="R30">
            <v>0</v>
          </cell>
          <cell r="U30">
            <v>0</v>
          </cell>
          <cell r="AQ30">
            <v>0</v>
          </cell>
          <cell r="AR30">
            <v>0</v>
          </cell>
          <cell r="AS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1</v>
          </cell>
          <cell r="K31">
            <v>0</v>
          </cell>
          <cell r="M31">
            <v>0</v>
          </cell>
          <cell r="N31">
            <v>1</v>
          </cell>
          <cell r="O31">
            <v>0</v>
          </cell>
          <cell r="P31">
            <v>0</v>
          </cell>
          <cell r="R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 t="str">
            <v>ECHEC</v>
          </cell>
          <cell r="J32">
            <v>1</v>
          </cell>
          <cell r="K32">
            <v>0</v>
          </cell>
          <cell r="L32">
            <v>1</v>
          </cell>
          <cell r="M32">
            <v>0</v>
          </cell>
          <cell r="O32">
            <v>0</v>
          </cell>
          <cell r="P32">
            <v>0</v>
          </cell>
          <cell r="Q32">
            <v>0</v>
          </cell>
          <cell r="U32">
            <v>0</v>
          </cell>
          <cell r="AQ32">
            <v>0</v>
          </cell>
          <cell r="AR32">
            <v>0</v>
          </cell>
          <cell r="AS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 t="str">
            <v>ECHEC</v>
          </cell>
          <cell r="J33">
            <v>1</v>
          </cell>
          <cell r="K33">
            <v>0</v>
          </cell>
          <cell r="M33">
            <v>0</v>
          </cell>
          <cell r="N33">
            <v>1</v>
          </cell>
          <cell r="O33">
            <v>0</v>
          </cell>
          <cell r="P33">
            <v>0</v>
          </cell>
          <cell r="R33">
            <v>0</v>
          </cell>
          <cell r="U33">
            <v>0</v>
          </cell>
          <cell r="AQ33">
            <v>0</v>
          </cell>
          <cell r="AR33">
            <v>0</v>
          </cell>
          <cell r="AS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J34">
            <v>1</v>
          </cell>
          <cell r="K34">
            <v>0</v>
          </cell>
          <cell r="M34">
            <v>0</v>
          </cell>
          <cell r="O34">
            <v>0</v>
          </cell>
          <cell r="P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 t="str">
            <v>ECHEC</v>
          </cell>
          <cell r="J35">
            <v>1</v>
          </cell>
          <cell r="K35">
            <v>0</v>
          </cell>
          <cell r="M35">
            <v>0</v>
          </cell>
          <cell r="O35">
            <v>0</v>
          </cell>
          <cell r="P35">
            <v>0</v>
          </cell>
          <cell r="U35">
            <v>0</v>
          </cell>
          <cell r="AQ35">
            <v>0</v>
          </cell>
          <cell r="AR35">
            <v>0</v>
          </cell>
          <cell r="AS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 t="str">
            <v>ECHEC</v>
          </cell>
          <cell r="J36">
            <v>1</v>
          </cell>
          <cell r="K36">
            <v>0</v>
          </cell>
          <cell r="M36">
            <v>0</v>
          </cell>
          <cell r="O36">
            <v>0</v>
          </cell>
          <cell r="P36">
            <v>0</v>
          </cell>
          <cell r="U36">
            <v>0</v>
          </cell>
          <cell r="AQ36">
            <v>0</v>
          </cell>
          <cell r="AR36">
            <v>0</v>
          </cell>
          <cell r="AS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 t="str">
            <v>ECHEC</v>
          </cell>
          <cell r="J37">
            <v>1</v>
          </cell>
          <cell r="K37">
            <v>0</v>
          </cell>
          <cell r="M37">
            <v>0</v>
          </cell>
          <cell r="N37">
            <v>1</v>
          </cell>
          <cell r="O37">
            <v>0</v>
          </cell>
          <cell r="P37">
            <v>0</v>
          </cell>
          <cell r="R37">
            <v>0</v>
          </cell>
          <cell r="U37">
            <v>0</v>
          </cell>
          <cell r="AQ37">
            <v>0</v>
          </cell>
          <cell r="AR37">
            <v>0</v>
          </cell>
          <cell r="AS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 t="str">
            <v>ECHEC</v>
          </cell>
          <cell r="J38">
            <v>1</v>
          </cell>
          <cell r="K38">
            <v>0</v>
          </cell>
          <cell r="L38">
            <v>1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U38">
            <v>0</v>
          </cell>
          <cell r="AQ38">
            <v>0</v>
          </cell>
          <cell r="AR38">
            <v>0</v>
          </cell>
          <cell r="AS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</row>
        <row r="40">
          <cell r="B40" t="str">
            <v>TOTAUX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32</v>
          </cell>
          <cell r="K40">
            <v>0</v>
          </cell>
          <cell r="L40">
            <v>16</v>
          </cell>
          <cell r="M40">
            <v>0</v>
          </cell>
          <cell r="N40">
            <v>18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</row>
        <row r="43">
          <cell r="B43" t="str">
            <v>AS201643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0</v>
          </cell>
          <cell r="D47">
            <v>0</v>
          </cell>
          <cell r="F47">
            <v>0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 t="str">
            <v>ECHEC</v>
          </cell>
          <cell r="K6">
            <v>0</v>
          </cell>
          <cell r="L6">
            <v>1</v>
          </cell>
          <cell r="M6">
            <v>0</v>
          </cell>
          <cell r="N6">
            <v>1</v>
          </cell>
          <cell r="O6">
            <v>0</v>
          </cell>
          <cell r="U6">
            <v>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 t="str">
            <v>ECHEC</v>
          </cell>
          <cell r="J7">
            <v>1</v>
          </cell>
          <cell r="K7">
            <v>0</v>
          </cell>
          <cell r="M7">
            <v>0</v>
          </cell>
          <cell r="O7">
            <v>0</v>
          </cell>
          <cell r="P7">
            <v>0</v>
          </cell>
          <cell r="U7">
            <v>0</v>
          </cell>
          <cell r="AQ7">
            <v>0</v>
          </cell>
          <cell r="AR7">
            <v>0</v>
          </cell>
          <cell r="AS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 t="str">
            <v>ECHEC</v>
          </cell>
          <cell r="J8">
            <v>1</v>
          </cell>
          <cell r="K8">
            <v>0</v>
          </cell>
          <cell r="L8">
            <v>1</v>
          </cell>
          <cell r="M8">
            <v>0</v>
          </cell>
          <cell r="O8">
            <v>0</v>
          </cell>
          <cell r="P8">
            <v>0</v>
          </cell>
          <cell r="Q8">
            <v>0</v>
          </cell>
          <cell r="U8">
            <v>0</v>
          </cell>
          <cell r="AQ8">
            <v>0</v>
          </cell>
          <cell r="AR8">
            <v>0</v>
          </cell>
          <cell r="AS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 t="str">
            <v>ECHEC</v>
          </cell>
          <cell r="J9">
            <v>1</v>
          </cell>
          <cell r="K9">
            <v>0</v>
          </cell>
          <cell r="M9">
            <v>0</v>
          </cell>
          <cell r="N9">
            <v>2</v>
          </cell>
          <cell r="O9">
            <v>0</v>
          </cell>
          <cell r="P9">
            <v>0</v>
          </cell>
          <cell r="R9">
            <v>0</v>
          </cell>
          <cell r="U9">
            <v>0</v>
          </cell>
          <cell r="AQ9">
            <v>0</v>
          </cell>
          <cell r="AR9">
            <v>0</v>
          </cell>
          <cell r="AS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ECHEC</v>
          </cell>
          <cell r="J10">
            <v>1</v>
          </cell>
          <cell r="K10">
            <v>0</v>
          </cell>
          <cell r="L10">
            <v>1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U10">
            <v>0</v>
          </cell>
          <cell r="AQ10">
            <v>0</v>
          </cell>
          <cell r="AR10">
            <v>0</v>
          </cell>
          <cell r="AS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ECHEC</v>
          </cell>
          <cell r="J11">
            <v>1</v>
          </cell>
          <cell r="K11">
            <v>0</v>
          </cell>
          <cell r="L11">
            <v>1</v>
          </cell>
          <cell r="M11">
            <v>0</v>
          </cell>
          <cell r="O11">
            <v>0</v>
          </cell>
          <cell r="P11">
            <v>0</v>
          </cell>
          <cell r="Q11">
            <v>0</v>
          </cell>
          <cell r="U11">
            <v>0</v>
          </cell>
          <cell r="AQ11">
            <v>0</v>
          </cell>
          <cell r="AR11">
            <v>0</v>
          </cell>
          <cell r="AS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 t="str">
            <v>ECHEC</v>
          </cell>
          <cell r="J12">
            <v>1</v>
          </cell>
          <cell r="K12">
            <v>0</v>
          </cell>
          <cell r="L12">
            <v>1</v>
          </cell>
          <cell r="M12">
            <v>0</v>
          </cell>
          <cell r="N12">
            <v>2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U12">
            <v>0</v>
          </cell>
          <cell r="AQ12">
            <v>0</v>
          </cell>
          <cell r="AR12">
            <v>0</v>
          </cell>
          <cell r="AS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 t="str">
            <v>ECHEC</v>
          </cell>
          <cell r="J13">
            <v>1</v>
          </cell>
          <cell r="K13">
            <v>0</v>
          </cell>
          <cell r="M13">
            <v>0</v>
          </cell>
          <cell r="O13">
            <v>0</v>
          </cell>
          <cell r="P13">
            <v>0</v>
          </cell>
          <cell r="U13">
            <v>0</v>
          </cell>
          <cell r="AQ13">
            <v>0</v>
          </cell>
          <cell r="AR13">
            <v>0</v>
          </cell>
          <cell r="AS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1</v>
          </cell>
          <cell r="K14">
            <v>0</v>
          </cell>
          <cell r="M14">
            <v>0</v>
          </cell>
          <cell r="O14">
            <v>0</v>
          </cell>
          <cell r="P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 t="str">
            <v>ECHEC</v>
          </cell>
          <cell r="J15">
            <v>1</v>
          </cell>
          <cell r="K15">
            <v>0</v>
          </cell>
          <cell r="L15">
            <v>1</v>
          </cell>
          <cell r="M15">
            <v>0</v>
          </cell>
          <cell r="O15">
            <v>0</v>
          </cell>
          <cell r="P15">
            <v>0</v>
          </cell>
          <cell r="Q15">
            <v>0</v>
          </cell>
          <cell r="U15">
            <v>0</v>
          </cell>
          <cell r="AQ15">
            <v>0</v>
          </cell>
          <cell r="AR15">
            <v>0</v>
          </cell>
          <cell r="AS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 t="str">
            <v>ECHEC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0</v>
          </cell>
          <cell r="AQ16">
            <v>0</v>
          </cell>
          <cell r="AR16">
            <v>0</v>
          </cell>
          <cell r="AS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 t="str">
            <v>ECHEC</v>
          </cell>
          <cell r="J17">
            <v>1</v>
          </cell>
          <cell r="K17">
            <v>0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  <cell r="R17">
            <v>0</v>
          </cell>
          <cell r="U17">
            <v>0</v>
          </cell>
          <cell r="AQ17">
            <v>0</v>
          </cell>
          <cell r="AR17">
            <v>0</v>
          </cell>
          <cell r="AS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 t="str">
            <v>ECHEC</v>
          </cell>
          <cell r="J18">
            <v>1</v>
          </cell>
          <cell r="K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  <cell r="R18">
            <v>0</v>
          </cell>
          <cell r="U18">
            <v>0</v>
          </cell>
          <cell r="AQ18">
            <v>0</v>
          </cell>
          <cell r="AR18">
            <v>0</v>
          </cell>
          <cell r="AS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 t="str">
            <v>ECHEC</v>
          </cell>
          <cell r="J19">
            <v>1</v>
          </cell>
          <cell r="K19">
            <v>0</v>
          </cell>
          <cell r="M19">
            <v>0</v>
          </cell>
          <cell r="O19">
            <v>0</v>
          </cell>
          <cell r="P19">
            <v>0</v>
          </cell>
          <cell r="U19">
            <v>0</v>
          </cell>
          <cell r="AQ19">
            <v>0</v>
          </cell>
          <cell r="AR19">
            <v>0</v>
          </cell>
          <cell r="AS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 t="str">
            <v>ECHEC</v>
          </cell>
          <cell r="J20">
            <v>1</v>
          </cell>
          <cell r="K20">
            <v>0</v>
          </cell>
          <cell r="L20">
            <v>1</v>
          </cell>
          <cell r="M20">
            <v>0</v>
          </cell>
          <cell r="N20">
            <v>1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U20">
            <v>0</v>
          </cell>
          <cell r="AQ20">
            <v>0</v>
          </cell>
          <cell r="AR20">
            <v>0</v>
          </cell>
          <cell r="AS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 t="str">
            <v>ECHEC</v>
          </cell>
          <cell r="J21">
            <v>1</v>
          </cell>
          <cell r="K21">
            <v>0</v>
          </cell>
          <cell r="M21">
            <v>0</v>
          </cell>
          <cell r="O21">
            <v>0</v>
          </cell>
          <cell r="P21">
            <v>0</v>
          </cell>
          <cell r="U21">
            <v>0</v>
          </cell>
          <cell r="AQ21">
            <v>0</v>
          </cell>
          <cell r="AR21">
            <v>0</v>
          </cell>
          <cell r="AS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 t="str">
            <v>ECHEC</v>
          </cell>
          <cell r="J22">
            <v>1</v>
          </cell>
          <cell r="K22">
            <v>0</v>
          </cell>
          <cell r="L22">
            <v>1</v>
          </cell>
          <cell r="M22">
            <v>0</v>
          </cell>
          <cell r="O22">
            <v>0</v>
          </cell>
          <cell r="P22">
            <v>0</v>
          </cell>
          <cell r="Q22">
            <v>0</v>
          </cell>
          <cell r="U22">
            <v>0</v>
          </cell>
          <cell r="AQ22">
            <v>0</v>
          </cell>
          <cell r="AR22">
            <v>0</v>
          </cell>
          <cell r="AS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 t="str">
            <v>ECHEC</v>
          </cell>
          <cell r="J23">
            <v>1</v>
          </cell>
          <cell r="K23">
            <v>0</v>
          </cell>
          <cell r="M23">
            <v>0</v>
          </cell>
          <cell r="N23">
            <v>2</v>
          </cell>
          <cell r="O23">
            <v>0</v>
          </cell>
          <cell r="P23">
            <v>0</v>
          </cell>
          <cell r="R23">
            <v>0</v>
          </cell>
          <cell r="U23">
            <v>0</v>
          </cell>
          <cell r="AQ23">
            <v>0</v>
          </cell>
          <cell r="AR23">
            <v>0</v>
          </cell>
          <cell r="AS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ECHEC</v>
          </cell>
          <cell r="J24">
            <v>1</v>
          </cell>
          <cell r="K24">
            <v>0</v>
          </cell>
          <cell r="L24">
            <v>1</v>
          </cell>
          <cell r="M24">
            <v>0</v>
          </cell>
          <cell r="N24">
            <v>1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0</v>
          </cell>
          <cell r="AQ24">
            <v>0</v>
          </cell>
          <cell r="AR24">
            <v>0</v>
          </cell>
          <cell r="AS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 t="str">
            <v>ECHEC</v>
          </cell>
          <cell r="J25">
            <v>1</v>
          </cell>
          <cell r="K25">
            <v>0</v>
          </cell>
          <cell r="L25">
            <v>3</v>
          </cell>
          <cell r="M25">
            <v>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U25">
            <v>0</v>
          </cell>
          <cell r="AQ25">
            <v>0</v>
          </cell>
          <cell r="AR25">
            <v>0</v>
          </cell>
          <cell r="AS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 t="str">
            <v>ECHEC</v>
          </cell>
          <cell r="J26">
            <v>1</v>
          </cell>
          <cell r="K26">
            <v>0</v>
          </cell>
          <cell r="M26">
            <v>0</v>
          </cell>
          <cell r="O26">
            <v>0</v>
          </cell>
          <cell r="P26">
            <v>0</v>
          </cell>
          <cell r="U26">
            <v>0</v>
          </cell>
          <cell r="AQ26">
            <v>0</v>
          </cell>
          <cell r="AR26">
            <v>0</v>
          </cell>
          <cell r="AS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 t="str">
            <v>ECHEC</v>
          </cell>
          <cell r="J27">
            <v>1</v>
          </cell>
          <cell r="K27">
            <v>0</v>
          </cell>
          <cell r="M27">
            <v>0</v>
          </cell>
          <cell r="O27">
            <v>0</v>
          </cell>
          <cell r="P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 t="str">
            <v>ECHEC</v>
          </cell>
          <cell r="J28">
            <v>1</v>
          </cell>
          <cell r="K28">
            <v>0</v>
          </cell>
          <cell r="L28">
            <v>1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U28">
            <v>0</v>
          </cell>
          <cell r="AQ28">
            <v>0</v>
          </cell>
          <cell r="AR28">
            <v>0</v>
          </cell>
          <cell r="AS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 t="str">
            <v>ECHEC</v>
          </cell>
          <cell r="J29">
            <v>1</v>
          </cell>
          <cell r="K29">
            <v>0</v>
          </cell>
          <cell r="M29">
            <v>0</v>
          </cell>
          <cell r="O29">
            <v>0</v>
          </cell>
          <cell r="P29">
            <v>0</v>
          </cell>
          <cell r="U29">
            <v>0</v>
          </cell>
          <cell r="AQ29">
            <v>0</v>
          </cell>
          <cell r="AR29">
            <v>0</v>
          </cell>
          <cell r="AS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 t="str">
            <v>ECHEC</v>
          </cell>
          <cell r="J30">
            <v>1</v>
          </cell>
          <cell r="K30">
            <v>0</v>
          </cell>
          <cell r="M30">
            <v>0</v>
          </cell>
          <cell r="N30">
            <v>2</v>
          </cell>
          <cell r="O30">
            <v>0</v>
          </cell>
          <cell r="P30">
            <v>0</v>
          </cell>
          <cell r="R30">
            <v>0</v>
          </cell>
          <cell r="U30">
            <v>0</v>
          </cell>
          <cell r="AQ30">
            <v>0</v>
          </cell>
          <cell r="AR30">
            <v>0</v>
          </cell>
          <cell r="AS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1</v>
          </cell>
          <cell r="K31">
            <v>0</v>
          </cell>
          <cell r="M31">
            <v>0</v>
          </cell>
          <cell r="N31">
            <v>1</v>
          </cell>
          <cell r="O31">
            <v>0</v>
          </cell>
          <cell r="P31">
            <v>0</v>
          </cell>
          <cell r="R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 t="str">
            <v>ECHEC</v>
          </cell>
          <cell r="J32">
            <v>1</v>
          </cell>
          <cell r="K32">
            <v>0</v>
          </cell>
          <cell r="L32">
            <v>1</v>
          </cell>
          <cell r="M32">
            <v>0</v>
          </cell>
          <cell r="O32">
            <v>0</v>
          </cell>
          <cell r="P32">
            <v>0</v>
          </cell>
          <cell r="Q32">
            <v>0</v>
          </cell>
          <cell r="U32">
            <v>0</v>
          </cell>
          <cell r="AQ32">
            <v>0</v>
          </cell>
          <cell r="AR32">
            <v>0</v>
          </cell>
          <cell r="AS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 t="str">
            <v>ECHEC</v>
          </cell>
          <cell r="J33">
            <v>1</v>
          </cell>
          <cell r="K33">
            <v>0</v>
          </cell>
          <cell r="M33">
            <v>0</v>
          </cell>
          <cell r="N33">
            <v>1</v>
          </cell>
          <cell r="O33">
            <v>0</v>
          </cell>
          <cell r="P33">
            <v>0</v>
          </cell>
          <cell r="R33">
            <v>0</v>
          </cell>
          <cell r="U33">
            <v>0</v>
          </cell>
          <cell r="AQ33">
            <v>0</v>
          </cell>
          <cell r="AR33">
            <v>0</v>
          </cell>
          <cell r="AS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J34">
            <v>1</v>
          </cell>
          <cell r="K34">
            <v>0</v>
          </cell>
          <cell r="M34">
            <v>0</v>
          </cell>
          <cell r="O34">
            <v>0</v>
          </cell>
          <cell r="P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 t="str">
            <v>ECHEC</v>
          </cell>
          <cell r="J35">
            <v>1</v>
          </cell>
          <cell r="K35">
            <v>0</v>
          </cell>
          <cell r="M35">
            <v>0</v>
          </cell>
          <cell r="O35">
            <v>0</v>
          </cell>
          <cell r="P35">
            <v>0</v>
          </cell>
          <cell r="U35">
            <v>0</v>
          </cell>
          <cell r="AQ35">
            <v>0</v>
          </cell>
          <cell r="AR35">
            <v>0</v>
          </cell>
          <cell r="AS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 t="str">
            <v>ECHEC</v>
          </cell>
          <cell r="J36">
            <v>1</v>
          </cell>
          <cell r="K36">
            <v>0</v>
          </cell>
          <cell r="M36">
            <v>0</v>
          </cell>
          <cell r="O36">
            <v>0</v>
          </cell>
          <cell r="P36">
            <v>0</v>
          </cell>
          <cell r="U36">
            <v>0</v>
          </cell>
          <cell r="AQ36">
            <v>0</v>
          </cell>
          <cell r="AR36">
            <v>0</v>
          </cell>
          <cell r="AS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 t="str">
            <v>ECHEC</v>
          </cell>
          <cell r="J37">
            <v>1</v>
          </cell>
          <cell r="K37">
            <v>0</v>
          </cell>
          <cell r="M37">
            <v>0</v>
          </cell>
          <cell r="N37">
            <v>1</v>
          </cell>
          <cell r="O37">
            <v>0</v>
          </cell>
          <cell r="P37">
            <v>0</v>
          </cell>
          <cell r="R37">
            <v>0</v>
          </cell>
          <cell r="U37">
            <v>0</v>
          </cell>
          <cell r="AQ37">
            <v>0</v>
          </cell>
          <cell r="AR37">
            <v>0</v>
          </cell>
          <cell r="AS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 t="str">
            <v>ECHEC</v>
          </cell>
          <cell r="J38">
            <v>1</v>
          </cell>
          <cell r="K38">
            <v>0</v>
          </cell>
          <cell r="L38">
            <v>1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U38">
            <v>0</v>
          </cell>
          <cell r="AQ38">
            <v>0</v>
          </cell>
          <cell r="AR38">
            <v>0</v>
          </cell>
          <cell r="AS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</row>
        <row r="40">
          <cell r="B40" t="str">
            <v>TOTAUX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32</v>
          </cell>
          <cell r="K40">
            <v>0</v>
          </cell>
          <cell r="L40">
            <v>16</v>
          </cell>
          <cell r="M40">
            <v>0</v>
          </cell>
          <cell r="N40">
            <v>18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</row>
        <row r="43">
          <cell r="B43" t="str">
            <v>AS201643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0</v>
          </cell>
          <cell r="D47">
            <v>0</v>
          </cell>
          <cell r="F47">
            <v>0</v>
          </cell>
        </row>
      </sheetData>
      <sheetData sheetId="14">
        <row r="6">
          <cell r="A6" t="str">
            <v>AS201648</v>
          </cell>
          <cell r="B6" t="str">
            <v>ASELBY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 t="str">
            <v>ECHEC</v>
          </cell>
          <cell r="K6">
            <v>0</v>
          </cell>
          <cell r="L6">
            <v>1</v>
          </cell>
          <cell r="M6">
            <v>0</v>
          </cell>
          <cell r="N6">
            <v>1</v>
          </cell>
          <cell r="O6">
            <v>0</v>
          </cell>
          <cell r="U6">
            <v>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 t="str">
            <v>ECHEC</v>
          </cell>
          <cell r="J7">
            <v>1</v>
          </cell>
          <cell r="K7">
            <v>0</v>
          </cell>
          <cell r="M7">
            <v>0</v>
          </cell>
          <cell r="O7">
            <v>0</v>
          </cell>
          <cell r="P7">
            <v>0</v>
          </cell>
          <cell r="U7">
            <v>0</v>
          </cell>
          <cell r="AQ7">
            <v>0</v>
          </cell>
          <cell r="AR7">
            <v>0</v>
          </cell>
          <cell r="AS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 t="str">
            <v>ECHEC</v>
          </cell>
          <cell r="J8">
            <v>1</v>
          </cell>
          <cell r="K8">
            <v>0</v>
          </cell>
          <cell r="L8">
            <v>1</v>
          </cell>
          <cell r="M8">
            <v>0</v>
          </cell>
          <cell r="O8">
            <v>0</v>
          </cell>
          <cell r="P8">
            <v>0</v>
          </cell>
          <cell r="Q8">
            <v>0</v>
          </cell>
          <cell r="U8">
            <v>0</v>
          </cell>
          <cell r="AQ8">
            <v>0</v>
          </cell>
          <cell r="AR8">
            <v>0</v>
          </cell>
          <cell r="AS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 t="str">
            <v>ECHEC</v>
          </cell>
          <cell r="J9">
            <v>1</v>
          </cell>
          <cell r="K9">
            <v>0</v>
          </cell>
          <cell r="M9">
            <v>0</v>
          </cell>
          <cell r="N9">
            <v>2</v>
          </cell>
          <cell r="O9">
            <v>0</v>
          </cell>
          <cell r="P9">
            <v>0</v>
          </cell>
          <cell r="R9">
            <v>0</v>
          </cell>
          <cell r="U9">
            <v>0</v>
          </cell>
          <cell r="AQ9">
            <v>0</v>
          </cell>
          <cell r="AR9">
            <v>0</v>
          </cell>
          <cell r="AS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ECHEC</v>
          </cell>
          <cell r="J10">
            <v>1</v>
          </cell>
          <cell r="K10">
            <v>0</v>
          </cell>
          <cell r="L10">
            <v>1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U10">
            <v>0</v>
          </cell>
          <cell r="AQ10">
            <v>0</v>
          </cell>
          <cell r="AR10">
            <v>0</v>
          </cell>
          <cell r="AS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ECHEC</v>
          </cell>
          <cell r="J11">
            <v>1</v>
          </cell>
          <cell r="K11">
            <v>0</v>
          </cell>
          <cell r="L11">
            <v>1</v>
          </cell>
          <cell r="M11">
            <v>0</v>
          </cell>
          <cell r="O11">
            <v>0</v>
          </cell>
          <cell r="P11">
            <v>0</v>
          </cell>
          <cell r="Q11">
            <v>0</v>
          </cell>
          <cell r="U11">
            <v>0</v>
          </cell>
          <cell r="AQ11">
            <v>0</v>
          </cell>
          <cell r="AR11">
            <v>0</v>
          </cell>
          <cell r="AS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 t="str">
            <v>ECHEC</v>
          </cell>
          <cell r="J12">
            <v>1</v>
          </cell>
          <cell r="K12">
            <v>0</v>
          </cell>
          <cell r="L12">
            <v>1</v>
          </cell>
          <cell r="M12">
            <v>0</v>
          </cell>
          <cell r="N12">
            <v>2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U12">
            <v>0</v>
          </cell>
          <cell r="AQ12">
            <v>0</v>
          </cell>
          <cell r="AR12">
            <v>0</v>
          </cell>
          <cell r="AS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 t="str">
            <v>ECHEC</v>
          </cell>
          <cell r="J13">
            <v>1</v>
          </cell>
          <cell r="K13">
            <v>0</v>
          </cell>
          <cell r="M13">
            <v>0</v>
          </cell>
          <cell r="O13">
            <v>0</v>
          </cell>
          <cell r="P13">
            <v>0</v>
          </cell>
          <cell r="U13">
            <v>0</v>
          </cell>
          <cell r="AQ13">
            <v>0</v>
          </cell>
          <cell r="AR13">
            <v>0</v>
          </cell>
          <cell r="AS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1</v>
          </cell>
          <cell r="K14">
            <v>0</v>
          </cell>
          <cell r="M14">
            <v>0</v>
          </cell>
          <cell r="O14">
            <v>0</v>
          </cell>
          <cell r="P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 t="str">
            <v>ECHEC</v>
          </cell>
          <cell r="J15">
            <v>1</v>
          </cell>
          <cell r="K15">
            <v>0</v>
          </cell>
          <cell r="L15">
            <v>1</v>
          </cell>
          <cell r="M15">
            <v>0</v>
          </cell>
          <cell r="O15">
            <v>0</v>
          </cell>
          <cell r="P15">
            <v>0</v>
          </cell>
          <cell r="Q15">
            <v>0</v>
          </cell>
          <cell r="U15">
            <v>0</v>
          </cell>
          <cell r="AQ15">
            <v>0</v>
          </cell>
          <cell r="AR15">
            <v>0</v>
          </cell>
          <cell r="AS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 t="str">
            <v>ECHEC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0</v>
          </cell>
          <cell r="AQ16">
            <v>0</v>
          </cell>
          <cell r="AR16">
            <v>0</v>
          </cell>
          <cell r="AS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 t="str">
            <v>ECHEC</v>
          </cell>
          <cell r="J17">
            <v>1</v>
          </cell>
          <cell r="K17">
            <v>0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  <cell r="R17">
            <v>0</v>
          </cell>
          <cell r="U17">
            <v>0</v>
          </cell>
          <cell r="AQ17">
            <v>0</v>
          </cell>
          <cell r="AR17">
            <v>0</v>
          </cell>
          <cell r="AS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 t="str">
            <v>ECHEC</v>
          </cell>
          <cell r="J18">
            <v>1</v>
          </cell>
          <cell r="K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  <cell r="R18">
            <v>0</v>
          </cell>
          <cell r="U18">
            <v>0</v>
          </cell>
          <cell r="AQ18">
            <v>0</v>
          </cell>
          <cell r="AR18">
            <v>0</v>
          </cell>
          <cell r="AS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 t="str">
            <v>ECHEC</v>
          </cell>
          <cell r="J19">
            <v>1</v>
          </cell>
          <cell r="K19">
            <v>0</v>
          </cell>
          <cell r="M19">
            <v>0</v>
          </cell>
          <cell r="O19">
            <v>0</v>
          </cell>
          <cell r="P19">
            <v>0</v>
          </cell>
          <cell r="U19">
            <v>0</v>
          </cell>
          <cell r="AQ19">
            <v>0</v>
          </cell>
          <cell r="AR19">
            <v>0</v>
          </cell>
          <cell r="AS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 t="str">
            <v>ECHEC</v>
          </cell>
          <cell r="J20">
            <v>1</v>
          </cell>
          <cell r="K20">
            <v>0</v>
          </cell>
          <cell r="L20">
            <v>1</v>
          </cell>
          <cell r="M20">
            <v>0</v>
          </cell>
          <cell r="N20">
            <v>1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U20">
            <v>0</v>
          </cell>
          <cell r="AQ20">
            <v>0</v>
          </cell>
          <cell r="AR20">
            <v>0</v>
          </cell>
          <cell r="AS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 t="str">
            <v>ECHEC</v>
          </cell>
          <cell r="J21">
            <v>1</v>
          </cell>
          <cell r="K21">
            <v>0</v>
          </cell>
          <cell r="M21">
            <v>0</v>
          </cell>
          <cell r="O21">
            <v>0</v>
          </cell>
          <cell r="P21">
            <v>0</v>
          </cell>
          <cell r="U21">
            <v>0</v>
          </cell>
          <cell r="AQ21">
            <v>0</v>
          </cell>
          <cell r="AR21">
            <v>0</v>
          </cell>
          <cell r="AS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 t="str">
            <v>ECHEC</v>
          </cell>
          <cell r="J22">
            <v>1</v>
          </cell>
          <cell r="K22">
            <v>0</v>
          </cell>
          <cell r="L22">
            <v>1</v>
          </cell>
          <cell r="M22">
            <v>0</v>
          </cell>
          <cell r="O22">
            <v>0</v>
          </cell>
          <cell r="P22">
            <v>0</v>
          </cell>
          <cell r="Q22">
            <v>0</v>
          </cell>
          <cell r="U22">
            <v>0</v>
          </cell>
          <cell r="AQ22">
            <v>0</v>
          </cell>
          <cell r="AR22">
            <v>0</v>
          </cell>
          <cell r="AS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 t="str">
            <v>ECHEC</v>
          </cell>
          <cell r="J23">
            <v>1</v>
          </cell>
          <cell r="K23">
            <v>0</v>
          </cell>
          <cell r="M23">
            <v>0</v>
          </cell>
          <cell r="N23">
            <v>2</v>
          </cell>
          <cell r="O23">
            <v>0</v>
          </cell>
          <cell r="P23">
            <v>0</v>
          </cell>
          <cell r="R23">
            <v>0</v>
          </cell>
          <cell r="U23">
            <v>0</v>
          </cell>
          <cell r="AQ23">
            <v>0</v>
          </cell>
          <cell r="AR23">
            <v>0</v>
          </cell>
          <cell r="AS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ECHEC</v>
          </cell>
          <cell r="J24">
            <v>1</v>
          </cell>
          <cell r="K24">
            <v>0</v>
          </cell>
          <cell r="L24">
            <v>1</v>
          </cell>
          <cell r="M24">
            <v>0</v>
          </cell>
          <cell r="N24">
            <v>1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0</v>
          </cell>
          <cell r="AQ24">
            <v>0</v>
          </cell>
          <cell r="AR24">
            <v>0</v>
          </cell>
          <cell r="AS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 t="str">
            <v>ECHEC</v>
          </cell>
          <cell r="J25">
            <v>1</v>
          </cell>
          <cell r="K25">
            <v>0</v>
          </cell>
          <cell r="L25">
            <v>3</v>
          </cell>
          <cell r="M25">
            <v>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U25">
            <v>0</v>
          </cell>
          <cell r="AQ25">
            <v>0</v>
          </cell>
          <cell r="AR25">
            <v>0</v>
          </cell>
          <cell r="AS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 t="str">
            <v>ECHEC</v>
          </cell>
          <cell r="J26">
            <v>1</v>
          </cell>
          <cell r="K26">
            <v>0</v>
          </cell>
          <cell r="M26">
            <v>0</v>
          </cell>
          <cell r="O26">
            <v>0</v>
          </cell>
          <cell r="P26">
            <v>0</v>
          </cell>
          <cell r="U26">
            <v>0</v>
          </cell>
          <cell r="AQ26">
            <v>0</v>
          </cell>
          <cell r="AR26">
            <v>0</v>
          </cell>
          <cell r="AS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 t="str">
            <v>ECHEC</v>
          </cell>
          <cell r="J27">
            <v>1</v>
          </cell>
          <cell r="K27">
            <v>0</v>
          </cell>
          <cell r="M27">
            <v>0</v>
          </cell>
          <cell r="O27">
            <v>0</v>
          </cell>
          <cell r="P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 t="str">
            <v>ECHEC</v>
          </cell>
          <cell r="J28">
            <v>1</v>
          </cell>
          <cell r="K28">
            <v>0</v>
          </cell>
          <cell r="L28">
            <v>1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U28">
            <v>0</v>
          </cell>
          <cell r="AQ28">
            <v>0</v>
          </cell>
          <cell r="AR28">
            <v>0</v>
          </cell>
          <cell r="AS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 t="str">
            <v>ECHEC</v>
          </cell>
          <cell r="J29">
            <v>1</v>
          </cell>
          <cell r="K29">
            <v>0</v>
          </cell>
          <cell r="M29">
            <v>0</v>
          </cell>
          <cell r="O29">
            <v>0</v>
          </cell>
          <cell r="P29">
            <v>0</v>
          </cell>
          <cell r="U29">
            <v>0</v>
          </cell>
          <cell r="AQ29">
            <v>0</v>
          </cell>
          <cell r="AR29">
            <v>0</v>
          </cell>
          <cell r="AS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 t="str">
            <v>ECHEC</v>
          </cell>
          <cell r="J30">
            <v>1</v>
          </cell>
          <cell r="K30">
            <v>0</v>
          </cell>
          <cell r="M30">
            <v>0</v>
          </cell>
          <cell r="N30">
            <v>2</v>
          </cell>
          <cell r="O30">
            <v>0</v>
          </cell>
          <cell r="P30">
            <v>0</v>
          </cell>
          <cell r="R30">
            <v>0</v>
          </cell>
          <cell r="U30">
            <v>0</v>
          </cell>
          <cell r="AQ30">
            <v>0</v>
          </cell>
          <cell r="AR30">
            <v>0</v>
          </cell>
          <cell r="AS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1</v>
          </cell>
          <cell r="K31">
            <v>0</v>
          </cell>
          <cell r="M31">
            <v>0</v>
          </cell>
          <cell r="N31">
            <v>1</v>
          </cell>
          <cell r="O31">
            <v>0</v>
          </cell>
          <cell r="P31">
            <v>0</v>
          </cell>
          <cell r="R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 t="str">
            <v>ECHEC</v>
          </cell>
          <cell r="J32">
            <v>1</v>
          </cell>
          <cell r="K32">
            <v>0</v>
          </cell>
          <cell r="L32">
            <v>1</v>
          </cell>
          <cell r="M32">
            <v>0</v>
          </cell>
          <cell r="O32">
            <v>0</v>
          </cell>
          <cell r="P32">
            <v>0</v>
          </cell>
          <cell r="Q32">
            <v>0</v>
          </cell>
          <cell r="U32">
            <v>0</v>
          </cell>
          <cell r="AQ32">
            <v>0</v>
          </cell>
          <cell r="AR32">
            <v>0</v>
          </cell>
          <cell r="AS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 t="str">
            <v>ECHEC</v>
          </cell>
          <cell r="J33">
            <v>1</v>
          </cell>
          <cell r="K33">
            <v>0</v>
          </cell>
          <cell r="M33">
            <v>0</v>
          </cell>
          <cell r="N33">
            <v>1</v>
          </cell>
          <cell r="O33">
            <v>0</v>
          </cell>
          <cell r="P33">
            <v>0</v>
          </cell>
          <cell r="R33">
            <v>0</v>
          </cell>
          <cell r="U33">
            <v>0</v>
          </cell>
          <cell r="AQ33">
            <v>0</v>
          </cell>
          <cell r="AR33">
            <v>0</v>
          </cell>
          <cell r="AS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J34">
            <v>1</v>
          </cell>
          <cell r="K34">
            <v>0</v>
          </cell>
          <cell r="M34">
            <v>0</v>
          </cell>
          <cell r="O34">
            <v>0</v>
          </cell>
          <cell r="P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 t="str">
            <v>ECHEC</v>
          </cell>
          <cell r="J35">
            <v>1</v>
          </cell>
          <cell r="K35">
            <v>0</v>
          </cell>
          <cell r="M35">
            <v>0</v>
          </cell>
          <cell r="O35">
            <v>0</v>
          </cell>
          <cell r="P35">
            <v>0</v>
          </cell>
          <cell r="U35">
            <v>0</v>
          </cell>
          <cell r="AQ35">
            <v>0</v>
          </cell>
          <cell r="AR35">
            <v>0</v>
          </cell>
          <cell r="AS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 t="str">
            <v>ECHEC</v>
          </cell>
          <cell r="J36">
            <v>1</v>
          </cell>
          <cell r="K36">
            <v>0</v>
          </cell>
          <cell r="M36">
            <v>0</v>
          </cell>
          <cell r="O36">
            <v>0</v>
          </cell>
          <cell r="P36">
            <v>0</v>
          </cell>
          <cell r="U36">
            <v>0</v>
          </cell>
          <cell r="AQ36">
            <v>0</v>
          </cell>
          <cell r="AR36">
            <v>0</v>
          </cell>
          <cell r="AS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 t="str">
            <v>ECHEC</v>
          </cell>
          <cell r="J37">
            <v>1</v>
          </cell>
          <cell r="K37">
            <v>0</v>
          </cell>
          <cell r="M37">
            <v>0</v>
          </cell>
          <cell r="N37">
            <v>1</v>
          </cell>
          <cell r="O37">
            <v>0</v>
          </cell>
          <cell r="P37">
            <v>0</v>
          </cell>
          <cell r="R37">
            <v>0</v>
          </cell>
          <cell r="U37">
            <v>0</v>
          </cell>
          <cell r="AQ37">
            <v>0</v>
          </cell>
          <cell r="AR37">
            <v>0</v>
          </cell>
          <cell r="AS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 t="str">
            <v>ECHEC</v>
          </cell>
          <cell r="J38">
            <v>1</v>
          </cell>
          <cell r="K38">
            <v>0</v>
          </cell>
          <cell r="L38">
            <v>1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U38">
            <v>0</v>
          </cell>
          <cell r="AQ38">
            <v>0</v>
          </cell>
          <cell r="AR38">
            <v>0</v>
          </cell>
          <cell r="AS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</row>
        <row r="40">
          <cell r="B40" t="str">
            <v>TOTAUX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32</v>
          </cell>
          <cell r="K40">
            <v>0</v>
          </cell>
          <cell r="L40">
            <v>16</v>
          </cell>
          <cell r="M40">
            <v>0</v>
          </cell>
          <cell r="N40">
            <v>18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</row>
        <row r="43">
          <cell r="B43" t="str">
            <v>AS201643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0</v>
          </cell>
          <cell r="D47">
            <v>0</v>
          </cell>
          <cell r="F47">
            <v>0</v>
          </cell>
        </row>
      </sheetData>
      <sheetData sheetId="1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 t="str">
            <v>ECHEC</v>
          </cell>
          <cell r="K6">
            <v>0</v>
          </cell>
          <cell r="L6">
            <v>1</v>
          </cell>
          <cell r="M6">
            <v>0</v>
          </cell>
          <cell r="N6">
            <v>1</v>
          </cell>
          <cell r="O6">
            <v>0</v>
          </cell>
          <cell r="U6">
            <v>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 t="str">
            <v>ECHEC</v>
          </cell>
          <cell r="J7">
            <v>1</v>
          </cell>
          <cell r="K7">
            <v>0</v>
          </cell>
          <cell r="M7">
            <v>0</v>
          </cell>
          <cell r="O7">
            <v>0</v>
          </cell>
          <cell r="P7">
            <v>0</v>
          </cell>
          <cell r="U7">
            <v>0</v>
          </cell>
          <cell r="AQ7">
            <v>0</v>
          </cell>
          <cell r="AR7">
            <v>0</v>
          </cell>
          <cell r="AS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 t="str">
            <v>ECHEC</v>
          </cell>
          <cell r="J8">
            <v>1</v>
          </cell>
          <cell r="K8">
            <v>0</v>
          </cell>
          <cell r="L8">
            <v>1</v>
          </cell>
          <cell r="M8">
            <v>0</v>
          </cell>
          <cell r="O8">
            <v>0</v>
          </cell>
          <cell r="P8">
            <v>0</v>
          </cell>
          <cell r="Q8">
            <v>0</v>
          </cell>
          <cell r="U8">
            <v>0</v>
          </cell>
          <cell r="AQ8">
            <v>0</v>
          </cell>
          <cell r="AR8">
            <v>0</v>
          </cell>
          <cell r="AS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 t="str">
            <v>ECHEC</v>
          </cell>
          <cell r="J9">
            <v>1</v>
          </cell>
          <cell r="K9">
            <v>0</v>
          </cell>
          <cell r="M9">
            <v>0</v>
          </cell>
          <cell r="N9">
            <v>2</v>
          </cell>
          <cell r="O9">
            <v>0</v>
          </cell>
          <cell r="P9">
            <v>0</v>
          </cell>
          <cell r="R9">
            <v>0</v>
          </cell>
          <cell r="U9">
            <v>0</v>
          </cell>
          <cell r="AQ9">
            <v>0</v>
          </cell>
          <cell r="AR9">
            <v>0</v>
          </cell>
          <cell r="AS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ECHEC</v>
          </cell>
          <cell r="J10">
            <v>1</v>
          </cell>
          <cell r="K10">
            <v>0</v>
          </cell>
          <cell r="L10">
            <v>1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U10">
            <v>0</v>
          </cell>
          <cell r="AQ10">
            <v>0</v>
          </cell>
          <cell r="AR10">
            <v>0</v>
          </cell>
          <cell r="AS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ECHEC</v>
          </cell>
          <cell r="J11">
            <v>1</v>
          </cell>
          <cell r="K11">
            <v>0</v>
          </cell>
          <cell r="L11">
            <v>1</v>
          </cell>
          <cell r="M11">
            <v>0</v>
          </cell>
          <cell r="O11">
            <v>0</v>
          </cell>
          <cell r="P11">
            <v>0</v>
          </cell>
          <cell r="Q11">
            <v>0</v>
          </cell>
          <cell r="U11">
            <v>0</v>
          </cell>
          <cell r="AQ11">
            <v>0</v>
          </cell>
          <cell r="AR11">
            <v>0</v>
          </cell>
          <cell r="AS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 t="str">
            <v>ECHEC</v>
          </cell>
          <cell r="J12">
            <v>1</v>
          </cell>
          <cell r="K12">
            <v>0</v>
          </cell>
          <cell r="L12">
            <v>1</v>
          </cell>
          <cell r="M12">
            <v>0</v>
          </cell>
          <cell r="N12">
            <v>2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U12">
            <v>0</v>
          </cell>
          <cell r="AQ12">
            <v>0</v>
          </cell>
          <cell r="AR12">
            <v>0</v>
          </cell>
          <cell r="AS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 t="str">
            <v>ECHEC</v>
          </cell>
          <cell r="J13">
            <v>1</v>
          </cell>
          <cell r="K13">
            <v>0</v>
          </cell>
          <cell r="M13">
            <v>0</v>
          </cell>
          <cell r="O13">
            <v>0</v>
          </cell>
          <cell r="P13">
            <v>0</v>
          </cell>
          <cell r="U13">
            <v>0</v>
          </cell>
          <cell r="AQ13">
            <v>0</v>
          </cell>
          <cell r="AR13">
            <v>0</v>
          </cell>
          <cell r="AS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1</v>
          </cell>
          <cell r="K14">
            <v>0</v>
          </cell>
          <cell r="M14">
            <v>0</v>
          </cell>
          <cell r="O14">
            <v>0</v>
          </cell>
          <cell r="P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 t="str">
            <v>ECHEC</v>
          </cell>
          <cell r="J15">
            <v>1</v>
          </cell>
          <cell r="K15">
            <v>0</v>
          </cell>
          <cell r="L15">
            <v>1</v>
          </cell>
          <cell r="M15">
            <v>0</v>
          </cell>
          <cell r="O15">
            <v>0</v>
          </cell>
          <cell r="P15">
            <v>0</v>
          </cell>
          <cell r="Q15">
            <v>0</v>
          </cell>
          <cell r="U15">
            <v>0</v>
          </cell>
          <cell r="AQ15">
            <v>0</v>
          </cell>
          <cell r="AR15">
            <v>0</v>
          </cell>
          <cell r="AS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 t="str">
            <v>ECHEC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0</v>
          </cell>
          <cell r="AQ16">
            <v>0</v>
          </cell>
          <cell r="AR16">
            <v>0</v>
          </cell>
          <cell r="AS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 t="str">
            <v>ECHEC</v>
          </cell>
          <cell r="J17">
            <v>1</v>
          </cell>
          <cell r="K17">
            <v>0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  <cell r="R17">
            <v>0</v>
          </cell>
          <cell r="U17">
            <v>0</v>
          </cell>
          <cell r="AQ17">
            <v>0</v>
          </cell>
          <cell r="AR17">
            <v>0</v>
          </cell>
          <cell r="AS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 t="str">
            <v>ECHEC</v>
          </cell>
          <cell r="J18">
            <v>1</v>
          </cell>
          <cell r="K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  <cell r="R18">
            <v>0</v>
          </cell>
          <cell r="U18">
            <v>0</v>
          </cell>
          <cell r="AQ18">
            <v>0</v>
          </cell>
          <cell r="AR18">
            <v>0</v>
          </cell>
          <cell r="AS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 t="str">
            <v>ECHEC</v>
          </cell>
          <cell r="J19">
            <v>1</v>
          </cell>
          <cell r="K19">
            <v>0</v>
          </cell>
          <cell r="M19">
            <v>0</v>
          </cell>
          <cell r="O19">
            <v>0</v>
          </cell>
          <cell r="P19">
            <v>0</v>
          </cell>
          <cell r="U19">
            <v>0</v>
          </cell>
          <cell r="AQ19">
            <v>0</v>
          </cell>
          <cell r="AR19">
            <v>0</v>
          </cell>
          <cell r="AS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 t="str">
            <v>ECHEC</v>
          </cell>
          <cell r="J20">
            <v>1</v>
          </cell>
          <cell r="K20">
            <v>0</v>
          </cell>
          <cell r="L20">
            <v>1</v>
          </cell>
          <cell r="M20">
            <v>0</v>
          </cell>
          <cell r="N20">
            <v>1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U20">
            <v>0</v>
          </cell>
          <cell r="AQ20">
            <v>0</v>
          </cell>
          <cell r="AR20">
            <v>0</v>
          </cell>
          <cell r="AS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 t="str">
            <v>ECHEC</v>
          </cell>
          <cell r="J21">
            <v>1</v>
          </cell>
          <cell r="K21">
            <v>0</v>
          </cell>
          <cell r="M21">
            <v>0</v>
          </cell>
          <cell r="O21">
            <v>0</v>
          </cell>
          <cell r="P21">
            <v>0</v>
          </cell>
          <cell r="U21">
            <v>0</v>
          </cell>
          <cell r="AQ21">
            <v>0</v>
          </cell>
          <cell r="AR21">
            <v>0</v>
          </cell>
          <cell r="AS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 t="str">
            <v>ECHEC</v>
          </cell>
          <cell r="J22">
            <v>1</v>
          </cell>
          <cell r="K22">
            <v>0</v>
          </cell>
          <cell r="L22">
            <v>1</v>
          </cell>
          <cell r="M22">
            <v>0</v>
          </cell>
          <cell r="O22">
            <v>0</v>
          </cell>
          <cell r="P22">
            <v>0</v>
          </cell>
          <cell r="Q22">
            <v>0</v>
          </cell>
          <cell r="U22">
            <v>0</v>
          </cell>
          <cell r="AQ22">
            <v>0</v>
          </cell>
          <cell r="AR22">
            <v>0</v>
          </cell>
          <cell r="AS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 t="str">
            <v>ECHEC</v>
          </cell>
          <cell r="J23">
            <v>1</v>
          </cell>
          <cell r="K23">
            <v>0</v>
          </cell>
          <cell r="M23">
            <v>0</v>
          </cell>
          <cell r="N23">
            <v>2</v>
          </cell>
          <cell r="O23">
            <v>0</v>
          </cell>
          <cell r="P23">
            <v>0</v>
          </cell>
          <cell r="R23">
            <v>0</v>
          </cell>
          <cell r="U23">
            <v>0</v>
          </cell>
          <cell r="AQ23">
            <v>0</v>
          </cell>
          <cell r="AR23">
            <v>0</v>
          </cell>
          <cell r="AS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ECHEC</v>
          </cell>
          <cell r="J24">
            <v>1</v>
          </cell>
          <cell r="K24">
            <v>0</v>
          </cell>
          <cell r="L24">
            <v>1</v>
          </cell>
          <cell r="M24">
            <v>0</v>
          </cell>
          <cell r="N24">
            <v>1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0</v>
          </cell>
          <cell r="AQ24">
            <v>0</v>
          </cell>
          <cell r="AR24">
            <v>0</v>
          </cell>
          <cell r="AS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 t="str">
            <v>ECHEC</v>
          </cell>
          <cell r="J25">
            <v>1</v>
          </cell>
          <cell r="K25">
            <v>0</v>
          </cell>
          <cell r="L25">
            <v>3</v>
          </cell>
          <cell r="M25">
            <v>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U25">
            <v>0</v>
          </cell>
          <cell r="AQ25">
            <v>0</v>
          </cell>
          <cell r="AR25">
            <v>0</v>
          </cell>
          <cell r="AS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 t="str">
            <v>ECHEC</v>
          </cell>
          <cell r="J26">
            <v>1</v>
          </cell>
          <cell r="K26">
            <v>0</v>
          </cell>
          <cell r="M26">
            <v>0</v>
          </cell>
          <cell r="O26">
            <v>0</v>
          </cell>
          <cell r="P26">
            <v>0</v>
          </cell>
          <cell r="U26">
            <v>0</v>
          </cell>
          <cell r="AQ26">
            <v>0</v>
          </cell>
          <cell r="AR26">
            <v>0</v>
          </cell>
          <cell r="AS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 t="str">
            <v>ECHEC</v>
          </cell>
          <cell r="J27">
            <v>1</v>
          </cell>
          <cell r="K27">
            <v>0</v>
          </cell>
          <cell r="M27">
            <v>0</v>
          </cell>
          <cell r="O27">
            <v>0</v>
          </cell>
          <cell r="P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 t="str">
            <v>ECHEC</v>
          </cell>
          <cell r="J28">
            <v>1</v>
          </cell>
          <cell r="K28">
            <v>0</v>
          </cell>
          <cell r="L28">
            <v>1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U28">
            <v>0</v>
          </cell>
          <cell r="AQ28">
            <v>0</v>
          </cell>
          <cell r="AR28">
            <v>0</v>
          </cell>
          <cell r="AS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 t="str">
            <v>ECHEC</v>
          </cell>
          <cell r="J29">
            <v>1</v>
          </cell>
          <cell r="K29">
            <v>0</v>
          </cell>
          <cell r="M29">
            <v>0</v>
          </cell>
          <cell r="O29">
            <v>0</v>
          </cell>
          <cell r="P29">
            <v>0</v>
          </cell>
          <cell r="U29">
            <v>0</v>
          </cell>
          <cell r="AQ29">
            <v>0</v>
          </cell>
          <cell r="AR29">
            <v>0</v>
          </cell>
          <cell r="AS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 t="str">
            <v>ECHEC</v>
          </cell>
          <cell r="J30">
            <v>1</v>
          </cell>
          <cell r="K30">
            <v>0</v>
          </cell>
          <cell r="M30">
            <v>0</v>
          </cell>
          <cell r="N30">
            <v>2</v>
          </cell>
          <cell r="O30">
            <v>0</v>
          </cell>
          <cell r="P30">
            <v>0</v>
          </cell>
          <cell r="R30">
            <v>0</v>
          </cell>
          <cell r="U30">
            <v>0</v>
          </cell>
          <cell r="AQ30">
            <v>0</v>
          </cell>
          <cell r="AR30">
            <v>0</v>
          </cell>
          <cell r="AS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1</v>
          </cell>
          <cell r="K31">
            <v>0</v>
          </cell>
          <cell r="M31">
            <v>0</v>
          </cell>
          <cell r="N31">
            <v>1</v>
          </cell>
          <cell r="O31">
            <v>0</v>
          </cell>
          <cell r="P31">
            <v>0</v>
          </cell>
          <cell r="R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 t="str">
            <v>ECHEC</v>
          </cell>
          <cell r="J32">
            <v>1</v>
          </cell>
          <cell r="K32">
            <v>0</v>
          </cell>
          <cell r="L32">
            <v>1</v>
          </cell>
          <cell r="M32">
            <v>0</v>
          </cell>
          <cell r="O32">
            <v>0</v>
          </cell>
          <cell r="P32">
            <v>0</v>
          </cell>
          <cell r="Q32">
            <v>0</v>
          </cell>
          <cell r="U32">
            <v>0</v>
          </cell>
          <cell r="AQ32">
            <v>0</v>
          </cell>
          <cell r="AR32">
            <v>0</v>
          </cell>
          <cell r="AS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 t="str">
            <v>ECHEC</v>
          </cell>
          <cell r="J33">
            <v>1</v>
          </cell>
          <cell r="K33">
            <v>0</v>
          </cell>
          <cell r="M33">
            <v>0</v>
          </cell>
          <cell r="N33">
            <v>1</v>
          </cell>
          <cell r="O33">
            <v>0</v>
          </cell>
          <cell r="P33">
            <v>0</v>
          </cell>
          <cell r="R33">
            <v>0</v>
          </cell>
          <cell r="U33">
            <v>0</v>
          </cell>
          <cell r="AQ33">
            <v>0</v>
          </cell>
          <cell r="AR33">
            <v>0</v>
          </cell>
          <cell r="AS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J34">
            <v>1</v>
          </cell>
          <cell r="K34">
            <v>0</v>
          </cell>
          <cell r="M34">
            <v>0</v>
          </cell>
          <cell r="O34">
            <v>0</v>
          </cell>
          <cell r="P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 t="str">
            <v>ECHEC</v>
          </cell>
          <cell r="J35">
            <v>1</v>
          </cell>
          <cell r="K35">
            <v>0</v>
          </cell>
          <cell r="M35">
            <v>0</v>
          </cell>
          <cell r="O35">
            <v>0</v>
          </cell>
          <cell r="P35">
            <v>0</v>
          </cell>
          <cell r="U35">
            <v>0</v>
          </cell>
          <cell r="AQ35">
            <v>0</v>
          </cell>
          <cell r="AR35">
            <v>0</v>
          </cell>
          <cell r="AS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 t="str">
            <v>ECHEC</v>
          </cell>
          <cell r="J36">
            <v>1</v>
          </cell>
          <cell r="K36">
            <v>0</v>
          </cell>
          <cell r="M36">
            <v>0</v>
          </cell>
          <cell r="O36">
            <v>0</v>
          </cell>
          <cell r="P36">
            <v>0</v>
          </cell>
          <cell r="U36">
            <v>0</v>
          </cell>
          <cell r="AQ36">
            <v>0</v>
          </cell>
          <cell r="AR36">
            <v>0</v>
          </cell>
          <cell r="AS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 t="str">
            <v>ECHEC</v>
          </cell>
          <cell r="J37">
            <v>1</v>
          </cell>
          <cell r="K37">
            <v>0</v>
          </cell>
          <cell r="M37">
            <v>0</v>
          </cell>
          <cell r="N37">
            <v>1</v>
          </cell>
          <cell r="O37">
            <v>0</v>
          </cell>
          <cell r="P37">
            <v>0</v>
          </cell>
          <cell r="R37">
            <v>0</v>
          </cell>
          <cell r="U37">
            <v>0</v>
          </cell>
          <cell r="AQ37">
            <v>0</v>
          </cell>
          <cell r="AR37">
            <v>0</v>
          </cell>
          <cell r="AS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 t="str">
            <v>ECHEC</v>
          </cell>
          <cell r="J38">
            <v>1</v>
          </cell>
          <cell r="K38">
            <v>0</v>
          </cell>
          <cell r="L38">
            <v>1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U38">
            <v>0</v>
          </cell>
          <cell r="AQ38">
            <v>0</v>
          </cell>
          <cell r="AR38">
            <v>0</v>
          </cell>
          <cell r="AS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</row>
        <row r="40">
          <cell r="B40" t="str">
            <v>TOTAUX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32</v>
          </cell>
          <cell r="K40">
            <v>0</v>
          </cell>
          <cell r="L40">
            <v>16</v>
          </cell>
          <cell r="M40">
            <v>0</v>
          </cell>
          <cell r="N40">
            <v>18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</row>
        <row r="43">
          <cell r="B43" t="str">
            <v>AS201643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0</v>
          </cell>
          <cell r="D47">
            <v>0</v>
          </cell>
          <cell r="F47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F5">
            <v>677841881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F6">
            <v>677704694</v>
          </cell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F7">
            <v>677986676</v>
          </cell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F8">
            <v>675250451</v>
          </cell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F10">
            <v>699908065</v>
          </cell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F11">
            <v>694468080</v>
          </cell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F12">
            <v>699956355</v>
          </cell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F13">
            <v>675836725</v>
          </cell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F14">
            <v>677735778</v>
          </cell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F16">
            <v>693055118</v>
          </cell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F17">
            <v>677553702</v>
          </cell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F18">
            <v>675249207</v>
          </cell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F19">
            <v>677068360</v>
          </cell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F20">
            <v>676659191</v>
          </cell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F21">
            <v>699995086</v>
          </cell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F22">
            <v>677546060</v>
          </cell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F23">
            <v>677648306</v>
          </cell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F24">
            <v>699778906</v>
          </cell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F25">
            <v>677775940</v>
          </cell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F26">
            <v>699663416</v>
          </cell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F27">
            <v>677547311</v>
          </cell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F29">
            <v>694452000</v>
          </cell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F34">
            <v>696585118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</row>
        <row r="36">
          <cell r="A36" t="str">
            <v>AS201629</v>
          </cell>
          <cell r="C36" t="str">
            <v>NKEPSEU DIEUDONNE</v>
          </cell>
        </row>
        <row r="37">
          <cell r="A37" t="str">
            <v>AS201659</v>
          </cell>
          <cell r="B37">
            <v>32</v>
          </cell>
          <cell r="C37" t="str">
            <v>YIALA ALAIN OSCAR</v>
          </cell>
        </row>
        <row r="38">
          <cell r="A38" t="str">
            <v>AS201660</v>
          </cell>
          <cell r="B38">
            <v>33</v>
          </cell>
          <cell r="C38" t="str">
            <v>TCHOUATEU AUGUSTIN</v>
          </cell>
        </row>
        <row r="39">
          <cell r="A39" t="str">
            <v>AS201661</v>
          </cell>
          <cell r="B39">
            <v>34</v>
          </cell>
          <cell r="C39" t="str">
            <v>MASSEUNGOUE DAGOBERT</v>
          </cell>
        </row>
      </sheetData>
      <sheetData sheetId="1"/>
      <sheetData sheetId="2"/>
      <sheetData sheetId="3"/>
    </sheetDataSet>
  </externalBook>
</externalLink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pane xSplit="3" ySplit="5" topLeftCell="H21" activePane="bottomRight" state="frozen"/>
      <selection activeCell="G6" sqref="G6:G39"/>
      <selection pane="topRight" activeCell="G6" sqref="G6:G39"/>
      <selection pane="bottomLeft" activeCell="G6" sqref="G6:G39"/>
      <selection pane="bottomRight" activeCell="K24" sqref="K24"/>
    </sheetView>
  </sheetViews>
  <sheetFormatPr baseColWidth="10" defaultColWidth="11" defaultRowHeight="15" x14ac:dyDescent="0.25"/>
  <cols>
    <col min="1" max="1" width="13.85546875" customWidth="1"/>
    <col min="2" max="2" width="16.7109375" customWidth="1"/>
    <col min="3" max="3" width="29.5703125" customWidth="1"/>
    <col min="4" max="4" width="21" customWidth="1"/>
    <col min="5" max="5" width="16.7109375" customWidth="1"/>
    <col min="6" max="6" width="1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3" customWidth="1"/>
    <col min="13" max="13" width="1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2024</v>
      </c>
      <c r="C2" s="1" t="s">
        <v>30</v>
      </c>
      <c r="D2" s="1" t="s">
        <v>33</v>
      </c>
      <c r="E2" s="1"/>
      <c r="L2" s="1"/>
      <c r="M2" s="1"/>
    </row>
    <row r="3" spans="1:16" x14ac:dyDescent="0.25">
      <c r="A3" s="1" t="s">
        <v>31</v>
      </c>
      <c r="B3" s="4">
        <v>75000</v>
      </c>
      <c r="C3" s="4">
        <f>B3*12</f>
        <v>900000</v>
      </c>
      <c r="D3" s="1">
        <f>ROUNDDOWN(K24/C3,0)</f>
        <v>0</v>
      </c>
      <c r="E3" s="1"/>
      <c r="L3" s="1"/>
      <c r="M3" s="1"/>
    </row>
    <row r="4" spans="1:16" s="12" customFormat="1" ht="18" x14ac:dyDescent="0.25">
      <c r="B4" s="13"/>
      <c r="C4" s="16">
        <v>45395</v>
      </c>
      <c r="D4" s="17"/>
      <c r="E4" s="17"/>
      <c r="F4" s="17"/>
      <c r="G4" s="17"/>
      <c r="H4" s="17"/>
      <c r="I4" s="17"/>
      <c r="J4" s="17"/>
      <c r="L4" s="14"/>
      <c r="M4" s="14"/>
      <c r="N4" s="14"/>
      <c r="O4" s="14"/>
    </row>
    <row r="5" spans="1:16" ht="57.75" x14ac:dyDescent="0.25">
      <c r="A5" s="1" t="s">
        <v>3</v>
      </c>
      <c r="B5" s="1" t="s">
        <v>38</v>
      </c>
      <c r="C5" s="1" t="s">
        <v>4</v>
      </c>
      <c r="D5" s="5" t="s">
        <v>5</v>
      </c>
      <c r="E5" s="6" t="s">
        <v>39</v>
      </c>
      <c r="F5" s="4" t="s">
        <v>14</v>
      </c>
      <c r="G5" s="5" t="s">
        <v>10</v>
      </c>
      <c r="H5" s="5" t="s">
        <v>15</v>
      </c>
      <c r="I5" s="10" t="s">
        <v>23</v>
      </c>
      <c r="J5" s="5" t="s">
        <v>40</v>
      </c>
      <c r="K5" s="5" t="s">
        <v>12</v>
      </c>
      <c r="L5" s="5" t="s">
        <v>11</v>
      </c>
      <c r="M5" s="5" t="s">
        <v>41</v>
      </c>
      <c r="N5" s="5" t="s">
        <v>23</v>
      </c>
      <c r="O5" s="5" t="s">
        <v>42</v>
      </c>
      <c r="P5" s="5" t="s">
        <v>13</v>
      </c>
    </row>
    <row r="6" spans="1:16" x14ac:dyDescent="0.25">
      <c r="A6" s="1" t="s">
        <v>47</v>
      </c>
      <c r="B6" s="7">
        <f>IF(D6=0,0,VLOOKUP($A6,[6]HISTOAVRIL24!$A$6:$BB$47,12,0))</f>
        <v>0</v>
      </c>
      <c r="C6" s="1" t="str">
        <f>VLOOKUP(A6,[7]LISTADHERENT!A$5:H$60,3,0)</f>
        <v>ASELBY</v>
      </c>
      <c r="D6" s="7">
        <f>IF(E6="ECHEC",0,VLOOKUP($A6,[6]HISTOAVRIL24!$A$6:$AR$47,13,0))</f>
        <v>0</v>
      </c>
      <c r="E6" s="7" t="str">
        <f>VLOOKUP($A6,[6]HISTOAVRIL24!$A$6:$AV$47,8,0)</f>
        <v>ECHEC</v>
      </c>
      <c r="F6" s="7">
        <f>VLOOKUP($A6,[6]HISTOAVRIL24!$A$6:$AV$47,36,0)</f>
        <v>0</v>
      </c>
      <c r="G6" s="7">
        <f>VLOOKUP($A6,[6]HISTOAVRIL24!$A$6:$AV$47,39,0)</f>
        <v>0</v>
      </c>
      <c r="H6" s="7">
        <f>IF(G6=0,0,VLOOKUP($A6,[6]HISTOAVRIL24!$A$6:$AV$47,42,0))</f>
        <v>0</v>
      </c>
      <c r="I6" s="7">
        <f>VLOOKUP($A6,[6]HISTOAVRIL24!$A$6:$AV$47,41,0)</f>
        <v>0</v>
      </c>
      <c r="J6" s="7">
        <f>TONTMARS24!F6+TONTMARS24!G6</f>
        <v>0</v>
      </c>
      <c r="K6" s="7">
        <f>VLOOKUP($A6,[6]HISTOAVRIL24!$A$6:$AV$47,17,0)</f>
        <v>0</v>
      </c>
      <c r="L6" s="7" t="str">
        <f>IF(K6&lt;&gt;0,VLOOKUP($A6,[6]HISTOAVRIL24!$A$6:$BB$47,8,0),"ECHEC")</f>
        <v>ECHEC</v>
      </c>
      <c r="M6" s="7">
        <f>IF(P6=0,0,VLOOKUP($A6,[6]HISTOAVRIL24!$A$6:$AV$47,32,0))</f>
        <v>0</v>
      </c>
      <c r="N6" s="7">
        <f>VLOOKUP($A6,[6]HISTOAVRIL24!$A$6:$AV$47,33,0)</f>
        <v>0</v>
      </c>
      <c r="O6" s="7">
        <f t="shared" ref="O6:O19" si="0">IF(P6=0,0,($C$3-P6))</f>
        <v>0</v>
      </c>
      <c r="P6" s="7">
        <f>VLOOKUP($A6,[6]HISTOAVRIL24!$A$6:$AV$47,30,0)</f>
        <v>0</v>
      </c>
    </row>
    <row r="7" spans="1:16" x14ac:dyDescent="0.25">
      <c r="A7" s="1" t="s">
        <v>24</v>
      </c>
      <c r="B7" s="7">
        <f>IF(D7=0,0,VLOOKUP($A7,[6]HISTOAVRIL24!$A$6:$BB$47,12,0))</f>
        <v>0</v>
      </c>
      <c r="C7" s="1" t="str">
        <f>VLOOKUP(A7,[7]LISTADHERENT!A$5:H$60,3,0)</f>
        <v>BOUTCHOUANG WILLIAM</v>
      </c>
      <c r="D7" s="7">
        <f>IF(E7="ECHEC",0,VLOOKUP($A7,[6]HISTOAVRIL24!$A$6:$AR$47,13,0))</f>
        <v>0</v>
      </c>
      <c r="E7" s="7" t="str">
        <f>VLOOKUP($A7,[6]HISTOAVRIL24!$A$6:$AV$47,8,0)</f>
        <v>ECHEC</v>
      </c>
      <c r="F7" s="7">
        <f>VLOOKUP($A7,[6]HISTOAVRIL24!$A$6:$AV$47,36,0)</f>
        <v>0</v>
      </c>
      <c r="G7" s="7">
        <f>VLOOKUP($A7,[6]HISTOAVRIL24!$A$6:$AV$47,39,0)</f>
        <v>0</v>
      </c>
      <c r="H7" s="7">
        <f>IF(G7=0,0,VLOOKUP($A7,[6]HISTOAVRIL24!$A$6:$AV$47,42,0))</f>
        <v>0</v>
      </c>
      <c r="I7" s="7">
        <f>VLOOKUP($A7,[6]HISTOAVRIL24!$A$6:$AV$47,41,0)</f>
        <v>0</v>
      </c>
      <c r="J7" s="7">
        <f>TONTMARS24!F7+TONTMARS24!G7</f>
        <v>0</v>
      </c>
      <c r="K7" s="7">
        <f>VLOOKUP($A7,[6]HISTOAVRIL24!$A$6:$AV$47,17,0)</f>
        <v>0</v>
      </c>
      <c r="L7" s="7" t="str">
        <f>IF(K7&lt;&gt;0,VLOOKUP($A7,[6]HISTOAVRIL24!$A$6:$BB$47,8,0),"ECHEC")</f>
        <v>ECHEC</v>
      </c>
      <c r="M7" s="7">
        <f>IF(P7=0,0,VLOOKUP($A7,[6]HISTOAVRIL24!$A$6:$AV$47,32,0))</f>
        <v>0</v>
      </c>
      <c r="N7" s="7">
        <f>VLOOKUP($A7,[6]HISTOAVRIL24!$A$6:$AV$47,33,0)</f>
        <v>0</v>
      </c>
      <c r="O7" s="7">
        <f t="shared" si="0"/>
        <v>0</v>
      </c>
      <c r="P7" s="7">
        <f>VLOOKUP($A7,[6]HISTOAVRIL24!$A$6:$AV$47,30,0)</f>
        <v>0</v>
      </c>
    </row>
    <row r="8" spans="1:16" x14ac:dyDescent="0.25">
      <c r="A8" s="1" t="s">
        <v>49</v>
      </c>
      <c r="B8" s="7">
        <f>IF(D8=0,0,VLOOKUP($A8,[6]HISTOAVRIL24!$A$6:$BB$47,12,0))</f>
        <v>0</v>
      </c>
      <c r="C8" s="1" t="str">
        <f>VLOOKUP(A8,[7]LISTADHERENT!A$5:H$60,3,0)</f>
        <v>DJOMOU TCHAPDA</v>
      </c>
      <c r="D8" s="7">
        <f>IF(E8="ECHEC",0,VLOOKUP($A8,[6]HISTOAVRIL24!$A$6:$AR$47,13,0))</f>
        <v>0</v>
      </c>
      <c r="E8" s="7" t="str">
        <f>VLOOKUP($A8,[6]HISTOAVRIL24!$A$6:$AV$47,8,0)</f>
        <v>ECHEC</v>
      </c>
      <c r="F8" s="7">
        <f>VLOOKUP($A8,[6]HISTOAVRIL24!$A$6:$AV$47,36,0)</f>
        <v>0</v>
      </c>
      <c r="G8" s="7">
        <f>VLOOKUP($A8,[6]HISTOAVRIL24!$A$6:$AV$47,39,0)</f>
        <v>0</v>
      </c>
      <c r="H8" s="7">
        <f>IF(G8=0,0,VLOOKUP($A8,[6]HISTOAVRIL24!$A$6:$AV$47,42,0))</f>
        <v>0</v>
      </c>
      <c r="I8" s="7">
        <f>VLOOKUP($A8,[6]HISTOAVRIL24!$A$6:$AV$47,41,0)</f>
        <v>0</v>
      </c>
      <c r="J8" s="7">
        <f>TONTMARS24!F8+TONTMARS24!G8</f>
        <v>0</v>
      </c>
      <c r="K8" s="7">
        <f>VLOOKUP($A8,[6]HISTOAVRIL24!$A$6:$AV$47,17,0)</f>
        <v>0</v>
      </c>
      <c r="L8" s="7" t="str">
        <f>IF(K8&lt;&gt;0,VLOOKUP($A8,[6]HISTOAVRIL24!$A$6:$BB$47,8,0),"ECHEC")</f>
        <v>ECHEC</v>
      </c>
      <c r="M8" s="7">
        <f>IF(P8=0,0,VLOOKUP($A8,[6]HISTOAVRIL24!$A$6:$AV$47,32,0))</f>
        <v>0</v>
      </c>
      <c r="N8" s="7">
        <f>VLOOKUP($A8,[6]HISTOAVRIL24!$A$6:$AV$47,33,0)</f>
        <v>0</v>
      </c>
      <c r="O8" s="7">
        <f t="shared" si="0"/>
        <v>0</v>
      </c>
      <c r="P8" s="7">
        <f>VLOOKUP($A8,[6]HISTOAVRIL24!$A$6:$AV$47,30,0)</f>
        <v>0</v>
      </c>
    </row>
    <row r="9" spans="1:16" x14ac:dyDescent="0.25">
      <c r="A9" s="1" t="s">
        <v>25</v>
      </c>
      <c r="B9" s="7">
        <f>IF(D9=0,0,VLOOKUP($A9,[6]HISTOAVRIL24!$A$6:$BB$47,12,0))</f>
        <v>0</v>
      </c>
      <c r="C9" s="1" t="str">
        <f>VLOOKUP(A9,[7]LISTADHERENT!A$5:H$60,3,0)</f>
        <v>DJOUKWE NANGUEN GUY BLAISE</v>
      </c>
      <c r="D9" s="7">
        <f>IF(E9="ECHEC",0,VLOOKUP($A9,[6]HISTOAVRIL24!$A$6:$AR$47,13,0))</f>
        <v>0</v>
      </c>
      <c r="E9" s="7" t="str">
        <f>VLOOKUP($A9,[6]HISTOAVRIL24!$A$6:$AV$47,8,0)</f>
        <v>ECHEC</v>
      </c>
      <c r="F9" s="7">
        <f>VLOOKUP($A9,[6]HISTOAVRIL24!$A$6:$AV$47,36,0)</f>
        <v>0</v>
      </c>
      <c r="G9" s="7">
        <f>VLOOKUP($A9,[6]HISTOAVRIL24!$A$6:$AV$47,39,0)</f>
        <v>0</v>
      </c>
      <c r="H9" s="7">
        <f>IF(G9=0,0,VLOOKUP($A9,[6]HISTOAVRIL24!$A$6:$AV$47,42,0))</f>
        <v>0</v>
      </c>
      <c r="I9" s="7">
        <f>VLOOKUP($A9,[6]HISTOAVRIL24!$A$6:$AV$47,41,0)</f>
        <v>0</v>
      </c>
      <c r="J9" s="7">
        <f>TONTMARS24!F9+TONTMARS24!G9</f>
        <v>103000</v>
      </c>
      <c r="K9" s="7">
        <f>VLOOKUP($A9,[6]HISTOAVRIL24!$A$6:$AV$47,17,0)</f>
        <v>103000</v>
      </c>
      <c r="L9" s="7" t="str">
        <f>IF(K9&lt;&gt;0,VLOOKUP($A9,[6]HISTOAVRIL24!$A$6:$BB$47,8,0),"ECHEC")</f>
        <v>ECHEC</v>
      </c>
      <c r="M9" s="7">
        <f>IF(P9=0,0,VLOOKUP($A9,[6]HISTOAVRIL24!$A$6:$AV$47,32,0))</f>
        <v>0</v>
      </c>
      <c r="N9" s="7">
        <f>VLOOKUP($A9,[6]HISTOAVRIL24!$A$6:$AV$47,33,0)</f>
        <v>0</v>
      </c>
      <c r="O9" s="7">
        <f t="shared" si="0"/>
        <v>0</v>
      </c>
      <c r="P9" s="7">
        <f>VLOOKUP($A9,[6]HISTOAVRIL24!$A$6:$AV$47,30,0)</f>
        <v>0</v>
      </c>
    </row>
    <row r="10" spans="1:16" x14ac:dyDescent="0.25">
      <c r="A10" s="1" t="s">
        <v>34</v>
      </c>
      <c r="B10" s="7">
        <f>IF(D10=0,0,VLOOKUP($A10,[6]HISTOAVRIL24!$A$6:$BB$47,12,0))</f>
        <v>0</v>
      </c>
      <c r="C10" s="1" t="str">
        <f>VLOOKUP(A10,[7]LISTADHERENT!A$5:H$60,3,0)</f>
        <v>DJUOMBESSY ANTOINE</v>
      </c>
      <c r="D10" s="7">
        <f>IF(E10="ECHEC",0,VLOOKUP($A10,[6]HISTOAVRIL24!$A$6:$AR$47,13,0))</f>
        <v>0</v>
      </c>
      <c r="E10" s="7" t="str">
        <f>VLOOKUP($A10,[6]HISTOAVRIL24!$A$6:$AV$47,8,0)</f>
        <v>ECHEC</v>
      </c>
      <c r="F10" s="7">
        <f>VLOOKUP($A10,[6]HISTOAVRIL24!$A$6:$AV$47,36,0)</f>
        <v>0</v>
      </c>
      <c r="G10" s="7">
        <f>VLOOKUP($A10,[6]HISTOAVRIL24!$A$6:$AV$47,39,0)</f>
        <v>0</v>
      </c>
      <c r="H10" s="7">
        <f>IF(G10=0,0,VLOOKUP($A10,[6]HISTOAVRIL24!$A$6:$AV$47,42,0))</f>
        <v>0</v>
      </c>
      <c r="I10" s="7">
        <f>VLOOKUP($A10,[6]HISTOAVRIL24!$A$6:$AV$47,41,0)</f>
        <v>0</v>
      </c>
      <c r="J10" s="7">
        <f>TONTMARS24!F10+TONTMARS24!G10</f>
        <v>0</v>
      </c>
      <c r="K10" s="7">
        <f>VLOOKUP($A10,[6]HISTOAVRIL24!$A$6:$AV$47,17,0)</f>
        <v>0</v>
      </c>
      <c r="L10" s="7" t="str">
        <f>IF(K10&lt;&gt;0,VLOOKUP($A10,[6]HISTOAVRIL24!$A$6:$BB$47,8,0),"ECHEC")</f>
        <v>ECHEC</v>
      </c>
      <c r="M10" s="7">
        <f>IF(P10=0,0,VLOOKUP($A10,[6]HISTOAVRIL24!$A$6:$AV$47,32,0))</f>
        <v>0</v>
      </c>
      <c r="N10" s="7">
        <f>VLOOKUP($A10,[6]HISTOAVRIL24!$A$6:$AV$47,33,0)</f>
        <v>0</v>
      </c>
      <c r="O10" s="7">
        <f t="shared" si="0"/>
        <v>0</v>
      </c>
      <c r="P10" s="7">
        <f>VLOOKUP($A10,[6]HISTOAVRIL24!$A$6:$AV$47,30,0)</f>
        <v>0</v>
      </c>
    </row>
    <row r="11" spans="1:16" x14ac:dyDescent="0.25">
      <c r="A11" s="1" t="s">
        <v>18</v>
      </c>
      <c r="B11" s="7">
        <f>IF(D11=0,0,VLOOKUP($A11,[6]HISTOAVRIL24!$A$6:$BB$47,12,0))</f>
        <v>0</v>
      </c>
      <c r="C11" s="1" t="str">
        <f>VLOOKUP(A11,[7]LISTADHERENT!A$5:H$60,3,0)</f>
        <v>HOTCHO BENJAMIN</v>
      </c>
      <c r="D11" s="7">
        <f>IF(E11="ECHEC",0,VLOOKUP($A11,[6]HISTOAVRIL24!$A$6:$AR$47,13,0))</f>
        <v>0</v>
      </c>
      <c r="E11" s="7" t="str">
        <f>VLOOKUP($A11,[6]HISTOAVRIL24!$A$6:$AV$47,8,0)</f>
        <v>ECHEC</v>
      </c>
      <c r="F11" s="7">
        <f>VLOOKUP($A11,[6]HISTOAVRIL24!$A$6:$AV$47,36,0)</f>
        <v>0</v>
      </c>
      <c r="G11" s="7">
        <f>VLOOKUP($A11,[6]HISTOAVRIL24!$A$6:$AV$47,39,0)</f>
        <v>0</v>
      </c>
      <c r="H11" s="7">
        <f>IF(G11=0,0,VLOOKUP($A11,[6]HISTOAVRIL24!$A$6:$AV$47,42,0))</f>
        <v>0</v>
      </c>
      <c r="I11" s="7">
        <f>VLOOKUP($A11,[6]HISTOAVRIL24!$A$6:$AV$47,41,0)</f>
        <v>0</v>
      </c>
      <c r="J11" s="7">
        <f>TONTMARS24!F11+TONTMARS24!G11</f>
        <v>0</v>
      </c>
      <c r="K11" s="7">
        <f>VLOOKUP($A11,[6]HISTOAVRIL24!$A$6:$AV$47,17,0)</f>
        <v>0</v>
      </c>
      <c r="L11" s="7" t="str">
        <f>IF(K11&lt;&gt;0,VLOOKUP($A11,[6]HISTOAVRIL24!$A$6:$BB$47,8,0),"ECHEC")</f>
        <v>ECHEC</v>
      </c>
      <c r="M11" s="7">
        <f>IF(P11=0,0,VLOOKUP($A11,[6]HISTOAVRIL24!$A$6:$AV$47,32,0))</f>
        <v>0</v>
      </c>
      <c r="N11" s="7">
        <f>VLOOKUP($A11,[6]HISTOAVRIL24!$A$6:$AV$47,33,0)</f>
        <v>0</v>
      </c>
      <c r="O11" s="7">
        <f t="shared" si="0"/>
        <v>0</v>
      </c>
      <c r="P11" s="7">
        <f>VLOOKUP($A11,[6]HISTOAVRIL24!$A$6:$AV$47,30,0)</f>
        <v>0</v>
      </c>
    </row>
    <row r="12" spans="1:16" x14ac:dyDescent="0.25">
      <c r="A12" s="1" t="s">
        <v>26</v>
      </c>
      <c r="B12" s="7">
        <f>IF(D12=0,0,VLOOKUP($A12,[6]HISTOAVRIL24!$A$6:$BB$47,12,0))</f>
        <v>0</v>
      </c>
      <c r="C12" s="1" t="str">
        <f>VLOOKUP(A12,[7]LISTADHERENT!A$5:H$60,3,0)</f>
        <v>HENGUE PAUL OMER</v>
      </c>
      <c r="D12" s="7">
        <f>IF(E12="ECHEC",0,VLOOKUP($A12,[6]HISTOAVRIL24!$A$6:$AR$47,13,0))</f>
        <v>0</v>
      </c>
      <c r="E12" s="7" t="str">
        <f>VLOOKUP($A12,[6]HISTOAVRIL24!$A$6:$AV$47,8,0)</f>
        <v>ECHEC</v>
      </c>
      <c r="F12" s="7">
        <f>VLOOKUP($A12,[6]HISTOAVRIL24!$A$6:$AV$47,36,0)</f>
        <v>0</v>
      </c>
      <c r="G12" s="7">
        <f>VLOOKUP($A12,[6]HISTOAVRIL24!$A$6:$AV$47,39,0)</f>
        <v>0</v>
      </c>
      <c r="H12" s="7">
        <f>IF(G12=0,0,VLOOKUP($A12,[6]HISTOAVRIL24!$A$6:$AV$47,42,0))</f>
        <v>0</v>
      </c>
      <c r="I12" s="7">
        <f>VLOOKUP($A12,[6]HISTOAVRIL24!$A$6:$AV$47,41,0)</f>
        <v>0</v>
      </c>
      <c r="J12" s="7">
        <f>TONTMARS24!F12+TONTMARS24!G12</f>
        <v>0</v>
      </c>
      <c r="K12" s="7">
        <f>VLOOKUP($A12,[6]HISTOAVRIL24!$A$6:$AV$47,17,0)</f>
        <v>0</v>
      </c>
      <c r="L12" s="7" t="str">
        <f>IF(K12&lt;&gt;0,VLOOKUP($A12,[6]HISTOAVRIL24!$A$6:$BB$47,8,0),"ECHEC")</f>
        <v>ECHEC</v>
      </c>
      <c r="M12" s="7">
        <f>IF(P12=0,0,VLOOKUP($A12,[6]HISTOAVRIL24!$A$6:$AV$47,32,0))</f>
        <v>0</v>
      </c>
      <c r="N12" s="7">
        <f>VLOOKUP($A12,[6]HISTOAVRIL24!$A$6:$AV$47,33,0)</f>
        <v>0</v>
      </c>
      <c r="O12" s="7">
        <f t="shared" si="0"/>
        <v>0</v>
      </c>
      <c r="P12" s="7">
        <f>VLOOKUP($A12,[6]HISTOAVRIL24!$A$6:$AV$47,30,0)</f>
        <v>0</v>
      </c>
    </row>
    <row r="13" spans="1:16" x14ac:dyDescent="0.25">
      <c r="A13" s="1" t="s">
        <v>21</v>
      </c>
      <c r="B13" s="7">
        <f>IF(D13=0,0,VLOOKUP($A13,[6]HISTOAVRIL24!$A$6:$BB$47,12,0))</f>
        <v>0</v>
      </c>
      <c r="C13" s="1" t="str">
        <f>VLOOKUP(A13,[7]LISTADHERENT!A$5:H$60,3,0)</f>
        <v>MBOGNING TUGMA GUY</v>
      </c>
      <c r="D13" s="7">
        <f>IF(E13="ECHEC",0,VLOOKUP($A13,[6]HISTOAVRIL24!$A$6:$AR$47,13,0))</f>
        <v>0</v>
      </c>
      <c r="E13" s="7" t="str">
        <f>VLOOKUP($A13,[6]HISTOAVRIL24!$A$6:$AV$47,8,0)</f>
        <v>ECHEC</v>
      </c>
      <c r="F13" s="7">
        <f>VLOOKUP($A13,[6]HISTOAVRIL24!$A$6:$AV$47,36,0)</f>
        <v>0</v>
      </c>
      <c r="G13" s="7">
        <f>VLOOKUP($A13,[6]HISTOAVRIL24!$A$6:$AV$47,39,0)</f>
        <v>0</v>
      </c>
      <c r="H13" s="7">
        <f>IF(G13=0,0,VLOOKUP($A13,[6]HISTOAVRIL24!$A$6:$AV$47,42,0))</f>
        <v>0</v>
      </c>
      <c r="I13" s="7">
        <f>VLOOKUP($A13,[6]HISTOAVRIL24!$A$6:$AV$47,41,0)</f>
        <v>0</v>
      </c>
      <c r="J13" s="7">
        <f>TONTMARS24!F13+TONTMARS24!G13</f>
        <v>91000</v>
      </c>
      <c r="K13" s="7">
        <f>VLOOKUP($A13,[6]HISTOAVRIL24!$A$6:$AV$47,17,0)</f>
        <v>91000</v>
      </c>
      <c r="L13" s="7" t="str">
        <f>IF(K13&lt;&gt;0,VLOOKUP($A13,[6]HISTOAVRIL24!$A$6:$BB$47,8,0),"ECHEC")</f>
        <v>ECHEC</v>
      </c>
      <c r="M13" s="7">
        <f>IF(P13=0,0,VLOOKUP($A13,[6]HISTOAVRIL24!$A$6:$AV$47,32,0))</f>
        <v>0</v>
      </c>
      <c r="N13" s="7">
        <f>VLOOKUP($A13,[6]HISTOAVRIL24!$A$6:$AV$47,33,0)</f>
        <v>0</v>
      </c>
      <c r="O13" s="7">
        <f t="shared" si="0"/>
        <v>0</v>
      </c>
      <c r="P13" s="7">
        <f>VLOOKUP($A13,[6]HISTOAVRIL24!$A$6:$AV$47,30,0)</f>
        <v>0</v>
      </c>
    </row>
    <row r="14" spans="1:16" x14ac:dyDescent="0.25">
      <c r="A14" s="1" t="s">
        <v>8</v>
      </c>
      <c r="B14" s="7">
        <f>IF(D14=0,0,VLOOKUP($A14,[6]HISTOAVRIL24!$A$6:$BB$47,12,0))</f>
        <v>0</v>
      </c>
      <c r="C14" s="1" t="str">
        <f>VLOOKUP(A14,[7]LISTADHERENT!A$5:H$60,3,0)</f>
        <v>NANKAM APPOLINAIRE</v>
      </c>
      <c r="D14" s="7">
        <f>IF(E14="ECHEC",0,VLOOKUP($A14,[6]HISTOAVRIL24!$A$6:$AR$47,13,0))</f>
        <v>0</v>
      </c>
      <c r="E14" s="7" t="str">
        <f>VLOOKUP($A14,[6]HISTOAVRIL24!$A$6:$AV$47,8,0)</f>
        <v>ECHEC</v>
      </c>
      <c r="F14" s="7">
        <f>VLOOKUP($A14,[6]HISTOAVRIL24!$A$6:$AV$47,36,0)</f>
        <v>0</v>
      </c>
      <c r="G14" s="7">
        <f>VLOOKUP($A14,[6]HISTOAVRIL24!$A$6:$AV$47,39,0)</f>
        <v>0</v>
      </c>
      <c r="H14" s="7">
        <f>IF(G14=0,0,VLOOKUP($A14,[6]HISTOAVRIL24!$A$6:$AV$47,42,0))</f>
        <v>0</v>
      </c>
      <c r="I14" s="7">
        <f>VLOOKUP($A14,[6]HISTOAVRIL24!$A$6:$AV$47,41,0)</f>
        <v>0</v>
      </c>
      <c r="J14" s="7">
        <f>TONTMARS24!F14+TONTMARS24!G14</f>
        <v>0</v>
      </c>
      <c r="K14" s="7">
        <f>VLOOKUP($A14,[6]HISTOAVRIL24!$A$6:$AV$47,17,0)</f>
        <v>0</v>
      </c>
      <c r="L14" s="7" t="str">
        <f>IF(K14&lt;&gt;0,VLOOKUP($A14,[6]HISTOAVRIL24!$A$6:$BB$47,8,0),"ECHEC")</f>
        <v>ECHEC</v>
      </c>
      <c r="M14" s="7">
        <f>IF(P14=0,0,VLOOKUP($A14,[6]HISTOAVRIL24!$A$6:$AV$47,32,0))</f>
        <v>0</v>
      </c>
      <c r="N14" s="7">
        <f>VLOOKUP($A14,[6]HISTOAVRIL24!$A$6:$AV$47,33,0)</f>
        <v>0</v>
      </c>
      <c r="O14" s="7">
        <f t="shared" si="0"/>
        <v>0</v>
      </c>
      <c r="P14" s="7">
        <f>VLOOKUP($A14,[6]HISTOAVRIL24!$A$6:$AV$47,30,0)</f>
        <v>0</v>
      </c>
    </row>
    <row r="15" spans="1:16" x14ac:dyDescent="0.25">
      <c r="A15" s="1" t="s">
        <v>35</v>
      </c>
      <c r="B15" s="7">
        <f>IF(D15=0,0,VLOOKUP($A15,[6]HISTOAVRIL24!$A$6:$BB$47,12,0))</f>
        <v>0</v>
      </c>
      <c r="C15" s="1" t="str">
        <f>VLOOKUP(A15,[7]LISTADHERENT!A$5:H$60,3,0)</f>
        <v>NGONDIEP CLAUDE</v>
      </c>
      <c r="D15" s="7">
        <f>IF(E15="ECHEC",0,VLOOKUP($A15,[6]HISTOAVRIL24!$A$6:$AR$47,13,0))</f>
        <v>0</v>
      </c>
      <c r="E15" s="7" t="str">
        <f>VLOOKUP($A15,[6]HISTOAVRIL24!$A$6:$AV$47,8,0)</f>
        <v>ECHEC</v>
      </c>
      <c r="F15" s="7">
        <f>VLOOKUP($A15,[6]HISTOAVRIL24!$A$6:$AV$47,36,0)</f>
        <v>0</v>
      </c>
      <c r="G15" s="7">
        <f>VLOOKUP($A15,[6]HISTOAVRIL24!$A$6:$AV$47,39,0)</f>
        <v>0</v>
      </c>
      <c r="H15" s="7">
        <f>IF(G15=0,0,VLOOKUP($A15,[6]HISTOAVRIL24!$A$6:$AV$47,42,0))</f>
        <v>0</v>
      </c>
      <c r="I15" s="7">
        <f>VLOOKUP($A15,[6]HISTOAVRIL24!$A$6:$AV$47,41,0)</f>
        <v>0</v>
      </c>
      <c r="J15" s="7">
        <f>TONTMARS24!F15+TONTMARS24!G15</f>
        <v>0</v>
      </c>
      <c r="K15" s="7">
        <f>VLOOKUP($A15,[6]HISTOAVRIL24!$A$6:$AV$47,17,0)</f>
        <v>0</v>
      </c>
      <c r="L15" s="7" t="str">
        <f>IF(K15&lt;&gt;0,VLOOKUP($A15,[6]HISTOAVRIL24!$A$6:$BB$47,8,0),"ECHEC")</f>
        <v>ECHEC</v>
      </c>
      <c r="M15" s="7">
        <f>IF(P15=0,0,VLOOKUP($A15,[6]HISTOAVRIL24!$A$6:$AV$47,32,0))</f>
        <v>0</v>
      </c>
      <c r="N15" s="7">
        <f>VLOOKUP($A15,[6]HISTOAVRIL24!$A$6:$AV$47,33,0)</f>
        <v>0</v>
      </c>
      <c r="O15" s="7">
        <f t="shared" si="0"/>
        <v>0</v>
      </c>
      <c r="P15" s="7">
        <f>VLOOKUP($A15,[6]HISTOAVRIL24!$A$6:$AV$47,30,0)</f>
        <v>0</v>
      </c>
    </row>
    <row r="16" spans="1:16" x14ac:dyDescent="0.25">
      <c r="A16" s="1" t="s">
        <v>20</v>
      </c>
      <c r="B16" s="7">
        <f>IF(D16=0,0,VLOOKUP($A16,[6]HISTOAVRIL24!$A$6:$BB$47,12,0))</f>
        <v>0</v>
      </c>
      <c r="C16" s="1" t="str">
        <f>VLOOKUP(A16,[7]LISTADHERENT!A$5:H$60,3,0)</f>
        <v>NGUIEMEGNI MATHIEU BLAISE</v>
      </c>
      <c r="D16" s="7">
        <f>IF(E16="ECHEC",0,VLOOKUP($A16,[6]HISTOAVRIL24!$A$6:$AR$47,13,0))</f>
        <v>0</v>
      </c>
      <c r="E16" s="7" t="str">
        <f>VLOOKUP($A16,[6]HISTOAVRIL24!$A$6:$AV$47,8,0)</f>
        <v>ECHEC</v>
      </c>
      <c r="F16" s="7">
        <f>VLOOKUP($A16,[6]HISTOAVRIL24!$A$6:$AV$47,36,0)</f>
        <v>0</v>
      </c>
      <c r="G16" s="7">
        <f>VLOOKUP($A16,[6]HISTOAVRIL24!$A$6:$AV$47,39,0)</f>
        <v>0</v>
      </c>
      <c r="H16" s="7">
        <f>IF(G16=0,0,VLOOKUP($A16,[6]HISTOAVRIL24!$A$6:$AV$47,42,0))</f>
        <v>0</v>
      </c>
      <c r="I16" s="7">
        <f>VLOOKUP($A16,[6]HISTOAVRIL24!$A$6:$AV$47,41,0)</f>
        <v>0</v>
      </c>
      <c r="J16" s="7">
        <f>TONTMARS24!F16+TONTMARS24!G16</f>
        <v>0</v>
      </c>
      <c r="K16" s="7">
        <f>VLOOKUP($A16,[6]HISTOAVRIL24!$A$6:$AV$47,17,0)</f>
        <v>0</v>
      </c>
      <c r="L16" s="7" t="str">
        <f>IF(K16&lt;&gt;0,VLOOKUP($A16,[6]HISTOAVRIL24!$A$6:$BB$47,8,0),"ECHEC")</f>
        <v>ECHEC</v>
      </c>
      <c r="M16" s="7">
        <f>IF(P16=0,0,VLOOKUP($A16,[6]HISTOAVRIL24!$A$6:$AV$47,32,0))</f>
        <v>0</v>
      </c>
      <c r="N16" s="7">
        <f>VLOOKUP($A16,[6]HISTOAVRIL24!$A$6:$AV$47,33,0)</f>
        <v>0</v>
      </c>
      <c r="O16" s="7">
        <f t="shared" si="0"/>
        <v>0</v>
      </c>
      <c r="P16" s="7">
        <f>VLOOKUP($A16,[6]HISTOAVRIL24!$A$6:$AV$47,30,0)</f>
        <v>0</v>
      </c>
    </row>
    <row r="17" spans="1:16" x14ac:dyDescent="0.25">
      <c r="A17" s="1" t="s">
        <v>27</v>
      </c>
      <c r="B17" s="7">
        <f>IF(D17=0,0,VLOOKUP($A17,[6]HISTOAVRIL24!$A$6:$BB$47,12,0))</f>
        <v>0</v>
      </c>
      <c r="C17" s="1" t="str">
        <f>VLOOKUP(A17,[7]LISTADHERENT!A$5:H$60,3,0)</f>
        <v>PATEGO NJOSSU GUSTAVE</v>
      </c>
      <c r="D17" s="7">
        <f>IF(E17="ECHEC",0,VLOOKUP($A17,[6]HISTOAVRIL24!$A$6:$AR$47,13,0))</f>
        <v>0</v>
      </c>
      <c r="E17" s="7" t="str">
        <f>VLOOKUP($A17,[6]HISTOAVRIL24!$A$6:$AV$47,8,0)</f>
        <v>ECHEC</v>
      </c>
      <c r="F17" s="7">
        <f>VLOOKUP($A17,[6]HISTOAVRIL24!$A$6:$AV$47,36,0)</f>
        <v>0</v>
      </c>
      <c r="G17" s="7">
        <f>VLOOKUP($A17,[6]HISTOAVRIL24!$A$6:$AV$47,39,0)</f>
        <v>0</v>
      </c>
      <c r="H17" s="7">
        <f>IF(G17=0,0,VLOOKUP($A17,[6]HISTOAVRIL24!$A$6:$AV$47,42,0))</f>
        <v>0</v>
      </c>
      <c r="I17" s="7">
        <f>VLOOKUP($A17,[6]HISTOAVRIL24!$A$6:$AV$47,41,0)</f>
        <v>0</v>
      </c>
      <c r="J17" s="7">
        <f>TONTMARS24!F17+TONTMARS24!G17</f>
        <v>0</v>
      </c>
      <c r="K17" s="7">
        <f>VLOOKUP($A17,[6]HISTOAVRIL24!$A$6:$AV$47,17,0)</f>
        <v>0</v>
      </c>
      <c r="L17" s="7" t="str">
        <f>IF(K17&lt;&gt;0,VLOOKUP($A17,[6]HISTOAVRIL24!$A$6:$BB$47,8,0),"ECHEC")</f>
        <v>ECHEC</v>
      </c>
      <c r="M17" s="7">
        <f>IF(P17=0,0,VLOOKUP($A17,[6]HISTOAVRIL24!$A$6:$AV$47,32,0))</f>
        <v>0</v>
      </c>
      <c r="N17" s="7">
        <f>VLOOKUP($A17,[6]HISTOAVRIL24!$A$6:$AV$47,33,0)</f>
        <v>0</v>
      </c>
      <c r="O17" s="7">
        <f t="shared" si="0"/>
        <v>0</v>
      </c>
      <c r="P17" s="7">
        <f>VLOOKUP($A17,[6]HISTOAVRIL24!$A$6:$AV$47,30,0)</f>
        <v>0</v>
      </c>
    </row>
    <row r="18" spans="1:16" x14ac:dyDescent="0.25">
      <c r="A18" s="9" t="s">
        <v>48</v>
      </c>
      <c r="B18" s="7">
        <f>IF(D18=0,0,VLOOKUP($A18,[6]HISTOAVRIL24!$A$6:$BB$47,12,0))</f>
        <v>0</v>
      </c>
      <c r="C18" s="1" t="str">
        <f>VLOOKUP(A18,[7]LISTADHERENT!A$5:H$60,3,0)</f>
        <v>TCHOUAMOU MATHIEU</v>
      </c>
      <c r="D18" s="7">
        <f>IF(E18="ECHEC",0,VLOOKUP($A18,[6]HISTOAVRIL24!$A$6:$AR$47,13,0))</f>
        <v>0</v>
      </c>
      <c r="E18" s="7" t="str">
        <f>VLOOKUP($A18,[6]HISTOAVRIL24!$A$6:$AV$47,8,0)</f>
        <v>ECHEC</v>
      </c>
      <c r="F18" s="7">
        <f>VLOOKUP($A18,[6]HISTOAVRIL24!$A$6:$AV$47,36,0)</f>
        <v>0</v>
      </c>
      <c r="G18" s="7">
        <f>VLOOKUP($A18,[6]HISTOAVRIL24!$A$6:$AV$47,39,0)</f>
        <v>0</v>
      </c>
      <c r="H18" s="7">
        <f>IF(G18=0,0,VLOOKUP($A18,[6]HISTOAVRIL24!$A$6:$AV$47,42,0))</f>
        <v>0</v>
      </c>
      <c r="I18" s="7">
        <f>VLOOKUP($A18,[6]HISTOAVRIL24!$A$6:$AV$47,41,0)</f>
        <v>0</v>
      </c>
      <c r="J18" s="7">
        <f>TONTMARS24!F18+TONTMARS24!G18</f>
        <v>0</v>
      </c>
      <c r="K18" s="7">
        <f>VLOOKUP($A18,[6]HISTOAVRIL24!$A$6:$AV$47,17,0)</f>
        <v>0</v>
      </c>
      <c r="L18" s="7" t="str">
        <f>IF(K18&lt;&gt;0,VLOOKUP($A18,[6]HISTOAVRIL24!$A$6:$BB$47,8,0),"ECHEC")</f>
        <v>ECHEC</v>
      </c>
      <c r="M18" s="7">
        <f>IF(P18=0,0,VLOOKUP($A18,[6]HISTOAVRIL24!$A$6:$AV$47,32,0))</f>
        <v>0</v>
      </c>
      <c r="N18" s="7">
        <f>VLOOKUP($A18,[6]HISTOAVRIL24!$A$6:$AV$47,33,0)</f>
        <v>0</v>
      </c>
      <c r="O18" s="7">
        <f t="shared" si="0"/>
        <v>0</v>
      </c>
      <c r="P18" s="7">
        <f>VLOOKUP($A18,[6]HISTOAVRIL24!$A$6:$AV$47,30,0)</f>
        <v>0</v>
      </c>
    </row>
    <row r="19" spans="1:16" x14ac:dyDescent="0.25">
      <c r="A19" s="1" t="s">
        <v>19</v>
      </c>
      <c r="B19" s="7">
        <f>IF(D19=0,0,VLOOKUP($A19,[6]HISTOAVRIL24!$A$6:$BB$47,12,0))</f>
        <v>0</v>
      </c>
      <c r="C19" s="1" t="str">
        <f>VLOOKUP(A19,[7]LISTADHERENT!A$5:H$60,3,0)</f>
        <v>YOUMBI EMMANUEL</v>
      </c>
      <c r="D19" s="7">
        <f>IF(E19="ECHEC",0,VLOOKUP($A19,[6]HISTOAVRIL24!$A$6:$AR$47,13,0))</f>
        <v>0</v>
      </c>
      <c r="E19" s="7" t="str">
        <f>VLOOKUP($A19,[6]HISTOAVRIL24!$A$6:$AV$47,8,0)</f>
        <v>ECHEC</v>
      </c>
      <c r="F19" s="7">
        <f>VLOOKUP($A19,[6]HISTOAVRIL24!$A$6:$AV$47,36,0)</f>
        <v>0</v>
      </c>
      <c r="G19" s="7">
        <f>VLOOKUP($A19,[6]HISTOAVRIL24!$A$6:$AV$47,39,0)</f>
        <v>0</v>
      </c>
      <c r="H19" s="7">
        <f>IF(G19=0,0,VLOOKUP($A19,[6]HISTOAVRIL24!$A$6:$AV$47,42,0))</f>
        <v>0</v>
      </c>
      <c r="I19" s="7">
        <f>VLOOKUP($A19,[6]HISTOAVRIL24!$A$6:$AV$47,41,0)</f>
        <v>0</v>
      </c>
      <c r="J19" s="7">
        <f>TONTMARS24!F19+TONTMARS24!G19</f>
        <v>0</v>
      </c>
      <c r="K19" s="7">
        <f>VLOOKUP($A19,[6]HISTOAVRIL24!$A$6:$AV$47,17,0)</f>
        <v>0</v>
      </c>
      <c r="L19" s="7" t="str">
        <f>IF(K19&lt;&gt;0,VLOOKUP($A19,[6]HISTOAVRIL24!$A$6:$BB$47,8,0),"ECHEC")</f>
        <v>ECHEC</v>
      </c>
      <c r="M19" s="7">
        <f>IF(P19=0,0,VLOOKUP($A19,[6]HISTOAVRIL24!$A$6:$AV$47,32,0))</f>
        <v>0</v>
      </c>
      <c r="N19" s="7">
        <f>VLOOKUP($A19,[6]HISTOAVRIL24!$A$6:$AV$47,33,0)</f>
        <v>0</v>
      </c>
      <c r="O19" s="7">
        <f t="shared" si="0"/>
        <v>0</v>
      </c>
      <c r="P19" s="7">
        <f>VLOOKUP($A19,[6]HISTOAVRIL24!$A$6:$AV$47,30,0)</f>
        <v>0</v>
      </c>
    </row>
    <row r="20" spans="1:16" x14ac:dyDescent="0.2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8" x14ac:dyDescent="0.25">
      <c r="A21" s="1" t="s">
        <v>36</v>
      </c>
      <c r="B21" s="8">
        <f>SUM(B6:B20)</f>
        <v>0</v>
      </c>
      <c r="G21" s="11"/>
    </row>
    <row r="22" spans="1:16" ht="18" x14ac:dyDescent="0.25">
      <c r="A22" s="1" t="s">
        <v>37</v>
      </c>
      <c r="B22" s="15">
        <f>COUNT(D6:D20)</f>
        <v>14</v>
      </c>
      <c r="C22" s="8"/>
      <c r="D22" s="8">
        <f t="shared" ref="D22:P22" si="1">SUM(D6:D21)</f>
        <v>0</v>
      </c>
      <c r="E22" s="8">
        <f t="shared" si="1"/>
        <v>0</v>
      </c>
      <c r="F22" s="8">
        <f t="shared" si="1"/>
        <v>0</v>
      </c>
      <c r="G22" s="8">
        <f t="shared" si="1"/>
        <v>0</v>
      </c>
      <c r="H22" s="8">
        <f t="shared" si="1"/>
        <v>0</v>
      </c>
      <c r="I22" s="8">
        <f t="shared" si="1"/>
        <v>0</v>
      </c>
      <c r="J22" s="8">
        <f t="shared" si="1"/>
        <v>194000</v>
      </c>
      <c r="K22" s="8">
        <f t="shared" si="1"/>
        <v>194000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0</v>
      </c>
      <c r="P22" s="8">
        <f t="shared" si="1"/>
        <v>0</v>
      </c>
    </row>
    <row r="23" spans="1:16" s="2" customFormat="1" ht="29.25" x14ac:dyDescent="0.25">
      <c r="B23"/>
      <c r="C23"/>
      <c r="D23"/>
      <c r="E23"/>
      <c r="F23"/>
      <c r="G23" s="11"/>
      <c r="H23" s="3"/>
      <c r="I23" s="3"/>
      <c r="J23" s="3"/>
      <c r="L23" s="5" t="s">
        <v>33</v>
      </c>
      <c r="M23" s="5" t="s">
        <v>43</v>
      </c>
      <c r="N23" s="3"/>
    </row>
    <row r="24" spans="1:16" s="2" customFormat="1" ht="29.25" x14ac:dyDescent="0.25">
      <c r="D24" s="5" t="s">
        <v>5</v>
      </c>
      <c r="E24" s="5" t="s">
        <v>12</v>
      </c>
      <c r="F24" s="5" t="s">
        <v>14</v>
      </c>
      <c r="G24" s="5" t="s">
        <v>16</v>
      </c>
      <c r="H24" s="5" t="s">
        <v>17</v>
      </c>
      <c r="I24" s="5"/>
      <c r="J24" s="8" t="s">
        <v>46</v>
      </c>
      <c r="K24" s="8">
        <f>D22+E28+P22+TONTMARS24!M29</f>
        <v>0</v>
      </c>
      <c r="L24" s="5"/>
      <c r="M24"/>
      <c r="N24" s="5"/>
    </row>
    <row r="25" spans="1:16" s="2" customFormat="1" ht="18" x14ac:dyDescent="0.25">
      <c r="D25" s="8">
        <f>SUMIFS(D6:D21,E6:E21,"ESPECES")</f>
        <v>0</v>
      </c>
      <c r="E25" s="8">
        <f>SUMIFS(K7:K18,L7:L18,"ESPECES")</f>
        <v>0</v>
      </c>
      <c r="F25" s="8">
        <f>SUMIFS(F7:F21,H7:H21,"ESPECES")</f>
        <v>0</v>
      </c>
      <c r="G25" s="8">
        <f>SUMIFS(O7:O21,M7:M21,"ESPECES")</f>
        <v>0</v>
      </c>
      <c r="H25" s="8">
        <f>D25+E25-F25-G25</f>
        <v>0</v>
      </c>
      <c r="I25" s="8"/>
      <c r="J25" s="8" t="s">
        <v>32</v>
      </c>
      <c r="K25" s="8">
        <f>C3*COUNTIF(O7:O21,"&gt;0")</f>
        <v>0</v>
      </c>
      <c r="L25" s="8">
        <f>D3</f>
        <v>0</v>
      </c>
      <c r="M25" s="8">
        <f>COUNTIF(O7:O18,"&gt;0")</f>
        <v>0</v>
      </c>
      <c r="N25" s="8"/>
    </row>
    <row r="26" spans="1:16" s="2" customFormat="1" ht="18" x14ac:dyDescent="0.25">
      <c r="D26" s="8">
        <f>SUMIFS(D6:D21,E6:E21,"BANQUE")</f>
        <v>0</v>
      </c>
      <c r="E26" s="8">
        <f>SUMIFS(K7:K18,L7:L18,"BANQUE")</f>
        <v>0</v>
      </c>
      <c r="F26" s="8">
        <f>SUMIFS(F7:F21,H7:H21,"BANQUE")</f>
        <v>0</v>
      </c>
      <c r="G26" s="8">
        <f>SUMIFS(O7:O21,M7:M21,"BANQUE")</f>
        <v>0</v>
      </c>
      <c r="H26" s="8">
        <f>D26+E26-F26-G26</f>
        <v>0</v>
      </c>
      <c r="I26" s="8"/>
      <c r="K26" s="8"/>
      <c r="L26" s="8"/>
      <c r="M26" s="8"/>
      <c r="N26" s="8"/>
    </row>
    <row r="27" spans="1:16" s="2" customFormat="1" ht="18" x14ac:dyDescent="0.25">
      <c r="D27" s="8"/>
      <c r="E27" s="8"/>
      <c r="F27" s="8"/>
      <c r="G27" s="8"/>
      <c r="I27" s="8"/>
      <c r="J27" s="8" t="s">
        <v>22</v>
      </c>
      <c r="K27" s="8">
        <f>K24-K25</f>
        <v>0</v>
      </c>
      <c r="L27" s="8"/>
      <c r="M27" s="8"/>
      <c r="N27" s="8"/>
    </row>
    <row r="28" spans="1:16" s="2" customFormat="1" ht="18" x14ac:dyDescent="0.25">
      <c r="D28" s="8">
        <f>D25+D26</f>
        <v>0</v>
      </c>
      <c r="E28" s="8">
        <f>E25+E26</f>
        <v>0</v>
      </c>
      <c r="F28" s="8">
        <f>F25+F26</f>
        <v>0</v>
      </c>
      <c r="G28" s="8">
        <f t="shared" ref="G28:H28" si="2">G25+G26</f>
        <v>0</v>
      </c>
      <c r="H28" s="8">
        <f t="shared" si="2"/>
        <v>0</v>
      </c>
      <c r="I28" s="8"/>
      <c r="K28" s="8"/>
      <c r="L28" s="8"/>
      <c r="M28" s="8"/>
      <c r="N28" s="8"/>
    </row>
    <row r="29" spans="1:16" s="2" customFormat="1" ht="18" x14ac:dyDescent="0.25">
      <c r="D29" s="8"/>
      <c r="E29"/>
      <c r="F29"/>
      <c r="G29" s="3"/>
      <c r="H29" s="3"/>
      <c r="I29" s="3"/>
      <c r="J29" s="8" t="s">
        <v>28</v>
      </c>
      <c r="K29" s="8">
        <f>K27-F22</f>
        <v>0</v>
      </c>
      <c r="L29"/>
      <c r="M29" s="8">
        <f>K29</f>
        <v>0</v>
      </c>
      <c r="N29" s="8" t="s">
        <v>29</v>
      </c>
    </row>
    <row r="30" spans="1:16" s="2" customFormat="1" x14ac:dyDescent="0.25">
      <c r="D30" s="5"/>
      <c r="E30"/>
      <c r="F30"/>
      <c r="G30" s="3"/>
      <c r="H30" s="3"/>
      <c r="I30" s="3"/>
      <c r="L30"/>
      <c r="M30" s="3"/>
      <c r="N30" s="3"/>
    </row>
    <row r="31" spans="1:16" s="2" customFormat="1" ht="18" x14ac:dyDescent="0.25">
      <c r="A31"/>
      <c r="B31"/>
      <c r="C31"/>
      <c r="D31"/>
      <c r="E31"/>
      <c r="F31"/>
      <c r="G31" s="3"/>
      <c r="H31" s="3"/>
      <c r="I31" s="3"/>
      <c r="J31" s="8" t="s">
        <v>44</v>
      </c>
      <c r="K31" s="8">
        <f>COUNTIFS(E7:E20,"ECHEC")*75000</f>
        <v>975000</v>
      </c>
      <c r="L31"/>
      <c r="M31" s="8">
        <f>+K31</f>
        <v>975000</v>
      </c>
      <c r="N31" s="8" t="s">
        <v>29</v>
      </c>
    </row>
    <row r="32" spans="1:16" s="2" customFormat="1" ht="18" x14ac:dyDescent="0.25">
      <c r="A32"/>
      <c r="B32"/>
      <c r="C32"/>
      <c r="D32"/>
      <c r="E32"/>
      <c r="F32"/>
      <c r="G32" s="3"/>
      <c r="H32" s="3"/>
      <c r="I32" s="3"/>
      <c r="J32" s="8" t="s">
        <v>45</v>
      </c>
      <c r="K32" s="8">
        <f>J22-E28</f>
        <v>194000</v>
      </c>
      <c r="L32"/>
      <c r="M32" s="8">
        <f>+K32</f>
        <v>194000</v>
      </c>
      <c r="N32" s="8" t="s">
        <v>29</v>
      </c>
    </row>
  </sheetData>
  <autoFilter ref="A5:P17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workbookViewId="0">
      <pane xSplit="3" ySplit="5" topLeftCell="F18" activePane="bottomRight" state="frozen"/>
      <selection activeCell="G6" sqref="G6:G39"/>
      <selection pane="topRight" activeCell="G6" sqref="G6:G39"/>
      <selection pane="bottomLeft" activeCell="G6" sqref="G6:G39"/>
      <selection pane="bottomRight" activeCell="K24" sqref="K24"/>
    </sheetView>
  </sheetViews>
  <sheetFormatPr baseColWidth="10" defaultColWidth="11" defaultRowHeight="15" x14ac:dyDescent="0.25"/>
  <cols>
    <col min="1" max="1" width="13.85546875" customWidth="1"/>
    <col min="2" max="2" width="16.7109375" customWidth="1"/>
    <col min="3" max="3" width="29.5703125" customWidth="1"/>
    <col min="4" max="4" width="21" customWidth="1"/>
    <col min="5" max="5" width="16.7109375" customWidth="1"/>
    <col min="6" max="6" width="1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3" customWidth="1"/>
    <col min="13" max="13" width="1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2024</v>
      </c>
      <c r="C2" s="1" t="s">
        <v>30</v>
      </c>
      <c r="D2" s="1" t="s">
        <v>33</v>
      </c>
      <c r="E2" s="1"/>
      <c r="L2" s="1"/>
      <c r="M2" s="1"/>
    </row>
    <row r="3" spans="1:16" x14ac:dyDescent="0.25">
      <c r="A3" s="1" t="s">
        <v>31</v>
      </c>
      <c r="B3" s="4">
        <v>75000</v>
      </c>
      <c r="C3" s="4">
        <f>B3*12</f>
        <v>900000</v>
      </c>
      <c r="D3" s="1">
        <f>ROUNDDOWN(K26/C3,0)</f>
        <v>0</v>
      </c>
      <c r="E3" s="1"/>
      <c r="L3" s="1"/>
      <c r="M3" s="1"/>
    </row>
    <row r="4" spans="1:16" s="12" customFormat="1" ht="18" x14ac:dyDescent="0.25">
      <c r="B4" s="13"/>
      <c r="C4" s="16">
        <v>45425</v>
      </c>
      <c r="D4" s="17"/>
      <c r="E4" s="17"/>
      <c r="F4" s="17"/>
      <c r="G4" s="17"/>
      <c r="H4" s="17"/>
      <c r="I4" s="17"/>
      <c r="J4" s="17"/>
      <c r="L4" s="14"/>
      <c r="M4" s="14"/>
      <c r="N4" s="14"/>
      <c r="O4" s="14"/>
    </row>
    <row r="5" spans="1:16" ht="57.75" x14ac:dyDescent="0.25">
      <c r="A5" s="1" t="s">
        <v>3</v>
      </c>
      <c r="B5" s="1" t="s">
        <v>38</v>
      </c>
      <c r="C5" s="1" t="s">
        <v>4</v>
      </c>
      <c r="D5" s="5" t="s">
        <v>5</v>
      </c>
      <c r="E5" s="6" t="s">
        <v>39</v>
      </c>
      <c r="F5" s="4" t="s">
        <v>14</v>
      </c>
      <c r="G5" s="5" t="s">
        <v>10</v>
      </c>
      <c r="H5" s="5" t="s">
        <v>15</v>
      </c>
      <c r="I5" s="10" t="s">
        <v>23</v>
      </c>
      <c r="J5" s="5" t="s">
        <v>40</v>
      </c>
      <c r="K5" s="5" t="s">
        <v>12</v>
      </c>
      <c r="L5" s="5" t="s">
        <v>11</v>
      </c>
      <c r="M5" s="5" t="s">
        <v>41</v>
      </c>
      <c r="N5" s="5" t="s">
        <v>23</v>
      </c>
      <c r="O5" s="5" t="s">
        <v>42</v>
      </c>
      <c r="P5" s="5" t="s">
        <v>13</v>
      </c>
    </row>
    <row r="6" spans="1:16" x14ac:dyDescent="0.25">
      <c r="A6" s="1" t="s">
        <v>47</v>
      </c>
      <c r="B6" s="7">
        <f>IF(D6=0,0,VLOOKUP($A6,[6]HISTOMAI24!$A$6:$BB$47,12,0))</f>
        <v>0</v>
      </c>
      <c r="C6" s="1" t="str">
        <f>VLOOKUP(A6,[7]LISTADHERENT!A$5:H$60,3,0)</f>
        <v>ASELBY</v>
      </c>
      <c r="D6" s="7">
        <f>IF(E6="ECHEC",0,VLOOKUP($A6,[6]HISTOMAI24!$A$6:$AR$47,13,0))</f>
        <v>0</v>
      </c>
      <c r="E6" s="7" t="str">
        <f>VLOOKUP($A6,[6]HISTOMAI24!$A$6:$AV$47,8,0)</f>
        <v>ECHEC</v>
      </c>
      <c r="F6" s="7">
        <f>VLOOKUP($A6,[6]HISTOMAI24!$A$6:$AV$47,36,0)</f>
        <v>0</v>
      </c>
      <c r="G6" s="7">
        <f>VLOOKUP($A6,[6]HISTOMAI24!$A$6:$AV$47,39,0)</f>
        <v>0</v>
      </c>
      <c r="H6" s="7">
        <f>IF(G6=0,0,VLOOKUP($A6,[6]HISTOMAI24!$A$6:$AV$47,42,0))</f>
        <v>0</v>
      </c>
      <c r="I6" s="7">
        <f>VLOOKUP($A6,[6]HISTOMAI24!$A$6:$AV$47,41,0)</f>
        <v>0</v>
      </c>
      <c r="J6" s="7">
        <f>TONTMAI24!F6+TONTMAI24!G6</f>
        <v>0</v>
      </c>
      <c r="K6" s="7">
        <f>VLOOKUP($A6,[6]HISTOMAI24!$A$6:$AV$47,17,0)</f>
        <v>0</v>
      </c>
      <c r="L6" s="7" t="str">
        <f>IF(K6&lt;&gt;0,VLOOKUP($A6,[6]HISTOMAI24!$A$6:$BB$47,8,0),"ECHEC")</f>
        <v>ECHEC</v>
      </c>
      <c r="M6" s="7">
        <f>IF(P6=0,0,VLOOKUP($A6,[6]HISTOMAI24!$A$6:$AV$47,32,0))</f>
        <v>0</v>
      </c>
      <c r="N6" s="7">
        <f>VLOOKUP($A6,[6]HISTOMAI24!$A$6:$AV$47,33,0)</f>
        <v>0</v>
      </c>
      <c r="O6" s="7">
        <f t="shared" ref="O6:O19" si="0">IF(P6=0,0,($C$3-P6))</f>
        <v>0</v>
      </c>
      <c r="P6" s="7">
        <f>VLOOKUP($A6,[6]HISTOMAI24!$A$6:$AV$47,30,0)</f>
        <v>0</v>
      </c>
    </row>
    <row r="7" spans="1:16" x14ac:dyDescent="0.25">
      <c r="A7" s="1" t="s">
        <v>24</v>
      </c>
      <c r="B7" s="7">
        <f>IF(D7=0,0,VLOOKUP($A7,[6]HISTOMAI24!$A$6:$BB$47,12,0))</f>
        <v>0</v>
      </c>
      <c r="C7" s="1" t="str">
        <f>VLOOKUP(A7,[7]LISTADHERENT!A$5:H$60,3,0)</f>
        <v>BOUTCHOUANG WILLIAM</v>
      </c>
      <c r="D7" s="7">
        <f>IF(E7="ECHEC",0,VLOOKUP($A7,[6]HISTOMAI24!$A$6:$AR$47,13,0))</f>
        <v>0</v>
      </c>
      <c r="E7" s="7" t="str">
        <f>VLOOKUP($A7,[6]HISTOMAI24!$A$6:$AV$47,8,0)</f>
        <v>ECHEC</v>
      </c>
      <c r="F7" s="7">
        <f>VLOOKUP($A7,[6]HISTOMAI24!$A$6:$AV$47,36,0)</f>
        <v>0</v>
      </c>
      <c r="G7" s="7">
        <f>VLOOKUP($A7,[6]HISTOMAI24!$A$6:$AV$47,39,0)</f>
        <v>0</v>
      </c>
      <c r="H7" s="7">
        <f>IF(G7=0,0,VLOOKUP($A7,[6]HISTOMAI24!$A$6:$AV$47,42,0))</f>
        <v>0</v>
      </c>
      <c r="I7" s="7">
        <f>VLOOKUP($A7,[6]HISTOMAI24!$A$6:$AV$47,41,0)</f>
        <v>0</v>
      </c>
      <c r="J7" s="7">
        <f>TONTMAI24!F7+TONTMAI24!G7</f>
        <v>0</v>
      </c>
      <c r="K7" s="7">
        <f>VLOOKUP($A7,[6]HISTOMAI24!$A$6:$AV$47,17,0)</f>
        <v>0</v>
      </c>
      <c r="L7" s="7" t="str">
        <f>IF(K7&lt;&gt;0,VLOOKUP($A7,[6]HISTOMAI24!$A$6:$BB$47,8,0),"ECHEC")</f>
        <v>ECHEC</v>
      </c>
      <c r="M7" s="7">
        <f>IF(P7=0,0,VLOOKUP($A7,[6]HISTOMAI24!$A$6:$AV$47,32,0))</f>
        <v>0</v>
      </c>
      <c r="N7" s="7">
        <f>VLOOKUP($A7,[6]HISTOMAI24!$A$6:$AV$47,33,0)</f>
        <v>0</v>
      </c>
      <c r="O7" s="7">
        <f t="shared" si="0"/>
        <v>0</v>
      </c>
      <c r="P7" s="7">
        <f>VLOOKUP($A7,[6]HISTOMAI24!$A$6:$AV$47,30,0)</f>
        <v>0</v>
      </c>
    </row>
    <row r="8" spans="1:16" x14ac:dyDescent="0.25">
      <c r="A8" s="1" t="s">
        <v>49</v>
      </c>
      <c r="B8" s="7">
        <f>IF(D8=0,0,VLOOKUP($A8,[6]HISTOMAI24!$A$6:$BB$47,12,0))</f>
        <v>0</v>
      </c>
      <c r="C8" s="1" t="str">
        <f>VLOOKUP(A8,[7]LISTADHERENT!A$5:H$60,3,0)</f>
        <v>DJOMOU TCHAPDA</v>
      </c>
      <c r="D8" s="7">
        <f>IF(E8="ECHEC",0,VLOOKUP($A8,[6]HISTOMAI24!$A$6:$AR$47,13,0))</f>
        <v>0</v>
      </c>
      <c r="E8" s="7" t="str">
        <f>VLOOKUP($A8,[6]HISTOMAI24!$A$6:$AV$47,8,0)</f>
        <v>ECHEC</v>
      </c>
      <c r="F8" s="7">
        <f>VLOOKUP($A8,[6]HISTOMAI24!$A$6:$AV$47,36,0)</f>
        <v>0</v>
      </c>
      <c r="G8" s="7">
        <f>VLOOKUP($A8,[6]HISTOMAI24!$A$6:$AV$47,39,0)</f>
        <v>0</v>
      </c>
      <c r="H8" s="7">
        <f>IF(G8=0,0,VLOOKUP($A8,[6]HISTOMAI24!$A$6:$AV$47,42,0))</f>
        <v>0</v>
      </c>
      <c r="I8" s="7">
        <f>VLOOKUP($A8,[6]HISTOMAI24!$A$6:$AV$47,41,0)</f>
        <v>0</v>
      </c>
      <c r="J8" s="7">
        <f>TONTMAI24!F8+TONTMAI24!G8</f>
        <v>0</v>
      </c>
      <c r="K8" s="7">
        <f>VLOOKUP($A8,[6]HISTOMAI24!$A$6:$AV$47,17,0)</f>
        <v>0</v>
      </c>
      <c r="L8" s="7" t="str">
        <f>IF(K8&lt;&gt;0,VLOOKUP($A8,[6]HISTOMAI24!$A$6:$BB$47,8,0),"ECHEC")</f>
        <v>ECHEC</v>
      </c>
      <c r="M8" s="7">
        <f>IF(P8=0,0,VLOOKUP($A8,[6]HISTOMAI24!$A$6:$AV$47,32,0))</f>
        <v>0</v>
      </c>
      <c r="N8" s="7">
        <f>VLOOKUP($A8,[6]HISTOMAI24!$A$6:$AV$47,33,0)</f>
        <v>0</v>
      </c>
      <c r="O8" s="7">
        <f t="shared" si="0"/>
        <v>0</v>
      </c>
      <c r="P8" s="7">
        <f>VLOOKUP($A8,[6]HISTOMAI24!$A$6:$AV$47,30,0)</f>
        <v>0</v>
      </c>
    </row>
    <row r="9" spans="1:16" x14ac:dyDescent="0.25">
      <c r="A9" s="1" t="s">
        <v>25</v>
      </c>
      <c r="B9" s="7">
        <f>IF(D9=0,0,VLOOKUP($A9,[6]HISTOMAI24!$A$6:$BB$47,12,0))</f>
        <v>0</v>
      </c>
      <c r="C9" s="1" t="str">
        <f>VLOOKUP(A9,[7]LISTADHERENT!A$5:H$60,3,0)</f>
        <v>DJOUKWE NANGUEN GUY BLAISE</v>
      </c>
      <c r="D9" s="7">
        <f>IF(E9="ECHEC",0,VLOOKUP($A9,[6]HISTOMAI24!$A$6:$AR$47,13,0))</f>
        <v>0</v>
      </c>
      <c r="E9" s="7" t="str">
        <f>VLOOKUP($A9,[6]HISTOMAI24!$A$6:$AV$47,8,0)</f>
        <v>ECHEC</v>
      </c>
      <c r="F9" s="7">
        <f>VLOOKUP($A9,[6]HISTOMAI24!$A$6:$AV$47,36,0)</f>
        <v>0</v>
      </c>
      <c r="G9" s="7">
        <f>VLOOKUP($A9,[6]HISTOMAI24!$A$6:$AV$47,39,0)</f>
        <v>0</v>
      </c>
      <c r="H9" s="7">
        <f>IF(G9=0,0,VLOOKUP($A9,[6]HISTOMAI24!$A$6:$AV$47,42,0))</f>
        <v>0</v>
      </c>
      <c r="I9" s="7">
        <f>VLOOKUP($A9,[6]HISTOMAI24!$A$6:$AV$47,41,0)</f>
        <v>0</v>
      </c>
      <c r="J9" s="7">
        <f>TONTMAI24!F9+TONTMAI24!G9</f>
        <v>0</v>
      </c>
      <c r="K9" s="7">
        <f>VLOOKUP($A9,[6]HISTOMAI24!$A$6:$AV$47,17,0)</f>
        <v>0</v>
      </c>
      <c r="L9" s="7" t="str">
        <f>IF(K9&lt;&gt;0,VLOOKUP($A9,[6]HISTOMAI24!$A$6:$BB$47,8,0),"ECHEC")</f>
        <v>ECHEC</v>
      </c>
      <c r="M9" s="7">
        <f>IF(P9=0,0,VLOOKUP($A9,[6]HISTOMAI24!$A$6:$AV$47,32,0))</f>
        <v>0</v>
      </c>
      <c r="N9" s="7">
        <f>VLOOKUP($A9,[6]HISTOMAI24!$A$6:$AV$47,33,0)</f>
        <v>0</v>
      </c>
      <c r="O9" s="7">
        <f t="shared" si="0"/>
        <v>0</v>
      </c>
      <c r="P9" s="7">
        <f>VLOOKUP($A9,[6]HISTOMAI24!$A$6:$AV$47,30,0)</f>
        <v>0</v>
      </c>
    </row>
    <row r="10" spans="1:16" x14ac:dyDescent="0.25">
      <c r="A10" s="1" t="s">
        <v>34</v>
      </c>
      <c r="B10" s="7">
        <f>IF(D10=0,0,VLOOKUP($A10,[6]HISTOMAI24!$A$6:$BB$47,12,0))</f>
        <v>0</v>
      </c>
      <c r="C10" s="1" t="str">
        <f>VLOOKUP(A10,[7]LISTADHERENT!A$5:H$60,3,0)</f>
        <v>DJUOMBESSY ANTOINE</v>
      </c>
      <c r="D10" s="7">
        <f>IF(E10="ECHEC",0,VLOOKUP($A10,[6]HISTOMAI24!$A$6:$AR$47,13,0))</f>
        <v>0</v>
      </c>
      <c r="E10" s="7" t="str">
        <f>VLOOKUP($A10,[6]HISTOMAI24!$A$6:$AV$47,8,0)</f>
        <v>ECHEC</v>
      </c>
      <c r="F10" s="7">
        <f>VLOOKUP($A10,[6]HISTOMAI24!$A$6:$AV$47,36,0)</f>
        <v>0</v>
      </c>
      <c r="G10" s="7">
        <f>VLOOKUP($A10,[6]HISTOMAI24!$A$6:$AV$47,39,0)</f>
        <v>0</v>
      </c>
      <c r="H10" s="7">
        <f>IF(G10=0,0,VLOOKUP($A10,[6]HISTOMAI24!$A$6:$AV$47,42,0))</f>
        <v>0</v>
      </c>
      <c r="I10" s="7">
        <f>VLOOKUP($A10,[6]HISTOMAI24!$A$6:$AV$47,41,0)</f>
        <v>0</v>
      </c>
      <c r="J10" s="7">
        <f>TONTMAI24!F10+TONTMAI24!G10</f>
        <v>0</v>
      </c>
      <c r="K10" s="7">
        <f>VLOOKUP($A10,[6]HISTOMAI24!$A$6:$AV$47,17,0)</f>
        <v>0</v>
      </c>
      <c r="L10" s="7" t="str">
        <f>IF(K10&lt;&gt;0,VLOOKUP($A10,[6]HISTOMAI24!$A$6:$BB$47,8,0),"ECHEC")</f>
        <v>ECHEC</v>
      </c>
      <c r="M10" s="7">
        <f>IF(P10=0,0,VLOOKUP($A10,[6]HISTOMAI24!$A$6:$AV$47,32,0))</f>
        <v>0</v>
      </c>
      <c r="N10" s="7">
        <f>VLOOKUP($A10,[6]HISTOMAI24!$A$6:$AV$47,33,0)</f>
        <v>0</v>
      </c>
      <c r="O10" s="7">
        <f t="shared" si="0"/>
        <v>0</v>
      </c>
      <c r="P10" s="7">
        <f>VLOOKUP($A10,[6]HISTOMAI24!$A$6:$AV$47,30,0)</f>
        <v>0</v>
      </c>
    </row>
    <row r="11" spans="1:16" x14ac:dyDescent="0.25">
      <c r="A11" s="1" t="s">
        <v>18</v>
      </c>
      <c r="B11" s="7">
        <f>IF(D11=0,0,VLOOKUP($A11,[6]HISTOMAI24!$A$6:$BB$47,12,0))</f>
        <v>0</v>
      </c>
      <c r="C11" s="1" t="str">
        <f>VLOOKUP(A11,[7]LISTADHERENT!A$5:H$60,3,0)</f>
        <v>HOTCHO BENJAMIN</v>
      </c>
      <c r="D11" s="7">
        <f>IF(E11="ECHEC",0,VLOOKUP($A11,[6]HISTOMAI24!$A$6:$AR$47,13,0))</f>
        <v>0</v>
      </c>
      <c r="E11" s="7" t="str">
        <f>VLOOKUP($A11,[6]HISTOMAI24!$A$6:$AV$47,8,0)</f>
        <v>ECHEC</v>
      </c>
      <c r="F11" s="7">
        <f>VLOOKUP($A11,[6]HISTOMAI24!$A$6:$AV$47,36,0)</f>
        <v>0</v>
      </c>
      <c r="G11" s="7">
        <f>VLOOKUP($A11,[6]HISTOMAI24!$A$6:$AV$47,39,0)</f>
        <v>0</v>
      </c>
      <c r="H11" s="7">
        <f>IF(G11=0,0,VLOOKUP($A11,[6]HISTOMAI24!$A$6:$AV$47,42,0))</f>
        <v>0</v>
      </c>
      <c r="I11" s="7">
        <f>VLOOKUP($A11,[6]HISTOMAI24!$A$6:$AV$47,41,0)</f>
        <v>0</v>
      </c>
      <c r="J11" s="7">
        <f>TONTMAI24!F11+TONTMAI24!G11</f>
        <v>0</v>
      </c>
      <c r="K11" s="7">
        <f>VLOOKUP($A11,[6]HISTOMAI24!$A$6:$AV$47,17,0)</f>
        <v>0</v>
      </c>
      <c r="L11" s="7" t="str">
        <f>IF(K11&lt;&gt;0,VLOOKUP($A11,[6]HISTOMAI24!$A$6:$BB$47,8,0),"ECHEC")</f>
        <v>ECHEC</v>
      </c>
      <c r="M11" s="7">
        <f>IF(P11=0,0,VLOOKUP($A11,[6]HISTOMAI24!$A$6:$AV$47,32,0))</f>
        <v>0</v>
      </c>
      <c r="N11" s="7">
        <f>VLOOKUP($A11,[6]HISTOMAI24!$A$6:$AV$47,33,0)</f>
        <v>0</v>
      </c>
      <c r="O11" s="7">
        <f t="shared" si="0"/>
        <v>0</v>
      </c>
      <c r="P11" s="7">
        <f>VLOOKUP($A11,[6]HISTOMAI24!$A$6:$AV$47,30,0)</f>
        <v>0</v>
      </c>
    </row>
    <row r="12" spans="1:16" x14ac:dyDescent="0.25">
      <c r="A12" s="1" t="s">
        <v>26</v>
      </c>
      <c r="B12" s="7">
        <f>IF(D12=0,0,VLOOKUP($A12,[6]HISTOMAI24!$A$6:$BB$47,12,0))</f>
        <v>0</v>
      </c>
      <c r="C12" s="1" t="str">
        <f>VLOOKUP(A12,[7]LISTADHERENT!A$5:H$60,3,0)</f>
        <v>HENGUE PAUL OMER</v>
      </c>
      <c r="D12" s="7">
        <f>IF(E12="ECHEC",0,VLOOKUP($A12,[6]HISTOMAI24!$A$6:$AR$47,13,0))</f>
        <v>0</v>
      </c>
      <c r="E12" s="7" t="str">
        <f>VLOOKUP($A12,[6]HISTOMAI24!$A$6:$AV$47,8,0)</f>
        <v>ECHEC</v>
      </c>
      <c r="F12" s="7">
        <f>VLOOKUP($A12,[6]HISTOMAI24!$A$6:$AV$47,36,0)</f>
        <v>0</v>
      </c>
      <c r="G12" s="7">
        <f>VLOOKUP($A12,[6]HISTOMAI24!$A$6:$AV$47,39,0)</f>
        <v>0</v>
      </c>
      <c r="H12" s="7">
        <f>IF(G12=0,0,VLOOKUP($A12,[6]HISTOMAI24!$A$6:$AV$47,42,0))</f>
        <v>0</v>
      </c>
      <c r="I12" s="7">
        <f>VLOOKUP($A12,[6]HISTOMAI24!$A$6:$AV$47,41,0)</f>
        <v>0</v>
      </c>
      <c r="J12" s="7">
        <f>TONTMAI24!F12+TONTMAI24!G12</f>
        <v>0</v>
      </c>
      <c r="K12" s="7">
        <f>VLOOKUP($A12,[6]HISTOMAI24!$A$6:$AV$47,17,0)</f>
        <v>0</v>
      </c>
      <c r="L12" s="7" t="str">
        <f>IF(K12&lt;&gt;0,VLOOKUP($A12,[6]HISTOMAI24!$A$6:$BB$47,8,0),"ECHEC")</f>
        <v>ECHEC</v>
      </c>
      <c r="M12" s="7">
        <f>IF(P12=0,0,VLOOKUP($A12,[6]HISTOMAI24!$A$6:$AV$47,32,0))</f>
        <v>0</v>
      </c>
      <c r="N12" s="7">
        <f>VLOOKUP($A12,[6]HISTOMAI24!$A$6:$AV$47,33,0)</f>
        <v>0</v>
      </c>
      <c r="O12" s="7">
        <f t="shared" si="0"/>
        <v>0</v>
      </c>
      <c r="P12" s="7">
        <f>VLOOKUP($A12,[6]HISTOMAI24!$A$6:$AV$47,30,0)</f>
        <v>0</v>
      </c>
    </row>
    <row r="13" spans="1:16" x14ac:dyDescent="0.25">
      <c r="A13" s="1" t="s">
        <v>21</v>
      </c>
      <c r="B13" s="7">
        <f>IF(D13=0,0,VLOOKUP($A13,[6]HISTOMAI24!$A$6:$BB$47,12,0))</f>
        <v>0</v>
      </c>
      <c r="C13" s="1" t="str">
        <f>VLOOKUP(A13,[7]LISTADHERENT!A$5:H$60,3,0)</f>
        <v>MBOGNING TUGMA GUY</v>
      </c>
      <c r="D13" s="7">
        <f>IF(E13="ECHEC",0,VLOOKUP($A13,[6]HISTOMAI24!$A$6:$AR$47,13,0))</f>
        <v>0</v>
      </c>
      <c r="E13" s="7" t="str">
        <f>VLOOKUP($A13,[6]HISTOMAI24!$A$6:$AV$47,8,0)</f>
        <v>ECHEC</v>
      </c>
      <c r="F13" s="7">
        <f>VLOOKUP($A13,[6]HISTOMAI24!$A$6:$AV$47,36,0)</f>
        <v>0</v>
      </c>
      <c r="G13" s="7">
        <f>VLOOKUP($A13,[6]HISTOMAI24!$A$6:$AV$47,39,0)</f>
        <v>0</v>
      </c>
      <c r="H13" s="7">
        <f>IF(G13=0,0,VLOOKUP($A13,[6]HISTOMAI24!$A$6:$AV$47,42,0))</f>
        <v>0</v>
      </c>
      <c r="I13" s="7">
        <f>VLOOKUP($A13,[6]HISTOMAI24!$A$6:$AV$47,41,0)</f>
        <v>0</v>
      </c>
      <c r="J13" s="7">
        <f>TONTMAI24!F13+TONTMAI24!G13</f>
        <v>0</v>
      </c>
      <c r="K13" s="7">
        <f>VLOOKUP($A13,[6]HISTOMAI24!$A$6:$AV$47,17,0)</f>
        <v>0</v>
      </c>
      <c r="L13" s="7" t="str">
        <f>IF(K13&lt;&gt;0,VLOOKUP($A13,[6]HISTOMAI24!$A$6:$BB$47,8,0),"ECHEC")</f>
        <v>ECHEC</v>
      </c>
      <c r="M13" s="7">
        <f>IF(P13=0,0,VLOOKUP($A13,[6]HISTOMAI24!$A$6:$AV$47,32,0))</f>
        <v>0</v>
      </c>
      <c r="N13" s="7">
        <f>VLOOKUP($A13,[6]HISTOMAI24!$A$6:$AV$47,33,0)</f>
        <v>0</v>
      </c>
      <c r="O13" s="7">
        <f t="shared" si="0"/>
        <v>0</v>
      </c>
      <c r="P13" s="7">
        <f>VLOOKUP($A13,[6]HISTOMAI24!$A$6:$AV$47,30,0)</f>
        <v>0</v>
      </c>
    </row>
    <row r="14" spans="1:16" x14ac:dyDescent="0.25">
      <c r="A14" s="1" t="s">
        <v>8</v>
      </c>
      <c r="B14" s="7">
        <f>IF(D14=0,0,VLOOKUP($A14,[6]HISTOMAI24!$A$6:$BB$47,12,0))</f>
        <v>0</v>
      </c>
      <c r="C14" s="1" t="str">
        <f>VLOOKUP(A14,[7]LISTADHERENT!A$5:H$60,3,0)</f>
        <v>NANKAM APPOLINAIRE</v>
      </c>
      <c r="D14" s="7">
        <f>IF(E14="ECHEC",0,VLOOKUP($A14,[6]HISTOMAI24!$A$6:$AR$47,13,0))</f>
        <v>0</v>
      </c>
      <c r="E14" s="7" t="str">
        <f>VLOOKUP($A14,[6]HISTOMAI24!$A$6:$AV$47,8,0)</f>
        <v>ECHEC</v>
      </c>
      <c r="F14" s="7">
        <f>VLOOKUP($A14,[6]HISTOMAI24!$A$6:$AV$47,36,0)</f>
        <v>0</v>
      </c>
      <c r="G14" s="7">
        <f>VLOOKUP($A14,[6]HISTOMAI24!$A$6:$AV$47,39,0)</f>
        <v>0</v>
      </c>
      <c r="H14" s="7">
        <f>IF(G14=0,0,VLOOKUP($A14,[6]HISTOMAI24!$A$6:$AV$47,42,0))</f>
        <v>0</v>
      </c>
      <c r="I14" s="7">
        <f>VLOOKUP($A14,[6]HISTOMAI24!$A$6:$AV$47,41,0)</f>
        <v>0</v>
      </c>
      <c r="J14" s="7">
        <f>TONTMAI24!F14+TONTMAI24!G14</f>
        <v>0</v>
      </c>
      <c r="K14" s="7">
        <f>VLOOKUP($A14,[6]HISTOMAI24!$A$6:$AV$47,17,0)</f>
        <v>0</v>
      </c>
      <c r="L14" s="7" t="str">
        <f>IF(K14&lt;&gt;0,VLOOKUP($A14,[6]HISTOMAI24!$A$6:$BB$47,8,0),"ECHEC")</f>
        <v>ECHEC</v>
      </c>
      <c r="M14" s="7">
        <f>IF(P14=0,0,VLOOKUP($A14,[6]HISTOMAI24!$A$6:$AV$47,32,0))</f>
        <v>0</v>
      </c>
      <c r="N14" s="7">
        <f>VLOOKUP($A14,[6]HISTOMAI24!$A$6:$AV$47,33,0)</f>
        <v>0</v>
      </c>
      <c r="O14" s="7">
        <f t="shared" si="0"/>
        <v>0</v>
      </c>
      <c r="P14" s="7">
        <f>VLOOKUP($A14,[6]HISTOMAI24!$A$6:$AV$47,30,0)</f>
        <v>0</v>
      </c>
    </row>
    <row r="15" spans="1:16" x14ac:dyDescent="0.25">
      <c r="A15" s="1" t="s">
        <v>35</v>
      </c>
      <c r="B15" s="7">
        <f>IF(D15=0,0,VLOOKUP($A15,[6]HISTOMAI24!$A$6:$BB$47,12,0))</f>
        <v>0</v>
      </c>
      <c r="C15" s="1" t="str">
        <f>VLOOKUP(A15,[7]LISTADHERENT!A$5:H$60,3,0)</f>
        <v>NGONDIEP CLAUDE</v>
      </c>
      <c r="D15" s="7">
        <f>IF(E15="ECHEC",0,VLOOKUP($A15,[6]HISTOMAI24!$A$6:$AR$47,13,0))</f>
        <v>0</v>
      </c>
      <c r="E15" s="7" t="str">
        <f>VLOOKUP($A15,[6]HISTOMAI24!$A$6:$AV$47,8,0)</f>
        <v>ECHEC</v>
      </c>
      <c r="F15" s="7">
        <f>VLOOKUP($A15,[6]HISTOMAI24!$A$6:$AV$47,36,0)</f>
        <v>0</v>
      </c>
      <c r="G15" s="7">
        <f>VLOOKUP($A15,[6]HISTOMAI24!$A$6:$AV$47,39,0)</f>
        <v>0</v>
      </c>
      <c r="H15" s="7">
        <f>IF(G15=0,0,VLOOKUP($A15,[6]HISTOMAI24!$A$6:$AV$47,42,0))</f>
        <v>0</v>
      </c>
      <c r="I15" s="7">
        <f>VLOOKUP($A15,[6]HISTOMAI24!$A$6:$AV$47,41,0)</f>
        <v>0</v>
      </c>
      <c r="J15" s="7">
        <f>TONTMAI24!F15+TONTMAI24!G15</f>
        <v>0</v>
      </c>
      <c r="K15" s="7">
        <f>VLOOKUP($A15,[6]HISTOMAI24!$A$6:$AV$47,17,0)</f>
        <v>0</v>
      </c>
      <c r="L15" s="7" t="str">
        <f>IF(K15&lt;&gt;0,VLOOKUP($A15,[6]HISTOMAI24!$A$6:$BB$47,8,0),"ECHEC")</f>
        <v>ECHEC</v>
      </c>
      <c r="M15" s="7">
        <f>IF(P15=0,0,VLOOKUP($A15,[6]HISTOMAI24!$A$6:$AV$47,32,0))</f>
        <v>0</v>
      </c>
      <c r="N15" s="7">
        <f>VLOOKUP($A15,[6]HISTOMAI24!$A$6:$AV$47,33,0)</f>
        <v>0</v>
      </c>
      <c r="O15" s="7">
        <f t="shared" si="0"/>
        <v>0</v>
      </c>
      <c r="P15" s="7">
        <f>VLOOKUP($A15,[6]HISTOMAI24!$A$6:$AV$47,30,0)</f>
        <v>0</v>
      </c>
    </row>
    <row r="16" spans="1:16" x14ac:dyDescent="0.25">
      <c r="A16" s="1" t="s">
        <v>20</v>
      </c>
      <c r="B16" s="7">
        <f>IF(D16=0,0,VLOOKUP($A16,[6]HISTOMAI24!$A$6:$BB$47,12,0))</f>
        <v>0</v>
      </c>
      <c r="C16" s="1" t="str">
        <f>VLOOKUP(A16,[7]LISTADHERENT!A$5:H$60,3,0)</f>
        <v>NGUIEMEGNI MATHIEU BLAISE</v>
      </c>
      <c r="D16" s="7">
        <f>IF(E16="ECHEC",0,VLOOKUP($A16,[6]HISTOMAI24!$A$6:$AR$47,13,0))</f>
        <v>0</v>
      </c>
      <c r="E16" s="7" t="str">
        <f>VLOOKUP($A16,[6]HISTOMAI24!$A$6:$AV$47,8,0)</f>
        <v>ECHEC</v>
      </c>
      <c r="F16" s="7">
        <f>VLOOKUP($A16,[6]HISTOMAI24!$A$6:$AV$47,36,0)</f>
        <v>0</v>
      </c>
      <c r="G16" s="7">
        <f>VLOOKUP($A16,[6]HISTOMAI24!$A$6:$AV$47,39,0)</f>
        <v>0</v>
      </c>
      <c r="H16" s="7">
        <f>IF(G16=0,0,VLOOKUP($A16,[6]HISTOMAI24!$A$6:$AV$47,42,0))</f>
        <v>0</v>
      </c>
      <c r="I16" s="7">
        <f>VLOOKUP($A16,[6]HISTOMAI24!$A$6:$AV$47,41,0)</f>
        <v>0</v>
      </c>
      <c r="J16" s="7">
        <f>TONTMAI24!F16+TONTMAI24!G16</f>
        <v>0</v>
      </c>
      <c r="K16" s="7">
        <f>VLOOKUP($A16,[6]HISTOMAI24!$A$6:$AV$47,17,0)</f>
        <v>0</v>
      </c>
      <c r="L16" s="7" t="str">
        <f>IF(K16&lt;&gt;0,VLOOKUP($A16,[6]HISTOMAI24!$A$6:$BB$47,8,0),"ECHEC")</f>
        <v>ECHEC</v>
      </c>
      <c r="M16" s="7">
        <f>IF(P16=0,0,VLOOKUP($A16,[6]HISTOMAI24!$A$6:$AV$47,32,0))</f>
        <v>0</v>
      </c>
      <c r="N16" s="7">
        <f>VLOOKUP($A16,[6]HISTOMAI24!$A$6:$AV$47,33,0)</f>
        <v>0</v>
      </c>
      <c r="O16" s="7">
        <f t="shared" si="0"/>
        <v>0</v>
      </c>
      <c r="P16" s="7">
        <f>VLOOKUP($A16,[6]HISTOMAI24!$A$6:$AV$47,30,0)</f>
        <v>0</v>
      </c>
    </row>
    <row r="17" spans="1:16" x14ac:dyDescent="0.25">
      <c r="A17" s="1" t="s">
        <v>27</v>
      </c>
      <c r="B17" s="7">
        <f>IF(D17=0,0,VLOOKUP($A17,[6]HISTOMAI24!$A$6:$BB$47,12,0))</f>
        <v>0</v>
      </c>
      <c r="C17" s="1" t="str">
        <f>VLOOKUP(A17,[7]LISTADHERENT!A$5:H$60,3,0)</f>
        <v>PATEGO NJOSSU GUSTAVE</v>
      </c>
      <c r="D17" s="7">
        <f>IF(E17="ECHEC",0,VLOOKUP($A17,[6]HISTOMAI24!$A$6:$AR$47,13,0))</f>
        <v>0</v>
      </c>
      <c r="E17" s="7" t="str">
        <f>VLOOKUP($A17,[6]HISTOMAI24!$A$6:$AV$47,8,0)</f>
        <v>ECHEC</v>
      </c>
      <c r="F17" s="7">
        <f>VLOOKUP($A17,[6]HISTOMAI24!$A$6:$AV$47,36,0)</f>
        <v>0</v>
      </c>
      <c r="G17" s="7">
        <f>VLOOKUP($A17,[6]HISTOMAI24!$A$6:$AV$47,39,0)</f>
        <v>0</v>
      </c>
      <c r="H17" s="7">
        <f>IF(G17=0,0,VLOOKUP($A17,[6]HISTOMAI24!$A$6:$AV$47,42,0))</f>
        <v>0</v>
      </c>
      <c r="I17" s="7">
        <f>VLOOKUP($A17,[6]HISTOMAI24!$A$6:$AV$47,41,0)</f>
        <v>0</v>
      </c>
      <c r="J17" s="7">
        <f>TONTMAI24!F17+TONTMAI24!G17</f>
        <v>0</v>
      </c>
      <c r="K17" s="7">
        <f>VLOOKUP($A17,[6]HISTOMAI24!$A$6:$AV$47,17,0)</f>
        <v>0</v>
      </c>
      <c r="L17" s="7" t="str">
        <f>IF(K17&lt;&gt;0,VLOOKUP($A17,[6]HISTOMAI24!$A$6:$BB$47,8,0),"ECHEC")</f>
        <v>ECHEC</v>
      </c>
      <c r="M17" s="7">
        <f>IF(P17=0,0,VLOOKUP($A17,[6]HISTOMAI24!$A$6:$AV$47,32,0))</f>
        <v>0</v>
      </c>
      <c r="N17" s="7">
        <f>VLOOKUP($A17,[6]HISTOMAI24!$A$6:$AV$47,33,0)</f>
        <v>0</v>
      </c>
      <c r="O17" s="7">
        <f t="shared" si="0"/>
        <v>0</v>
      </c>
      <c r="P17" s="7">
        <f>VLOOKUP($A17,[6]HISTOMAI24!$A$6:$AV$47,30,0)</f>
        <v>0</v>
      </c>
    </row>
    <row r="18" spans="1:16" x14ac:dyDescent="0.25">
      <c r="A18" s="9" t="s">
        <v>48</v>
      </c>
      <c r="B18" s="7">
        <f>IF(D18=0,0,VLOOKUP($A18,[6]HISTOMAI24!$A$6:$BB$47,12,0))</f>
        <v>0</v>
      </c>
      <c r="C18" s="1" t="str">
        <f>VLOOKUP(A18,[7]LISTADHERENT!A$5:H$60,3,0)</f>
        <v>TCHOUAMOU MATHIEU</v>
      </c>
      <c r="D18" s="7">
        <f>IF(E18="ECHEC",0,VLOOKUP($A18,[6]HISTOMAI24!$A$6:$AR$47,13,0))</f>
        <v>0</v>
      </c>
      <c r="E18" s="7" t="str">
        <f>VLOOKUP($A18,[6]HISTOMAI24!$A$6:$AV$47,8,0)</f>
        <v>ECHEC</v>
      </c>
      <c r="F18" s="7">
        <f>VLOOKUP($A18,[6]HISTOMAI24!$A$6:$AV$47,36,0)</f>
        <v>0</v>
      </c>
      <c r="G18" s="7">
        <f>VLOOKUP($A18,[6]HISTOMAI24!$A$6:$AV$47,39,0)</f>
        <v>0</v>
      </c>
      <c r="H18" s="7">
        <f>IF(G18=0,0,VLOOKUP($A18,[6]HISTOMAI24!$A$6:$AV$47,42,0))</f>
        <v>0</v>
      </c>
      <c r="I18" s="7">
        <f>VLOOKUP($A18,[6]HISTOMAI24!$A$6:$AV$47,41,0)</f>
        <v>0</v>
      </c>
      <c r="J18" s="7">
        <f>TONTMAI24!F18+TONTMAI24!G18</f>
        <v>0</v>
      </c>
      <c r="K18" s="7">
        <f>VLOOKUP($A18,[6]HISTOMAI24!$A$6:$AV$47,17,0)</f>
        <v>0</v>
      </c>
      <c r="L18" s="7" t="str">
        <f>IF(K18&lt;&gt;0,VLOOKUP($A18,[6]HISTOMAI24!$A$6:$BB$47,8,0),"ECHEC")</f>
        <v>ECHEC</v>
      </c>
      <c r="M18" s="7">
        <f>IF(P18=0,0,VLOOKUP($A18,[6]HISTOMAI24!$A$6:$AV$47,32,0))</f>
        <v>0</v>
      </c>
      <c r="N18" s="7">
        <f>VLOOKUP($A18,[6]HISTOMAI24!$A$6:$AV$47,33,0)</f>
        <v>0</v>
      </c>
      <c r="O18" s="7">
        <f t="shared" si="0"/>
        <v>0</v>
      </c>
      <c r="P18" s="7">
        <f>VLOOKUP($A18,[6]HISTOMAI24!$A$6:$AV$47,30,0)</f>
        <v>0</v>
      </c>
    </row>
    <row r="19" spans="1:16" x14ac:dyDescent="0.25">
      <c r="A19" s="1" t="s">
        <v>19</v>
      </c>
      <c r="B19" s="7">
        <f>IF(D19=0,0,VLOOKUP($A19,[6]HISTOMAI24!$A$6:$BB$47,12,0))</f>
        <v>0</v>
      </c>
      <c r="C19" s="1" t="str">
        <f>VLOOKUP(A19,[7]LISTADHERENT!A$5:H$60,3,0)</f>
        <v>YOUMBI EMMANUEL</v>
      </c>
      <c r="D19" s="7">
        <f>IF(E19="ECHEC",0,VLOOKUP($A19,[6]HISTOMAI24!$A$6:$AR$47,13,0))</f>
        <v>0</v>
      </c>
      <c r="E19" s="7" t="str">
        <f>VLOOKUP($A19,[6]HISTOMAI24!$A$6:$AV$47,8,0)</f>
        <v>ECHEC</v>
      </c>
      <c r="F19" s="7">
        <f>VLOOKUP($A19,[6]HISTOMAI24!$A$6:$AV$47,36,0)</f>
        <v>0</v>
      </c>
      <c r="G19" s="7">
        <f>VLOOKUP($A19,[6]HISTOMAI24!$A$6:$AV$47,39,0)</f>
        <v>0</v>
      </c>
      <c r="H19" s="7">
        <f>IF(G19=0,0,VLOOKUP($A19,[6]HISTOMAI24!$A$6:$AV$47,42,0))</f>
        <v>0</v>
      </c>
      <c r="I19" s="7">
        <f>VLOOKUP($A19,[6]HISTOMAI24!$A$6:$AV$47,41,0)</f>
        <v>0</v>
      </c>
      <c r="J19" s="7">
        <f>TONTMAI24!F19+TONTMAI24!G19</f>
        <v>0</v>
      </c>
      <c r="K19" s="7">
        <f>VLOOKUP($A19,[6]HISTOMAI24!$A$6:$AV$47,17,0)</f>
        <v>0</v>
      </c>
      <c r="L19" s="7" t="str">
        <f>IF(K19&lt;&gt;0,VLOOKUP($A19,[6]HISTOMAI24!$A$6:$BB$47,8,0),"ECHEC")</f>
        <v>ECHEC</v>
      </c>
      <c r="M19" s="7">
        <f>IF(P19=0,0,VLOOKUP($A19,[6]HISTOMAI24!$A$6:$AV$47,32,0))</f>
        <v>0</v>
      </c>
      <c r="N19" s="7">
        <f>VLOOKUP($A19,[6]HISTOMAI24!$A$6:$AV$47,33,0)</f>
        <v>0</v>
      </c>
      <c r="O19" s="7">
        <f t="shared" si="0"/>
        <v>0</v>
      </c>
      <c r="P19" s="7">
        <f>VLOOKUP($A19,[6]HISTOMAI24!$A$6:$AV$47,30,0)</f>
        <v>0</v>
      </c>
    </row>
    <row r="20" spans="1:16" x14ac:dyDescent="0.2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8" x14ac:dyDescent="0.25">
      <c r="A21" s="1" t="s">
        <v>36</v>
      </c>
      <c r="B21" s="8">
        <f>SUM(B6:B20)</f>
        <v>0</v>
      </c>
      <c r="G21" s="11"/>
    </row>
    <row r="22" spans="1:16" ht="18" x14ac:dyDescent="0.25">
      <c r="A22" s="1" t="s">
        <v>37</v>
      </c>
      <c r="B22" s="15">
        <f>COUNT(D6:D20)</f>
        <v>14</v>
      </c>
      <c r="C22" s="8"/>
      <c r="D22" s="8">
        <f t="shared" ref="D22:P22" si="1">SUM(D6:D21)</f>
        <v>0</v>
      </c>
      <c r="E22" s="8">
        <f t="shared" si="1"/>
        <v>0</v>
      </c>
      <c r="F22" s="8">
        <f t="shared" si="1"/>
        <v>0</v>
      </c>
      <c r="G22" s="8">
        <f t="shared" si="1"/>
        <v>0</v>
      </c>
      <c r="H22" s="8">
        <f t="shared" si="1"/>
        <v>0</v>
      </c>
      <c r="I22" s="8">
        <f t="shared" si="1"/>
        <v>0</v>
      </c>
      <c r="J22" s="8">
        <f t="shared" si="1"/>
        <v>0</v>
      </c>
      <c r="K22" s="8">
        <f t="shared" si="1"/>
        <v>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0</v>
      </c>
      <c r="P22" s="8">
        <f t="shared" si="1"/>
        <v>0</v>
      </c>
    </row>
    <row r="23" spans="1:16" x14ac:dyDescent="0.25">
      <c r="A23" s="2"/>
      <c r="G23" s="11"/>
      <c r="L23" s="5" t="s">
        <v>33</v>
      </c>
      <c r="M23" s="5" t="s">
        <v>43</v>
      </c>
    </row>
    <row r="24" spans="1:16" ht="29.25" x14ac:dyDescent="0.25">
      <c r="A24" s="2"/>
      <c r="B24" s="2"/>
      <c r="C24" s="2"/>
      <c r="D24" s="5" t="s">
        <v>5</v>
      </c>
      <c r="E24" s="5" t="s">
        <v>12</v>
      </c>
      <c r="F24" s="5" t="s">
        <v>14</v>
      </c>
      <c r="G24" s="5" t="s">
        <v>16</v>
      </c>
      <c r="H24" s="5" t="s">
        <v>17</v>
      </c>
      <c r="I24" s="5"/>
      <c r="J24" s="8" t="s">
        <v>46</v>
      </c>
      <c r="K24" s="8">
        <f>D22+E28+P22+TONTAVRIL24!M29</f>
        <v>0</v>
      </c>
      <c r="L24" s="5"/>
      <c r="N24" s="5"/>
    </row>
    <row r="25" spans="1:16" s="2" customFormat="1" ht="18" x14ac:dyDescent="0.25">
      <c r="D25" s="8">
        <f>SUMIFS(D6:D21,E6:E21,"ESPECES")</f>
        <v>0</v>
      </c>
      <c r="E25" s="8">
        <f>SUMIFS(K7:K18,L7:L18,"ESPECES")</f>
        <v>0</v>
      </c>
      <c r="F25" s="8">
        <f>SUMIFS(F7:F21,H7:H21,"ESPECES")</f>
        <v>0</v>
      </c>
      <c r="G25" s="8">
        <f>SUMIFS(O7:O21,M7:M21,"ESPECES")</f>
        <v>0</v>
      </c>
      <c r="H25" s="8">
        <f>D25+E25-F25-G25</f>
        <v>0</v>
      </c>
      <c r="I25" s="8"/>
      <c r="J25" s="8" t="s">
        <v>32</v>
      </c>
      <c r="K25" s="8">
        <f>C3*COUNTIF(O7:O21,"&gt;0")</f>
        <v>0</v>
      </c>
      <c r="L25" s="8">
        <f>D3</f>
        <v>0</v>
      </c>
      <c r="M25" s="8">
        <f>COUNTIF(O7:O18,"&gt;0")</f>
        <v>0</v>
      </c>
      <c r="N25" s="8"/>
    </row>
    <row r="26" spans="1:16" s="2" customFormat="1" ht="18" x14ac:dyDescent="0.25">
      <c r="D26" s="8">
        <f>SUMIFS(D6:D21,E6:E21,"BANQUE")</f>
        <v>0</v>
      </c>
      <c r="E26" s="8">
        <f>SUMIFS(K7:K18,L7:L18,"BANQUE")</f>
        <v>0</v>
      </c>
      <c r="F26" s="8">
        <f>SUMIFS(F7:F21,H7:H21,"BANQUE")</f>
        <v>0</v>
      </c>
      <c r="G26" s="8">
        <f>SUMIFS(O7:O21,M7:M21,"BANQUE")</f>
        <v>0</v>
      </c>
      <c r="H26" s="8">
        <f>D26+E26-F26-G26</f>
        <v>0</v>
      </c>
      <c r="I26" s="8"/>
      <c r="K26" s="8"/>
      <c r="L26" s="8"/>
      <c r="M26" s="8"/>
      <c r="N26" s="8"/>
    </row>
    <row r="27" spans="1:16" s="2" customFormat="1" ht="18" x14ac:dyDescent="0.25">
      <c r="D27" s="8"/>
      <c r="E27" s="8"/>
      <c r="F27" s="8"/>
      <c r="G27" s="8"/>
      <c r="I27" s="8"/>
      <c r="J27" s="8" t="s">
        <v>22</v>
      </c>
      <c r="K27" s="8">
        <f>K24-K25</f>
        <v>0</v>
      </c>
      <c r="L27" s="8"/>
      <c r="M27" s="8"/>
      <c r="N27" s="8"/>
    </row>
    <row r="28" spans="1:16" s="2" customFormat="1" ht="18" x14ac:dyDescent="0.25">
      <c r="D28" s="8">
        <f>D25+D26</f>
        <v>0</v>
      </c>
      <c r="E28" s="8">
        <f>E25+E26</f>
        <v>0</v>
      </c>
      <c r="F28" s="8">
        <f>F25+F26</f>
        <v>0</v>
      </c>
      <c r="G28" s="8">
        <f t="shared" ref="G28:H28" si="2">G25+G26</f>
        <v>0</v>
      </c>
      <c r="H28" s="8">
        <f t="shared" si="2"/>
        <v>0</v>
      </c>
      <c r="I28" s="8"/>
      <c r="K28" s="8"/>
      <c r="L28" s="8"/>
      <c r="M28" s="8"/>
      <c r="N28" s="8"/>
    </row>
    <row r="29" spans="1:16" s="2" customFormat="1" ht="18" x14ac:dyDescent="0.25">
      <c r="D29" s="8"/>
      <c r="E29"/>
      <c r="F29"/>
      <c r="G29" s="3"/>
      <c r="H29" s="3"/>
      <c r="I29" s="3"/>
      <c r="J29" s="8" t="s">
        <v>28</v>
      </c>
      <c r="K29" s="8">
        <f>K27-F22</f>
        <v>0</v>
      </c>
      <c r="L29"/>
      <c r="M29" s="8">
        <f>K29</f>
        <v>0</v>
      </c>
      <c r="N29" s="8" t="s">
        <v>29</v>
      </c>
    </row>
    <row r="30" spans="1:16" s="2" customFormat="1" x14ac:dyDescent="0.25">
      <c r="D30" s="5"/>
      <c r="E30"/>
      <c r="F30"/>
      <c r="G30" s="3"/>
      <c r="H30" s="3"/>
      <c r="I30" s="3"/>
      <c r="L30"/>
      <c r="M30" s="3"/>
      <c r="N30" s="3"/>
    </row>
    <row r="31" spans="1:16" s="2" customFormat="1" ht="18" x14ac:dyDescent="0.25">
      <c r="A31"/>
      <c r="B31"/>
      <c r="C31"/>
      <c r="D31"/>
      <c r="E31"/>
      <c r="F31"/>
      <c r="G31" s="3"/>
      <c r="H31" s="3"/>
      <c r="I31" s="3"/>
      <c r="J31" s="8" t="s">
        <v>44</v>
      </c>
      <c r="K31" s="8">
        <f>COUNTIFS(E7:E20,"ECHEC")*75000</f>
        <v>975000</v>
      </c>
      <c r="L31"/>
      <c r="M31" s="8">
        <f>+K31</f>
        <v>975000</v>
      </c>
      <c r="N31" s="8" t="s">
        <v>29</v>
      </c>
    </row>
    <row r="32" spans="1:16" s="2" customFormat="1" ht="18" x14ac:dyDescent="0.25">
      <c r="A32"/>
      <c r="B32"/>
      <c r="C32"/>
      <c r="D32"/>
      <c r="E32"/>
      <c r="F32"/>
      <c r="G32" s="3"/>
      <c r="H32" s="3"/>
      <c r="I32" s="3"/>
      <c r="J32" s="8" t="s">
        <v>45</v>
      </c>
      <c r="K32" s="8">
        <f>J22-E28</f>
        <v>0</v>
      </c>
      <c r="L32"/>
      <c r="M32" s="8">
        <f>+K32</f>
        <v>0</v>
      </c>
      <c r="N32" s="8" t="s">
        <v>29</v>
      </c>
    </row>
    <row r="33" spans="10:14" ht="18" x14ac:dyDescent="0.25">
      <c r="J33" s="8" t="s">
        <v>44</v>
      </c>
      <c r="K33" s="8">
        <f>COUNTIFS(E7:E22,"ECHEC")*75000</f>
        <v>975000</v>
      </c>
      <c r="M33" s="8">
        <f>+K33</f>
        <v>975000</v>
      </c>
      <c r="N33" s="8" t="s">
        <v>29</v>
      </c>
    </row>
    <row r="34" spans="10:14" ht="18" x14ac:dyDescent="0.25">
      <c r="J34" s="8" t="s">
        <v>45</v>
      </c>
      <c r="K34" s="8" t="e">
        <f>J24-E30</f>
        <v>#VALUE!</v>
      </c>
      <c r="M34" s="8" t="e">
        <f>+K34</f>
        <v>#VALUE!</v>
      </c>
      <c r="N34" s="8" t="s">
        <v>29</v>
      </c>
    </row>
  </sheetData>
  <autoFilter ref="A5:P17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workbookViewId="0">
      <pane xSplit="3" ySplit="5" topLeftCell="E24" activePane="bottomRight" state="frozen"/>
      <selection activeCell="G6" sqref="G6:G39"/>
      <selection pane="topRight" activeCell="G6" sqref="G6:G39"/>
      <selection pane="bottomLeft" activeCell="G6" sqref="G6:G39"/>
      <selection pane="bottomRight" activeCell="K24" sqref="K24"/>
    </sheetView>
  </sheetViews>
  <sheetFormatPr baseColWidth="10" defaultColWidth="11" defaultRowHeight="15" x14ac:dyDescent="0.25"/>
  <cols>
    <col min="1" max="1" width="13.85546875" customWidth="1"/>
    <col min="2" max="2" width="16.7109375" customWidth="1"/>
    <col min="3" max="3" width="29.5703125" customWidth="1"/>
    <col min="4" max="4" width="21" customWidth="1"/>
    <col min="5" max="5" width="16.7109375" customWidth="1"/>
    <col min="6" max="6" width="1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3" customWidth="1"/>
    <col min="13" max="13" width="1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2024</v>
      </c>
      <c r="C2" s="1" t="s">
        <v>30</v>
      </c>
      <c r="D2" s="1" t="s">
        <v>33</v>
      </c>
      <c r="E2" s="1"/>
      <c r="L2" s="1"/>
      <c r="M2" s="1"/>
    </row>
    <row r="3" spans="1:16" x14ac:dyDescent="0.25">
      <c r="A3" s="1" t="s">
        <v>31</v>
      </c>
      <c r="B3" s="4">
        <v>75000</v>
      </c>
      <c r="C3" s="4">
        <f>B3*12</f>
        <v>900000</v>
      </c>
      <c r="D3" s="1">
        <f>ROUNDDOWN(K26/C3,0)</f>
        <v>0</v>
      </c>
      <c r="E3" s="1"/>
      <c r="L3" s="1"/>
      <c r="M3" s="1"/>
    </row>
    <row r="4" spans="1:16" s="12" customFormat="1" ht="18" x14ac:dyDescent="0.25">
      <c r="B4" s="13"/>
      <c r="C4" s="16">
        <v>45456</v>
      </c>
      <c r="D4" s="17"/>
      <c r="E4" s="17"/>
      <c r="F4" s="17"/>
      <c r="G4" s="17"/>
      <c r="H4" s="17"/>
      <c r="I4" s="17"/>
      <c r="J4" s="17"/>
      <c r="L4" s="14"/>
      <c r="M4" s="14"/>
      <c r="N4" s="14"/>
      <c r="O4" s="14"/>
    </row>
    <row r="5" spans="1:16" ht="57.75" x14ac:dyDescent="0.25">
      <c r="A5" s="1" t="s">
        <v>3</v>
      </c>
      <c r="B5" s="1" t="s">
        <v>38</v>
      </c>
      <c r="C5" s="1" t="s">
        <v>4</v>
      </c>
      <c r="D5" s="5" t="s">
        <v>5</v>
      </c>
      <c r="E5" s="6" t="s">
        <v>39</v>
      </c>
      <c r="F5" s="4" t="s">
        <v>14</v>
      </c>
      <c r="G5" s="5" t="s">
        <v>10</v>
      </c>
      <c r="H5" s="5" t="s">
        <v>15</v>
      </c>
      <c r="I5" s="10" t="s">
        <v>23</v>
      </c>
      <c r="J5" s="5" t="s">
        <v>40</v>
      </c>
      <c r="K5" s="5" t="s">
        <v>12</v>
      </c>
      <c r="L5" s="5" t="s">
        <v>11</v>
      </c>
      <c r="M5" s="5" t="s">
        <v>41</v>
      </c>
      <c r="N5" s="5" t="s">
        <v>23</v>
      </c>
      <c r="O5" s="5" t="s">
        <v>42</v>
      </c>
      <c r="P5" s="5" t="s">
        <v>13</v>
      </c>
    </row>
    <row r="6" spans="1:16" x14ac:dyDescent="0.25">
      <c r="A6" s="1" t="s">
        <v>47</v>
      </c>
      <c r="B6" s="7">
        <f>IF(D6=0,0,VLOOKUP($A6,[6]HISTOJUIN24!$A$6:$BB$47,12,0))</f>
        <v>0</v>
      </c>
      <c r="C6" s="1" t="str">
        <f>VLOOKUP(A6,[7]LISTADHERENT!A$5:H$60,3,0)</f>
        <v>ASELBY</v>
      </c>
      <c r="D6" s="7">
        <f>IF(E6="ECHEC",0,VLOOKUP($A6,[6]HISTOJUIN24!$A$6:$AR$47,13,0))</f>
        <v>0</v>
      </c>
      <c r="E6" s="7" t="str">
        <f>VLOOKUP($A6,[6]HISTOJUIN24!$A$6:$AV$47,8,0)</f>
        <v>ECHEC</v>
      </c>
      <c r="F6" s="7">
        <f>VLOOKUP($A6,[6]HISTOJUIN24!$A$6:$AV$47,36,0)</f>
        <v>0</v>
      </c>
      <c r="G6" s="7">
        <f>VLOOKUP($A6,[6]HISTOJUIN24!$A$6:$AV$47,39,0)</f>
        <v>0</v>
      </c>
      <c r="H6" s="7">
        <f>IF(G6=0,0,VLOOKUP($A6,[6]HISTOJUIN24!$A$6:$AV$47,42,0))</f>
        <v>0</v>
      </c>
      <c r="I6" s="7">
        <f>VLOOKUP($A6,[6]HISTOJUIN24!$A$6:$AV$47,41,0)</f>
        <v>0</v>
      </c>
      <c r="J6" s="7">
        <f>TONTMAI24!F6+TONTMAI24!G6</f>
        <v>0</v>
      </c>
      <c r="K6" s="7">
        <f>VLOOKUP($A6,[6]HISTOJUIN24!$A$6:$AV$47,17,0)</f>
        <v>0</v>
      </c>
      <c r="L6" s="7" t="str">
        <f>IF(K6&lt;&gt;0,VLOOKUP($A6,[6]HISTOJUIN24!$A$6:$BB$47,8,0),"ECHEC")</f>
        <v>ECHEC</v>
      </c>
      <c r="M6" s="7">
        <f>IF(P6=0,0,VLOOKUP($A6,[6]HISTOJUIN24!$A$6:$AV$47,32,0))</f>
        <v>0</v>
      </c>
      <c r="N6" s="7">
        <f>VLOOKUP($A6,[6]HISTOJUIN24!$A$6:$AV$47,33,0)</f>
        <v>0</v>
      </c>
      <c r="O6" s="7">
        <f t="shared" ref="O6:O19" si="0">IF(P6=0,0,($C$3-P6))</f>
        <v>0</v>
      </c>
      <c r="P6" s="7">
        <f>VLOOKUP($A6,[6]HISTOJUIN24!$A$6:$AV$47,30,0)</f>
        <v>0</v>
      </c>
    </row>
    <row r="7" spans="1:16" x14ac:dyDescent="0.25">
      <c r="A7" s="1" t="s">
        <v>24</v>
      </c>
      <c r="B7" s="7">
        <f>IF(D7=0,0,VLOOKUP($A7,[6]HISTOJUIN24!$A$6:$BB$47,12,0))</f>
        <v>0</v>
      </c>
      <c r="C7" s="1" t="str">
        <f>VLOOKUP(A7,[7]LISTADHERENT!A$5:H$60,3,0)</f>
        <v>BOUTCHOUANG WILLIAM</v>
      </c>
      <c r="D7" s="7">
        <f>IF(E7="ECHEC",0,VLOOKUP($A7,[6]HISTOJUIN24!$A$6:$AR$47,13,0))</f>
        <v>0</v>
      </c>
      <c r="E7" s="7" t="str">
        <f>VLOOKUP($A7,[6]HISTOJUIN24!$A$6:$AV$47,8,0)</f>
        <v>ECHEC</v>
      </c>
      <c r="F7" s="7">
        <f>VLOOKUP($A7,[6]HISTOJUIN24!$A$6:$AV$47,36,0)</f>
        <v>0</v>
      </c>
      <c r="G7" s="7">
        <f>VLOOKUP($A7,[6]HISTOJUIN24!$A$6:$AV$47,39,0)</f>
        <v>0</v>
      </c>
      <c r="H7" s="7">
        <f>IF(G7=0,0,VLOOKUP($A7,[6]HISTOJUIN24!$A$6:$AV$47,42,0))</f>
        <v>0</v>
      </c>
      <c r="I7" s="7">
        <f>VLOOKUP($A7,[6]HISTOJUIN24!$A$6:$AV$47,41,0)</f>
        <v>0</v>
      </c>
      <c r="J7" s="7">
        <f>TONTMAI24!F7+TONTMAI24!G7</f>
        <v>0</v>
      </c>
      <c r="K7" s="7">
        <f>VLOOKUP($A7,[6]HISTOJUIN24!$A$6:$AV$47,17,0)</f>
        <v>0</v>
      </c>
      <c r="L7" s="7" t="str">
        <f>IF(K7&lt;&gt;0,VLOOKUP($A7,[6]HISTOJUIN24!$A$6:$BB$47,8,0),"ECHEC")</f>
        <v>ECHEC</v>
      </c>
      <c r="M7" s="7">
        <f>IF(P7=0,0,VLOOKUP($A7,[6]HISTOJUIN24!$A$6:$AV$47,32,0))</f>
        <v>0</v>
      </c>
      <c r="N7" s="7">
        <f>VLOOKUP($A7,[6]HISTOJUIN24!$A$6:$AV$47,33,0)</f>
        <v>0</v>
      </c>
      <c r="O7" s="7">
        <f t="shared" si="0"/>
        <v>0</v>
      </c>
      <c r="P7" s="7">
        <f>VLOOKUP($A7,[6]HISTOJUIN24!$A$6:$AV$47,30,0)</f>
        <v>0</v>
      </c>
    </row>
    <row r="8" spans="1:16" x14ac:dyDescent="0.25">
      <c r="A8" s="1" t="s">
        <v>49</v>
      </c>
      <c r="B8" s="7">
        <f>IF(D8=0,0,VLOOKUP($A8,[6]HISTOJUIN24!$A$6:$BB$47,12,0))</f>
        <v>0</v>
      </c>
      <c r="C8" s="1" t="str">
        <f>VLOOKUP(A8,[7]LISTADHERENT!A$5:H$60,3,0)</f>
        <v>DJOMOU TCHAPDA</v>
      </c>
      <c r="D8" s="7">
        <f>IF(E8="ECHEC",0,VLOOKUP($A8,[6]HISTOJUIN24!$A$6:$AR$47,13,0))</f>
        <v>0</v>
      </c>
      <c r="E8" s="7" t="str">
        <f>VLOOKUP($A8,[6]HISTOJUIN24!$A$6:$AV$47,8,0)</f>
        <v>ECHEC</v>
      </c>
      <c r="F8" s="7">
        <f>VLOOKUP($A8,[6]HISTOJUIN24!$A$6:$AV$47,36,0)</f>
        <v>0</v>
      </c>
      <c r="G8" s="7">
        <f>VLOOKUP($A8,[6]HISTOJUIN24!$A$6:$AV$47,39,0)</f>
        <v>0</v>
      </c>
      <c r="H8" s="7">
        <f>IF(G8=0,0,VLOOKUP($A8,[6]HISTOJUIN24!$A$6:$AV$47,42,0))</f>
        <v>0</v>
      </c>
      <c r="I8" s="7">
        <f>VLOOKUP($A8,[6]HISTOJUIN24!$A$6:$AV$47,41,0)</f>
        <v>0</v>
      </c>
      <c r="J8" s="7">
        <f>TONTMAI24!F8+TONTMAI24!G8</f>
        <v>0</v>
      </c>
      <c r="K8" s="7">
        <f>VLOOKUP($A8,[6]HISTOJUIN24!$A$6:$AV$47,17,0)</f>
        <v>0</v>
      </c>
      <c r="L8" s="7" t="str">
        <f>IF(K8&lt;&gt;0,VLOOKUP($A8,[6]HISTOJUIN24!$A$6:$BB$47,8,0),"ECHEC")</f>
        <v>ECHEC</v>
      </c>
      <c r="M8" s="7">
        <f>IF(P8=0,0,VLOOKUP($A8,[6]HISTOJUIN24!$A$6:$AV$47,32,0))</f>
        <v>0</v>
      </c>
      <c r="N8" s="7">
        <f>VLOOKUP($A8,[6]HISTOJUIN24!$A$6:$AV$47,33,0)</f>
        <v>0</v>
      </c>
      <c r="O8" s="7">
        <f t="shared" si="0"/>
        <v>0</v>
      </c>
      <c r="P8" s="7">
        <f>VLOOKUP($A8,[6]HISTOJUIN24!$A$6:$AV$47,30,0)</f>
        <v>0</v>
      </c>
    </row>
    <row r="9" spans="1:16" x14ac:dyDescent="0.25">
      <c r="A9" s="1" t="s">
        <v>25</v>
      </c>
      <c r="B9" s="7">
        <f>IF(D9=0,0,VLOOKUP($A9,[6]HISTOJUIN24!$A$6:$BB$47,12,0))</f>
        <v>0</v>
      </c>
      <c r="C9" s="1" t="str">
        <f>VLOOKUP(A9,[7]LISTADHERENT!A$5:H$60,3,0)</f>
        <v>DJOUKWE NANGUEN GUY BLAISE</v>
      </c>
      <c r="D9" s="7">
        <f>IF(E9="ECHEC",0,VLOOKUP($A9,[6]HISTOJUIN24!$A$6:$AR$47,13,0))</f>
        <v>0</v>
      </c>
      <c r="E9" s="7" t="str">
        <f>VLOOKUP($A9,[6]HISTOJUIN24!$A$6:$AV$47,8,0)</f>
        <v>ECHEC</v>
      </c>
      <c r="F9" s="7">
        <f>VLOOKUP($A9,[6]HISTOJUIN24!$A$6:$AV$47,36,0)</f>
        <v>0</v>
      </c>
      <c r="G9" s="7">
        <f>VLOOKUP($A9,[6]HISTOJUIN24!$A$6:$AV$47,39,0)</f>
        <v>0</v>
      </c>
      <c r="H9" s="7">
        <f>IF(G9=0,0,VLOOKUP($A9,[6]HISTOJUIN24!$A$6:$AV$47,42,0))</f>
        <v>0</v>
      </c>
      <c r="I9" s="7">
        <f>VLOOKUP($A9,[6]HISTOJUIN24!$A$6:$AV$47,41,0)</f>
        <v>0</v>
      </c>
      <c r="J9" s="7">
        <f>TONTMAI24!F9+TONTMAI24!G9</f>
        <v>0</v>
      </c>
      <c r="K9" s="7">
        <f>VLOOKUP($A9,[6]HISTOJUIN24!$A$6:$AV$47,17,0)</f>
        <v>0</v>
      </c>
      <c r="L9" s="7" t="str">
        <f>IF(K9&lt;&gt;0,VLOOKUP($A9,[6]HISTOJUIN24!$A$6:$BB$47,8,0),"ECHEC")</f>
        <v>ECHEC</v>
      </c>
      <c r="M9" s="7">
        <f>IF(P9=0,0,VLOOKUP($A9,[6]HISTOJUIN24!$A$6:$AV$47,32,0))</f>
        <v>0</v>
      </c>
      <c r="N9" s="7">
        <f>VLOOKUP($A9,[6]HISTOJUIN24!$A$6:$AV$47,33,0)</f>
        <v>0</v>
      </c>
      <c r="O9" s="7">
        <f t="shared" si="0"/>
        <v>0</v>
      </c>
      <c r="P9" s="7">
        <f>VLOOKUP($A9,[6]HISTOJUIN24!$A$6:$AV$47,30,0)</f>
        <v>0</v>
      </c>
    </row>
    <row r="10" spans="1:16" x14ac:dyDescent="0.25">
      <c r="A10" s="1" t="s">
        <v>34</v>
      </c>
      <c r="B10" s="7">
        <f>IF(D10=0,0,VLOOKUP($A10,[6]HISTOJUIN24!$A$6:$BB$47,12,0))</f>
        <v>0</v>
      </c>
      <c r="C10" s="1" t="str">
        <f>VLOOKUP(A10,[7]LISTADHERENT!A$5:H$60,3,0)</f>
        <v>DJUOMBESSY ANTOINE</v>
      </c>
      <c r="D10" s="7">
        <f>IF(E10="ECHEC",0,VLOOKUP($A10,[6]HISTOJUIN24!$A$6:$AR$47,13,0))</f>
        <v>0</v>
      </c>
      <c r="E10" s="7" t="str">
        <f>VLOOKUP($A10,[6]HISTOJUIN24!$A$6:$AV$47,8,0)</f>
        <v>ECHEC</v>
      </c>
      <c r="F10" s="7">
        <f>VLOOKUP($A10,[6]HISTOJUIN24!$A$6:$AV$47,36,0)</f>
        <v>0</v>
      </c>
      <c r="G10" s="7">
        <f>VLOOKUP($A10,[6]HISTOJUIN24!$A$6:$AV$47,39,0)</f>
        <v>0</v>
      </c>
      <c r="H10" s="7">
        <f>IF(G10=0,0,VLOOKUP($A10,[6]HISTOJUIN24!$A$6:$AV$47,42,0))</f>
        <v>0</v>
      </c>
      <c r="I10" s="7">
        <f>VLOOKUP($A10,[6]HISTOJUIN24!$A$6:$AV$47,41,0)</f>
        <v>0</v>
      </c>
      <c r="J10" s="7">
        <f>TONTMAI24!F10+TONTMAI24!G10</f>
        <v>0</v>
      </c>
      <c r="K10" s="7">
        <f>VLOOKUP($A10,[6]HISTOJUIN24!$A$6:$AV$47,17,0)</f>
        <v>0</v>
      </c>
      <c r="L10" s="7" t="str">
        <f>IF(K10&lt;&gt;0,VLOOKUP($A10,[6]HISTOJUIN24!$A$6:$BB$47,8,0),"ECHEC")</f>
        <v>ECHEC</v>
      </c>
      <c r="M10" s="7">
        <f>IF(P10=0,0,VLOOKUP($A10,[6]HISTOJUIN24!$A$6:$AV$47,32,0))</f>
        <v>0</v>
      </c>
      <c r="N10" s="7">
        <f>VLOOKUP($A10,[6]HISTOJUIN24!$A$6:$AV$47,33,0)</f>
        <v>0</v>
      </c>
      <c r="O10" s="7">
        <f t="shared" si="0"/>
        <v>0</v>
      </c>
      <c r="P10" s="7">
        <f>VLOOKUP($A10,[6]HISTOJUIN24!$A$6:$AV$47,30,0)</f>
        <v>0</v>
      </c>
    </row>
    <row r="11" spans="1:16" x14ac:dyDescent="0.25">
      <c r="A11" s="1" t="s">
        <v>18</v>
      </c>
      <c r="B11" s="7">
        <f>IF(D11=0,0,VLOOKUP($A11,[6]HISTOJUIN24!$A$6:$BB$47,12,0))</f>
        <v>0</v>
      </c>
      <c r="C11" s="1" t="str">
        <f>VLOOKUP(A11,[7]LISTADHERENT!A$5:H$60,3,0)</f>
        <v>HOTCHO BENJAMIN</v>
      </c>
      <c r="D11" s="7">
        <f>IF(E11="ECHEC",0,VLOOKUP($A11,[6]HISTOJUIN24!$A$6:$AR$47,13,0))</f>
        <v>0</v>
      </c>
      <c r="E11" s="7" t="str">
        <f>VLOOKUP($A11,[6]HISTOJUIN24!$A$6:$AV$47,8,0)</f>
        <v>ECHEC</v>
      </c>
      <c r="F11" s="7">
        <f>VLOOKUP($A11,[6]HISTOJUIN24!$A$6:$AV$47,36,0)</f>
        <v>0</v>
      </c>
      <c r="G11" s="7">
        <f>VLOOKUP($A11,[6]HISTOJUIN24!$A$6:$AV$47,39,0)</f>
        <v>0</v>
      </c>
      <c r="H11" s="7">
        <f>IF(G11=0,0,VLOOKUP($A11,[6]HISTOJUIN24!$A$6:$AV$47,42,0))</f>
        <v>0</v>
      </c>
      <c r="I11" s="7">
        <f>VLOOKUP($A11,[6]HISTOJUIN24!$A$6:$AV$47,41,0)</f>
        <v>0</v>
      </c>
      <c r="J11" s="7">
        <f>TONTMAI24!F11+TONTMAI24!G11</f>
        <v>0</v>
      </c>
      <c r="K11" s="7">
        <f>VLOOKUP($A11,[6]HISTOJUIN24!$A$6:$AV$47,17,0)</f>
        <v>0</v>
      </c>
      <c r="L11" s="7" t="str">
        <f>IF(K11&lt;&gt;0,VLOOKUP($A11,[6]HISTOJUIN24!$A$6:$BB$47,8,0),"ECHEC")</f>
        <v>ECHEC</v>
      </c>
      <c r="M11" s="7">
        <f>IF(P11=0,0,VLOOKUP($A11,[6]HISTOJUIN24!$A$6:$AV$47,32,0))</f>
        <v>0</v>
      </c>
      <c r="N11" s="7">
        <f>VLOOKUP($A11,[6]HISTOJUIN24!$A$6:$AV$47,33,0)</f>
        <v>0</v>
      </c>
      <c r="O11" s="7">
        <f t="shared" si="0"/>
        <v>0</v>
      </c>
      <c r="P11" s="7">
        <f>VLOOKUP($A11,[6]HISTOJUIN24!$A$6:$AV$47,30,0)</f>
        <v>0</v>
      </c>
    </row>
    <row r="12" spans="1:16" x14ac:dyDescent="0.25">
      <c r="A12" s="1" t="s">
        <v>26</v>
      </c>
      <c r="B12" s="7">
        <f>IF(D12=0,0,VLOOKUP($A12,[6]HISTOJUIN24!$A$6:$BB$47,12,0))</f>
        <v>0</v>
      </c>
      <c r="C12" s="1" t="str">
        <f>VLOOKUP(A12,[7]LISTADHERENT!A$5:H$60,3,0)</f>
        <v>HENGUE PAUL OMER</v>
      </c>
      <c r="D12" s="7">
        <f>IF(E12="ECHEC",0,VLOOKUP($A12,[6]HISTOJUIN24!$A$6:$AR$47,13,0))</f>
        <v>0</v>
      </c>
      <c r="E12" s="7" t="str">
        <f>VLOOKUP($A12,[6]HISTOJUIN24!$A$6:$AV$47,8,0)</f>
        <v>ECHEC</v>
      </c>
      <c r="F12" s="7">
        <f>VLOOKUP($A12,[6]HISTOJUIN24!$A$6:$AV$47,36,0)</f>
        <v>0</v>
      </c>
      <c r="G12" s="7">
        <f>VLOOKUP($A12,[6]HISTOJUIN24!$A$6:$AV$47,39,0)</f>
        <v>0</v>
      </c>
      <c r="H12" s="7">
        <f>IF(G12=0,0,VLOOKUP($A12,[6]HISTOJUIN24!$A$6:$AV$47,42,0))</f>
        <v>0</v>
      </c>
      <c r="I12" s="7">
        <f>VLOOKUP($A12,[6]HISTOJUIN24!$A$6:$AV$47,41,0)</f>
        <v>0</v>
      </c>
      <c r="J12" s="7">
        <f>TONTMAI24!F12+TONTMAI24!G12</f>
        <v>0</v>
      </c>
      <c r="K12" s="7">
        <f>VLOOKUP($A12,[6]HISTOJUIN24!$A$6:$AV$47,17,0)</f>
        <v>0</v>
      </c>
      <c r="L12" s="7" t="str">
        <f>IF(K12&lt;&gt;0,VLOOKUP($A12,[6]HISTOJUIN24!$A$6:$BB$47,8,0),"ECHEC")</f>
        <v>ECHEC</v>
      </c>
      <c r="M12" s="7">
        <f>IF(P12=0,0,VLOOKUP($A12,[6]HISTOJUIN24!$A$6:$AV$47,32,0))</f>
        <v>0</v>
      </c>
      <c r="N12" s="7">
        <f>VLOOKUP($A12,[6]HISTOJUIN24!$A$6:$AV$47,33,0)</f>
        <v>0</v>
      </c>
      <c r="O12" s="7">
        <f t="shared" si="0"/>
        <v>0</v>
      </c>
      <c r="P12" s="7">
        <f>VLOOKUP($A12,[6]HISTOJUIN24!$A$6:$AV$47,30,0)</f>
        <v>0</v>
      </c>
    </row>
    <row r="13" spans="1:16" x14ac:dyDescent="0.25">
      <c r="A13" s="1" t="s">
        <v>21</v>
      </c>
      <c r="B13" s="7">
        <f>IF(D13=0,0,VLOOKUP($A13,[6]HISTOJUIN24!$A$6:$BB$47,12,0))</f>
        <v>0</v>
      </c>
      <c r="C13" s="1" t="str">
        <f>VLOOKUP(A13,[7]LISTADHERENT!A$5:H$60,3,0)</f>
        <v>MBOGNING TUGMA GUY</v>
      </c>
      <c r="D13" s="7">
        <f>IF(E13="ECHEC",0,VLOOKUP($A13,[6]HISTOJUIN24!$A$6:$AR$47,13,0))</f>
        <v>0</v>
      </c>
      <c r="E13" s="7" t="str">
        <f>VLOOKUP($A13,[6]HISTOJUIN24!$A$6:$AV$47,8,0)</f>
        <v>ECHEC</v>
      </c>
      <c r="F13" s="7">
        <f>VLOOKUP($A13,[6]HISTOJUIN24!$A$6:$AV$47,36,0)</f>
        <v>0</v>
      </c>
      <c r="G13" s="7">
        <f>VLOOKUP($A13,[6]HISTOJUIN24!$A$6:$AV$47,39,0)</f>
        <v>0</v>
      </c>
      <c r="H13" s="7">
        <f>IF(G13=0,0,VLOOKUP($A13,[6]HISTOJUIN24!$A$6:$AV$47,42,0))</f>
        <v>0</v>
      </c>
      <c r="I13" s="7">
        <f>VLOOKUP($A13,[6]HISTOJUIN24!$A$6:$AV$47,41,0)</f>
        <v>0</v>
      </c>
      <c r="J13" s="7">
        <f>TONTMAI24!F13+TONTMAI24!G13</f>
        <v>0</v>
      </c>
      <c r="K13" s="7">
        <f>VLOOKUP($A13,[6]HISTOJUIN24!$A$6:$AV$47,17,0)</f>
        <v>0</v>
      </c>
      <c r="L13" s="7" t="str">
        <f>IF(K13&lt;&gt;0,VLOOKUP($A13,[6]HISTOJUIN24!$A$6:$BB$47,8,0),"ECHEC")</f>
        <v>ECHEC</v>
      </c>
      <c r="M13" s="7">
        <f>IF(P13=0,0,VLOOKUP($A13,[6]HISTOJUIN24!$A$6:$AV$47,32,0))</f>
        <v>0</v>
      </c>
      <c r="N13" s="7">
        <f>VLOOKUP($A13,[6]HISTOJUIN24!$A$6:$AV$47,33,0)</f>
        <v>0</v>
      </c>
      <c r="O13" s="7">
        <f t="shared" si="0"/>
        <v>0</v>
      </c>
      <c r="P13" s="7">
        <f>VLOOKUP($A13,[6]HISTOJUIN24!$A$6:$AV$47,30,0)</f>
        <v>0</v>
      </c>
    </row>
    <row r="14" spans="1:16" x14ac:dyDescent="0.25">
      <c r="A14" s="1" t="s">
        <v>8</v>
      </c>
      <c r="B14" s="7">
        <f>IF(D14=0,0,VLOOKUP($A14,[6]HISTOJUIN24!$A$6:$BB$47,12,0))</f>
        <v>0</v>
      </c>
      <c r="C14" s="1" t="str">
        <f>VLOOKUP(A14,[7]LISTADHERENT!A$5:H$60,3,0)</f>
        <v>NANKAM APPOLINAIRE</v>
      </c>
      <c r="D14" s="7">
        <f>IF(E14="ECHEC",0,VLOOKUP($A14,[6]HISTOJUIN24!$A$6:$AR$47,13,0))</f>
        <v>0</v>
      </c>
      <c r="E14" s="7" t="str">
        <f>VLOOKUP($A14,[6]HISTOJUIN24!$A$6:$AV$47,8,0)</f>
        <v>ECHEC</v>
      </c>
      <c r="F14" s="7">
        <f>VLOOKUP($A14,[6]HISTOJUIN24!$A$6:$AV$47,36,0)</f>
        <v>0</v>
      </c>
      <c r="G14" s="7">
        <f>VLOOKUP($A14,[6]HISTOJUIN24!$A$6:$AV$47,39,0)</f>
        <v>0</v>
      </c>
      <c r="H14" s="7">
        <f>IF(G14=0,0,VLOOKUP($A14,[6]HISTOJUIN24!$A$6:$AV$47,42,0))</f>
        <v>0</v>
      </c>
      <c r="I14" s="7">
        <f>VLOOKUP($A14,[6]HISTOJUIN24!$A$6:$AV$47,41,0)</f>
        <v>0</v>
      </c>
      <c r="J14" s="7">
        <f>TONTMAI24!F14+TONTMAI24!G14</f>
        <v>0</v>
      </c>
      <c r="K14" s="7">
        <f>VLOOKUP($A14,[6]HISTOJUIN24!$A$6:$AV$47,17,0)</f>
        <v>0</v>
      </c>
      <c r="L14" s="7" t="str">
        <f>IF(K14&lt;&gt;0,VLOOKUP($A14,[6]HISTOJUIN24!$A$6:$BB$47,8,0),"ECHEC")</f>
        <v>ECHEC</v>
      </c>
      <c r="M14" s="7">
        <f>IF(P14=0,0,VLOOKUP($A14,[6]HISTOJUIN24!$A$6:$AV$47,32,0))</f>
        <v>0</v>
      </c>
      <c r="N14" s="7">
        <f>VLOOKUP($A14,[6]HISTOJUIN24!$A$6:$AV$47,33,0)</f>
        <v>0</v>
      </c>
      <c r="O14" s="7">
        <f t="shared" si="0"/>
        <v>0</v>
      </c>
      <c r="P14" s="7">
        <f>VLOOKUP($A14,[6]HISTOJUIN24!$A$6:$AV$47,30,0)</f>
        <v>0</v>
      </c>
    </row>
    <row r="15" spans="1:16" x14ac:dyDescent="0.25">
      <c r="A15" s="1" t="s">
        <v>35</v>
      </c>
      <c r="B15" s="7">
        <f>IF(D15=0,0,VLOOKUP($A15,[6]HISTOJUIN24!$A$6:$BB$47,12,0))</f>
        <v>0</v>
      </c>
      <c r="C15" s="1" t="str">
        <f>VLOOKUP(A15,[7]LISTADHERENT!A$5:H$60,3,0)</f>
        <v>NGONDIEP CLAUDE</v>
      </c>
      <c r="D15" s="7">
        <f>IF(E15="ECHEC",0,VLOOKUP($A15,[6]HISTOJUIN24!$A$6:$AR$47,13,0))</f>
        <v>0</v>
      </c>
      <c r="E15" s="7" t="str">
        <f>VLOOKUP($A15,[6]HISTOJUIN24!$A$6:$AV$47,8,0)</f>
        <v>ECHEC</v>
      </c>
      <c r="F15" s="7">
        <f>VLOOKUP($A15,[6]HISTOJUIN24!$A$6:$AV$47,36,0)</f>
        <v>0</v>
      </c>
      <c r="G15" s="7">
        <f>VLOOKUP($A15,[6]HISTOJUIN24!$A$6:$AV$47,39,0)</f>
        <v>0</v>
      </c>
      <c r="H15" s="7">
        <f>IF(G15=0,0,VLOOKUP($A15,[6]HISTOJUIN24!$A$6:$AV$47,42,0))</f>
        <v>0</v>
      </c>
      <c r="I15" s="7">
        <f>VLOOKUP($A15,[6]HISTOJUIN24!$A$6:$AV$47,41,0)</f>
        <v>0</v>
      </c>
      <c r="J15" s="7">
        <f>TONTMAI24!F15+TONTMAI24!G15</f>
        <v>0</v>
      </c>
      <c r="K15" s="7">
        <f>VLOOKUP($A15,[6]HISTOJUIN24!$A$6:$AV$47,17,0)</f>
        <v>0</v>
      </c>
      <c r="L15" s="7" t="str">
        <f>IF(K15&lt;&gt;0,VLOOKUP($A15,[6]HISTOJUIN24!$A$6:$BB$47,8,0),"ECHEC")</f>
        <v>ECHEC</v>
      </c>
      <c r="M15" s="7">
        <f>IF(P15=0,0,VLOOKUP($A15,[6]HISTOJUIN24!$A$6:$AV$47,32,0))</f>
        <v>0</v>
      </c>
      <c r="N15" s="7">
        <f>VLOOKUP($A15,[6]HISTOJUIN24!$A$6:$AV$47,33,0)</f>
        <v>0</v>
      </c>
      <c r="O15" s="7">
        <f t="shared" si="0"/>
        <v>0</v>
      </c>
      <c r="P15" s="7">
        <f>VLOOKUP($A15,[6]HISTOJUIN24!$A$6:$AV$47,30,0)</f>
        <v>0</v>
      </c>
    </row>
    <row r="16" spans="1:16" x14ac:dyDescent="0.25">
      <c r="A16" s="1" t="s">
        <v>20</v>
      </c>
      <c r="B16" s="7">
        <f>IF(D16=0,0,VLOOKUP($A16,[6]HISTOJUIN24!$A$6:$BB$47,12,0))</f>
        <v>0</v>
      </c>
      <c r="C16" s="1" t="str">
        <f>VLOOKUP(A16,[7]LISTADHERENT!A$5:H$60,3,0)</f>
        <v>NGUIEMEGNI MATHIEU BLAISE</v>
      </c>
      <c r="D16" s="7">
        <f>IF(E16="ECHEC",0,VLOOKUP($A16,[6]HISTOJUIN24!$A$6:$AR$47,13,0))</f>
        <v>0</v>
      </c>
      <c r="E16" s="7" t="str">
        <f>VLOOKUP($A16,[6]HISTOJUIN24!$A$6:$AV$47,8,0)</f>
        <v>ECHEC</v>
      </c>
      <c r="F16" s="7">
        <f>VLOOKUP($A16,[6]HISTOJUIN24!$A$6:$AV$47,36,0)</f>
        <v>0</v>
      </c>
      <c r="G16" s="7">
        <f>VLOOKUP($A16,[6]HISTOJUIN24!$A$6:$AV$47,39,0)</f>
        <v>0</v>
      </c>
      <c r="H16" s="7">
        <f>IF(G16=0,0,VLOOKUP($A16,[6]HISTOJUIN24!$A$6:$AV$47,42,0))</f>
        <v>0</v>
      </c>
      <c r="I16" s="7">
        <f>VLOOKUP($A16,[6]HISTOJUIN24!$A$6:$AV$47,41,0)</f>
        <v>0</v>
      </c>
      <c r="J16" s="7">
        <f>TONTMAI24!F16+TONTMAI24!G16</f>
        <v>0</v>
      </c>
      <c r="K16" s="7">
        <f>VLOOKUP($A16,[6]HISTOJUIN24!$A$6:$AV$47,17,0)</f>
        <v>0</v>
      </c>
      <c r="L16" s="7" t="str">
        <f>IF(K16&lt;&gt;0,VLOOKUP($A16,[6]HISTOJUIN24!$A$6:$BB$47,8,0),"ECHEC")</f>
        <v>ECHEC</v>
      </c>
      <c r="M16" s="7">
        <f>IF(P16=0,0,VLOOKUP($A16,[6]HISTOJUIN24!$A$6:$AV$47,32,0))</f>
        <v>0</v>
      </c>
      <c r="N16" s="7">
        <f>VLOOKUP($A16,[6]HISTOJUIN24!$A$6:$AV$47,33,0)</f>
        <v>0</v>
      </c>
      <c r="O16" s="7">
        <f t="shared" si="0"/>
        <v>0</v>
      </c>
      <c r="P16" s="7">
        <f>VLOOKUP($A16,[6]HISTOJUIN24!$A$6:$AV$47,30,0)</f>
        <v>0</v>
      </c>
    </row>
    <row r="17" spans="1:16" x14ac:dyDescent="0.25">
      <c r="A17" s="1" t="s">
        <v>27</v>
      </c>
      <c r="B17" s="7">
        <f>IF(D17=0,0,VLOOKUP($A17,[6]HISTOJUIN24!$A$6:$BB$47,12,0))</f>
        <v>0</v>
      </c>
      <c r="C17" s="1" t="str">
        <f>VLOOKUP(A17,[7]LISTADHERENT!A$5:H$60,3,0)</f>
        <v>PATEGO NJOSSU GUSTAVE</v>
      </c>
      <c r="D17" s="7">
        <f>IF(E17="ECHEC",0,VLOOKUP($A17,[6]HISTOJUIN24!$A$6:$AR$47,13,0))</f>
        <v>0</v>
      </c>
      <c r="E17" s="7" t="str">
        <f>VLOOKUP($A17,[6]HISTOJUIN24!$A$6:$AV$47,8,0)</f>
        <v>ECHEC</v>
      </c>
      <c r="F17" s="7">
        <f>VLOOKUP($A17,[6]HISTOJUIN24!$A$6:$AV$47,36,0)</f>
        <v>0</v>
      </c>
      <c r="G17" s="7">
        <f>VLOOKUP($A17,[6]HISTOJUIN24!$A$6:$AV$47,39,0)</f>
        <v>0</v>
      </c>
      <c r="H17" s="7">
        <f>IF(G17=0,0,VLOOKUP($A17,[6]HISTOJUIN24!$A$6:$AV$47,42,0))</f>
        <v>0</v>
      </c>
      <c r="I17" s="7">
        <f>VLOOKUP($A17,[6]HISTOJUIN24!$A$6:$AV$47,41,0)</f>
        <v>0</v>
      </c>
      <c r="J17" s="7">
        <f>TONTMAI24!F17+TONTMAI24!G17</f>
        <v>0</v>
      </c>
      <c r="K17" s="7">
        <f>VLOOKUP($A17,[6]HISTOJUIN24!$A$6:$AV$47,17,0)</f>
        <v>0</v>
      </c>
      <c r="L17" s="7" t="str">
        <f>IF(K17&lt;&gt;0,VLOOKUP($A17,[6]HISTOJUIN24!$A$6:$BB$47,8,0),"ECHEC")</f>
        <v>ECHEC</v>
      </c>
      <c r="M17" s="7">
        <f>IF(P17=0,0,VLOOKUP($A17,[6]HISTOJUIN24!$A$6:$AV$47,32,0))</f>
        <v>0</v>
      </c>
      <c r="N17" s="7">
        <f>VLOOKUP($A17,[6]HISTOJUIN24!$A$6:$AV$47,33,0)</f>
        <v>0</v>
      </c>
      <c r="O17" s="7">
        <f t="shared" si="0"/>
        <v>0</v>
      </c>
      <c r="P17" s="7">
        <f>VLOOKUP($A17,[6]HISTOJUIN24!$A$6:$AV$47,30,0)</f>
        <v>0</v>
      </c>
    </row>
    <row r="18" spans="1:16" x14ac:dyDescent="0.25">
      <c r="A18" s="9" t="s">
        <v>48</v>
      </c>
      <c r="B18" s="7">
        <f>IF(D18=0,0,VLOOKUP($A18,[6]HISTOJUIN24!$A$6:$BB$47,12,0))</f>
        <v>0</v>
      </c>
      <c r="C18" s="1" t="str">
        <f>VLOOKUP(A18,[7]LISTADHERENT!A$5:H$60,3,0)</f>
        <v>TCHOUAMOU MATHIEU</v>
      </c>
      <c r="D18" s="7">
        <f>IF(E18="ECHEC",0,VLOOKUP($A18,[6]HISTOJUIN24!$A$6:$AR$47,13,0))</f>
        <v>0</v>
      </c>
      <c r="E18" s="7" t="str">
        <f>VLOOKUP($A18,[6]HISTOJUIN24!$A$6:$AV$47,8,0)</f>
        <v>ECHEC</v>
      </c>
      <c r="F18" s="7">
        <f>VLOOKUP($A18,[6]HISTOJUIN24!$A$6:$AV$47,36,0)</f>
        <v>0</v>
      </c>
      <c r="G18" s="7">
        <f>VLOOKUP($A18,[6]HISTOJUIN24!$A$6:$AV$47,39,0)</f>
        <v>0</v>
      </c>
      <c r="H18" s="7">
        <f>IF(G18=0,0,VLOOKUP($A18,[6]HISTOJUIN24!$A$6:$AV$47,42,0))</f>
        <v>0</v>
      </c>
      <c r="I18" s="7">
        <f>VLOOKUP($A18,[6]HISTOJUIN24!$A$6:$AV$47,41,0)</f>
        <v>0</v>
      </c>
      <c r="J18" s="7">
        <f>TONTMAI24!F18+TONTMAI24!G18</f>
        <v>0</v>
      </c>
      <c r="K18" s="7">
        <f>VLOOKUP($A18,[6]HISTOJUIN24!$A$6:$AV$47,17,0)</f>
        <v>0</v>
      </c>
      <c r="L18" s="7" t="str">
        <f>IF(K18&lt;&gt;0,VLOOKUP($A18,[6]HISTOJUIN24!$A$6:$BB$47,8,0),"ECHEC")</f>
        <v>ECHEC</v>
      </c>
      <c r="M18" s="7">
        <f>IF(P18=0,0,VLOOKUP($A18,[6]HISTOJUIN24!$A$6:$AV$47,32,0))</f>
        <v>0</v>
      </c>
      <c r="N18" s="7">
        <f>VLOOKUP($A18,[6]HISTOJUIN24!$A$6:$AV$47,33,0)</f>
        <v>0</v>
      </c>
      <c r="O18" s="7">
        <f t="shared" si="0"/>
        <v>0</v>
      </c>
      <c r="P18" s="7">
        <f>VLOOKUP($A18,[6]HISTOJUIN24!$A$6:$AV$47,30,0)</f>
        <v>0</v>
      </c>
    </row>
    <row r="19" spans="1:16" x14ac:dyDescent="0.25">
      <c r="A19" s="1" t="s">
        <v>19</v>
      </c>
      <c r="B19" s="7">
        <f>IF(D19=0,0,VLOOKUP($A19,[6]HISTOJUIN24!$A$6:$BB$47,12,0))</f>
        <v>0</v>
      </c>
      <c r="C19" s="1" t="str">
        <f>VLOOKUP(A19,[7]LISTADHERENT!A$5:H$60,3,0)</f>
        <v>YOUMBI EMMANUEL</v>
      </c>
      <c r="D19" s="7">
        <f>IF(E19="ECHEC",0,VLOOKUP($A19,[6]HISTOJUIN24!$A$6:$AR$47,13,0))</f>
        <v>0</v>
      </c>
      <c r="E19" s="7" t="str">
        <f>VLOOKUP($A19,[6]HISTOJUIN24!$A$6:$AV$47,8,0)</f>
        <v>ECHEC</v>
      </c>
      <c r="F19" s="7">
        <f>VLOOKUP($A19,[6]HISTOJUIN24!$A$6:$AV$47,36,0)</f>
        <v>0</v>
      </c>
      <c r="G19" s="7">
        <f>VLOOKUP($A19,[6]HISTOJUIN24!$A$6:$AV$47,39,0)</f>
        <v>0</v>
      </c>
      <c r="H19" s="7">
        <f>IF(G19=0,0,VLOOKUP($A19,[6]HISTOJUIN24!$A$6:$AV$47,42,0))</f>
        <v>0</v>
      </c>
      <c r="I19" s="7">
        <f>VLOOKUP($A19,[6]HISTOJUIN24!$A$6:$AV$47,41,0)</f>
        <v>0</v>
      </c>
      <c r="J19" s="7">
        <f>TONTMAI24!F19+TONTMAI24!G19</f>
        <v>0</v>
      </c>
      <c r="K19" s="7">
        <f>VLOOKUP($A19,[6]HISTOJUIN24!$A$6:$AV$47,17,0)</f>
        <v>0</v>
      </c>
      <c r="L19" s="7" t="str">
        <f>IF(K19&lt;&gt;0,VLOOKUP($A19,[6]HISTOJUIN24!$A$6:$BB$47,8,0),"ECHEC")</f>
        <v>ECHEC</v>
      </c>
      <c r="M19" s="7">
        <f>IF(P19=0,0,VLOOKUP($A19,[6]HISTOJUIN24!$A$6:$AV$47,32,0))</f>
        <v>0</v>
      </c>
      <c r="N19" s="7">
        <f>VLOOKUP($A19,[6]HISTOJUIN24!$A$6:$AV$47,33,0)</f>
        <v>0</v>
      </c>
      <c r="O19" s="7">
        <f t="shared" si="0"/>
        <v>0</v>
      </c>
      <c r="P19" s="7">
        <f>VLOOKUP($A19,[6]HISTOJUIN24!$A$6:$AV$47,30,0)</f>
        <v>0</v>
      </c>
    </row>
    <row r="20" spans="1:16" x14ac:dyDescent="0.2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8" x14ac:dyDescent="0.25">
      <c r="A21" s="1" t="s">
        <v>36</v>
      </c>
      <c r="B21" s="8">
        <f>SUM(B6:B20)</f>
        <v>0</v>
      </c>
      <c r="G21" s="11"/>
    </row>
    <row r="22" spans="1:16" ht="18" x14ac:dyDescent="0.25">
      <c r="A22" s="1" t="s">
        <v>37</v>
      </c>
      <c r="B22" s="15">
        <f>COUNT(D6:D20)</f>
        <v>14</v>
      </c>
      <c r="C22" s="8"/>
      <c r="D22" s="8">
        <f t="shared" ref="D22:P22" si="1">SUM(D6:D21)</f>
        <v>0</v>
      </c>
      <c r="E22" s="8">
        <f t="shared" si="1"/>
        <v>0</v>
      </c>
      <c r="F22" s="8">
        <f t="shared" si="1"/>
        <v>0</v>
      </c>
      <c r="G22" s="8">
        <f t="shared" si="1"/>
        <v>0</v>
      </c>
      <c r="H22" s="8">
        <f t="shared" si="1"/>
        <v>0</v>
      </c>
      <c r="I22" s="8">
        <f t="shared" si="1"/>
        <v>0</v>
      </c>
      <c r="J22" s="8">
        <f t="shared" si="1"/>
        <v>0</v>
      </c>
      <c r="K22" s="8">
        <f t="shared" si="1"/>
        <v>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0</v>
      </c>
      <c r="P22" s="8">
        <f t="shared" si="1"/>
        <v>0</v>
      </c>
    </row>
    <row r="23" spans="1:16" x14ac:dyDescent="0.25">
      <c r="A23" s="2"/>
      <c r="G23" s="11"/>
      <c r="L23" s="5" t="s">
        <v>33</v>
      </c>
      <c r="M23" s="5" t="s">
        <v>43</v>
      </c>
    </row>
    <row r="24" spans="1:16" ht="29.25" x14ac:dyDescent="0.25">
      <c r="A24" s="2"/>
      <c r="B24" s="2"/>
      <c r="C24" s="2"/>
      <c r="D24" s="5" t="s">
        <v>5</v>
      </c>
      <c r="E24" s="5" t="s">
        <v>12</v>
      </c>
      <c r="F24" s="5" t="s">
        <v>14</v>
      </c>
      <c r="G24" s="5" t="s">
        <v>16</v>
      </c>
      <c r="H24" s="5" t="s">
        <v>17</v>
      </c>
      <c r="I24" s="5"/>
      <c r="J24" s="8" t="s">
        <v>46</v>
      </c>
      <c r="K24" s="8">
        <f>D22+E28+P22+TONTMAI24!M29</f>
        <v>0</v>
      </c>
      <c r="L24" s="5"/>
      <c r="N24" s="5"/>
    </row>
    <row r="25" spans="1:16" s="2" customFormat="1" ht="18" x14ac:dyDescent="0.25">
      <c r="D25" s="8">
        <f>SUMIFS(D6:D21,E6:E21,"ESPECES")</f>
        <v>0</v>
      </c>
      <c r="E25" s="8">
        <f>SUMIFS(K7:K18,L7:L18,"ESPECES")</f>
        <v>0</v>
      </c>
      <c r="F25" s="8">
        <f>SUMIFS(F7:F21,H7:H21,"ESPECES")</f>
        <v>0</v>
      </c>
      <c r="G25" s="8">
        <f>SUMIFS(O7:O21,M7:M21,"ESPECES")</f>
        <v>0</v>
      </c>
      <c r="H25" s="8">
        <f>D25+E25-F25-G25</f>
        <v>0</v>
      </c>
      <c r="I25" s="8"/>
      <c r="J25" s="8" t="s">
        <v>32</v>
      </c>
      <c r="K25" s="8">
        <f>C3*COUNTIF(O7:O21,"&gt;0")</f>
        <v>0</v>
      </c>
      <c r="L25" s="8">
        <f>D3</f>
        <v>0</v>
      </c>
      <c r="M25" s="8">
        <f>COUNTIF(O7:O18,"&gt;0")</f>
        <v>0</v>
      </c>
      <c r="N25" s="8"/>
    </row>
    <row r="26" spans="1:16" s="2" customFormat="1" ht="18" x14ac:dyDescent="0.25">
      <c r="D26" s="8">
        <f>SUMIFS(D6:D21,E6:E21,"BANQUE")</f>
        <v>0</v>
      </c>
      <c r="E26" s="8">
        <f>SUMIFS(K7:K18,L7:L18,"BANQUE")</f>
        <v>0</v>
      </c>
      <c r="F26" s="8">
        <f>SUMIFS(F7:F21,H7:H21,"BANQUE")</f>
        <v>0</v>
      </c>
      <c r="G26" s="8">
        <f>SUMIFS(O7:O21,M7:M21,"BANQUE")</f>
        <v>0</v>
      </c>
      <c r="H26" s="8">
        <f>D26+E26-F26-G26</f>
        <v>0</v>
      </c>
      <c r="I26" s="8"/>
      <c r="K26" s="8"/>
      <c r="L26" s="8"/>
      <c r="M26" s="8"/>
      <c r="N26" s="8"/>
    </row>
    <row r="27" spans="1:16" s="2" customFormat="1" ht="18" x14ac:dyDescent="0.25">
      <c r="D27" s="8"/>
      <c r="E27" s="8"/>
      <c r="F27" s="8"/>
      <c r="G27" s="8"/>
      <c r="I27" s="8"/>
      <c r="J27" s="8" t="s">
        <v>22</v>
      </c>
      <c r="K27" s="8">
        <f>K24-K25</f>
        <v>0</v>
      </c>
      <c r="L27" s="8"/>
      <c r="M27" s="8"/>
      <c r="N27" s="8"/>
    </row>
    <row r="28" spans="1:16" s="2" customFormat="1" ht="18" x14ac:dyDescent="0.25">
      <c r="D28" s="8">
        <f>D25+D26</f>
        <v>0</v>
      </c>
      <c r="E28" s="8">
        <f>E25+E26</f>
        <v>0</v>
      </c>
      <c r="F28" s="8">
        <f>F25+F26</f>
        <v>0</v>
      </c>
      <c r="G28" s="8">
        <f t="shared" ref="G28:H28" si="2">G25+G26</f>
        <v>0</v>
      </c>
      <c r="H28" s="8">
        <f t="shared" si="2"/>
        <v>0</v>
      </c>
      <c r="I28" s="8"/>
      <c r="K28" s="8"/>
      <c r="L28" s="8"/>
      <c r="M28" s="8"/>
      <c r="N28" s="8"/>
    </row>
    <row r="29" spans="1:16" s="2" customFormat="1" ht="18" x14ac:dyDescent="0.25">
      <c r="D29" s="8"/>
      <c r="E29"/>
      <c r="F29"/>
      <c r="G29" s="3"/>
      <c r="H29" s="3"/>
      <c r="I29" s="3"/>
      <c r="J29" s="8" t="s">
        <v>28</v>
      </c>
      <c r="K29" s="8">
        <f>K27-F22</f>
        <v>0</v>
      </c>
      <c r="L29"/>
      <c r="M29" s="8">
        <f>K29</f>
        <v>0</v>
      </c>
      <c r="N29" s="8" t="s">
        <v>29</v>
      </c>
    </row>
    <row r="30" spans="1:16" s="2" customFormat="1" x14ac:dyDescent="0.25">
      <c r="D30" s="5"/>
      <c r="E30"/>
      <c r="F30"/>
      <c r="G30" s="3"/>
      <c r="H30" s="3"/>
      <c r="I30" s="3"/>
      <c r="L30"/>
      <c r="M30" s="3"/>
      <c r="N30" s="3"/>
    </row>
    <row r="31" spans="1:16" s="2" customFormat="1" ht="18" x14ac:dyDescent="0.25">
      <c r="A31"/>
      <c r="B31"/>
      <c r="C31"/>
      <c r="D31"/>
      <c r="E31"/>
      <c r="F31"/>
      <c r="G31" s="3"/>
      <c r="H31" s="3"/>
      <c r="I31" s="3"/>
      <c r="J31" s="8" t="s">
        <v>44</v>
      </c>
      <c r="K31" s="8">
        <f>COUNTIFS(E7:E20,"ECHEC")*75000</f>
        <v>975000</v>
      </c>
      <c r="L31"/>
      <c r="M31" s="8">
        <f>+K31</f>
        <v>975000</v>
      </c>
      <c r="N31" s="8" t="s">
        <v>29</v>
      </c>
    </row>
    <row r="32" spans="1:16" s="2" customFormat="1" ht="18" x14ac:dyDescent="0.25">
      <c r="A32"/>
      <c r="B32"/>
      <c r="C32"/>
      <c r="D32"/>
      <c r="E32"/>
      <c r="F32"/>
      <c r="G32" s="3"/>
      <c r="H32" s="3"/>
      <c r="I32" s="3"/>
      <c r="J32" s="8" t="s">
        <v>45</v>
      </c>
      <c r="K32" s="8">
        <f>J22-E28</f>
        <v>0</v>
      </c>
      <c r="L32"/>
      <c r="M32" s="8">
        <f>+K32</f>
        <v>0</v>
      </c>
      <c r="N32" s="8" t="s">
        <v>29</v>
      </c>
    </row>
    <row r="33" spans="10:14" ht="18" x14ac:dyDescent="0.25">
      <c r="J33" s="8" t="s">
        <v>44</v>
      </c>
      <c r="K33" s="8">
        <f>COUNTIFS(E7:E22,"ECHEC")*75000</f>
        <v>975000</v>
      </c>
      <c r="M33" s="8">
        <f>+K33</f>
        <v>975000</v>
      </c>
      <c r="N33" s="8" t="s">
        <v>29</v>
      </c>
    </row>
    <row r="34" spans="10:14" ht="18" x14ac:dyDescent="0.25">
      <c r="J34" s="8" t="s">
        <v>45</v>
      </c>
      <c r="K34" s="8" t="e">
        <f>J24-E30</f>
        <v>#VALUE!</v>
      </c>
      <c r="M34" s="8" t="e">
        <f>+K34</f>
        <v>#VALUE!</v>
      </c>
      <c r="N34" s="8" t="s">
        <v>29</v>
      </c>
    </row>
  </sheetData>
  <autoFilter ref="A5:P17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workbookViewId="0">
      <pane xSplit="3" ySplit="5" topLeftCell="E18" activePane="bottomRight" state="frozen"/>
      <selection activeCell="G6" sqref="G6:G39"/>
      <selection pane="topRight" activeCell="G6" sqref="G6:G39"/>
      <selection pane="bottomLeft" activeCell="G6" sqref="G6:G39"/>
      <selection pane="bottomRight" activeCell="K24" sqref="K24"/>
    </sheetView>
  </sheetViews>
  <sheetFormatPr baseColWidth="10" defaultColWidth="11" defaultRowHeight="15" x14ac:dyDescent="0.25"/>
  <cols>
    <col min="1" max="1" width="13.85546875" customWidth="1"/>
    <col min="2" max="2" width="16.7109375" customWidth="1"/>
    <col min="3" max="3" width="29.5703125" customWidth="1"/>
    <col min="4" max="4" width="21" customWidth="1"/>
    <col min="5" max="5" width="16.7109375" customWidth="1"/>
    <col min="6" max="6" width="1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3" customWidth="1"/>
    <col min="13" max="13" width="1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2024</v>
      </c>
      <c r="C2" s="1" t="s">
        <v>30</v>
      </c>
      <c r="D2" s="1" t="s">
        <v>33</v>
      </c>
      <c r="E2" s="1"/>
      <c r="L2" s="1"/>
      <c r="M2" s="1"/>
    </row>
    <row r="3" spans="1:16" x14ac:dyDescent="0.25">
      <c r="A3" s="1" t="s">
        <v>31</v>
      </c>
      <c r="B3" s="4">
        <v>75000</v>
      </c>
      <c r="C3" s="4">
        <f>B3*12</f>
        <v>900000</v>
      </c>
      <c r="D3" s="1">
        <f>ROUNDDOWN(K26/C3,0)</f>
        <v>0</v>
      </c>
      <c r="E3" s="1"/>
      <c r="L3" s="1"/>
      <c r="M3" s="1"/>
    </row>
    <row r="4" spans="1:16" s="12" customFormat="1" ht="18" x14ac:dyDescent="0.25">
      <c r="B4" s="13"/>
      <c r="C4" s="16">
        <v>45578</v>
      </c>
      <c r="D4" s="17"/>
      <c r="E4" s="17"/>
      <c r="F4" s="17"/>
      <c r="G4" s="17"/>
      <c r="H4" s="17"/>
      <c r="I4" s="17"/>
      <c r="J4" s="17"/>
      <c r="L4" s="14"/>
      <c r="M4" s="14"/>
      <c r="N4" s="14"/>
      <c r="O4" s="14"/>
    </row>
    <row r="5" spans="1:16" ht="57.75" x14ac:dyDescent="0.25">
      <c r="A5" s="1" t="s">
        <v>3</v>
      </c>
      <c r="B5" s="1" t="s">
        <v>38</v>
      </c>
      <c r="C5" s="1" t="s">
        <v>4</v>
      </c>
      <c r="D5" s="5" t="s">
        <v>5</v>
      </c>
      <c r="E5" s="6" t="s">
        <v>39</v>
      </c>
      <c r="F5" s="4" t="s">
        <v>14</v>
      </c>
      <c r="G5" s="5" t="s">
        <v>10</v>
      </c>
      <c r="H5" s="5" t="s">
        <v>15</v>
      </c>
      <c r="I5" s="10" t="s">
        <v>23</v>
      </c>
      <c r="J5" s="5" t="s">
        <v>40</v>
      </c>
      <c r="K5" s="5" t="s">
        <v>12</v>
      </c>
      <c r="L5" s="5" t="s">
        <v>11</v>
      </c>
      <c r="M5" s="5" t="s">
        <v>41</v>
      </c>
      <c r="N5" s="5" t="s">
        <v>23</v>
      </c>
      <c r="O5" s="5" t="s">
        <v>42</v>
      </c>
      <c r="P5" s="5" t="s">
        <v>13</v>
      </c>
    </row>
    <row r="6" spans="1:16" x14ac:dyDescent="0.25">
      <c r="A6" s="1" t="s">
        <v>47</v>
      </c>
      <c r="B6" s="7">
        <f>IF(D6=0,0,VLOOKUP($A6,[6]HISTOOCT24!$A$6:$BB$47,12,0))</f>
        <v>0</v>
      </c>
      <c r="C6" s="1" t="str">
        <f>VLOOKUP(A6,[7]LISTADHERENT!A$5:H$60,3,0)</f>
        <v>ASELBY</v>
      </c>
      <c r="D6" s="7">
        <f>IF(E6="ECHEC",0,VLOOKUP($A6,[6]HISTOOCT24!$A$6:$AR$47,13,0))</f>
        <v>0</v>
      </c>
      <c r="E6" s="7" t="str">
        <f>VLOOKUP($A6,[6]HISTOOCT24!$A$6:$AV$47,8,0)</f>
        <v>ECHEC</v>
      </c>
      <c r="F6" s="7">
        <f>VLOOKUP($A6,[6]HISTOOCT24!$A$6:$AV$47,36,0)</f>
        <v>0</v>
      </c>
      <c r="G6" s="7">
        <f>VLOOKUP($A6,[6]HISTOOCT24!$A$6:$AV$47,39,0)</f>
        <v>0</v>
      </c>
      <c r="H6" s="7">
        <f>IF(G6=0,0,VLOOKUP($A6,[6]HISTOOCT24!$A$6:$AV$47,42,0))</f>
        <v>0</v>
      </c>
      <c r="I6" s="7">
        <f>VLOOKUP($A6,[6]HISTOOCT24!$A$6:$AV$47,41,0)</f>
        <v>0</v>
      </c>
      <c r="J6" s="7">
        <f>TONTSEPT24!F6+TONTSEPT24!G6</f>
        <v>0</v>
      </c>
      <c r="K6" s="7">
        <f>VLOOKUP($A6,[6]HISTOOCT24!$A$6:$AV$47,17,0)</f>
        <v>0</v>
      </c>
      <c r="L6" s="7" t="str">
        <f>IF(K6&lt;&gt;0,VLOOKUP($A6,[6]HISTOOCT24!$A$6:$BB$47,8,0),"ECHEC")</f>
        <v>ECHEC</v>
      </c>
      <c r="M6" s="7">
        <f>IF(P6=0,0,VLOOKUP($A6,[6]HISTOOCT24!$A$6:$AV$47,32,0))</f>
        <v>0</v>
      </c>
      <c r="N6" s="7">
        <f>VLOOKUP($A6,[6]HISTOOCT24!$A$6:$AV$47,33,0)</f>
        <v>0</v>
      </c>
      <c r="O6" s="7">
        <f t="shared" ref="O6:O19" si="0">IF(P6=0,0,($C$3-P6))</f>
        <v>0</v>
      </c>
      <c r="P6" s="7">
        <f>VLOOKUP($A6,[6]HISTOOCT24!$A$6:$AV$47,30,0)</f>
        <v>0</v>
      </c>
    </row>
    <row r="7" spans="1:16" x14ac:dyDescent="0.25">
      <c r="A7" s="1" t="s">
        <v>24</v>
      </c>
      <c r="B7" s="7">
        <f>IF(D7=0,0,VLOOKUP($A7,[6]HISTOOCT24!$A$6:$BB$47,12,0))</f>
        <v>0</v>
      </c>
      <c r="C7" s="1" t="str">
        <f>VLOOKUP(A7,[7]LISTADHERENT!A$5:H$60,3,0)</f>
        <v>BOUTCHOUANG WILLIAM</v>
      </c>
      <c r="D7" s="7">
        <f>IF(E7="ECHEC",0,VLOOKUP($A7,[6]HISTOOCT24!$A$6:$AR$47,13,0))</f>
        <v>0</v>
      </c>
      <c r="E7" s="7" t="str">
        <f>VLOOKUP($A7,[6]HISTOOCT24!$A$6:$AV$47,8,0)</f>
        <v>ECHEC</v>
      </c>
      <c r="F7" s="7">
        <f>VLOOKUP($A7,[6]HISTOOCT24!$A$6:$AV$47,36,0)</f>
        <v>0</v>
      </c>
      <c r="G7" s="7">
        <f>VLOOKUP($A7,[6]HISTOOCT24!$A$6:$AV$47,39,0)</f>
        <v>0</v>
      </c>
      <c r="H7" s="7">
        <f>IF(G7=0,0,VLOOKUP($A7,[6]HISTOOCT24!$A$6:$AV$47,42,0))</f>
        <v>0</v>
      </c>
      <c r="I7" s="7">
        <f>VLOOKUP($A7,[6]HISTOOCT24!$A$6:$AV$47,41,0)</f>
        <v>0</v>
      </c>
      <c r="J7" s="7">
        <f>TONTSEPT24!F7+TONTSEPT24!G7</f>
        <v>0</v>
      </c>
      <c r="K7" s="7">
        <f>VLOOKUP($A7,[6]HISTOOCT24!$A$6:$AV$47,17,0)</f>
        <v>0</v>
      </c>
      <c r="L7" s="7" t="str">
        <f>IF(K7&lt;&gt;0,VLOOKUP($A7,[6]HISTOOCT24!$A$6:$BB$47,8,0),"ECHEC")</f>
        <v>ECHEC</v>
      </c>
      <c r="M7" s="7">
        <f>IF(P7=0,0,VLOOKUP($A7,[6]HISTOOCT24!$A$6:$AV$47,32,0))</f>
        <v>0</v>
      </c>
      <c r="N7" s="7">
        <f>VLOOKUP($A7,[6]HISTOOCT24!$A$6:$AV$47,33,0)</f>
        <v>0</v>
      </c>
      <c r="O7" s="7">
        <f t="shared" si="0"/>
        <v>0</v>
      </c>
      <c r="P7" s="7">
        <f>VLOOKUP($A7,[6]HISTOOCT24!$A$6:$AV$47,30,0)</f>
        <v>0</v>
      </c>
    </row>
    <row r="8" spans="1:16" x14ac:dyDescent="0.25">
      <c r="A8" s="1" t="s">
        <v>49</v>
      </c>
      <c r="B8" s="7">
        <f>IF(D8=0,0,VLOOKUP($A8,[6]HISTOOCT24!$A$6:$BB$47,12,0))</f>
        <v>0</v>
      </c>
      <c r="C8" s="1" t="str">
        <f>VLOOKUP(A8,[7]LISTADHERENT!A$5:H$60,3,0)</f>
        <v>DJOMOU TCHAPDA</v>
      </c>
      <c r="D8" s="7">
        <f>IF(E8="ECHEC",0,VLOOKUP($A8,[6]HISTOOCT24!$A$6:$AR$47,13,0))</f>
        <v>0</v>
      </c>
      <c r="E8" s="7" t="str">
        <f>VLOOKUP($A8,[6]HISTOOCT24!$A$6:$AV$47,8,0)</f>
        <v>ECHEC</v>
      </c>
      <c r="F8" s="7">
        <f>VLOOKUP($A8,[6]HISTOOCT24!$A$6:$AV$47,36,0)</f>
        <v>0</v>
      </c>
      <c r="G8" s="7">
        <f>VLOOKUP($A8,[6]HISTOOCT24!$A$6:$AV$47,39,0)</f>
        <v>0</v>
      </c>
      <c r="H8" s="7">
        <f>IF(G8=0,0,VLOOKUP($A8,[6]HISTOOCT24!$A$6:$AV$47,42,0))</f>
        <v>0</v>
      </c>
      <c r="I8" s="7">
        <f>VLOOKUP($A8,[6]HISTOOCT24!$A$6:$AV$47,41,0)</f>
        <v>0</v>
      </c>
      <c r="J8" s="7">
        <f>TONTSEPT24!F8+TONTSEPT24!G8</f>
        <v>0</v>
      </c>
      <c r="K8" s="7">
        <f>VLOOKUP($A8,[6]HISTOOCT24!$A$6:$AV$47,17,0)</f>
        <v>0</v>
      </c>
      <c r="L8" s="7" t="str">
        <f>IF(K8&lt;&gt;0,VLOOKUP($A8,[6]HISTOOCT24!$A$6:$BB$47,8,0),"ECHEC")</f>
        <v>ECHEC</v>
      </c>
      <c r="M8" s="7">
        <f>IF(P8=0,0,VLOOKUP($A8,[6]HISTOOCT24!$A$6:$AV$47,32,0))</f>
        <v>0</v>
      </c>
      <c r="N8" s="7">
        <f>VLOOKUP($A8,[6]HISTOOCT24!$A$6:$AV$47,33,0)</f>
        <v>0</v>
      </c>
      <c r="O8" s="7">
        <f t="shared" si="0"/>
        <v>0</v>
      </c>
      <c r="P8" s="7">
        <f>VLOOKUP($A8,[6]HISTOOCT24!$A$6:$AV$47,30,0)</f>
        <v>0</v>
      </c>
    </row>
    <row r="9" spans="1:16" x14ac:dyDescent="0.25">
      <c r="A9" s="1" t="s">
        <v>25</v>
      </c>
      <c r="B9" s="7">
        <f>IF(D9=0,0,VLOOKUP($A9,[6]HISTOOCT24!$A$6:$BB$47,12,0))</f>
        <v>0</v>
      </c>
      <c r="C9" s="1" t="str">
        <f>VLOOKUP(A9,[7]LISTADHERENT!A$5:H$60,3,0)</f>
        <v>DJOUKWE NANGUEN GUY BLAISE</v>
      </c>
      <c r="D9" s="7">
        <f>IF(E9="ECHEC",0,VLOOKUP($A9,[6]HISTOOCT24!$A$6:$AR$47,13,0))</f>
        <v>0</v>
      </c>
      <c r="E9" s="7" t="str">
        <f>VLOOKUP($A9,[6]HISTOOCT24!$A$6:$AV$47,8,0)</f>
        <v>ECHEC</v>
      </c>
      <c r="F9" s="7">
        <f>VLOOKUP($A9,[6]HISTOOCT24!$A$6:$AV$47,36,0)</f>
        <v>0</v>
      </c>
      <c r="G9" s="7">
        <f>VLOOKUP($A9,[6]HISTOOCT24!$A$6:$AV$47,39,0)</f>
        <v>0</v>
      </c>
      <c r="H9" s="7">
        <f>IF(G9=0,0,VLOOKUP($A9,[6]HISTOOCT24!$A$6:$AV$47,42,0))</f>
        <v>0</v>
      </c>
      <c r="I9" s="7">
        <f>VLOOKUP($A9,[6]HISTOOCT24!$A$6:$AV$47,41,0)</f>
        <v>0</v>
      </c>
      <c r="J9" s="7">
        <f>TONTSEPT24!F9+TONTSEPT24!G9</f>
        <v>0</v>
      </c>
      <c r="K9" s="7">
        <f>VLOOKUP($A9,[6]HISTOOCT24!$A$6:$AV$47,17,0)</f>
        <v>0</v>
      </c>
      <c r="L9" s="7" t="str">
        <f>IF(K9&lt;&gt;0,VLOOKUP($A9,[6]HISTOOCT24!$A$6:$BB$47,8,0),"ECHEC")</f>
        <v>ECHEC</v>
      </c>
      <c r="M9" s="7">
        <f>IF(P9=0,0,VLOOKUP($A9,[6]HISTOOCT24!$A$6:$AV$47,32,0))</f>
        <v>0</v>
      </c>
      <c r="N9" s="7">
        <f>VLOOKUP($A9,[6]HISTOOCT24!$A$6:$AV$47,33,0)</f>
        <v>0</v>
      </c>
      <c r="O9" s="7">
        <f t="shared" si="0"/>
        <v>0</v>
      </c>
      <c r="P9" s="7">
        <f>VLOOKUP($A9,[6]HISTOOCT24!$A$6:$AV$47,30,0)</f>
        <v>0</v>
      </c>
    </row>
    <row r="10" spans="1:16" x14ac:dyDescent="0.25">
      <c r="A10" s="1" t="s">
        <v>34</v>
      </c>
      <c r="B10" s="7">
        <f>IF(D10=0,0,VLOOKUP($A10,[6]HISTOOCT24!$A$6:$BB$47,12,0))</f>
        <v>0</v>
      </c>
      <c r="C10" s="1" t="str">
        <f>VLOOKUP(A10,[7]LISTADHERENT!A$5:H$60,3,0)</f>
        <v>DJUOMBESSY ANTOINE</v>
      </c>
      <c r="D10" s="7">
        <f>IF(E10="ECHEC",0,VLOOKUP($A10,[6]HISTOOCT24!$A$6:$AR$47,13,0))</f>
        <v>0</v>
      </c>
      <c r="E10" s="7" t="str">
        <f>VLOOKUP($A10,[6]HISTOOCT24!$A$6:$AV$47,8,0)</f>
        <v>ECHEC</v>
      </c>
      <c r="F10" s="7">
        <f>VLOOKUP($A10,[6]HISTOOCT24!$A$6:$AV$47,36,0)</f>
        <v>0</v>
      </c>
      <c r="G10" s="7">
        <f>VLOOKUP($A10,[6]HISTOOCT24!$A$6:$AV$47,39,0)</f>
        <v>0</v>
      </c>
      <c r="H10" s="7">
        <f>IF(G10=0,0,VLOOKUP($A10,[6]HISTOOCT24!$A$6:$AV$47,42,0))</f>
        <v>0</v>
      </c>
      <c r="I10" s="7">
        <f>VLOOKUP($A10,[6]HISTOOCT24!$A$6:$AV$47,41,0)</f>
        <v>0</v>
      </c>
      <c r="J10" s="7">
        <f>TONTSEPT24!F10+TONTSEPT24!G10</f>
        <v>0</v>
      </c>
      <c r="K10" s="7">
        <f>VLOOKUP($A10,[6]HISTOOCT24!$A$6:$AV$47,17,0)</f>
        <v>0</v>
      </c>
      <c r="L10" s="7" t="str">
        <f>IF(K10&lt;&gt;0,VLOOKUP($A10,[6]HISTOOCT24!$A$6:$BB$47,8,0),"ECHEC")</f>
        <v>ECHEC</v>
      </c>
      <c r="M10" s="7">
        <f>IF(P10=0,0,VLOOKUP($A10,[6]HISTOOCT24!$A$6:$AV$47,32,0))</f>
        <v>0</v>
      </c>
      <c r="N10" s="7">
        <f>VLOOKUP($A10,[6]HISTOOCT24!$A$6:$AV$47,33,0)</f>
        <v>0</v>
      </c>
      <c r="O10" s="7">
        <f t="shared" si="0"/>
        <v>0</v>
      </c>
      <c r="P10" s="7">
        <f>VLOOKUP($A10,[6]HISTOOCT24!$A$6:$AV$47,30,0)</f>
        <v>0</v>
      </c>
    </row>
    <row r="11" spans="1:16" x14ac:dyDescent="0.25">
      <c r="A11" s="1" t="s">
        <v>18</v>
      </c>
      <c r="B11" s="7">
        <f>IF(D11=0,0,VLOOKUP($A11,[6]HISTOOCT24!$A$6:$BB$47,12,0))</f>
        <v>0</v>
      </c>
      <c r="C11" s="1" t="str">
        <f>VLOOKUP(A11,[7]LISTADHERENT!A$5:H$60,3,0)</f>
        <v>HOTCHO BENJAMIN</v>
      </c>
      <c r="D11" s="7">
        <f>IF(E11="ECHEC",0,VLOOKUP($A11,[6]HISTOOCT24!$A$6:$AR$47,13,0))</f>
        <v>0</v>
      </c>
      <c r="E11" s="7" t="str">
        <f>VLOOKUP($A11,[6]HISTOOCT24!$A$6:$AV$47,8,0)</f>
        <v>ECHEC</v>
      </c>
      <c r="F11" s="7">
        <f>VLOOKUP($A11,[6]HISTOOCT24!$A$6:$AV$47,36,0)</f>
        <v>0</v>
      </c>
      <c r="G11" s="7">
        <f>VLOOKUP($A11,[6]HISTOOCT24!$A$6:$AV$47,39,0)</f>
        <v>0</v>
      </c>
      <c r="H11" s="7">
        <f>IF(G11=0,0,VLOOKUP($A11,[6]HISTOOCT24!$A$6:$AV$47,42,0))</f>
        <v>0</v>
      </c>
      <c r="I11" s="7">
        <f>VLOOKUP($A11,[6]HISTOOCT24!$A$6:$AV$47,41,0)</f>
        <v>0</v>
      </c>
      <c r="J11" s="7">
        <f>TONTSEPT24!F11+TONTSEPT24!G11</f>
        <v>0</v>
      </c>
      <c r="K11" s="7">
        <f>VLOOKUP($A11,[6]HISTOOCT24!$A$6:$AV$47,17,0)</f>
        <v>0</v>
      </c>
      <c r="L11" s="7" t="str">
        <f>IF(K11&lt;&gt;0,VLOOKUP($A11,[6]HISTOOCT24!$A$6:$BB$47,8,0),"ECHEC")</f>
        <v>ECHEC</v>
      </c>
      <c r="M11" s="7">
        <f>IF(P11=0,0,VLOOKUP($A11,[6]HISTOOCT24!$A$6:$AV$47,32,0))</f>
        <v>0</v>
      </c>
      <c r="N11" s="7">
        <f>VLOOKUP($A11,[6]HISTOOCT24!$A$6:$AV$47,33,0)</f>
        <v>0</v>
      </c>
      <c r="O11" s="7">
        <f t="shared" si="0"/>
        <v>0</v>
      </c>
      <c r="P11" s="7">
        <f>VLOOKUP($A11,[6]HISTOOCT24!$A$6:$AV$47,30,0)</f>
        <v>0</v>
      </c>
    </row>
    <row r="12" spans="1:16" x14ac:dyDescent="0.25">
      <c r="A12" s="1" t="s">
        <v>26</v>
      </c>
      <c r="B12" s="7">
        <f>IF(D12=0,0,VLOOKUP($A12,[6]HISTOOCT24!$A$6:$BB$47,12,0))</f>
        <v>0</v>
      </c>
      <c r="C12" s="1" t="str">
        <f>VLOOKUP(A12,[7]LISTADHERENT!A$5:H$60,3,0)</f>
        <v>HENGUE PAUL OMER</v>
      </c>
      <c r="D12" s="7">
        <f>IF(E12="ECHEC",0,VLOOKUP($A12,[6]HISTOOCT24!$A$6:$AR$47,13,0))</f>
        <v>0</v>
      </c>
      <c r="E12" s="7" t="str">
        <f>VLOOKUP($A12,[6]HISTOOCT24!$A$6:$AV$47,8,0)</f>
        <v>ECHEC</v>
      </c>
      <c r="F12" s="7">
        <f>VLOOKUP($A12,[6]HISTOOCT24!$A$6:$AV$47,36,0)</f>
        <v>0</v>
      </c>
      <c r="G12" s="7">
        <f>VLOOKUP($A12,[6]HISTOOCT24!$A$6:$AV$47,39,0)</f>
        <v>0</v>
      </c>
      <c r="H12" s="7">
        <f>IF(G12=0,0,VLOOKUP($A12,[6]HISTOOCT24!$A$6:$AV$47,42,0))</f>
        <v>0</v>
      </c>
      <c r="I12" s="7">
        <f>VLOOKUP($A12,[6]HISTOOCT24!$A$6:$AV$47,41,0)</f>
        <v>0</v>
      </c>
      <c r="J12" s="7">
        <f>TONTSEPT24!F12+TONTSEPT24!G12</f>
        <v>0</v>
      </c>
      <c r="K12" s="7">
        <f>VLOOKUP($A12,[6]HISTOOCT24!$A$6:$AV$47,17,0)</f>
        <v>0</v>
      </c>
      <c r="L12" s="7" t="str">
        <f>IF(K12&lt;&gt;0,VLOOKUP($A12,[6]HISTOOCT24!$A$6:$BB$47,8,0),"ECHEC")</f>
        <v>ECHEC</v>
      </c>
      <c r="M12" s="7">
        <f>IF(P12=0,0,VLOOKUP($A12,[6]HISTOOCT24!$A$6:$AV$47,32,0))</f>
        <v>0</v>
      </c>
      <c r="N12" s="7">
        <f>VLOOKUP($A12,[6]HISTOOCT24!$A$6:$AV$47,33,0)</f>
        <v>0</v>
      </c>
      <c r="O12" s="7">
        <f t="shared" si="0"/>
        <v>0</v>
      </c>
      <c r="P12" s="7">
        <f>VLOOKUP($A12,[6]HISTOOCT24!$A$6:$AV$47,30,0)</f>
        <v>0</v>
      </c>
    </row>
    <row r="13" spans="1:16" x14ac:dyDescent="0.25">
      <c r="A13" s="1" t="s">
        <v>21</v>
      </c>
      <c r="B13" s="7">
        <f>IF(D13=0,0,VLOOKUP($A13,[6]HISTOOCT24!$A$6:$BB$47,12,0))</f>
        <v>0</v>
      </c>
      <c r="C13" s="1" t="str">
        <f>VLOOKUP(A13,[7]LISTADHERENT!A$5:H$60,3,0)</f>
        <v>MBOGNING TUGMA GUY</v>
      </c>
      <c r="D13" s="7">
        <f>IF(E13="ECHEC",0,VLOOKUP($A13,[6]HISTOOCT24!$A$6:$AR$47,13,0))</f>
        <v>0</v>
      </c>
      <c r="E13" s="7" t="str">
        <f>VLOOKUP($A13,[6]HISTOOCT24!$A$6:$AV$47,8,0)</f>
        <v>ECHEC</v>
      </c>
      <c r="F13" s="7">
        <f>VLOOKUP($A13,[6]HISTOOCT24!$A$6:$AV$47,36,0)</f>
        <v>0</v>
      </c>
      <c r="G13" s="7">
        <f>VLOOKUP($A13,[6]HISTOOCT24!$A$6:$AV$47,39,0)</f>
        <v>0</v>
      </c>
      <c r="H13" s="7">
        <f>IF(G13=0,0,VLOOKUP($A13,[6]HISTOOCT24!$A$6:$AV$47,42,0))</f>
        <v>0</v>
      </c>
      <c r="I13" s="7">
        <f>VLOOKUP($A13,[6]HISTOOCT24!$A$6:$AV$47,41,0)</f>
        <v>0</v>
      </c>
      <c r="J13" s="7">
        <f>TONTSEPT24!F13+TONTSEPT24!G13</f>
        <v>0</v>
      </c>
      <c r="K13" s="7">
        <f>VLOOKUP($A13,[6]HISTOOCT24!$A$6:$AV$47,17,0)</f>
        <v>0</v>
      </c>
      <c r="L13" s="7" t="str">
        <f>IF(K13&lt;&gt;0,VLOOKUP($A13,[6]HISTOOCT24!$A$6:$BB$47,8,0),"ECHEC")</f>
        <v>ECHEC</v>
      </c>
      <c r="M13" s="7">
        <f>IF(P13=0,0,VLOOKUP($A13,[6]HISTOOCT24!$A$6:$AV$47,32,0))</f>
        <v>0</v>
      </c>
      <c r="N13" s="7">
        <f>VLOOKUP($A13,[6]HISTOOCT24!$A$6:$AV$47,33,0)</f>
        <v>0</v>
      </c>
      <c r="O13" s="7">
        <f t="shared" si="0"/>
        <v>0</v>
      </c>
      <c r="P13" s="7">
        <f>VLOOKUP($A13,[6]HISTOOCT24!$A$6:$AV$47,30,0)</f>
        <v>0</v>
      </c>
    </row>
    <row r="14" spans="1:16" x14ac:dyDescent="0.25">
      <c r="A14" s="1" t="s">
        <v>8</v>
      </c>
      <c r="B14" s="7">
        <f>IF(D14=0,0,VLOOKUP($A14,[6]HISTOOCT24!$A$6:$BB$47,12,0))</f>
        <v>0</v>
      </c>
      <c r="C14" s="1" t="str">
        <f>VLOOKUP(A14,[7]LISTADHERENT!A$5:H$60,3,0)</f>
        <v>NANKAM APPOLINAIRE</v>
      </c>
      <c r="D14" s="7">
        <f>IF(E14="ECHEC",0,VLOOKUP($A14,[6]HISTOOCT24!$A$6:$AR$47,13,0))</f>
        <v>0</v>
      </c>
      <c r="E14" s="7" t="str">
        <f>VLOOKUP($A14,[6]HISTOOCT24!$A$6:$AV$47,8,0)</f>
        <v>ECHEC</v>
      </c>
      <c r="F14" s="7">
        <f>VLOOKUP($A14,[6]HISTOOCT24!$A$6:$AV$47,36,0)</f>
        <v>0</v>
      </c>
      <c r="G14" s="7">
        <f>VLOOKUP($A14,[6]HISTOOCT24!$A$6:$AV$47,39,0)</f>
        <v>0</v>
      </c>
      <c r="H14" s="7">
        <f>IF(G14=0,0,VLOOKUP($A14,[6]HISTOOCT24!$A$6:$AV$47,42,0))</f>
        <v>0</v>
      </c>
      <c r="I14" s="7">
        <f>VLOOKUP($A14,[6]HISTOOCT24!$A$6:$AV$47,41,0)</f>
        <v>0</v>
      </c>
      <c r="J14" s="7">
        <f>TONTSEPT24!F14+TONTSEPT24!G14</f>
        <v>0</v>
      </c>
      <c r="K14" s="7">
        <f>VLOOKUP($A14,[6]HISTOOCT24!$A$6:$AV$47,17,0)</f>
        <v>0</v>
      </c>
      <c r="L14" s="7" t="str">
        <f>IF(K14&lt;&gt;0,VLOOKUP($A14,[6]HISTOOCT24!$A$6:$BB$47,8,0),"ECHEC")</f>
        <v>ECHEC</v>
      </c>
      <c r="M14" s="7">
        <f>IF(P14=0,0,VLOOKUP($A14,[6]HISTOOCT24!$A$6:$AV$47,32,0))</f>
        <v>0</v>
      </c>
      <c r="N14" s="7">
        <f>VLOOKUP($A14,[6]HISTOOCT24!$A$6:$AV$47,33,0)</f>
        <v>0</v>
      </c>
      <c r="O14" s="7">
        <f t="shared" si="0"/>
        <v>0</v>
      </c>
      <c r="P14" s="7">
        <f>VLOOKUP($A14,[6]HISTOOCT24!$A$6:$AV$47,30,0)</f>
        <v>0</v>
      </c>
    </row>
    <row r="15" spans="1:16" x14ac:dyDescent="0.25">
      <c r="A15" s="1" t="s">
        <v>35</v>
      </c>
      <c r="B15" s="7">
        <f>IF(D15=0,0,VLOOKUP($A15,[6]HISTOOCT24!$A$6:$BB$47,12,0))</f>
        <v>0</v>
      </c>
      <c r="C15" s="1" t="str">
        <f>VLOOKUP(A15,[7]LISTADHERENT!A$5:H$60,3,0)</f>
        <v>NGONDIEP CLAUDE</v>
      </c>
      <c r="D15" s="7">
        <f>IF(E15="ECHEC",0,VLOOKUP($A15,[6]HISTOOCT24!$A$6:$AR$47,13,0))</f>
        <v>0</v>
      </c>
      <c r="E15" s="7" t="str">
        <f>VLOOKUP($A15,[6]HISTOOCT24!$A$6:$AV$47,8,0)</f>
        <v>ECHEC</v>
      </c>
      <c r="F15" s="7">
        <f>VLOOKUP($A15,[6]HISTOOCT24!$A$6:$AV$47,36,0)</f>
        <v>0</v>
      </c>
      <c r="G15" s="7">
        <f>VLOOKUP($A15,[6]HISTOOCT24!$A$6:$AV$47,39,0)</f>
        <v>0</v>
      </c>
      <c r="H15" s="7">
        <f>IF(G15=0,0,VLOOKUP($A15,[6]HISTOOCT24!$A$6:$AV$47,42,0))</f>
        <v>0</v>
      </c>
      <c r="I15" s="7">
        <f>VLOOKUP($A15,[6]HISTOOCT24!$A$6:$AV$47,41,0)</f>
        <v>0</v>
      </c>
      <c r="J15" s="7">
        <f>TONTSEPT24!F15+TONTSEPT24!G15</f>
        <v>0</v>
      </c>
      <c r="K15" s="7">
        <f>VLOOKUP($A15,[6]HISTOOCT24!$A$6:$AV$47,17,0)</f>
        <v>0</v>
      </c>
      <c r="L15" s="7" t="str">
        <f>IF(K15&lt;&gt;0,VLOOKUP($A15,[6]HISTOOCT24!$A$6:$BB$47,8,0),"ECHEC")</f>
        <v>ECHEC</v>
      </c>
      <c r="M15" s="7">
        <f>IF(P15=0,0,VLOOKUP($A15,[6]HISTOOCT24!$A$6:$AV$47,32,0))</f>
        <v>0</v>
      </c>
      <c r="N15" s="7">
        <f>VLOOKUP($A15,[6]HISTOOCT24!$A$6:$AV$47,33,0)</f>
        <v>0</v>
      </c>
      <c r="O15" s="7">
        <f t="shared" si="0"/>
        <v>0</v>
      </c>
      <c r="P15" s="7">
        <f>VLOOKUP($A15,[6]HISTOOCT24!$A$6:$AV$47,30,0)</f>
        <v>0</v>
      </c>
    </row>
    <row r="16" spans="1:16" x14ac:dyDescent="0.25">
      <c r="A16" s="1" t="s">
        <v>20</v>
      </c>
      <c r="B16" s="7">
        <f>IF(D16=0,0,VLOOKUP($A16,[6]HISTOOCT24!$A$6:$BB$47,12,0))</f>
        <v>0</v>
      </c>
      <c r="C16" s="1" t="str">
        <f>VLOOKUP(A16,[7]LISTADHERENT!A$5:H$60,3,0)</f>
        <v>NGUIEMEGNI MATHIEU BLAISE</v>
      </c>
      <c r="D16" s="7">
        <f>IF(E16="ECHEC",0,VLOOKUP($A16,[6]HISTOOCT24!$A$6:$AR$47,13,0))</f>
        <v>0</v>
      </c>
      <c r="E16" s="7" t="str">
        <f>VLOOKUP($A16,[6]HISTOOCT24!$A$6:$AV$47,8,0)</f>
        <v>ECHEC</v>
      </c>
      <c r="F16" s="7">
        <f>VLOOKUP($A16,[6]HISTOOCT24!$A$6:$AV$47,36,0)</f>
        <v>0</v>
      </c>
      <c r="G16" s="7">
        <f>VLOOKUP($A16,[6]HISTOOCT24!$A$6:$AV$47,39,0)</f>
        <v>0</v>
      </c>
      <c r="H16" s="7">
        <f>IF(G16=0,0,VLOOKUP($A16,[6]HISTOOCT24!$A$6:$AV$47,42,0))</f>
        <v>0</v>
      </c>
      <c r="I16" s="7">
        <f>VLOOKUP($A16,[6]HISTOOCT24!$A$6:$AV$47,41,0)</f>
        <v>0</v>
      </c>
      <c r="J16" s="7">
        <f>TONTSEPT24!F16+TONTSEPT24!G16</f>
        <v>0</v>
      </c>
      <c r="K16" s="7">
        <f>VLOOKUP($A16,[6]HISTOOCT24!$A$6:$AV$47,17,0)</f>
        <v>0</v>
      </c>
      <c r="L16" s="7" t="str">
        <f>IF(K16&lt;&gt;0,VLOOKUP($A16,[6]HISTOOCT24!$A$6:$BB$47,8,0),"ECHEC")</f>
        <v>ECHEC</v>
      </c>
      <c r="M16" s="7">
        <f>IF(P16=0,0,VLOOKUP($A16,[6]HISTOOCT24!$A$6:$AV$47,32,0))</f>
        <v>0</v>
      </c>
      <c r="N16" s="7">
        <f>VLOOKUP($A16,[6]HISTOOCT24!$A$6:$AV$47,33,0)</f>
        <v>0</v>
      </c>
      <c r="O16" s="7">
        <f t="shared" si="0"/>
        <v>0</v>
      </c>
      <c r="P16" s="7">
        <f>VLOOKUP($A16,[6]HISTOOCT24!$A$6:$AV$47,30,0)</f>
        <v>0</v>
      </c>
    </row>
    <row r="17" spans="1:16" x14ac:dyDescent="0.25">
      <c r="A17" s="1" t="s">
        <v>27</v>
      </c>
      <c r="B17" s="7">
        <f>IF(D17=0,0,VLOOKUP($A17,[6]HISTOOCT24!$A$6:$BB$47,12,0))</f>
        <v>0</v>
      </c>
      <c r="C17" s="1" t="str">
        <f>VLOOKUP(A17,[7]LISTADHERENT!A$5:H$60,3,0)</f>
        <v>PATEGO NJOSSU GUSTAVE</v>
      </c>
      <c r="D17" s="7">
        <f>IF(E17="ECHEC",0,VLOOKUP($A17,[6]HISTOOCT24!$A$6:$AR$47,13,0))</f>
        <v>0</v>
      </c>
      <c r="E17" s="7" t="str">
        <f>VLOOKUP($A17,[6]HISTOOCT24!$A$6:$AV$47,8,0)</f>
        <v>ECHEC</v>
      </c>
      <c r="F17" s="7">
        <f>VLOOKUP($A17,[6]HISTOOCT24!$A$6:$AV$47,36,0)</f>
        <v>0</v>
      </c>
      <c r="G17" s="7">
        <f>VLOOKUP($A17,[6]HISTOOCT24!$A$6:$AV$47,39,0)</f>
        <v>0</v>
      </c>
      <c r="H17" s="7">
        <f>IF(G17=0,0,VLOOKUP($A17,[6]HISTOOCT24!$A$6:$AV$47,42,0))</f>
        <v>0</v>
      </c>
      <c r="I17" s="7">
        <f>VLOOKUP($A17,[6]HISTOOCT24!$A$6:$AV$47,41,0)</f>
        <v>0</v>
      </c>
      <c r="J17" s="7">
        <f>TONTSEPT24!F17+TONTSEPT24!G17</f>
        <v>0</v>
      </c>
      <c r="K17" s="7">
        <f>VLOOKUP($A17,[6]HISTOOCT24!$A$6:$AV$47,17,0)</f>
        <v>0</v>
      </c>
      <c r="L17" s="7" t="str">
        <f>IF(K17&lt;&gt;0,VLOOKUP($A17,[6]HISTOOCT24!$A$6:$BB$47,8,0),"ECHEC")</f>
        <v>ECHEC</v>
      </c>
      <c r="M17" s="7">
        <f>IF(P17=0,0,VLOOKUP($A17,[6]HISTOOCT24!$A$6:$AV$47,32,0))</f>
        <v>0</v>
      </c>
      <c r="N17" s="7">
        <f>VLOOKUP($A17,[6]HISTOOCT24!$A$6:$AV$47,33,0)</f>
        <v>0</v>
      </c>
      <c r="O17" s="7">
        <f t="shared" si="0"/>
        <v>0</v>
      </c>
      <c r="P17" s="7">
        <f>VLOOKUP($A17,[6]HISTOOCT24!$A$6:$AV$47,30,0)</f>
        <v>0</v>
      </c>
    </row>
    <row r="18" spans="1:16" x14ac:dyDescent="0.25">
      <c r="A18" s="9" t="s">
        <v>48</v>
      </c>
      <c r="B18" s="7">
        <f>IF(D18=0,0,VLOOKUP($A18,[6]HISTOOCT24!$A$6:$BB$47,12,0))</f>
        <v>0</v>
      </c>
      <c r="C18" s="1" t="str">
        <f>VLOOKUP(A18,[7]LISTADHERENT!A$5:H$60,3,0)</f>
        <v>TCHOUAMOU MATHIEU</v>
      </c>
      <c r="D18" s="7">
        <f>IF(E18="ECHEC",0,VLOOKUP($A18,[6]HISTOOCT24!$A$6:$AR$47,13,0))</f>
        <v>0</v>
      </c>
      <c r="E18" s="7" t="str">
        <f>VLOOKUP($A18,[6]HISTOOCT24!$A$6:$AV$47,8,0)</f>
        <v>ECHEC</v>
      </c>
      <c r="F18" s="7">
        <f>VLOOKUP($A18,[6]HISTOOCT24!$A$6:$AV$47,36,0)</f>
        <v>0</v>
      </c>
      <c r="G18" s="7">
        <f>VLOOKUP($A18,[6]HISTOOCT24!$A$6:$AV$47,39,0)</f>
        <v>0</v>
      </c>
      <c r="H18" s="7">
        <f>IF(G18=0,0,VLOOKUP($A18,[6]HISTOOCT24!$A$6:$AV$47,42,0))</f>
        <v>0</v>
      </c>
      <c r="I18" s="7">
        <f>VLOOKUP($A18,[6]HISTOOCT24!$A$6:$AV$47,41,0)</f>
        <v>0</v>
      </c>
      <c r="J18" s="7">
        <f>TONTSEPT24!F18+TONTSEPT24!G18</f>
        <v>0</v>
      </c>
      <c r="K18" s="7">
        <f>VLOOKUP($A18,[6]HISTOOCT24!$A$6:$AV$47,17,0)</f>
        <v>0</v>
      </c>
      <c r="L18" s="7" t="str">
        <f>IF(K18&lt;&gt;0,VLOOKUP($A18,[6]HISTOOCT24!$A$6:$BB$47,8,0),"ECHEC")</f>
        <v>ECHEC</v>
      </c>
      <c r="M18" s="7">
        <f>IF(P18=0,0,VLOOKUP($A18,[6]HISTOOCT24!$A$6:$AV$47,32,0))</f>
        <v>0</v>
      </c>
      <c r="N18" s="7">
        <f>VLOOKUP($A18,[6]HISTOOCT24!$A$6:$AV$47,33,0)</f>
        <v>0</v>
      </c>
      <c r="O18" s="7">
        <f t="shared" si="0"/>
        <v>0</v>
      </c>
      <c r="P18" s="7">
        <f>VLOOKUP($A18,[6]HISTOOCT24!$A$6:$AV$47,30,0)</f>
        <v>0</v>
      </c>
    </row>
    <row r="19" spans="1:16" x14ac:dyDescent="0.25">
      <c r="A19" s="1" t="s">
        <v>19</v>
      </c>
      <c r="B19" s="7">
        <f>IF(D19=0,0,VLOOKUP($A19,[6]HISTOOCT24!$A$6:$BB$47,12,0))</f>
        <v>0</v>
      </c>
      <c r="C19" s="1" t="str">
        <f>VLOOKUP(A19,[7]LISTADHERENT!A$5:H$60,3,0)</f>
        <v>YOUMBI EMMANUEL</v>
      </c>
      <c r="D19" s="7">
        <f>IF(E19="ECHEC",0,VLOOKUP($A19,[6]HISTOOCT24!$A$6:$AR$47,13,0))</f>
        <v>0</v>
      </c>
      <c r="E19" s="7" t="str">
        <f>VLOOKUP($A19,[6]HISTOOCT24!$A$6:$AV$47,8,0)</f>
        <v>ECHEC</v>
      </c>
      <c r="F19" s="7">
        <f>VLOOKUP($A19,[6]HISTOOCT24!$A$6:$AV$47,36,0)</f>
        <v>0</v>
      </c>
      <c r="G19" s="7">
        <f>VLOOKUP($A19,[6]HISTOOCT24!$A$6:$AV$47,39,0)</f>
        <v>0</v>
      </c>
      <c r="H19" s="7">
        <f>IF(G19=0,0,VLOOKUP($A19,[6]HISTOOCT24!$A$6:$AV$47,42,0))</f>
        <v>0</v>
      </c>
      <c r="I19" s="7">
        <f>VLOOKUP($A19,[6]HISTOOCT24!$A$6:$AV$47,41,0)</f>
        <v>0</v>
      </c>
      <c r="J19" s="7">
        <f>TONTSEPT24!F19+TONTSEPT24!G19</f>
        <v>0</v>
      </c>
      <c r="K19" s="7">
        <f>VLOOKUP($A19,[6]HISTOOCT24!$A$6:$AV$47,17,0)</f>
        <v>0</v>
      </c>
      <c r="L19" s="7" t="str">
        <f>IF(K19&lt;&gt;0,VLOOKUP($A19,[6]HISTOOCT24!$A$6:$BB$47,8,0),"ECHEC")</f>
        <v>ECHEC</v>
      </c>
      <c r="M19" s="7">
        <f>IF(P19=0,0,VLOOKUP($A19,[6]HISTOOCT24!$A$6:$AV$47,32,0))</f>
        <v>0</v>
      </c>
      <c r="N19" s="7">
        <f>VLOOKUP($A19,[6]HISTOOCT24!$A$6:$AV$47,33,0)</f>
        <v>0</v>
      </c>
      <c r="O19" s="7">
        <f t="shared" si="0"/>
        <v>0</v>
      </c>
      <c r="P19" s="7">
        <f>VLOOKUP($A19,[6]HISTOOCT24!$A$6:$AV$47,30,0)</f>
        <v>0</v>
      </c>
    </row>
    <row r="20" spans="1:16" x14ac:dyDescent="0.2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8" x14ac:dyDescent="0.25">
      <c r="A21" s="1" t="s">
        <v>36</v>
      </c>
      <c r="B21" s="8">
        <f>SUM(B6:B20)</f>
        <v>0</v>
      </c>
      <c r="G21" s="11"/>
    </row>
    <row r="22" spans="1:16" ht="18" x14ac:dyDescent="0.25">
      <c r="A22" s="1" t="s">
        <v>37</v>
      </c>
      <c r="B22" s="15">
        <f>COUNT(D6:D20)</f>
        <v>14</v>
      </c>
      <c r="C22" s="8"/>
      <c r="D22" s="8">
        <f t="shared" ref="D22:P22" si="1">SUM(D6:D21)</f>
        <v>0</v>
      </c>
      <c r="E22" s="8">
        <f t="shared" si="1"/>
        <v>0</v>
      </c>
      <c r="F22" s="8">
        <f t="shared" si="1"/>
        <v>0</v>
      </c>
      <c r="G22" s="8">
        <f t="shared" si="1"/>
        <v>0</v>
      </c>
      <c r="H22" s="8">
        <f t="shared" si="1"/>
        <v>0</v>
      </c>
      <c r="I22" s="8">
        <f t="shared" si="1"/>
        <v>0</v>
      </c>
      <c r="J22" s="8">
        <f t="shared" si="1"/>
        <v>0</v>
      </c>
      <c r="K22" s="8">
        <f t="shared" si="1"/>
        <v>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0</v>
      </c>
      <c r="P22" s="8">
        <f t="shared" si="1"/>
        <v>0</v>
      </c>
    </row>
    <row r="23" spans="1:16" x14ac:dyDescent="0.25">
      <c r="A23" s="2"/>
      <c r="G23" s="11"/>
      <c r="L23" s="5" t="s">
        <v>33</v>
      </c>
      <c r="M23" s="5" t="s">
        <v>43</v>
      </c>
    </row>
    <row r="24" spans="1:16" ht="29.25" x14ac:dyDescent="0.25">
      <c r="A24" s="2"/>
      <c r="B24" s="2"/>
      <c r="C24" s="2"/>
      <c r="D24" s="5" t="s">
        <v>5</v>
      </c>
      <c r="E24" s="5" t="s">
        <v>12</v>
      </c>
      <c r="F24" s="5" t="s">
        <v>14</v>
      </c>
      <c r="G24" s="5" t="s">
        <v>16</v>
      </c>
      <c r="H24" s="5" t="s">
        <v>17</v>
      </c>
      <c r="I24" s="5"/>
      <c r="J24" s="8" t="s">
        <v>46</v>
      </c>
      <c r="K24" s="8">
        <f>D22+E28+P22+TONTSEPT24!M29</f>
        <v>0</v>
      </c>
      <c r="L24" s="5"/>
      <c r="N24" s="5"/>
    </row>
    <row r="25" spans="1:16" s="2" customFormat="1" ht="18" x14ac:dyDescent="0.25">
      <c r="D25" s="8">
        <f>SUMIFS(D6:D21,E6:E21,"ESPECES")</f>
        <v>0</v>
      </c>
      <c r="E25" s="8">
        <f>SUMIFS(K7:K18,L7:L18,"ESPECES")</f>
        <v>0</v>
      </c>
      <c r="F25" s="8">
        <f>SUMIFS(F7:F21,H7:H21,"ESPECES")</f>
        <v>0</v>
      </c>
      <c r="G25" s="8">
        <f>SUMIFS(O7:O21,M7:M21,"ESPECES")</f>
        <v>0</v>
      </c>
      <c r="H25" s="8">
        <f>D25+E25-F25-G25</f>
        <v>0</v>
      </c>
      <c r="I25" s="8"/>
      <c r="J25" s="8" t="s">
        <v>32</v>
      </c>
      <c r="K25" s="8">
        <f>C3*COUNTIF(O7:O21,"&gt;0")</f>
        <v>0</v>
      </c>
      <c r="L25" s="8">
        <f>D3</f>
        <v>0</v>
      </c>
      <c r="M25" s="8">
        <f>COUNTIF(O7:O18,"&gt;0")</f>
        <v>0</v>
      </c>
      <c r="N25" s="8"/>
    </row>
    <row r="26" spans="1:16" s="2" customFormat="1" ht="18" x14ac:dyDescent="0.25">
      <c r="D26" s="8">
        <f>SUMIFS(D6:D21,E6:E21,"BANQUE")</f>
        <v>0</v>
      </c>
      <c r="E26" s="8">
        <f>SUMIFS(K7:K18,L7:L18,"BANQUE")</f>
        <v>0</v>
      </c>
      <c r="F26" s="8">
        <f>SUMIFS(F7:F21,H7:H21,"BANQUE")</f>
        <v>0</v>
      </c>
      <c r="G26" s="8">
        <f>SUMIFS(O7:O21,M7:M21,"BANQUE")</f>
        <v>0</v>
      </c>
      <c r="H26" s="8">
        <f>D26+E26-F26-G26</f>
        <v>0</v>
      </c>
      <c r="I26" s="8"/>
      <c r="K26" s="8"/>
      <c r="L26" s="8"/>
      <c r="M26" s="8"/>
      <c r="N26" s="8"/>
    </row>
    <row r="27" spans="1:16" s="2" customFormat="1" ht="18" x14ac:dyDescent="0.25">
      <c r="D27" s="8"/>
      <c r="E27" s="8"/>
      <c r="F27" s="8"/>
      <c r="G27" s="8"/>
      <c r="I27" s="8"/>
      <c r="J27" s="8" t="s">
        <v>22</v>
      </c>
      <c r="K27" s="8">
        <f>K24-K25</f>
        <v>0</v>
      </c>
      <c r="L27" s="8"/>
      <c r="M27" s="8"/>
      <c r="N27" s="8"/>
    </row>
    <row r="28" spans="1:16" s="2" customFormat="1" ht="18" x14ac:dyDescent="0.25">
      <c r="D28" s="8">
        <f>D25+D26</f>
        <v>0</v>
      </c>
      <c r="E28" s="8">
        <f>E25+E26</f>
        <v>0</v>
      </c>
      <c r="F28" s="8">
        <f>F25+F26</f>
        <v>0</v>
      </c>
      <c r="G28" s="8">
        <f t="shared" ref="G28:H28" si="2">G25+G26</f>
        <v>0</v>
      </c>
      <c r="H28" s="8">
        <f t="shared" si="2"/>
        <v>0</v>
      </c>
      <c r="I28" s="8"/>
      <c r="K28" s="8"/>
      <c r="L28" s="8"/>
      <c r="M28" s="8"/>
      <c r="N28" s="8"/>
    </row>
    <row r="29" spans="1:16" s="2" customFormat="1" ht="18" x14ac:dyDescent="0.25">
      <c r="D29" s="8"/>
      <c r="E29"/>
      <c r="F29"/>
      <c r="G29" s="3"/>
      <c r="H29" s="3"/>
      <c r="I29" s="3"/>
      <c r="J29" s="8" t="s">
        <v>28</v>
      </c>
      <c r="K29" s="8">
        <f>K27-F22</f>
        <v>0</v>
      </c>
      <c r="L29"/>
      <c r="M29" s="8">
        <f>K29</f>
        <v>0</v>
      </c>
      <c r="N29" s="8" t="s">
        <v>29</v>
      </c>
    </row>
    <row r="30" spans="1:16" s="2" customFormat="1" x14ac:dyDescent="0.25">
      <c r="D30" s="5"/>
      <c r="E30"/>
      <c r="F30"/>
      <c r="G30" s="3"/>
      <c r="H30" s="3"/>
      <c r="I30" s="3"/>
      <c r="L30"/>
      <c r="M30" s="3"/>
      <c r="N30" s="3"/>
    </row>
    <row r="31" spans="1:16" s="2" customFormat="1" ht="18" x14ac:dyDescent="0.25">
      <c r="A31"/>
      <c r="B31"/>
      <c r="C31"/>
      <c r="D31"/>
      <c r="E31"/>
      <c r="F31"/>
      <c r="G31" s="3"/>
      <c r="H31" s="3"/>
      <c r="I31" s="3"/>
      <c r="J31" s="8" t="s">
        <v>44</v>
      </c>
      <c r="K31" s="8">
        <f>COUNTIFS(E7:E20,"ECHEC")*75000</f>
        <v>975000</v>
      </c>
      <c r="L31"/>
      <c r="M31" s="8">
        <f>+K31</f>
        <v>975000</v>
      </c>
      <c r="N31" s="8" t="s">
        <v>29</v>
      </c>
    </row>
    <row r="32" spans="1:16" s="2" customFormat="1" ht="18" x14ac:dyDescent="0.25">
      <c r="A32"/>
      <c r="B32"/>
      <c r="C32"/>
      <c r="D32"/>
      <c r="E32"/>
      <c r="F32"/>
      <c r="G32" s="3"/>
      <c r="H32" s="3"/>
      <c r="I32" s="3"/>
      <c r="J32" s="8" t="s">
        <v>45</v>
      </c>
      <c r="K32" s="8">
        <f>J22-E28</f>
        <v>0</v>
      </c>
      <c r="L32"/>
      <c r="M32" s="8">
        <f>+K32</f>
        <v>0</v>
      </c>
      <c r="N32" s="8" t="s">
        <v>29</v>
      </c>
    </row>
    <row r="33" spans="10:14" ht="18" x14ac:dyDescent="0.25">
      <c r="J33" s="8" t="s">
        <v>44</v>
      </c>
      <c r="K33" s="8">
        <f>COUNTIFS(E7:E22,"ECHEC")*75000</f>
        <v>975000</v>
      </c>
      <c r="M33" s="8">
        <f>+K33</f>
        <v>975000</v>
      </c>
      <c r="N33" s="8" t="s">
        <v>29</v>
      </c>
    </row>
    <row r="34" spans="10:14" ht="18" x14ac:dyDescent="0.25">
      <c r="J34" s="8" t="s">
        <v>45</v>
      </c>
      <c r="K34" s="8" t="e">
        <f>J24-E30</f>
        <v>#VALUE!</v>
      </c>
      <c r="M34" s="8" t="e">
        <f>+K34</f>
        <v>#VALUE!</v>
      </c>
      <c r="N34" s="8" t="s">
        <v>29</v>
      </c>
    </row>
  </sheetData>
  <autoFilter ref="A5:P17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workbookViewId="0">
      <pane xSplit="3" ySplit="5" topLeftCell="E18" activePane="bottomRight" state="frozen"/>
      <selection activeCell="G6" sqref="G6:G39"/>
      <selection pane="topRight" activeCell="G6" sqref="G6:G39"/>
      <selection pane="bottomLeft" activeCell="G6" sqref="G6:G39"/>
      <selection pane="bottomRight" activeCell="K24" sqref="K24"/>
    </sheetView>
  </sheetViews>
  <sheetFormatPr baseColWidth="10" defaultColWidth="11" defaultRowHeight="15" x14ac:dyDescent="0.25"/>
  <cols>
    <col min="1" max="1" width="13.85546875" customWidth="1"/>
    <col min="2" max="2" width="16.7109375" customWidth="1"/>
    <col min="3" max="3" width="29.5703125" customWidth="1"/>
    <col min="4" max="4" width="21" customWidth="1"/>
    <col min="5" max="5" width="16.7109375" customWidth="1"/>
    <col min="6" max="6" width="1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3" customWidth="1"/>
    <col min="13" max="13" width="1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2024</v>
      </c>
      <c r="C2" s="1" t="s">
        <v>30</v>
      </c>
      <c r="D2" s="1" t="s">
        <v>33</v>
      </c>
      <c r="E2" s="1"/>
      <c r="L2" s="1"/>
      <c r="M2" s="1"/>
    </row>
    <row r="3" spans="1:16" x14ac:dyDescent="0.25">
      <c r="A3" s="1" t="s">
        <v>31</v>
      </c>
      <c r="B3" s="4">
        <v>75000</v>
      </c>
      <c r="C3" s="4">
        <f>B3*12</f>
        <v>900000</v>
      </c>
      <c r="D3" s="1">
        <f>ROUNDDOWN(K26/C3,0)</f>
        <v>0</v>
      </c>
      <c r="E3" s="1"/>
      <c r="L3" s="1"/>
      <c r="M3" s="1"/>
    </row>
    <row r="4" spans="1:16" s="12" customFormat="1" ht="18" x14ac:dyDescent="0.25">
      <c r="B4" s="13"/>
      <c r="C4" s="16">
        <v>45609</v>
      </c>
      <c r="D4" s="17"/>
      <c r="E4" s="17"/>
      <c r="F4" s="17"/>
      <c r="G4" s="17"/>
      <c r="H4" s="17"/>
      <c r="I4" s="17"/>
      <c r="J4" s="17"/>
      <c r="L4" s="14"/>
      <c r="M4" s="14"/>
      <c r="N4" s="14"/>
      <c r="O4" s="14"/>
    </row>
    <row r="5" spans="1:16" ht="57.75" x14ac:dyDescent="0.25">
      <c r="A5" s="1" t="s">
        <v>3</v>
      </c>
      <c r="B5" s="1" t="s">
        <v>38</v>
      </c>
      <c r="C5" s="1" t="s">
        <v>4</v>
      </c>
      <c r="D5" s="5" t="s">
        <v>5</v>
      </c>
      <c r="E5" s="6" t="s">
        <v>39</v>
      </c>
      <c r="F5" s="4" t="s">
        <v>14</v>
      </c>
      <c r="G5" s="5" t="s">
        <v>10</v>
      </c>
      <c r="H5" s="5" t="s">
        <v>15</v>
      </c>
      <c r="I5" s="10" t="s">
        <v>23</v>
      </c>
      <c r="J5" s="5" t="s">
        <v>40</v>
      </c>
      <c r="K5" s="5" t="s">
        <v>12</v>
      </c>
      <c r="L5" s="5" t="s">
        <v>11</v>
      </c>
      <c r="M5" s="5" t="s">
        <v>41</v>
      </c>
      <c r="N5" s="5" t="s">
        <v>23</v>
      </c>
      <c r="O5" s="5" t="s">
        <v>42</v>
      </c>
      <c r="P5" s="5" t="s">
        <v>13</v>
      </c>
    </row>
    <row r="6" spans="1:16" x14ac:dyDescent="0.25">
      <c r="A6" s="1" t="s">
        <v>47</v>
      </c>
      <c r="B6" s="7">
        <f>IF(D6=0,0,VLOOKUP($A6,[6]HISTONOV24!$A$6:$BB$47,12,0))</f>
        <v>0</v>
      </c>
      <c r="C6" s="1" t="str">
        <f>VLOOKUP(A6,[7]LISTADHERENT!A$5:H$60,3,0)</f>
        <v>ASELBY</v>
      </c>
      <c r="D6" s="7">
        <f>IF(E6="ECHEC",0,VLOOKUP($A6,[6]HISTONOV24!$A$6:$AR$47,13,0))</f>
        <v>0</v>
      </c>
      <c r="E6" s="7" t="str">
        <f>VLOOKUP($A6,[6]HISTONOV24!$A$6:$AV$47,8,0)</f>
        <v>ECHEC</v>
      </c>
      <c r="F6" s="7">
        <f>VLOOKUP($A6,[6]HISTONOV24!$A$6:$AV$47,36,0)</f>
        <v>0</v>
      </c>
      <c r="G6" s="7">
        <f>VLOOKUP($A6,[6]HISTONOV24!$A$6:$AV$47,39,0)</f>
        <v>0</v>
      </c>
      <c r="H6" s="7">
        <f>IF(G6=0,0,VLOOKUP($A6,[6]HISTONOV24!$A$6:$AV$47,42,0))</f>
        <v>0</v>
      </c>
      <c r="I6" s="7">
        <f>VLOOKUP($A6,[6]HISTONOV24!$A$6:$AV$47,41,0)</f>
        <v>0</v>
      </c>
      <c r="J6" s="7">
        <f>TONTOCT24!F6+TONTOCT24!G6</f>
        <v>0</v>
      </c>
      <c r="K6" s="7">
        <f>VLOOKUP($A6,[6]HISTONOV24!$A$6:$AV$47,17,0)</f>
        <v>0</v>
      </c>
      <c r="L6" s="7" t="str">
        <f>IF(K6&lt;&gt;0,VLOOKUP($A6,[6]HISTONOV24!$A$6:$BB$47,8,0),"ECHEC")</f>
        <v>ECHEC</v>
      </c>
      <c r="M6" s="7">
        <f>IF(P6=0,0,VLOOKUP($A6,[6]HISTONOV24!$A$6:$AV$47,32,0))</f>
        <v>0</v>
      </c>
      <c r="N6" s="7">
        <f>VLOOKUP($A6,[6]HISTONOV24!$A$6:$AV$47,33,0)</f>
        <v>0</v>
      </c>
      <c r="O6" s="7">
        <f t="shared" ref="O6:O19" si="0">IF(P6=0,0,($C$3-P6))</f>
        <v>0</v>
      </c>
      <c r="P6" s="7">
        <f>VLOOKUP($A6,[6]HISTONOV24!$A$6:$AV$47,30,0)</f>
        <v>0</v>
      </c>
    </row>
    <row r="7" spans="1:16" x14ac:dyDescent="0.25">
      <c r="A7" s="1" t="s">
        <v>24</v>
      </c>
      <c r="B7" s="7">
        <f>IF(D7=0,0,VLOOKUP($A7,[6]HISTONOV24!$A$6:$BB$47,12,0))</f>
        <v>0</v>
      </c>
      <c r="C7" s="1" t="str">
        <f>VLOOKUP(A7,[7]LISTADHERENT!A$5:H$60,3,0)</f>
        <v>BOUTCHOUANG WILLIAM</v>
      </c>
      <c r="D7" s="7">
        <f>IF(E7="ECHEC",0,VLOOKUP($A7,[6]HISTONOV24!$A$6:$AR$47,13,0))</f>
        <v>0</v>
      </c>
      <c r="E7" s="7" t="str">
        <f>VLOOKUP($A7,[6]HISTONOV24!$A$6:$AV$47,8,0)</f>
        <v>ECHEC</v>
      </c>
      <c r="F7" s="7">
        <f>VLOOKUP($A7,[6]HISTONOV24!$A$6:$AV$47,36,0)</f>
        <v>0</v>
      </c>
      <c r="G7" s="7">
        <f>VLOOKUP($A7,[6]HISTONOV24!$A$6:$AV$47,39,0)</f>
        <v>0</v>
      </c>
      <c r="H7" s="7">
        <f>IF(G7=0,0,VLOOKUP($A7,[6]HISTONOV24!$A$6:$AV$47,42,0))</f>
        <v>0</v>
      </c>
      <c r="I7" s="7">
        <f>VLOOKUP($A7,[6]HISTONOV24!$A$6:$AV$47,41,0)</f>
        <v>0</v>
      </c>
      <c r="J7" s="7">
        <f>TONTOCT24!F7+TONTOCT24!G7</f>
        <v>0</v>
      </c>
      <c r="K7" s="7">
        <f>VLOOKUP($A7,[6]HISTONOV24!$A$6:$AV$47,17,0)</f>
        <v>0</v>
      </c>
      <c r="L7" s="7" t="str">
        <f>IF(K7&lt;&gt;0,VLOOKUP($A7,[6]HISTONOV24!$A$6:$BB$47,8,0),"ECHEC")</f>
        <v>ECHEC</v>
      </c>
      <c r="M7" s="7">
        <f>IF(P7=0,0,VLOOKUP($A7,[6]HISTONOV24!$A$6:$AV$47,32,0))</f>
        <v>0</v>
      </c>
      <c r="N7" s="7">
        <f>VLOOKUP($A7,[6]HISTONOV24!$A$6:$AV$47,33,0)</f>
        <v>0</v>
      </c>
      <c r="O7" s="7">
        <f t="shared" si="0"/>
        <v>0</v>
      </c>
      <c r="P7" s="7">
        <f>VLOOKUP($A7,[6]HISTONOV24!$A$6:$AV$47,30,0)</f>
        <v>0</v>
      </c>
    </row>
    <row r="8" spans="1:16" x14ac:dyDescent="0.25">
      <c r="A8" s="1" t="s">
        <v>49</v>
      </c>
      <c r="B8" s="7">
        <f>IF(D8=0,0,VLOOKUP($A8,[6]HISTONOV24!$A$6:$BB$47,12,0))</f>
        <v>0</v>
      </c>
      <c r="C8" s="1" t="str">
        <f>VLOOKUP(A8,[7]LISTADHERENT!A$5:H$60,3,0)</f>
        <v>DJOMOU TCHAPDA</v>
      </c>
      <c r="D8" s="7">
        <f>IF(E8="ECHEC",0,VLOOKUP($A8,[6]HISTONOV24!$A$6:$AR$47,13,0))</f>
        <v>0</v>
      </c>
      <c r="E8" s="7" t="str">
        <f>VLOOKUP($A8,[6]HISTONOV24!$A$6:$AV$47,8,0)</f>
        <v>ECHEC</v>
      </c>
      <c r="F8" s="7">
        <f>VLOOKUP($A8,[6]HISTONOV24!$A$6:$AV$47,36,0)</f>
        <v>0</v>
      </c>
      <c r="G8" s="7">
        <f>VLOOKUP($A8,[6]HISTONOV24!$A$6:$AV$47,39,0)</f>
        <v>0</v>
      </c>
      <c r="H8" s="7">
        <f>IF(G8=0,0,VLOOKUP($A8,[6]HISTONOV24!$A$6:$AV$47,42,0))</f>
        <v>0</v>
      </c>
      <c r="I8" s="7">
        <f>VLOOKUP($A8,[6]HISTONOV24!$A$6:$AV$47,41,0)</f>
        <v>0</v>
      </c>
      <c r="J8" s="7">
        <f>TONTOCT24!F8+TONTOCT24!G8</f>
        <v>0</v>
      </c>
      <c r="K8" s="7">
        <f>VLOOKUP($A8,[6]HISTONOV24!$A$6:$AV$47,17,0)</f>
        <v>0</v>
      </c>
      <c r="L8" s="7" t="str">
        <f>IF(K8&lt;&gt;0,VLOOKUP($A8,[6]HISTONOV24!$A$6:$BB$47,8,0),"ECHEC")</f>
        <v>ECHEC</v>
      </c>
      <c r="M8" s="7">
        <f>IF(P8=0,0,VLOOKUP($A8,[6]HISTONOV24!$A$6:$AV$47,32,0))</f>
        <v>0</v>
      </c>
      <c r="N8" s="7">
        <f>VLOOKUP($A8,[6]HISTONOV24!$A$6:$AV$47,33,0)</f>
        <v>0</v>
      </c>
      <c r="O8" s="7">
        <f t="shared" si="0"/>
        <v>0</v>
      </c>
      <c r="P8" s="7">
        <f>VLOOKUP($A8,[6]HISTONOV24!$A$6:$AV$47,30,0)</f>
        <v>0</v>
      </c>
    </row>
    <row r="9" spans="1:16" x14ac:dyDescent="0.25">
      <c r="A9" s="1" t="s">
        <v>25</v>
      </c>
      <c r="B9" s="7">
        <f>IF(D9=0,0,VLOOKUP($A9,[6]HISTONOV24!$A$6:$BB$47,12,0))</f>
        <v>0</v>
      </c>
      <c r="C9" s="1" t="str">
        <f>VLOOKUP(A9,[7]LISTADHERENT!A$5:H$60,3,0)</f>
        <v>DJOUKWE NANGUEN GUY BLAISE</v>
      </c>
      <c r="D9" s="7">
        <f>IF(E9="ECHEC",0,VLOOKUP($A9,[6]HISTONOV24!$A$6:$AR$47,13,0))</f>
        <v>0</v>
      </c>
      <c r="E9" s="7" t="str">
        <f>VLOOKUP($A9,[6]HISTONOV24!$A$6:$AV$47,8,0)</f>
        <v>ECHEC</v>
      </c>
      <c r="F9" s="7">
        <f>VLOOKUP($A9,[6]HISTONOV24!$A$6:$AV$47,36,0)</f>
        <v>0</v>
      </c>
      <c r="G9" s="7">
        <f>VLOOKUP($A9,[6]HISTONOV24!$A$6:$AV$47,39,0)</f>
        <v>0</v>
      </c>
      <c r="H9" s="7">
        <f>IF(G9=0,0,VLOOKUP($A9,[6]HISTONOV24!$A$6:$AV$47,42,0))</f>
        <v>0</v>
      </c>
      <c r="I9" s="7">
        <f>VLOOKUP($A9,[6]HISTONOV24!$A$6:$AV$47,41,0)</f>
        <v>0</v>
      </c>
      <c r="J9" s="7">
        <f>TONTOCT24!F9+TONTOCT24!G9</f>
        <v>0</v>
      </c>
      <c r="K9" s="7">
        <f>VLOOKUP($A9,[6]HISTONOV24!$A$6:$AV$47,17,0)</f>
        <v>0</v>
      </c>
      <c r="L9" s="7" t="str">
        <f>IF(K9&lt;&gt;0,VLOOKUP($A9,[6]HISTONOV24!$A$6:$BB$47,8,0),"ECHEC")</f>
        <v>ECHEC</v>
      </c>
      <c r="M9" s="7">
        <f>IF(P9=0,0,VLOOKUP($A9,[6]HISTONOV24!$A$6:$AV$47,32,0))</f>
        <v>0</v>
      </c>
      <c r="N9" s="7">
        <f>VLOOKUP($A9,[6]HISTONOV24!$A$6:$AV$47,33,0)</f>
        <v>0</v>
      </c>
      <c r="O9" s="7">
        <f t="shared" si="0"/>
        <v>0</v>
      </c>
      <c r="P9" s="7">
        <f>VLOOKUP($A9,[6]HISTONOV24!$A$6:$AV$47,30,0)</f>
        <v>0</v>
      </c>
    </row>
    <row r="10" spans="1:16" x14ac:dyDescent="0.25">
      <c r="A10" s="1" t="s">
        <v>34</v>
      </c>
      <c r="B10" s="7">
        <f>IF(D10=0,0,VLOOKUP($A10,[6]HISTONOV24!$A$6:$BB$47,12,0))</f>
        <v>0</v>
      </c>
      <c r="C10" s="1" t="str">
        <f>VLOOKUP(A10,[7]LISTADHERENT!A$5:H$60,3,0)</f>
        <v>DJUOMBESSY ANTOINE</v>
      </c>
      <c r="D10" s="7">
        <f>IF(E10="ECHEC",0,VLOOKUP($A10,[6]HISTONOV24!$A$6:$AR$47,13,0))</f>
        <v>0</v>
      </c>
      <c r="E10" s="7" t="str">
        <f>VLOOKUP($A10,[6]HISTONOV24!$A$6:$AV$47,8,0)</f>
        <v>ECHEC</v>
      </c>
      <c r="F10" s="7">
        <f>VLOOKUP($A10,[6]HISTONOV24!$A$6:$AV$47,36,0)</f>
        <v>0</v>
      </c>
      <c r="G10" s="7">
        <f>VLOOKUP($A10,[6]HISTONOV24!$A$6:$AV$47,39,0)</f>
        <v>0</v>
      </c>
      <c r="H10" s="7">
        <f>IF(G10=0,0,VLOOKUP($A10,[6]HISTONOV24!$A$6:$AV$47,42,0))</f>
        <v>0</v>
      </c>
      <c r="I10" s="7">
        <f>VLOOKUP($A10,[6]HISTONOV24!$A$6:$AV$47,41,0)</f>
        <v>0</v>
      </c>
      <c r="J10" s="7">
        <f>TONTOCT24!F10+TONTOCT24!G10</f>
        <v>0</v>
      </c>
      <c r="K10" s="7">
        <f>VLOOKUP($A10,[6]HISTONOV24!$A$6:$AV$47,17,0)</f>
        <v>0</v>
      </c>
      <c r="L10" s="7" t="str">
        <f>IF(K10&lt;&gt;0,VLOOKUP($A10,[6]HISTONOV24!$A$6:$BB$47,8,0),"ECHEC")</f>
        <v>ECHEC</v>
      </c>
      <c r="M10" s="7">
        <f>IF(P10=0,0,VLOOKUP($A10,[6]HISTONOV24!$A$6:$AV$47,32,0))</f>
        <v>0</v>
      </c>
      <c r="N10" s="7">
        <f>VLOOKUP($A10,[6]HISTONOV24!$A$6:$AV$47,33,0)</f>
        <v>0</v>
      </c>
      <c r="O10" s="7">
        <f t="shared" si="0"/>
        <v>0</v>
      </c>
      <c r="P10" s="7">
        <f>VLOOKUP($A10,[6]HISTONOV24!$A$6:$AV$47,30,0)</f>
        <v>0</v>
      </c>
    </row>
    <row r="11" spans="1:16" x14ac:dyDescent="0.25">
      <c r="A11" s="1" t="s">
        <v>18</v>
      </c>
      <c r="B11" s="7">
        <f>IF(D11=0,0,VLOOKUP($A11,[6]HISTONOV24!$A$6:$BB$47,12,0))</f>
        <v>0</v>
      </c>
      <c r="C11" s="1" t="str">
        <f>VLOOKUP(A11,[7]LISTADHERENT!A$5:H$60,3,0)</f>
        <v>HOTCHO BENJAMIN</v>
      </c>
      <c r="D11" s="7">
        <f>IF(E11="ECHEC",0,VLOOKUP($A11,[6]HISTONOV24!$A$6:$AR$47,13,0))</f>
        <v>0</v>
      </c>
      <c r="E11" s="7" t="str">
        <f>VLOOKUP($A11,[6]HISTONOV24!$A$6:$AV$47,8,0)</f>
        <v>ECHEC</v>
      </c>
      <c r="F11" s="7">
        <f>VLOOKUP($A11,[6]HISTONOV24!$A$6:$AV$47,36,0)</f>
        <v>0</v>
      </c>
      <c r="G11" s="7">
        <f>VLOOKUP($A11,[6]HISTONOV24!$A$6:$AV$47,39,0)</f>
        <v>0</v>
      </c>
      <c r="H11" s="7">
        <f>IF(G11=0,0,VLOOKUP($A11,[6]HISTONOV24!$A$6:$AV$47,42,0))</f>
        <v>0</v>
      </c>
      <c r="I11" s="7">
        <f>VLOOKUP($A11,[6]HISTONOV24!$A$6:$AV$47,41,0)</f>
        <v>0</v>
      </c>
      <c r="J11" s="7">
        <f>TONTOCT24!F11+TONTOCT24!G11</f>
        <v>0</v>
      </c>
      <c r="K11" s="7">
        <f>VLOOKUP($A11,[6]HISTONOV24!$A$6:$AV$47,17,0)</f>
        <v>0</v>
      </c>
      <c r="L11" s="7" t="str">
        <f>IF(K11&lt;&gt;0,VLOOKUP($A11,[6]HISTONOV24!$A$6:$BB$47,8,0),"ECHEC")</f>
        <v>ECHEC</v>
      </c>
      <c r="M11" s="7">
        <f>IF(P11=0,0,VLOOKUP($A11,[6]HISTONOV24!$A$6:$AV$47,32,0))</f>
        <v>0</v>
      </c>
      <c r="N11" s="7">
        <f>VLOOKUP($A11,[6]HISTONOV24!$A$6:$AV$47,33,0)</f>
        <v>0</v>
      </c>
      <c r="O11" s="7">
        <f t="shared" si="0"/>
        <v>0</v>
      </c>
      <c r="P11" s="7">
        <f>VLOOKUP($A11,[6]HISTONOV24!$A$6:$AV$47,30,0)</f>
        <v>0</v>
      </c>
    </row>
    <row r="12" spans="1:16" x14ac:dyDescent="0.25">
      <c r="A12" s="1" t="s">
        <v>26</v>
      </c>
      <c r="B12" s="7">
        <f>IF(D12=0,0,VLOOKUP($A12,[6]HISTONOV24!$A$6:$BB$47,12,0))</f>
        <v>0</v>
      </c>
      <c r="C12" s="1" t="str">
        <f>VLOOKUP(A12,[7]LISTADHERENT!A$5:H$60,3,0)</f>
        <v>HENGUE PAUL OMER</v>
      </c>
      <c r="D12" s="7">
        <f>IF(E12="ECHEC",0,VLOOKUP($A12,[6]HISTONOV24!$A$6:$AR$47,13,0))</f>
        <v>0</v>
      </c>
      <c r="E12" s="7" t="str">
        <f>VLOOKUP($A12,[6]HISTONOV24!$A$6:$AV$47,8,0)</f>
        <v>ECHEC</v>
      </c>
      <c r="F12" s="7">
        <f>VLOOKUP($A12,[6]HISTONOV24!$A$6:$AV$47,36,0)</f>
        <v>0</v>
      </c>
      <c r="G12" s="7">
        <f>VLOOKUP($A12,[6]HISTONOV24!$A$6:$AV$47,39,0)</f>
        <v>0</v>
      </c>
      <c r="H12" s="7">
        <f>IF(G12=0,0,VLOOKUP($A12,[6]HISTONOV24!$A$6:$AV$47,42,0))</f>
        <v>0</v>
      </c>
      <c r="I12" s="7">
        <f>VLOOKUP($A12,[6]HISTONOV24!$A$6:$AV$47,41,0)</f>
        <v>0</v>
      </c>
      <c r="J12" s="7">
        <f>TONTOCT24!F12+TONTOCT24!G12</f>
        <v>0</v>
      </c>
      <c r="K12" s="7">
        <f>VLOOKUP($A12,[6]HISTONOV24!$A$6:$AV$47,17,0)</f>
        <v>0</v>
      </c>
      <c r="L12" s="7" t="str">
        <f>IF(K12&lt;&gt;0,VLOOKUP($A12,[6]HISTONOV24!$A$6:$BB$47,8,0),"ECHEC")</f>
        <v>ECHEC</v>
      </c>
      <c r="M12" s="7">
        <f>IF(P12=0,0,VLOOKUP($A12,[6]HISTONOV24!$A$6:$AV$47,32,0))</f>
        <v>0</v>
      </c>
      <c r="N12" s="7">
        <f>VLOOKUP($A12,[6]HISTONOV24!$A$6:$AV$47,33,0)</f>
        <v>0</v>
      </c>
      <c r="O12" s="7">
        <f t="shared" si="0"/>
        <v>0</v>
      </c>
      <c r="P12" s="7">
        <f>VLOOKUP($A12,[6]HISTONOV24!$A$6:$AV$47,30,0)</f>
        <v>0</v>
      </c>
    </row>
    <row r="13" spans="1:16" x14ac:dyDescent="0.25">
      <c r="A13" s="1" t="s">
        <v>21</v>
      </c>
      <c r="B13" s="7">
        <f>IF(D13=0,0,VLOOKUP($A13,[6]HISTONOV24!$A$6:$BB$47,12,0))</f>
        <v>0</v>
      </c>
      <c r="C13" s="1" t="str">
        <f>VLOOKUP(A13,[7]LISTADHERENT!A$5:H$60,3,0)</f>
        <v>MBOGNING TUGMA GUY</v>
      </c>
      <c r="D13" s="7">
        <f>IF(E13="ECHEC",0,VLOOKUP($A13,[6]HISTONOV24!$A$6:$AR$47,13,0))</f>
        <v>0</v>
      </c>
      <c r="E13" s="7" t="str">
        <f>VLOOKUP($A13,[6]HISTONOV24!$A$6:$AV$47,8,0)</f>
        <v>ECHEC</v>
      </c>
      <c r="F13" s="7">
        <f>VLOOKUP($A13,[6]HISTONOV24!$A$6:$AV$47,36,0)</f>
        <v>0</v>
      </c>
      <c r="G13" s="7">
        <f>VLOOKUP($A13,[6]HISTONOV24!$A$6:$AV$47,39,0)</f>
        <v>0</v>
      </c>
      <c r="H13" s="7">
        <f>IF(G13=0,0,VLOOKUP($A13,[6]HISTONOV24!$A$6:$AV$47,42,0))</f>
        <v>0</v>
      </c>
      <c r="I13" s="7">
        <f>VLOOKUP($A13,[6]HISTONOV24!$A$6:$AV$47,41,0)</f>
        <v>0</v>
      </c>
      <c r="J13" s="7">
        <f>TONTOCT24!F13+TONTOCT24!G13</f>
        <v>0</v>
      </c>
      <c r="K13" s="7">
        <f>VLOOKUP($A13,[6]HISTONOV24!$A$6:$AV$47,17,0)</f>
        <v>0</v>
      </c>
      <c r="L13" s="7" t="str">
        <f>IF(K13&lt;&gt;0,VLOOKUP($A13,[6]HISTONOV24!$A$6:$BB$47,8,0),"ECHEC")</f>
        <v>ECHEC</v>
      </c>
      <c r="M13" s="7">
        <f>IF(P13=0,0,VLOOKUP($A13,[6]HISTONOV24!$A$6:$AV$47,32,0))</f>
        <v>0</v>
      </c>
      <c r="N13" s="7">
        <f>VLOOKUP($A13,[6]HISTONOV24!$A$6:$AV$47,33,0)</f>
        <v>0</v>
      </c>
      <c r="O13" s="7">
        <f t="shared" si="0"/>
        <v>0</v>
      </c>
      <c r="P13" s="7">
        <f>VLOOKUP($A13,[6]HISTONOV24!$A$6:$AV$47,30,0)</f>
        <v>0</v>
      </c>
    </row>
    <row r="14" spans="1:16" x14ac:dyDescent="0.25">
      <c r="A14" s="1" t="s">
        <v>8</v>
      </c>
      <c r="B14" s="7">
        <f>IF(D14=0,0,VLOOKUP($A14,[6]HISTONOV24!$A$6:$BB$47,12,0))</f>
        <v>0</v>
      </c>
      <c r="C14" s="1" t="str">
        <f>VLOOKUP(A14,[7]LISTADHERENT!A$5:H$60,3,0)</f>
        <v>NANKAM APPOLINAIRE</v>
      </c>
      <c r="D14" s="7">
        <f>IF(E14="ECHEC",0,VLOOKUP($A14,[6]HISTONOV24!$A$6:$AR$47,13,0))</f>
        <v>0</v>
      </c>
      <c r="E14" s="7" t="str">
        <f>VLOOKUP($A14,[6]HISTONOV24!$A$6:$AV$47,8,0)</f>
        <v>ECHEC</v>
      </c>
      <c r="F14" s="7">
        <f>VLOOKUP($A14,[6]HISTONOV24!$A$6:$AV$47,36,0)</f>
        <v>0</v>
      </c>
      <c r="G14" s="7">
        <f>VLOOKUP($A14,[6]HISTONOV24!$A$6:$AV$47,39,0)</f>
        <v>0</v>
      </c>
      <c r="H14" s="7">
        <f>IF(G14=0,0,VLOOKUP($A14,[6]HISTONOV24!$A$6:$AV$47,42,0))</f>
        <v>0</v>
      </c>
      <c r="I14" s="7">
        <f>VLOOKUP($A14,[6]HISTONOV24!$A$6:$AV$47,41,0)</f>
        <v>0</v>
      </c>
      <c r="J14" s="7">
        <f>TONTOCT24!F14+TONTOCT24!G14</f>
        <v>0</v>
      </c>
      <c r="K14" s="7">
        <f>VLOOKUP($A14,[6]HISTONOV24!$A$6:$AV$47,17,0)</f>
        <v>0</v>
      </c>
      <c r="L14" s="7" t="str">
        <f>IF(K14&lt;&gt;0,VLOOKUP($A14,[6]HISTONOV24!$A$6:$BB$47,8,0),"ECHEC")</f>
        <v>ECHEC</v>
      </c>
      <c r="M14" s="7">
        <f>IF(P14=0,0,VLOOKUP($A14,[6]HISTONOV24!$A$6:$AV$47,32,0))</f>
        <v>0</v>
      </c>
      <c r="N14" s="7">
        <f>VLOOKUP($A14,[6]HISTONOV24!$A$6:$AV$47,33,0)</f>
        <v>0</v>
      </c>
      <c r="O14" s="7">
        <f t="shared" si="0"/>
        <v>0</v>
      </c>
      <c r="P14" s="7">
        <f>VLOOKUP($A14,[6]HISTONOV24!$A$6:$AV$47,30,0)</f>
        <v>0</v>
      </c>
    </row>
    <row r="15" spans="1:16" x14ac:dyDescent="0.25">
      <c r="A15" s="1" t="s">
        <v>35</v>
      </c>
      <c r="B15" s="7">
        <f>IF(D15=0,0,VLOOKUP($A15,[6]HISTONOV24!$A$6:$BB$47,12,0))</f>
        <v>0</v>
      </c>
      <c r="C15" s="1" t="str">
        <f>VLOOKUP(A15,[7]LISTADHERENT!A$5:H$60,3,0)</f>
        <v>NGONDIEP CLAUDE</v>
      </c>
      <c r="D15" s="7">
        <f>IF(E15="ECHEC",0,VLOOKUP($A15,[6]HISTONOV24!$A$6:$AR$47,13,0))</f>
        <v>0</v>
      </c>
      <c r="E15" s="7" t="str">
        <f>VLOOKUP($A15,[6]HISTONOV24!$A$6:$AV$47,8,0)</f>
        <v>ECHEC</v>
      </c>
      <c r="F15" s="7">
        <f>VLOOKUP($A15,[6]HISTONOV24!$A$6:$AV$47,36,0)</f>
        <v>0</v>
      </c>
      <c r="G15" s="7">
        <f>VLOOKUP($A15,[6]HISTONOV24!$A$6:$AV$47,39,0)</f>
        <v>0</v>
      </c>
      <c r="H15" s="7">
        <f>IF(G15=0,0,VLOOKUP($A15,[6]HISTONOV24!$A$6:$AV$47,42,0))</f>
        <v>0</v>
      </c>
      <c r="I15" s="7">
        <f>VLOOKUP($A15,[6]HISTONOV24!$A$6:$AV$47,41,0)</f>
        <v>0</v>
      </c>
      <c r="J15" s="7">
        <f>TONTOCT24!F15+TONTOCT24!G15</f>
        <v>0</v>
      </c>
      <c r="K15" s="7">
        <f>VLOOKUP($A15,[6]HISTONOV24!$A$6:$AV$47,17,0)</f>
        <v>0</v>
      </c>
      <c r="L15" s="7" t="str">
        <f>IF(K15&lt;&gt;0,VLOOKUP($A15,[6]HISTONOV24!$A$6:$BB$47,8,0),"ECHEC")</f>
        <v>ECHEC</v>
      </c>
      <c r="M15" s="7">
        <f>IF(P15=0,0,VLOOKUP($A15,[6]HISTONOV24!$A$6:$AV$47,32,0))</f>
        <v>0</v>
      </c>
      <c r="N15" s="7">
        <f>VLOOKUP($A15,[6]HISTONOV24!$A$6:$AV$47,33,0)</f>
        <v>0</v>
      </c>
      <c r="O15" s="7">
        <f t="shared" si="0"/>
        <v>0</v>
      </c>
      <c r="P15" s="7">
        <f>VLOOKUP($A15,[6]HISTONOV24!$A$6:$AV$47,30,0)</f>
        <v>0</v>
      </c>
    </row>
    <row r="16" spans="1:16" x14ac:dyDescent="0.25">
      <c r="A16" s="1" t="s">
        <v>20</v>
      </c>
      <c r="B16" s="7">
        <f>IF(D16=0,0,VLOOKUP($A16,[6]HISTONOV24!$A$6:$BB$47,12,0))</f>
        <v>0</v>
      </c>
      <c r="C16" s="1" t="str">
        <f>VLOOKUP(A16,[7]LISTADHERENT!A$5:H$60,3,0)</f>
        <v>NGUIEMEGNI MATHIEU BLAISE</v>
      </c>
      <c r="D16" s="7">
        <f>IF(E16="ECHEC",0,VLOOKUP($A16,[6]HISTONOV24!$A$6:$AR$47,13,0))</f>
        <v>0</v>
      </c>
      <c r="E16" s="7" t="str">
        <f>VLOOKUP($A16,[6]HISTONOV24!$A$6:$AV$47,8,0)</f>
        <v>ECHEC</v>
      </c>
      <c r="F16" s="7">
        <f>VLOOKUP($A16,[6]HISTONOV24!$A$6:$AV$47,36,0)</f>
        <v>0</v>
      </c>
      <c r="G16" s="7">
        <f>VLOOKUP($A16,[6]HISTONOV24!$A$6:$AV$47,39,0)</f>
        <v>0</v>
      </c>
      <c r="H16" s="7">
        <f>IF(G16=0,0,VLOOKUP($A16,[6]HISTONOV24!$A$6:$AV$47,42,0))</f>
        <v>0</v>
      </c>
      <c r="I16" s="7">
        <f>VLOOKUP($A16,[6]HISTONOV24!$A$6:$AV$47,41,0)</f>
        <v>0</v>
      </c>
      <c r="J16" s="7">
        <f>TONTOCT24!F16+TONTOCT24!G16</f>
        <v>0</v>
      </c>
      <c r="K16" s="7">
        <f>VLOOKUP($A16,[6]HISTONOV24!$A$6:$AV$47,17,0)</f>
        <v>0</v>
      </c>
      <c r="L16" s="7" t="str">
        <f>IF(K16&lt;&gt;0,VLOOKUP($A16,[6]HISTONOV24!$A$6:$BB$47,8,0),"ECHEC")</f>
        <v>ECHEC</v>
      </c>
      <c r="M16" s="7">
        <f>IF(P16=0,0,VLOOKUP($A16,[6]HISTONOV24!$A$6:$AV$47,32,0))</f>
        <v>0</v>
      </c>
      <c r="N16" s="7">
        <f>VLOOKUP($A16,[6]HISTONOV24!$A$6:$AV$47,33,0)</f>
        <v>0</v>
      </c>
      <c r="O16" s="7">
        <f t="shared" si="0"/>
        <v>0</v>
      </c>
      <c r="P16" s="7">
        <f>VLOOKUP($A16,[6]HISTONOV24!$A$6:$AV$47,30,0)</f>
        <v>0</v>
      </c>
    </row>
    <row r="17" spans="1:16" x14ac:dyDescent="0.25">
      <c r="A17" s="1" t="s">
        <v>27</v>
      </c>
      <c r="B17" s="7">
        <f>IF(D17=0,0,VLOOKUP($A17,[6]HISTONOV24!$A$6:$BB$47,12,0))</f>
        <v>0</v>
      </c>
      <c r="C17" s="1" t="str">
        <f>VLOOKUP(A17,[7]LISTADHERENT!A$5:H$60,3,0)</f>
        <v>PATEGO NJOSSU GUSTAVE</v>
      </c>
      <c r="D17" s="7">
        <f>IF(E17="ECHEC",0,VLOOKUP($A17,[6]HISTONOV24!$A$6:$AR$47,13,0))</f>
        <v>0</v>
      </c>
      <c r="E17" s="7" t="str">
        <f>VLOOKUP($A17,[6]HISTONOV24!$A$6:$AV$47,8,0)</f>
        <v>ECHEC</v>
      </c>
      <c r="F17" s="7">
        <f>VLOOKUP($A17,[6]HISTONOV24!$A$6:$AV$47,36,0)</f>
        <v>0</v>
      </c>
      <c r="G17" s="7">
        <f>VLOOKUP($A17,[6]HISTONOV24!$A$6:$AV$47,39,0)</f>
        <v>0</v>
      </c>
      <c r="H17" s="7">
        <f>IF(G17=0,0,VLOOKUP($A17,[6]HISTONOV24!$A$6:$AV$47,42,0))</f>
        <v>0</v>
      </c>
      <c r="I17" s="7">
        <f>VLOOKUP($A17,[6]HISTONOV24!$A$6:$AV$47,41,0)</f>
        <v>0</v>
      </c>
      <c r="J17" s="7">
        <f>TONTOCT24!F17+TONTOCT24!G17</f>
        <v>0</v>
      </c>
      <c r="K17" s="7">
        <f>VLOOKUP($A17,[6]HISTONOV24!$A$6:$AV$47,17,0)</f>
        <v>0</v>
      </c>
      <c r="L17" s="7" t="str">
        <f>IF(K17&lt;&gt;0,VLOOKUP($A17,[6]HISTONOV24!$A$6:$BB$47,8,0),"ECHEC")</f>
        <v>ECHEC</v>
      </c>
      <c r="M17" s="7">
        <f>IF(P17=0,0,VLOOKUP($A17,[6]HISTONOV24!$A$6:$AV$47,32,0))</f>
        <v>0</v>
      </c>
      <c r="N17" s="7">
        <f>VLOOKUP($A17,[6]HISTONOV24!$A$6:$AV$47,33,0)</f>
        <v>0</v>
      </c>
      <c r="O17" s="7">
        <f t="shared" si="0"/>
        <v>0</v>
      </c>
      <c r="P17" s="7">
        <f>VLOOKUP($A17,[6]HISTONOV24!$A$6:$AV$47,30,0)</f>
        <v>0</v>
      </c>
    </row>
    <row r="18" spans="1:16" x14ac:dyDescent="0.25">
      <c r="A18" s="9" t="s">
        <v>48</v>
      </c>
      <c r="B18" s="7">
        <f>IF(D18=0,0,VLOOKUP($A18,[6]HISTONOV24!$A$6:$BB$47,12,0))</f>
        <v>0</v>
      </c>
      <c r="C18" s="1" t="str">
        <f>VLOOKUP(A18,[7]LISTADHERENT!A$5:H$60,3,0)</f>
        <v>TCHOUAMOU MATHIEU</v>
      </c>
      <c r="D18" s="7">
        <f>IF(E18="ECHEC",0,VLOOKUP($A18,[6]HISTONOV24!$A$6:$AR$47,13,0))</f>
        <v>0</v>
      </c>
      <c r="E18" s="7" t="str">
        <f>VLOOKUP($A18,[6]HISTONOV24!$A$6:$AV$47,8,0)</f>
        <v>ECHEC</v>
      </c>
      <c r="F18" s="7">
        <f>VLOOKUP($A18,[6]HISTONOV24!$A$6:$AV$47,36,0)</f>
        <v>0</v>
      </c>
      <c r="G18" s="7">
        <f>VLOOKUP($A18,[6]HISTONOV24!$A$6:$AV$47,39,0)</f>
        <v>0</v>
      </c>
      <c r="H18" s="7">
        <f>IF(G18=0,0,VLOOKUP($A18,[6]HISTONOV24!$A$6:$AV$47,42,0))</f>
        <v>0</v>
      </c>
      <c r="I18" s="7">
        <f>VLOOKUP($A18,[6]HISTONOV24!$A$6:$AV$47,41,0)</f>
        <v>0</v>
      </c>
      <c r="J18" s="7">
        <f>TONTOCT24!F18+TONTOCT24!G18</f>
        <v>0</v>
      </c>
      <c r="K18" s="7">
        <f>VLOOKUP($A18,[6]HISTONOV24!$A$6:$AV$47,17,0)</f>
        <v>0</v>
      </c>
      <c r="L18" s="7" t="str">
        <f>IF(K18&lt;&gt;0,VLOOKUP($A18,[6]HISTONOV24!$A$6:$BB$47,8,0),"ECHEC")</f>
        <v>ECHEC</v>
      </c>
      <c r="M18" s="7">
        <f>IF(P18=0,0,VLOOKUP($A18,[6]HISTONOV24!$A$6:$AV$47,32,0))</f>
        <v>0</v>
      </c>
      <c r="N18" s="7">
        <f>VLOOKUP($A18,[6]HISTONOV24!$A$6:$AV$47,33,0)</f>
        <v>0</v>
      </c>
      <c r="O18" s="7">
        <f t="shared" si="0"/>
        <v>0</v>
      </c>
      <c r="P18" s="7">
        <f>VLOOKUP($A18,[6]HISTONOV24!$A$6:$AV$47,30,0)</f>
        <v>0</v>
      </c>
    </row>
    <row r="19" spans="1:16" x14ac:dyDescent="0.25">
      <c r="A19" s="1" t="s">
        <v>19</v>
      </c>
      <c r="B19" s="7">
        <f>IF(D19=0,0,VLOOKUP($A19,[6]HISTONOV24!$A$6:$BB$47,12,0))</f>
        <v>0</v>
      </c>
      <c r="C19" s="1" t="str">
        <f>VLOOKUP(A19,[7]LISTADHERENT!A$5:H$60,3,0)</f>
        <v>YOUMBI EMMANUEL</v>
      </c>
      <c r="D19" s="7">
        <f>IF(E19="ECHEC",0,VLOOKUP($A19,[6]HISTONOV24!$A$6:$AR$47,13,0))</f>
        <v>0</v>
      </c>
      <c r="E19" s="7" t="str">
        <f>VLOOKUP($A19,[6]HISTONOV24!$A$6:$AV$47,8,0)</f>
        <v>ECHEC</v>
      </c>
      <c r="F19" s="7">
        <f>VLOOKUP($A19,[6]HISTONOV24!$A$6:$AV$47,36,0)</f>
        <v>0</v>
      </c>
      <c r="G19" s="7">
        <f>VLOOKUP($A19,[6]HISTONOV24!$A$6:$AV$47,39,0)</f>
        <v>0</v>
      </c>
      <c r="H19" s="7">
        <f>IF(G19=0,0,VLOOKUP($A19,[6]HISTONOV24!$A$6:$AV$47,42,0))</f>
        <v>0</v>
      </c>
      <c r="I19" s="7">
        <f>VLOOKUP($A19,[6]HISTONOV24!$A$6:$AV$47,41,0)</f>
        <v>0</v>
      </c>
      <c r="J19" s="7">
        <f>TONTOCT24!F19+TONTOCT24!G19</f>
        <v>0</v>
      </c>
      <c r="K19" s="7">
        <f>VLOOKUP($A19,[6]HISTONOV24!$A$6:$AV$47,17,0)</f>
        <v>0</v>
      </c>
      <c r="L19" s="7" t="str">
        <f>IF(K19&lt;&gt;0,VLOOKUP($A19,[6]HISTONOV24!$A$6:$BB$47,8,0),"ECHEC")</f>
        <v>ECHEC</v>
      </c>
      <c r="M19" s="7">
        <f>IF(P19=0,0,VLOOKUP($A19,[6]HISTONOV24!$A$6:$AV$47,32,0))</f>
        <v>0</v>
      </c>
      <c r="N19" s="7">
        <f>VLOOKUP($A19,[6]HISTONOV24!$A$6:$AV$47,33,0)</f>
        <v>0</v>
      </c>
      <c r="O19" s="7">
        <f t="shared" si="0"/>
        <v>0</v>
      </c>
      <c r="P19" s="7">
        <f>VLOOKUP($A19,[6]HISTONOV24!$A$6:$AV$47,30,0)</f>
        <v>0</v>
      </c>
    </row>
    <row r="20" spans="1:16" x14ac:dyDescent="0.2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8" x14ac:dyDescent="0.25">
      <c r="A21" s="1" t="s">
        <v>36</v>
      </c>
      <c r="B21" s="8">
        <f>SUM(B6:B20)</f>
        <v>0</v>
      </c>
      <c r="G21" s="11"/>
    </row>
    <row r="22" spans="1:16" ht="18" x14ac:dyDescent="0.25">
      <c r="A22" s="1" t="s">
        <v>37</v>
      </c>
      <c r="B22" s="15">
        <f>COUNT(D6:D20)</f>
        <v>14</v>
      </c>
      <c r="C22" s="8"/>
      <c r="D22" s="8">
        <f t="shared" ref="D22:P22" si="1">SUM(D6:D21)</f>
        <v>0</v>
      </c>
      <c r="E22" s="8">
        <f t="shared" si="1"/>
        <v>0</v>
      </c>
      <c r="F22" s="8">
        <f t="shared" si="1"/>
        <v>0</v>
      </c>
      <c r="G22" s="8">
        <f t="shared" si="1"/>
        <v>0</v>
      </c>
      <c r="H22" s="8">
        <f t="shared" si="1"/>
        <v>0</v>
      </c>
      <c r="I22" s="8">
        <f t="shared" si="1"/>
        <v>0</v>
      </c>
      <c r="J22" s="8">
        <f t="shared" si="1"/>
        <v>0</v>
      </c>
      <c r="K22" s="8">
        <f t="shared" si="1"/>
        <v>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0</v>
      </c>
      <c r="P22" s="8">
        <f t="shared" si="1"/>
        <v>0</v>
      </c>
    </row>
    <row r="23" spans="1:16" x14ac:dyDescent="0.25">
      <c r="A23" s="2"/>
      <c r="G23" s="11"/>
      <c r="L23" s="5" t="s">
        <v>33</v>
      </c>
      <c r="M23" s="5" t="s">
        <v>43</v>
      </c>
    </row>
    <row r="24" spans="1:16" ht="29.25" x14ac:dyDescent="0.25">
      <c r="A24" s="2"/>
      <c r="B24" s="2"/>
      <c r="C24" s="2"/>
      <c r="D24" s="5" t="s">
        <v>5</v>
      </c>
      <c r="E24" s="5" t="s">
        <v>12</v>
      </c>
      <c r="F24" s="5" t="s">
        <v>14</v>
      </c>
      <c r="G24" s="5" t="s">
        <v>16</v>
      </c>
      <c r="H24" s="5" t="s">
        <v>17</v>
      </c>
      <c r="I24" s="5"/>
      <c r="J24" s="8" t="s">
        <v>46</v>
      </c>
      <c r="K24" s="8">
        <f>D22+E28+P22+TONTOCT24!M29</f>
        <v>0</v>
      </c>
      <c r="L24" s="5"/>
      <c r="N24" s="5"/>
    </row>
    <row r="25" spans="1:16" s="2" customFormat="1" ht="18" x14ac:dyDescent="0.25">
      <c r="D25" s="8">
        <f>SUMIFS(D6:D21,E6:E21,"ESPECES")</f>
        <v>0</v>
      </c>
      <c r="E25" s="8">
        <f>SUMIFS(K7:K18,L7:L18,"ESPECES")</f>
        <v>0</v>
      </c>
      <c r="F25" s="8">
        <f>SUMIFS(F7:F21,H7:H21,"ESPECES")</f>
        <v>0</v>
      </c>
      <c r="G25" s="8">
        <f>SUMIFS(O7:O21,M7:M21,"ESPECES")</f>
        <v>0</v>
      </c>
      <c r="H25" s="8">
        <f>D25+E25-F25-G25</f>
        <v>0</v>
      </c>
      <c r="I25" s="8"/>
      <c r="J25" s="8" t="s">
        <v>32</v>
      </c>
      <c r="K25" s="8">
        <f>C3*COUNTIF(O7:O21,"&gt;0")</f>
        <v>0</v>
      </c>
      <c r="L25" s="8">
        <f>D3</f>
        <v>0</v>
      </c>
      <c r="M25" s="8">
        <f>COUNTIF(O7:O18,"&gt;0")</f>
        <v>0</v>
      </c>
      <c r="N25" s="8"/>
    </row>
    <row r="26" spans="1:16" s="2" customFormat="1" ht="18" x14ac:dyDescent="0.25">
      <c r="D26" s="8">
        <f>SUMIFS(D6:D21,E6:E21,"BANQUE")</f>
        <v>0</v>
      </c>
      <c r="E26" s="8">
        <f>SUMIFS(K7:K18,L7:L18,"BANQUE")</f>
        <v>0</v>
      </c>
      <c r="F26" s="8">
        <f>SUMIFS(F7:F21,H7:H21,"BANQUE")</f>
        <v>0</v>
      </c>
      <c r="G26" s="8">
        <f>SUMIFS(O7:O21,M7:M21,"BANQUE")</f>
        <v>0</v>
      </c>
      <c r="H26" s="8">
        <f>D26+E26-F26-G26</f>
        <v>0</v>
      </c>
      <c r="I26" s="8"/>
      <c r="K26" s="8"/>
      <c r="L26" s="8"/>
      <c r="M26" s="8"/>
      <c r="N26" s="8"/>
    </row>
    <row r="27" spans="1:16" s="2" customFormat="1" ht="18" x14ac:dyDescent="0.25">
      <c r="D27" s="8"/>
      <c r="E27" s="8"/>
      <c r="F27" s="8"/>
      <c r="G27" s="8"/>
      <c r="I27" s="8"/>
      <c r="J27" s="8" t="s">
        <v>22</v>
      </c>
      <c r="K27" s="8">
        <f>K24-K25</f>
        <v>0</v>
      </c>
      <c r="L27" s="8"/>
      <c r="M27" s="8"/>
      <c r="N27" s="8"/>
    </row>
    <row r="28" spans="1:16" s="2" customFormat="1" ht="18" x14ac:dyDescent="0.25">
      <c r="D28" s="8">
        <f>D25+D26</f>
        <v>0</v>
      </c>
      <c r="E28" s="8">
        <f>E25+E26</f>
        <v>0</v>
      </c>
      <c r="F28" s="8">
        <f>F25+F26</f>
        <v>0</v>
      </c>
      <c r="G28" s="8">
        <f t="shared" ref="G28:H28" si="2">G25+G26</f>
        <v>0</v>
      </c>
      <c r="H28" s="8">
        <f t="shared" si="2"/>
        <v>0</v>
      </c>
      <c r="I28" s="8"/>
      <c r="K28" s="8"/>
      <c r="L28" s="8"/>
      <c r="M28" s="8"/>
      <c r="N28" s="8"/>
    </row>
    <row r="29" spans="1:16" s="2" customFormat="1" ht="18" x14ac:dyDescent="0.25">
      <c r="D29" s="8"/>
      <c r="E29"/>
      <c r="F29"/>
      <c r="G29" s="3"/>
      <c r="H29" s="3"/>
      <c r="I29" s="3"/>
      <c r="J29" s="8" t="s">
        <v>28</v>
      </c>
      <c r="K29" s="8">
        <f>K27-F22</f>
        <v>0</v>
      </c>
      <c r="L29"/>
      <c r="M29" s="8">
        <f>K29</f>
        <v>0</v>
      </c>
      <c r="N29" s="8" t="s">
        <v>29</v>
      </c>
    </row>
    <row r="30" spans="1:16" s="2" customFormat="1" x14ac:dyDescent="0.25">
      <c r="D30" s="5"/>
      <c r="E30"/>
      <c r="F30"/>
      <c r="G30" s="3"/>
      <c r="H30" s="3"/>
      <c r="I30" s="3"/>
      <c r="L30"/>
      <c r="M30" s="3"/>
      <c r="N30" s="3"/>
    </row>
    <row r="31" spans="1:16" s="2" customFormat="1" ht="18" x14ac:dyDescent="0.25">
      <c r="A31"/>
      <c r="B31"/>
      <c r="C31"/>
      <c r="D31"/>
      <c r="E31"/>
      <c r="F31"/>
      <c r="G31" s="3"/>
      <c r="H31" s="3"/>
      <c r="I31" s="3"/>
      <c r="J31" s="8" t="s">
        <v>44</v>
      </c>
      <c r="K31" s="8">
        <f>COUNTIFS(E7:E20,"ECHEC")*75000</f>
        <v>975000</v>
      </c>
      <c r="L31"/>
      <c r="M31" s="8">
        <f>+K31</f>
        <v>975000</v>
      </c>
      <c r="N31" s="8" t="s">
        <v>29</v>
      </c>
    </row>
    <row r="32" spans="1:16" s="2" customFormat="1" ht="18" x14ac:dyDescent="0.25">
      <c r="A32"/>
      <c r="B32"/>
      <c r="C32"/>
      <c r="D32"/>
      <c r="E32"/>
      <c r="F32"/>
      <c r="G32" s="3"/>
      <c r="H32" s="3"/>
      <c r="I32" s="3"/>
      <c r="J32" s="8" t="s">
        <v>45</v>
      </c>
      <c r="K32" s="8">
        <f>J22-E28</f>
        <v>0</v>
      </c>
      <c r="L32"/>
      <c r="M32" s="8">
        <f>+K32</f>
        <v>0</v>
      </c>
      <c r="N32" s="8" t="s">
        <v>29</v>
      </c>
    </row>
    <row r="33" spans="10:14" ht="18" x14ac:dyDescent="0.25">
      <c r="J33" s="8" t="s">
        <v>44</v>
      </c>
      <c r="K33" s="8">
        <f>COUNTIFS(E7:E22,"ECHEC")*75000</f>
        <v>975000</v>
      </c>
      <c r="M33" s="8">
        <f>+K33</f>
        <v>975000</v>
      </c>
      <c r="N33" s="8" t="s">
        <v>29</v>
      </c>
    </row>
    <row r="34" spans="10:14" ht="18" x14ac:dyDescent="0.25">
      <c r="J34" s="8" t="s">
        <v>45</v>
      </c>
      <c r="K34" s="8">
        <f>J22-E28</f>
        <v>0</v>
      </c>
      <c r="M34" s="8">
        <f>+K34</f>
        <v>0</v>
      </c>
      <c r="N34" s="8" t="s">
        <v>29</v>
      </c>
    </row>
  </sheetData>
  <autoFilter ref="A5:P17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workbookViewId="0">
      <pane xSplit="3" ySplit="5" topLeftCell="E18" activePane="bottomRight" state="frozen"/>
      <selection activeCell="G6" sqref="G6:G39"/>
      <selection pane="topRight" activeCell="G6" sqref="G6:G39"/>
      <selection pane="bottomLeft" activeCell="G6" sqref="G6:G39"/>
      <selection pane="bottomRight" activeCell="K24" sqref="K24"/>
    </sheetView>
  </sheetViews>
  <sheetFormatPr baseColWidth="10" defaultColWidth="11" defaultRowHeight="15" x14ac:dyDescent="0.25"/>
  <cols>
    <col min="1" max="1" width="13.85546875" customWidth="1"/>
    <col min="2" max="2" width="16.7109375" customWidth="1"/>
    <col min="3" max="3" width="29.5703125" customWidth="1"/>
    <col min="4" max="4" width="21" customWidth="1"/>
    <col min="5" max="5" width="16.7109375" customWidth="1"/>
    <col min="6" max="6" width="1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3" customWidth="1"/>
    <col min="13" max="13" width="1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2024</v>
      </c>
      <c r="C2" s="1" t="s">
        <v>30</v>
      </c>
      <c r="D2" s="1" t="s">
        <v>33</v>
      </c>
      <c r="E2" s="1"/>
      <c r="L2" s="1"/>
      <c r="M2" s="1"/>
    </row>
    <row r="3" spans="1:16" x14ac:dyDescent="0.25">
      <c r="A3" s="1" t="s">
        <v>31</v>
      </c>
      <c r="B3" s="4">
        <v>75000</v>
      </c>
      <c r="C3" s="4">
        <f>B3*12</f>
        <v>900000</v>
      </c>
      <c r="D3" s="1">
        <f>ROUNDDOWN(K26/C3,0)</f>
        <v>0</v>
      </c>
      <c r="E3" s="1"/>
      <c r="L3" s="1"/>
      <c r="M3" s="1"/>
    </row>
    <row r="4" spans="1:16" s="12" customFormat="1" ht="18" x14ac:dyDescent="0.25">
      <c r="B4" s="13"/>
      <c r="C4" s="16">
        <v>45639</v>
      </c>
      <c r="D4" s="17"/>
      <c r="E4" s="17"/>
      <c r="F4" s="17"/>
      <c r="G4" s="17"/>
      <c r="H4" s="17"/>
      <c r="I4" s="17"/>
      <c r="J4" s="17"/>
      <c r="L4" s="14"/>
      <c r="M4" s="14"/>
      <c r="N4" s="14"/>
      <c r="O4" s="14"/>
    </row>
    <row r="5" spans="1:16" ht="57.75" x14ac:dyDescent="0.25">
      <c r="A5" s="1" t="s">
        <v>3</v>
      </c>
      <c r="B5" s="1" t="s">
        <v>38</v>
      </c>
      <c r="C5" s="1" t="s">
        <v>4</v>
      </c>
      <c r="D5" s="5" t="s">
        <v>5</v>
      </c>
      <c r="E5" s="6" t="s">
        <v>39</v>
      </c>
      <c r="F5" s="4" t="s">
        <v>14</v>
      </c>
      <c r="G5" s="5" t="s">
        <v>10</v>
      </c>
      <c r="H5" s="5" t="s">
        <v>15</v>
      </c>
      <c r="I5" s="10" t="s">
        <v>23</v>
      </c>
      <c r="J5" s="5" t="s">
        <v>40</v>
      </c>
      <c r="K5" s="5" t="s">
        <v>12</v>
      </c>
      <c r="L5" s="5" t="s">
        <v>11</v>
      </c>
      <c r="M5" s="5" t="s">
        <v>41</v>
      </c>
      <c r="N5" s="5" t="s">
        <v>23</v>
      </c>
      <c r="O5" s="5" t="s">
        <v>42</v>
      </c>
      <c r="P5" s="5" t="s">
        <v>13</v>
      </c>
    </row>
    <row r="6" spans="1:16" x14ac:dyDescent="0.25">
      <c r="A6" s="1" t="s">
        <v>47</v>
      </c>
      <c r="B6" s="7">
        <f>IF(D6=0,0,VLOOKUP($A6,[6]HISTODEC24!$A$6:$BB$47,12,0))</f>
        <v>0</v>
      </c>
      <c r="C6" s="1" t="str">
        <f>VLOOKUP(A6,[7]LISTADHERENT!A$5:H$60,3,0)</f>
        <v>ASELBY</v>
      </c>
      <c r="D6" s="7">
        <f>IF(E6="ECHEC",0,VLOOKUP($A6,[6]HISTODEC24!$A$6:$AR$47,13,0))</f>
        <v>0</v>
      </c>
      <c r="E6" s="7" t="str">
        <f>VLOOKUP($A6,[6]HISTODEC24!$A$6:$AV$47,8,0)</f>
        <v>ECHEC</v>
      </c>
      <c r="F6" s="7">
        <f>VLOOKUP($A6,[6]HISTODEC24!$A$6:$AV$47,36,0)</f>
        <v>0</v>
      </c>
      <c r="G6" s="7">
        <f>VLOOKUP($A6,[6]HISTODEC24!$A$6:$AV$47,39,0)</f>
        <v>0</v>
      </c>
      <c r="H6" s="7">
        <f>IF(G6=0,0,VLOOKUP($A6,[6]HISTODEC24!$A$6:$AV$47,42,0))</f>
        <v>0</v>
      </c>
      <c r="I6" s="7">
        <f>VLOOKUP($A6,[6]HISTODEC24!$A$6:$AV$47,41,0)</f>
        <v>0</v>
      </c>
      <c r="J6" s="7">
        <f>TONTNOV24!F6+TONTNOV24!G6</f>
        <v>0</v>
      </c>
      <c r="K6" s="7">
        <f>VLOOKUP($A6,[6]HISTODEC24!$A$6:$AV$47,17,0)</f>
        <v>0</v>
      </c>
      <c r="L6" s="7" t="str">
        <f>IF(K6&lt;&gt;0,VLOOKUP($A6,[6]HISTODEC24!$A$6:$BB$47,8,0),"ECHEC")</f>
        <v>ECHEC</v>
      </c>
      <c r="M6" s="7">
        <f>IF(P6=0,0,VLOOKUP($A6,[6]HISTODEC24!$A$6:$AV$47,32,0))</f>
        <v>0</v>
      </c>
      <c r="N6" s="7">
        <f>VLOOKUP($A6,[6]HISTODEC24!$A$6:$AV$47,33,0)</f>
        <v>0</v>
      </c>
      <c r="O6" s="7">
        <f t="shared" ref="O6:O19" si="0">IF(P6=0,0,($C$3-P6))</f>
        <v>0</v>
      </c>
      <c r="P6" s="7">
        <f>VLOOKUP($A6,[6]HISTODEC24!$A$6:$AV$47,30,0)</f>
        <v>0</v>
      </c>
    </row>
    <row r="7" spans="1:16" x14ac:dyDescent="0.25">
      <c r="A7" s="1" t="s">
        <v>24</v>
      </c>
      <c r="B7" s="7">
        <f>IF(D7=0,0,VLOOKUP($A7,[6]HISTODEC24!$A$6:$BB$47,12,0))</f>
        <v>0</v>
      </c>
      <c r="C7" s="1" t="str">
        <f>VLOOKUP(A7,[7]LISTADHERENT!A$5:H$60,3,0)</f>
        <v>BOUTCHOUANG WILLIAM</v>
      </c>
      <c r="D7" s="7">
        <f>IF(E7="ECHEC",0,VLOOKUP($A7,[6]HISTODEC24!$A$6:$AR$47,13,0))</f>
        <v>0</v>
      </c>
      <c r="E7" s="7" t="str">
        <f>VLOOKUP($A7,[6]HISTODEC24!$A$6:$AV$47,8,0)</f>
        <v>ECHEC</v>
      </c>
      <c r="F7" s="7">
        <f>VLOOKUP($A7,[6]HISTODEC24!$A$6:$AV$47,36,0)</f>
        <v>0</v>
      </c>
      <c r="G7" s="7">
        <f>VLOOKUP($A7,[6]HISTODEC24!$A$6:$AV$47,39,0)</f>
        <v>0</v>
      </c>
      <c r="H7" s="7">
        <f>IF(G7=0,0,VLOOKUP($A7,[6]HISTODEC24!$A$6:$AV$47,42,0))</f>
        <v>0</v>
      </c>
      <c r="I7" s="7">
        <f>VLOOKUP($A7,[6]HISTODEC24!$A$6:$AV$47,41,0)</f>
        <v>0</v>
      </c>
      <c r="J7" s="7">
        <f>TONTNOV24!F7+TONTNOV24!G7</f>
        <v>0</v>
      </c>
      <c r="K7" s="7">
        <f>VLOOKUP($A7,[6]HISTODEC24!$A$6:$AV$47,17,0)</f>
        <v>0</v>
      </c>
      <c r="L7" s="7" t="str">
        <f>IF(K7&lt;&gt;0,VLOOKUP($A7,[6]HISTODEC24!$A$6:$BB$47,8,0),"ECHEC")</f>
        <v>ECHEC</v>
      </c>
      <c r="M7" s="7">
        <f>IF(P7=0,0,VLOOKUP($A7,[6]HISTODEC24!$A$6:$AV$47,32,0))</f>
        <v>0</v>
      </c>
      <c r="N7" s="7">
        <f>VLOOKUP($A7,[6]HISTODEC24!$A$6:$AV$47,33,0)</f>
        <v>0</v>
      </c>
      <c r="O7" s="7">
        <f t="shared" si="0"/>
        <v>0</v>
      </c>
      <c r="P7" s="7">
        <f>VLOOKUP($A7,[6]HISTODEC24!$A$6:$AV$47,30,0)</f>
        <v>0</v>
      </c>
    </row>
    <row r="8" spans="1:16" x14ac:dyDescent="0.25">
      <c r="A8" s="1" t="s">
        <v>49</v>
      </c>
      <c r="B8" s="7">
        <f>IF(D8=0,0,VLOOKUP($A8,[6]HISTODEC24!$A$6:$BB$47,12,0))</f>
        <v>0</v>
      </c>
      <c r="C8" s="1" t="str">
        <f>VLOOKUP(A8,[7]LISTADHERENT!A$5:H$60,3,0)</f>
        <v>DJOMOU TCHAPDA</v>
      </c>
      <c r="D8" s="7">
        <f>IF(E8="ECHEC",0,VLOOKUP($A8,[6]HISTODEC24!$A$6:$AR$47,13,0))</f>
        <v>0</v>
      </c>
      <c r="E8" s="7" t="str">
        <f>VLOOKUP($A8,[6]HISTODEC24!$A$6:$AV$47,8,0)</f>
        <v>ECHEC</v>
      </c>
      <c r="F8" s="7">
        <f>VLOOKUP($A8,[6]HISTODEC24!$A$6:$AV$47,36,0)</f>
        <v>0</v>
      </c>
      <c r="G8" s="7">
        <f>VLOOKUP($A8,[6]HISTODEC24!$A$6:$AV$47,39,0)</f>
        <v>0</v>
      </c>
      <c r="H8" s="7">
        <f>IF(G8=0,0,VLOOKUP($A8,[6]HISTODEC24!$A$6:$AV$47,42,0))</f>
        <v>0</v>
      </c>
      <c r="I8" s="7">
        <f>VLOOKUP($A8,[6]HISTODEC24!$A$6:$AV$47,41,0)</f>
        <v>0</v>
      </c>
      <c r="J8" s="7">
        <f>TONTNOV24!F8+TONTNOV24!G8</f>
        <v>0</v>
      </c>
      <c r="K8" s="7">
        <f>VLOOKUP($A8,[6]HISTODEC24!$A$6:$AV$47,17,0)</f>
        <v>0</v>
      </c>
      <c r="L8" s="7" t="str">
        <f>IF(K8&lt;&gt;0,VLOOKUP($A8,[6]HISTODEC24!$A$6:$BB$47,8,0),"ECHEC")</f>
        <v>ECHEC</v>
      </c>
      <c r="M8" s="7">
        <f>IF(P8=0,0,VLOOKUP($A8,[6]HISTODEC24!$A$6:$AV$47,32,0))</f>
        <v>0</v>
      </c>
      <c r="N8" s="7">
        <f>VLOOKUP($A8,[6]HISTODEC24!$A$6:$AV$47,33,0)</f>
        <v>0</v>
      </c>
      <c r="O8" s="7">
        <f t="shared" si="0"/>
        <v>0</v>
      </c>
      <c r="P8" s="7">
        <f>VLOOKUP($A8,[6]HISTODEC24!$A$6:$AV$47,30,0)</f>
        <v>0</v>
      </c>
    </row>
    <row r="9" spans="1:16" x14ac:dyDescent="0.25">
      <c r="A9" s="1" t="s">
        <v>25</v>
      </c>
      <c r="B9" s="7">
        <f>IF(D9=0,0,VLOOKUP($A9,[6]HISTODEC24!$A$6:$BB$47,12,0))</f>
        <v>0</v>
      </c>
      <c r="C9" s="1" t="str">
        <f>VLOOKUP(A9,[7]LISTADHERENT!A$5:H$60,3,0)</f>
        <v>DJOUKWE NANGUEN GUY BLAISE</v>
      </c>
      <c r="D9" s="7">
        <f>IF(E9="ECHEC",0,VLOOKUP($A9,[6]HISTODEC24!$A$6:$AR$47,13,0))</f>
        <v>0</v>
      </c>
      <c r="E9" s="7" t="str">
        <f>VLOOKUP($A9,[6]HISTODEC24!$A$6:$AV$47,8,0)</f>
        <v>ECHEC</v>
      </c>
      <c r="F9" s="7">
        <f>VLOOKUP($A9,[6]HISTODEC24!$A$6:$AV$47,36,0)</f>
        <v>0</v>
      </c>
      <c r="G9" s="7">
        <f>VLOOKUP($A9,[6]HISTODEC24!$A$6:$AV$47,39,0)</f>
        <v>0</v>
      </c>
      <c r="H9" s="7">
        <f>IF(G9=0,0,VLOOKUP($A9,[6]HISTODEC24!$A$6:$AV$47,42,0))</f>
        <v>0</v>
      </c>
      <c r="I9" s="7">
        <f>VLOOKUP($A9,[6]HISTODEC24!$A$6:$AV$47,41,0)</f>
        <v>0</v>
      </c>
      <c r="J9" s="7">
        <f>TONTNOV24!F9+TONTNOV24!G9</f>
        <v>0</v>
      </c>
      <c r="K9" s="7">
        <f>VLOOKUP($A9,[6]HISTODEC24!$A$6:$AV$47,17,0)</f>
        <v>0</v>
      </c>
      <c r="L9" s="7" t="str">
        <f>IF(K9&lt;&gt;0,VLOOKUP($A9,[6]HISTODEC24!$A$6:$BB$47,8,0),"ECHEC")</f>
        <v>ECHEC</v>
      </c>
      <c r="M9" s="7">
        <f>IF(P9=0,0,VLOOKUP($A9,[6]HISTODEC24!$A$6:$AV$47,32,0))</f>
        <v>0</v>
      </c>
      <c r="N9" s="7">
        <f>VLOOKUP($A9,[6]HISTODEC24!$A$6:$AV$47,33,0)</f>
        <v>0</v>
      </c>
      <c r="O9" s="7">
        <f t="shared" si="0"/>
        <v>0</v>
      </c>
      <c r="P9" s="7">
        <f>VLOOKUP($A9,[6]HISTODEC24!$A$6:$AV$47,30,0)</f>
        <v>0</v>
      </c>
    </row>
    <row r="10" spans="1:16" x14ac:dyDescent="0.25">
      <c r="A10" s="1" t="s">
        <v>34</v>
      </c>
      <c r="B10" s="7">
        <f>IF(D10=0,0,VLOOKUP($A10,[6]HISTODEC24!$A$6:$BB$47,12,0))</f>
        <v>0</v>
      </c>
      <c r="C10" s="1" t="str">
        <f>VLOOKUP(A10,[7]LISTADHERENT!A$5:H$60,3,0)</f>
        <v>DJUOMBESSY ANTOINE</v>
      </c>
      <c r="D10" s="7">
        <f>IF(E10="ECHEC",0,VLOOKUP($A10,[6]HISTODEC24!$A$6:$AR$47,13,0))</f>
        <v>0</v>
      </c>
      <c r="E10" s="7" t="str">
        <f>VLOOKUP($A10,[6]HISTODEC24!$A$6:$AV$47,8,0)</f>
        <v>ECHEC</v>
      </c>
      <c r="F10" s="7">
        <f>VLOOKUP($A10,[6]HISTODEC24!$A$6:$AV$47,36,0)</f>
        <v>0</v>
      </c>
      <c r="G10" s="7">
        <f>VLOOKUP($A10,[6]HISTODEC24!$A$6:$AV$47,39,0)</f>
        <v>0</v>
      </c>
      <c r="H10" s="7">
        <f>IF(G10=0,0,VLOOKUP($A10,[6]HISTODEC24!$A$6:$AV$47,42,0))</f>
        <v>0</v>
      </c>
      <c r="I10" s="7">
        <f>VLOOKUP($A10,[6]HISTODEC24!$A$6:$AV$47,41,0)</f>
        <v>0</v>
      </c>
      <c r="J10" s="7">
        <f>TONTNOV24!F10+TONTNOV24!G10</f>
        <v>0</v>
      </c>
      <c r="K10" s="7">
        <f>VLOOKUP($A10,[6]HISTODEC24!$A$6:$AV$47,17,0)</f>
        <v>0</v>
      </c>
      <c r="L10" s="7" t="str">
        <f>IF(K10&lt;&gt;0,VLOOKUP($A10,[6]HISTODEC24!$A$6:$BB$47,8,0),"ECHEC")</f>
        <v>ECHEC</v>
      </c>
      <c r="M10" s="7">
        <f>IF(P10=0,0,VLOOKUP($A10,[6]HISTODEC24!$A$6:$AV$47,32,0))</f>
        <v>0</v>
      </c>
      <c r="N10" s="7">
        <f>VLOOKUP($A10,[6]HISTODEC24!$A$6:$AV$47,33,0)</f>
        <v>0</v>
      </c>
      <c r="O10" s="7">
        <f t="shared" si="0"/>
        <v>0</v>
      </c>
      <c r="P10" s="7">
        <f>VLOOKUP($A10,[6]HISTODEC24!$A$6:$AV$47,30,0)</f>
        <v>0</v>
      </c>
    </row>
    <row r="11" spans="1:16" x14ac:dyDescent="0.25">
      <c r="A11" s="1" t="s">
        <v>18</v>
      </c>
      <c r="B11" s="7">
        <f>IF(D11=0,0,VLOOKUP($A11,[6]HISTODEC24!$A$6:$BB$47,12,0))</f>
        <v>0</v>
      </c>
      <c r="C11" s="1" t="str">
        <f>VLOOKUP(A11,[7]LISTADHERENT!A$5:H$60,3,0)</f>
        <v>HOTCHO BENJAMIN</v>
      </c>
      <c r="D11" s="7">
        <f>IF(E11="ECHEC",0,VLOOKUP($A11,[6]HISTODEC24!$A$6:$AR$47,13,0))</f>
        <v>0</v>
      </c>
      <c r="E11" s="7" t="str">
        <f>VLOOKUP($A11,[6]HISTODEC24!$A$6:$AV$47,8,0)</f>
        <v>ECHEC</v>
      </c>
      <c r="F11" s="7">
        <f>VLOOKUP($A11,[6]HISTODEC24!$A$6:$AV$47,36,0)</f>
        <v>0</v>
      </c>
      <c r="G11" s="7">
        <f>VLOOKUP($A11,[6]HISTODEC24!$A$6:$AV$47,39,0)</f>
        <v>0</v>
      </c>
      <c r="H11" s="7">
        <f>IF(G11=0,0,VLOOKUP($A11,[6]HISTODEC24!$A$6:$AV$47,42,0))</f>
        <v>0</v>
      </c>
      <c r="I11" s="7">
        <f>VLOOKUP($A11,[6]HISTODEC24!$A$6:$AV$47,41,0)</f>
        <v>0</v>
      </c>
      <c r="J11" s="7">
        <f>TONTNOV24!F11+TONTNOV24!G11</f>
        <v>0</v>
      </c>
      <c r="K11" s="7">
        <f>VLOOKUP($A11,[6]HISTODEC24!$A$6:$AV$47,17,0)</f>
        <v>0</v>
      </c>
      <c r="L11" s="7" t="str">
        <f>IF(K11&lt;&gt;0,VLOOKUP($A11,[6]HISTODEC24!$A$6:$BB$47,8,0),"ECHEC")</f>
        <v>ECHEC</v>
      </c>
      <c r="M11" s="7">
        <f>IF(P11=0,0,VLOOKUP($A11,[6]HISTODEC24!$A$6:$AV$47,32,0))</f>
        <v>0</v>
      </c>
      <c r="N11" s="7">
        <f>VLOOKUP($A11,[6]HISTODEC24!$A$6:$AV$47,33,0)</f>
        <v>0</v>
      </c>
      <c r="O11" s="7">
        <f t="shared" si="0"/>
        <v>0</v>
      </c>
      <c r="P11" s="7">
        <f>VLOOKUP($A11,[6]HISTODEC24!$A$6:$AV$47,30,0)</f>
        <v>0</v>
      </c>
    </row>
    <row r="12" spans="1:16" x14ac:dyDescent="0.25">
      <c r="A12" s="1" t="s">
        <v>26</v>
      </c>
      <c r="B12" s="7">
        <f>IF(D12=0,0,VLOOKUP($A12,[6]HISTODEC24!$A$6:$BB$47,12,0))</f>
        <v>0</v>
      </c>
      <c r="C12" s="1" t="str">
        <f>VLOOKUP(A12,[7]LISTADHERENT!A$5:H$60,3,0)</f>
        <v>HENGUE PAUL OMER</v>
      </c>
      <c r="D12" s="7">
        <f>IF(E12="ECHEC",0,VLOOKUP($A12,[6]HISTODEC24!$A$6:$AR$47,13,0))</f>
        <v>0</v>
      </c>
      <c r="E12" s="7" t="str">
        <f>VLOOKUP($A12,[6]HISTODEC24!$A$6:$AV$47,8,0)</f>
        <v>ECHEC</v>
      </c>
      <c r="F12" s="7">
        <f>VLOOKUP($A12,[6]HISTODEC24!$A$6:$AV$47,36,0)</f>
        <v>0</v>
      </c>
      <c r="G12" s="7">
        <f>VLOOKUP($A12,[6]HISTODEC24!$A$6:$AV$47,39,0)</f>
        <v>0</v>
      </c>
      <c r="H12" s="7">
        <f>IF(G12=0,0,VLOOKUP($A12,[6]HISTODEC24!$A$6:$AV$47,42,0))</f>
        <v>0</v>
      </c>
      <c r="I12" s="7">
        <f>VLOOKUP($A12,[6]HISTODEC24!$A$6:$AV$47,41,0)</f>
        <v>0</v>
      </c>
      <c r="J12" s="7">
        <f>TONTNOV24!F12+TONTNOV24!G12</f>
        <v>0</v>
      </c>
      <c r="K12" s="7">
        <f>VLOOKUP($A12,[6]HISTODEC24!$A$6:$AV$47,17,0)</f>
        <v>0</v>
      </c>
      <c r="L12" s="7" t="str">
        <f>IF(K12&lt;&gt;0,VLOOKUP($A12,[6]HISTODEC24!$A$6:$BB$47,8,0),"ECHEC")</f>
        <v>ECHEC</v>
      </c>
      <c r="M12" s="7">
        <f>IF(P12=0,0,VLOOKUP($A12,[6]HISTODEC24!$A$6:$AV$47,32,0))</f>
        <v>0</v>
      </c>
      <c r="N12" s="7">
        <f>VLOOKUP($A12,[6]HISTODEC24!$A$6:$AV$47,33,0)</f>
        <v>0</v>
      </c>
      <c r="O12" s="7">
        <f t="shared" si="0"/>
        <v>0</v>
      </c>
      <c r="P12" s="7">
        <f>VLOOKUP($A12,[6]HISTODEC24!$A$6:$AV$47,30,0)</f>
        <v>0</v>
      </c>
    </row>
    <row r="13" spans="1:16" x14ac:dyDescent="0.25">
      <c r="A13" s="1" t="s">
        <v>21</v>
      </c>
      <c r="B13" s="7">
        <f>IF(D13=0,0,VLOOKUP($A13,[6]HISTODEC24!$A$6:$BB$47,12,0))</f>
        <v>0</v>
      </c>
      <c r="C13" s="1" t="str">
        <f>VLOOKUP(A13,[7]LISTADHERENT!A$5:H$60,3,0)</f>
        <v>MBOGNING TUGMA GUY</v>
      </c>
      <c r="D13" s="7">
        <f>IF(E13="ECHEC",0,VLOOKUP($A13,[6]HISTODEC24!$A$6:$AR$47,13,0))</f>
        <v>0</v>
      </c>
      <c r="E13" s="7" t="str">
        <f>VLOOKUP($A13,[6]HISTODEC24!$A$6:$AV$47,8,0)</f>
        <v>ECHEC</v>
      </c>
      <c r="F13" s="7">
        <f>VLOOKUP($A13,[6]HISTODEC24!$A$6:$AV$47,36,0)</f>
        <v>0</v>
      </c>
      <c r="G13" s="7">
        <f>VLOOKUP($A13,[6]HISTODEC24!$A$6:$AV$47,39,0)</f>
        <v>0</v>
      </c>
      <c r="H13" s="7">
        <f>IF(G13=0,0,VLOOKUP($A13,[6]HISTODEC24!$A$6:$AV$47,42,0))</f>
        <v>0</v>
      </c>
      <c r="I13" s="7">
        <f>VLOOKUP($A13,[6]HISTODEC24!$A$6:$AV$47,41,0)</f>
        <v>0</v>
      </c>
      <c r="J13" s="7">
        <f>TONTNOV24!F13+TONTNOV24!G13</f>
        <v>0</v>
      </c>
      <c r="K13" s="7">
        <f>VLOOKUP($A13,[6]HISTODEC24!$A$6:$AV$47,17,0)</f>
        <v>0</v>
      </c>
      <c r="L13" s="7" t="str">
        <f>IF(K13&lt;&gt;0,VLOOKUP($A13,[6]HISTODEC24!$A$6:$BB$47,8,0),"ECHEC")</f>
        <v>ECHEC</v>
      </c>
      <c r="M13" s="7">
        <f>IF(P13=0,0,VLOOKUP($A13,[6]HISTODEC24!$A$6:$AV$47,32,0))</f>
        <v>0</v>
      </c>
      <c r="N13" s="7">
        <f>VLOOKUP($A13,[6]HISTODEC24!$A$6:$AV$47,33,0)</f>
        <v>0</v>
      </c>
      <c r="O13" s="7">
        <f t="shared" si="0"/>
        <v>0</v>
      </c>
      <c r="P13" s="7">
        <f>VLOOKUP($A13,[6]HISTODEC24!$A$6:$AV$47,30,0)</f>
        <v>0</v>
      </c>
    </row>
    <row r="14" spans="1:16" x14ac:dyDescent="0.25">
      <c r="A14" s="1" t="s">
        <v>8</v>
      </c>
      <c r="B14" s="7">
        <f>IF(D14=0,0,VLOOKUP($A14,[6]HISTODEC24!$A$6:$BB$47,12,0))</f>
        <v>0</v>
      </c>
      <c r="C14" s="1" t="str">
        <f>VLOOKUP(A14,[7]LISTADHERENT!A$5:H$60,3,0)</f>
        <v>NANKAM APPOLINAIRE</v>
      </c>
      <c r="D14" s="7">
        <f>IF(E14="ECHEC",0,VLOOKUP($A14,[6]HISTODEC24!$A$6:$AR$47,13,0))</f>
        <v>0</v>
      </c>
      <c r="E14" s="7" t="str">
        <f>VLOOKUP($A14,[6]HISTODEC24!$A$6:$AV$47,8,0)</f>
        <v>ECHEC</v>
      </c>
      <c r="F14" s="7">
        <f>VLOOKUP($A14,[6]HISTODEC24!$A$6:$AV$47,36,0)</f>
        <v>0</v>
      </c>
      <c r="G14" s="7">
        <f>VLOOKUP($A14,[6]HISTODEC24!$A$6:$AV$47,39,0)</f>
        <v>0</v>
      </c>
      <c r="H14" s="7">
        <f>IF(G14=0,0,VLOOKUP($A14,[6]HISTODEC24!$A$6:$AV$47,42,0))</f>
        <v>0</v>
      </c>
      <c r="I14" s="7">
        <f>VLOOKUP($A14,[6]HISTODEC24!$A$6:$AV$47,41,0)</f>
        <v>0</v>
      </c>
      <c r="J14" s="7">
        <f>TONTNOV24!F14+TONTNOV24!G14</f>
        <v>0</v>
      </c>
      <c r="K14" s="7">
        <f>VLOOKUP($A14,[6]HISTODEC24!$A$6:$AV$47,17,0)</f>
        <v>0</v>
      </c>
      <c r="L14" s="7" t="str">
        <f>IF(K14&lt;&gt;0,VLOOKUP($A14,[6]HISTODEC24!$A$6:$BB$47,8,0),"ECHEC")</f>
        <v>ECHEC</v>
      </c>
      <c r="M14" s="7">
        <f>IF(P14=0,0,VLOOKUP($A14,[6]HISTODEC24!$A$6:$AV$47,32,0))</f>
        <v>0</v>
      </c>
      <c r="N14" s="7">
        <f>VLOOKUP($A14,[6]HISTODEC24!$A$6:$AV$47,33,0)</f>
        <v>0</v>
      </c>
      <c r="O14" s="7">
        <f t="shared" si="0"/>
        <v>0</v>
      </c>
      <c r="P14" s="7">
        <f>VLOOKUP($A14,[6]HISTODEC24!$A$6:$AV$47,30,0)</f>
        <v>0</v>
      </c>
    </row>
    <row r="15" spans="1:16" x14ac:dyDescent="0.25">
      <c r="A15" s="1" t="s">
        <v>35</v>
      </c>
      <c r="B15" s="7">
        <f>IF(D15=0,0,VLOOKUP($A15,[6]HISTODEC24!$A$6:$BB$47,12,0))</f>
        <v>0</v>
      </c>
      <c r="C15" s="1" t="str">
        <f>VLOOKUP(A15,[7]LISTADHERENT!A$5:H$60,3,0)</f>
        <v>NGONDIEP CLAUDE</v>
      </c>
      <c r="D15" s="7">
        <f>IF(E15="ECHEC",0,VLOOKUP($A15,[6]HISTODEC24!$A$6:$AR$47,13,0))</f>
        <v>0</v>
      </c>
      <c r="E15" s="7" t="str">
        <f>VLOOKUP($A15,[6]HISTODEC24!$A$6:$AV$47,8,0)</f>
        <v>ECHEC</v>
      </c>
      <c r="F15" s="7">
        <f>VLOOKUP($A15,[6]HISTODEC24!$A$6:$AV$47,36,0)</f>
        <v>0</v>
      </c>
      <c r="G15" s="7">
        <f>VLOOKUP($A15,[6]HISTODEC24!$A$6:$AV$47,39,0)</f>
        <v>0</v>
      </c>
      <c r="H15" s="7">
        <f>IF(G15=0,0,VLOOKUP($A15,[6]HISTODEC24!$A$6:$AV$47,42,0))</f>
        <v>0</v>
      </c>
      <c r="I15" s="7">
        <f>VLOOKUP($A15,[6]HISTODEC24!$A$6:$AV$47,41,0)</f>
        <v>0</v>
      </c>
      <c r="J15" s="7">
        <f>TONTNOV24!F15+TONTNOV24!G15</f>
        <v>0</v>
      </c>
      <c r="K15" s="7">
        <f>VLOOKUP($A15,[6]HISTODEC24!$A$6:$AV$47,17,0)</f>
        <v>0</v>
      </c>
      <c r="L15" s="7" t="str">
        <f>IF(K15&lt;&gt;0,VLOOKUP($A15,[6]HISTODEC24!$A$6:$BB$47,8,0),"ECHEC")</f>
        <v>ECHEC</v>
      </c>
      <c r="M15" s="7">
        <f>IF(P15=0,0,VLOOKUP($A15,[6]HISTODEC24!$A$6:$AV$47,32,0))</f>
        <v>0</v>
      </c>
      <c r="N15" s="7">
        <f>VLOOKUP($A15,[6]HISTODEC24!$A$6:$AV$47,33,0)</f>
        <v>0</v>
      </c>
      <c r="O15" s="7">
        <f t="shared" si="0"/>
        <v>0</v>
      </c>
      <c r="P15" s="7">
        <f>VLOOKUP($A15,[6]HISTODEC24!$A$6:$AV$47,30,0)</f>
        <v>0</v>
      </c>
    </row>
    <row r="16" spans="1:16" x14ac:dyDescent="0.25">
      <c r="A16" s="1" t="s">
        <v>20</v>
      </c>
      <c r="B16" s="7">
        <f>IF(D16=0,0,VLOOKUP($A16,[6]HISTODEC24!$A$6:$BB$47,12,0))</f>
        <v>0</v>
      </c>
      <c r="C16" s="1" t="str">
        <f>VLOOKUP(A16,[7]LISTADHERENT!A$5:H$60,3,0)</f>
        <v>NGUIEMEGNI MATHIEU BLAISE</v>
      </c>
      <c r="D16" s="7">
        <f>IF(E16="ECHEC",0,VLOOKUP($A16,[6]HISTODEC24!$A$6:$AR$47,13,0))</f>
        <v>0</v>
      </c>
      <c r="E16" s="7" t="str">
        <f>VLOOKUP($A16,[6]HISTODEC24!$A$6:$AV$47,8,0)</f>
        <v>ECHEC</v>
      </c>
      <c r="F16" s="7">
        <f>VLOOKUP($A16,[6]HISTODEC24!$A$6:$AV$47,36,0)</f>
        <v>0</v>
      </c>
      <c r="G16" s="7">
        <f>VLOOKUP($A16,[6]HISTODEC24!$A$6:$AV$47,39,0)</f>
        <v>0</v>
      </c>
      <c r="H16" s="7">
        <f>IF(G16=0,0,VLOOKUP($A16,[6]HISTODEC24!$A$6:$AV$47,42,0))</f>
        <v>0</v>
      </c>
      <c r="I16" s="7">
        <f>VLOOKUP($A16,[6]HISTODEC24!$A$6:$AV$47,41,0)</f>
        <v>0</v>
      </c>
      <c r="J16" s="7">
        <f>TONTNOV24!F16+TONTNOV24!G16</f>
        <v>0</v>
      </c>
      <c r="K16" s="7">
        <f>VLOOKUP($A16,[6]HISTODEC24!$A$6:$AV$47,17,0)</f>
        <v>0</v>
      </c>
      <c r="L16" s="7" t="str">
        <f>IF(K16&lt;&gt;0,VLOOKUP($A16,[6]HISTODEC24!$A$6:$BB$47,8,0),"ECHEC")</f>
        <v>ECHEC</v>
      </c>
      <c r="M16" s="7">
        <f>IF(P16=0,0,VLOOKUP($A16,[6]HISTODEC24!$A$6:$AV$47,32,0))</f>
        <v>0</v>
      </c>
      <c r="N16" s="7">
        <f>VLOOKUP($A16,[6]HISTODEC24!$A$6:$AV$47,33,0)</f>
        <v>0</v>
      </c>
      <c r="O16" s="7">
        <f t="shared" si="0"/>
        <v>0</v>
      </c>
      <c r="P16" s="7">
        <f>VLOOKUP($A16,[6]HISTODEC24!$A$6:$AV$47,30,0)</f>
        <v>0</v>
      </c>
    </row>
    <row r="17" spans="1:16" x14ac:dyDescent="0.25">
      <c r="A17" s="1" t="s">
        <v>27</v>
      </c>
      <c r="B17" s="7">
        <f>IF(D17=0,0,VLOOKUP($A17,[6]HISTODEC24!$A$6:$BB$47,12,0))</f>
        <v>0</v>
      </c>
      <c r="C17" s="1" t="str">
        <f>VLOOKUP(A17,[7]LISTADHERENT!A$5:H$60,3,0)</f>
        <v>PATEGO NJOSSU GUSTAVE</v>
      </c>
      <c r="D17" s="7">
        <f>IF(E17="ECHEC",0,VLOOKUP($A17,[6]HISTODEC24!$A$6:$AR$47,13,0))</f>
        <v>0</v>
      </c>
      <c r="E17" s="7" t="str">
        <f>VLOOKUP($A17,[6]HISTODEC24!$A$6:$AV$47,8,0)</f>
        <v>ECHEC</v>
      </c>
      <c r="F17" s="7">
        <f>VLOOKUP($A17,[6]HISTODEC24!$A$6:$AV$47,36,0)</f>
        <v>0</v>
      </c>
      <c r="G17" s="7">
        <f>VLOOKUP($A17,[6]HISTODEC24!$A$6:$AV$47,39,0)</f>
        <v>0</v>
      </c>
      <c r="H17" s="7">
        <f>IF(G17=0,0,VLOOKUP($A17,[6]HISTODEC24!$A$6:$AV$47,42,0))</f>
        <v>0</v>
      </c>
      <c r="I17" s="7">
        <f>VLOOKUP($A17,[6]HISTODEC24!$A$6:$AV$47,41,0)</f>
        <v>0</v>
      </c>
      <c r="J17" s="7">
        <f>TONTNOV24!F17+TONTNOV24!G17</f>
        <v>0</v>
      </c>
      <c r="K17" s="7">
        <f>VLOOKUP($A17,[6]HISTODEC24!$A$6:$AV$47,17,0)</f>
        <v>0</v>
      </c>
      <c r="L17" s="7" t="str">
        <f>IF(K17&lt;&gt;0,VLOOKUP($A17,[6]HISTODEC24!$A$6:$BB$47,8,0),"ECHEC")</f>
        <v>ECHEC</v>
      </c>
      <c r="M17" s="7">
        <f>IF(P17=0,0,VLOOKUP($A17,[6]HISTODEC24!$A$6:$AV$47,32,0))</f>
        <v>0</v>
      </c>
      <c r="N17" s="7">
        <f>VLOOKUP($A17,[6]HISTODEC24!$A$6:$AV$47,33,0)</f>
        <v>0</v>
      </c>
      <c r="O17" s="7">
        <f t="shared" si="0"/>
        <v>0</v>
      </c>
      <c r="P17" s="7">
        <f>VLOOKUP($A17,[6]HISTODEC24!$A$6:$AV$47,30,0)</f>
        <v>0</v>
      </c>
    </row>
    <row r="18" spans="1:16" x14ac:dyDescent="0.25">
      <c r="A18" s="9" t="s">
        <v>48</v>
      </c>
      <c r="B18" s="7">
        <f>IF(D18=0,0,VLOOKUP($A18,[6]HISTODEC24!$A$6:$BB$47,12,0))</f>
        <v>0</v>
      </c>
      <c r="C18" s="1" t="str">
        <f>VLOOKUP(A18,[7]LISTADHERENT!A$5:H$60,3,0)</f>
        <v>TCHOUAMOU MATHIEU</v>
      </c>
      <c r="D18" s="7">
        <f>IF(E18="ECHEC",0,VLOOKUP($A18,[6]HISTODEC24!$A$6:$AR$47,13,0))</f>
        <v>0</v>
      </c>
      <c r="E18" s="7" t="str">
        <f>VLOOKUP($A18,[6]HISTODEC24!$A$6:$AV$47,8,0)</f>
        <v>ECHEC</v>
      </c>
      <c r="F18" s="7">
        <f>VLOOKUP($A18,[6]HISTODEC24!$A$6:$AV$47,36,0)</f>
        <v>0</v>
      </c>
      <c r="G18" s="7">
        <f>VLOOKUP($A18,[6]HISTODEC24!$A$6:$AV$47,39,0)</f>
        <v>0</v>
      </c>
      <c r="H18" s="7">
        <f>IF(G18=0,0,VLOOKUP($A18,[6]HISTODEC24!$A$6:$AV$47,42,0))</f>
        <v>0</v>
      </c>
      <c r="I18" s="7">
        <f>VLOOKUP($A18,[6]HISTODEC24!$A$6:$AV$47,41,0)</f>
        <v>0</v>
      </c>
      <c r="J18" s="7">
        <f>TONTNOV24!F18+TONTNOV24!G18</f>
        <v>0</v>
      </c>
      <c r="K18" s="7">
        <f>VLOOKUP($A18,[6]HISTODEC24!$A$6:$AV$47,17,0)</f>
        <v>0</v>
      </c>
      <c r="L18" s="7" t="str">
        <f>IF(K18&lt;&gt;0,VLOOKUP($A18,[6]HISTODEC24!$A$6:$BB$47,8,0),"ECHEC")</f>
        <v>ECHEC</v>
      </c>
      <c r="M18" s="7">
        <f>IF(P18=0,0,VLOOKUP($A18,[6]HISTODEC24!$A$6:$AV$47,32,0))</f>
        <v>0</v>
      </c>
      <c r="N18" s="7">
        <f>VLOOKUP($A18,[6]HISTODEC24!$A$6:$AV$47,33,0)</f>
        <v>0</v>
      </c>
      <c r="O18" s="7">
        <f t="shared" si="0"/>
        <v>0</v>
      </c>
      <c r="P18" s="7">
        <f>VLOOKUP($A18,[6]HISTODEC24!$A$6:$AV$47,30,0)</f>
        <v>0</v>
      </c>
    </row>
    <row r="19" spans="1:16" x14ac:dyDescent="0.25">
      <c r="A19" s="1" t="s">
        <v>19</v>
      </c>
      <c r="B19" s="7">
        <f>IF(D19=0,0,VLOOKUP($A19,[6]HISTODEC24!$A$6:$BB$47,12,0))</f>
        <v>0</v>
      </c>
      <c r="C19" s="1" t="str">
        <f>VLOOKUP(A19,[7]LISTADHERENT!A$5:H$60,3,0)</f>
        <v>YOUMBI EMMANUEL</v>
      </c>
      <c r="D19" s="7">
        <f>IF(E19="ECHEC",0,VLOOKUP($A19,[6]HISTODEC24!$A$6:$AR$47,13,0))</f>
        <v>0</v>
      </c>
      <c r="E19" s="7" t="str">
        <f>VLOOKUP($A19,[6]HISTODEC24!$A$6:$AV$47,8,0)</f>
        <v>ECHEC</v>
      </c>
      <c r="F19" s="7">
        <f>VLOOKUP($A19,[6]HISTODEC24!$A$6:$AV$47,36,0)</f>
        <v>0</v>
      </c>
      <c r="G19" s="7">
        <f>VLOOKUP($A19,[6]HISTODEC24!$A$6:$AV$47,39,0)</f>
        <v>0</v>
      </c>
      <c r="H19" s="7">
        <f>IF(G19=0,0,VLOOKUP($A19,[6]HISTODEC24!$A$6:$AV$47,42,0))</f>
        <v>0</v>
      </c>
      <c r="I19" s="7">
        <f>VLOOKUP($A19,[6]HISTODEC24!$A$6:$AV$47,41,0)</f>
        <v>0</v>
      </c>
      <c r="J19" s="7">
        <f>TONTNOV24!F19+TONTNOV24!G19</f>
        <v>0</v>
      </c>
      <c r="K19" s="7">
        <f>VLOOKUP($A19,[6]HISTODEC24!$A$6:$AV$47,17,0)</f>
        <v>0</v>
      </c>
      <c r="L19" s="7" t="str">
        <f>IF(K19&lt;&gt;0,VLOOKUP($A19,[6]HISTODEC24!$A$6:$BB$47,8,0),"ECHEC")</f>
        <v>ECHEC</v>
      </c>
      <c r="M19" s="7">
        <f>IF(P19=0,0,VLOOKUP($A19,[6]HISTODEC24!$A$6:$AV$47,32,0))</f>
        <v>0</v>
      </c>
      <c r="N19" s="7">
        <f>VLOOKUP($A19,[6]HISTODEC24!$A$6:$AV$47,33,0)</f>
        <v>0</v>
      </c>
      <c r="O19" s="7">
        <f t="shared" si="0"/>
        <v>0</v>
      </c>
      <c r="P19" s="7">
        <f>VLOOKUP($A19,[6]HISTODEC24!$A$6:$AV$47,30,0)</f>
        <v>0</v>
      </c>
    </row>
    <row r="20" spans="1:16" x14ac:dyDescent="0.2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8" x14ac:dyDescent="0.25">
      <c r="A21" s="1" t="s">
        <v>36</v>
      </c>
      <c r="B21" s="8">
        <f>SUM(B6:B20)</f>
        <v>0</v>
      </c>
      <c r="G21" s="11"/>
    </row>
    <row r="22" spans="1:16" ht="18" x14ac:dyDescent="0.25">
      <c r="A22" s="1" t="s">
        <v>37</v>
      </c>
      <c r="B22" s="15">
        <f>COUNT(D6:D20)</f>
        <v>14</v>
      </c>
      <c r="C22" s="8"/>
      <c r="D22" s="8">
        <f t="shared" ref="D22:P22" si="1">SUM(D6:D21)</f>
        <v>0</v>
      </c>
      <c r="E22" s="8">
        <f t="shared" si="1"/>
        <v>0</v>
      </c>
      <c r="F22" s="8">
        <f t="shared" si="1"/>
        <v>0</v>
      </c>
      <c r="G22" s="8">
        <f t="shared" si="1"/>
        <v>0</v>
      </c>
      <c r="H22" s="8">
        <f t="shared" si="1"/>
        <v>0</v>
      </c>
      <c r="I22" s="8">
        <f t="shared" si="1"/>
        <v>0</v>
      </c>
      <c r="J22" s="8">
        <f t="shared" si="1"/>
        <v>0</v>
      </c>
      <c r="K22" s="8">
        <f t="shared" si="1"/>
        <v>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0</v>
      </c>
      <c r="P22" s="8">
        <f t="shared" si="1"/>
        <v>0</v>
      </c>
    </row>
    <row r="23" spans="1:16" x14ac:dyDescent="0.25">
      <c r="A23" s="2"/>
      <c r="G23" s="11"/>
      <c r="L23" s="5" t="s">
        <v>33</v>
      </c>
      <c r="M23" s="5" t="s">
        <v>43</v>
      </c>
    </row>
    <row r="24" spans="1:16" ht="29.25" x14ac:dyDescent="0.25">
      <c r="A24" s="2"/>
      <c r="B24" s="2"/>
      <c r="C24" s="2"/>
      <c r="D24" s="5" t="s">
        <v>5</v>
      </c>
      <c r="E24" s="5" t="s">
        <v>12</v>
      </c>
      <c r="F24" s="5" t="s">
        <v>14</v>
      </c>
      <c r="G24" s="5" t="s">
        <v>16</v>
      </c>
      <c r="H24" s="5" t="s">
        <v>17</v>
      </c>
      <c r="I24" s="5"/>
      <c r="J24" s="8" t="s">
        <v>46</v>
      </c>
      <c r="K24" s="8">
        <f>D22+E28+P22+TONTNOV24!M29</f>
        <v>0</v>
      </c>
      <c r="L24" s="5"/>
      <c r="N24" s="5"/>
    </row>
    <row r="25" spans="1:16" s="2" customFormat="1" ht="18" x14ac:dyDescent="0.25">
      <c r="D25" s="8">
        <f>SUMIFS(D6:D21,E6:E21,"ESPECES")</f>
        <v>0</v>
      </c>
      <c r="E25" s="8">
        <f>SUMIFS(K7:K18,L7:L18,"ESPECES")</f>
        <v>0</v>
      </c>
      <c r="F25" s="8">
        <f>SUMIFS(F7:F21,H7:H21,"ESPECES")</f>
        <v>0</v>
      </c>
      <c r="G25" s="8">
        <f>SUMIFS(O7:O21,M7:M21,"ESPECES")</f>
        <v>0</v>
      </c>
      <c r="H25" s="8">
        <f>D25+E25-F25-G25</f>
        <v>0</v>
      </c>
      <c r="I25" s="8"/>
      <c r="J25" s="8" t="s">
        <v>32</v>
      </c>
      <c r="K25" s="8">
        <f>C3*COUNTIF(O7:O21,"&gt;0")</f>
        <v>0</v>
      </c>
      <c r="L25" s="8">
        <f>D3</f>
        <v>0</v>
      </c>
      <c r="M25" s="8">
        <f>COUNTIF(O7:O18,"&gt;0")</f>
        <v>0</v>
      </c>
      <c r="N25" s="8"/>
    </row>
    <row r="26" spans="1:16" s="2" customFormat="1" ht="18" x14ac:dyDescent="0.25">
      <c r="D26" s="8">
        <f>SUMIFS(D6:D21,E6:E21,"BANQUE")</f>
        <v>0</v>
      </c>
      <c r="E26" s="8">
        <f>SUMIFS(K7:K18,L7:L18,"BANQUE")</f>
        <v>0</v>
      </c>
      <c r="F26" s="8">
        <f>SUMIFS(F7:F21,H7:H21,"BANQUE")</f>
        <v>0</v>
      </c>
      <c r="G26" s="8">
        <f>SUMIFS(O7:O21,M7:M21,"BANQUE")</f>
        <v>0</v>
      </c>
      <c r="H26" s="8">
        <f>D26+E26-F26-G26</f>
        <v>0</v>
      </c>
      <c r="I26" s="8"/>
      <c r="K26" s="8"/>
      <c r="L26" s="8"/>
      <c r="M26" s="8"/>
      <c r="N26" s="8"/>
    </row>
    <row r="27" spans="1:16" s="2" customFormat="1" ht="18" x14ac:dyDescent="0.25">
      <c r="D27" s="8"/>
      <c r="E27" s="8"/>
      <c r="F27" s="8"/>
      <c r="G27" s="8"/>
      <c r="I27" s="8"/>
      <c r="J27" s="8" t="s">
        <v>22</v>
      </c>
      <c r="K27" s="8">
        <f>K24-K25</f>
        <v>0</v>
      </c>
      <c r="L27" s="8"/>
      <c r="M27" s="8"/>
      <c r="N27" s="8"/>
    </row>
    <row r="28" spans="1:16" s="2" customFormat="1" ht="18" x14ac:dyDescent="0.25">
      <c r="D28" s="8">
        <f>D25+D26</f>
        <v>0</v>
      </c>
      <c r="E28" s="8">
        <f>E25+E26</f>
        <v>0</v>
      </c>
      <c r="F28" s="8">
        <f>F25+F26</f>
        <v>0</v>
      </c>
      <c r="G28" s="8">
        <f t="shared" ref="G28:H28" si="2">G25+G26</f>
        <v>0</v>
      </c>
      <c r="H28" s="8">
        <f t="shared" si="2"/>
        <v>0</v>
      </c>
      <c r="I28" s="8"/>
      <c r="K28" s="8"/>
      <c r="L28" s="8"/>
      <c r="M28" s="8"/>
      <c r="N28" s="8"/>
    </row>
    <row r="29" spans="1:16" s="2" customFormat="1" ht="18" x14ac:dyDescent="0.25">
      <c r="D29" s="8"/>
      <c r="E29"/>
      <c r="F29"/>
      <c r="G29" s="3"/>
      <c r="H29" s="3"/>
      <c r="I29" s="3"/>
      <c r="J29" s="8" t="s">
        <v>28</v>
      </c>
      <c r="K29" s="8">
        <f>K27-F22</f>
        <v>0</v>
      </c>
      <c r="L29"/>
      <c r="M29" s="8">
        <f>K29</f>
        <v>0</v>
      </c>
      <c r="N29" s="8" t="s">
        <v>29</v>
      </c>
    </row>
    <row r="30" spans="1:16" s="2" customFormat="1" x14ac:dyDescent="0.25">
      <c r="D30" s="5"/>
      <c r="E30"/>
      <c r="F30"/>
      <c r="G30" s="3"/>
      <c r="H30" s="3"/>
      <c r="I30" s="3"/>
      <c r="L30"/>
      <c r="M30" s="3"/>
      <c r="N30" s="3"/>
    </row>
    <row r="31" spans="1:16" s="2" customFormat="1" ht="18" x14ac:dyDescent="0.25">
      <c r="A31"/>
      <c r="B31"/>
      <c r="C31"/>
      <c r="D31"/>
      <c r="E31"/>
      <c r="F31"/>
      <c r="G31" s="3"/>
      <c r="H31" s="3"/>
      <c r="I31" s="3"/>
      <c r="J31" s="8" t="s">
        <v>44</v>
      </c>
      <c r="K31" s="8">
        <f>COUNTIFS(E7:E20,"ECHEC")*75000</f>
        <v>975000</v>
      </c>
      <c r="L31"/>
      <c r="M31" s="8">
        <f>+K31</f>
        <v>975000</v>
      </c>
      <c r="N31" s="8" t="s">
        <v>29</v>
      </c>
    </row>
    <row r="32" spans="1:16" s="2" customFormat="1" ht="18" x14ac:dyDescent="0.25">
      <c r="A32"/>
      <c r="B32"/>
      <c r="C32"/>
      <c r="D32"/>
      <c r="E32"/>
      <c r="F32"/>
      <c r="G32" s="3"/>
      <c r="H32" s="3"/>
      <c r="I32" s="3"/>
      <c r="J32" s="8" t="s">
        <v>45</v>
      </c>
      <c r="K32" s="8">
        <f>J22-E28</f>
        <v>0</v>
      </c>
      <c r="L32"/>
      <c r="M32" s="8">
        <f>+K32</f>
        <v>0</v>
      </c>
      <c r="N32" s="8" t="s">
        <v>29</v>
      </c>
    </row>
    <row r="33" spans="10:14" ht="18" x14ac:dyDescent="0.25">
      <c r="J33" s="8" t="s">
        <v>44</v>
      </c>
      <c r="K33" s="8">
        <f>COUNTIFS(E7:E22,"ECHEC")*75000</f>
        <v>975000</v>
      </c>
      <c r="M33" s="8">
        <f>+K33</f>
        <v>975000</v>
      </c>
      <c r="N33" s="8" t="s">
        <v>29</v>
      </c>
    </row>
    <row r="34" spans="10:14" ht="18" x14ac:dyDescent="0.25">
      <c r="J34" s="8" t="s">
        <v>45</v>
      </c>
      <c r="K34" s="8">
        <f>J22-E28</f>
        <v>0</v>
      </c>
      <c r="M34" s="8">
        <f>+K34</f>
        <v>0</v>
      </c>
      <c r="N34" s="8" t="s">
        <v>29</v>
      </c>
    </row>
  </sheetData>
  <autoFilter ref="A5:P17">
    <sortState ref="A5:N48">
      <sortCondition ref="C5:C48"/>
    </sortState>
  </autoFilter>
  <mergeCells count="1">
    <mergeCell ref="C4:J4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2</vt:i4>
      </vt:variant>
    </vt:vector>
  </HeadingPairs>
  <TitlesOfParts>
    <vt:vector size="16" baseType="lpstr">
      <vt:lpstr>MODEPAID</vt:lpstr>
      <vt:lpstr>TONTJANV24</vt:lpstr>
      <vt:lpstr>TONTFEV24</vt:lpstr>
      <vt:lpstr>TONTMARS24</vt:lpstr>
      <vt:lpstr>TONTAVRIL24</vt:lpstr>
      <vt:lpstr>TONTMAI24</vt:lpstr>
      <vt:lpstr>TONTJUIN24</vt:lpstr>
      <vt:lpstr>TONTJUIL24</vt:lpstr>
      <vt:lpstr>TONTAOUT24</vt:lpstr>
      <vt:lpstr>TONTSEPT24</vt:lpstr>
      <vt:lpstr>TONTOCT24</vt:lpstr>
      <vt:lpstr>TONTNOV24</vt:lpstr>
      <vt:lpstr>TONTDEC24</vt:lpstr>
      <vt:lpstr>TONTRESUME24</vt:lpstr>
      <vt:lpstr>MODEPAID!MODEPAID</vt:lpstr>
      <vt:lpstr>VALMODEPAID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DJUOMBESSY</cp:lastModifiedBy>
  <dcterms:created xsi:type="dcterms:W3CDTF">2016-12-19T08:36:25Z</dcterms:created>
  <dcterms:modified xsi:type="dcterms:W3CDTF">2024-04-09T08:29:38Z</dcterms:modified>
</cp:coreProperties>
</file>