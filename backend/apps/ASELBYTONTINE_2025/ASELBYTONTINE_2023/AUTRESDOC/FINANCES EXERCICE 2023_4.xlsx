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SELBYTONTINE_2023\AUTRESDOC\"/>
    </mc:Choice>
  </mc:AlternateContent>
  <bookViews>
    <workbookView xWindow="-120" yWindow="-120" windowWidth="20730" windowHeight="11160" firstSheet="4" activeTab="4"/>
  </bookViews>
  <sheets>
    <sheet name="BROUILLARD DE CAISSE 2023" sheetId="14" r:id="rId1"/>
    <sheet name="TONTINE PRESENCE EXO 2023 " sheetId="9" r:id="rId2"/>
    <sheet name="TONTINE 75000 EXO 2023" sheetId="3" r:id="rId3"/>
    <sheet name="TONTINE DE 100 000 EXO 2023" sheetId="8" r:id="rId4"/>
    <sheet name="EPARGNE 2023" sheetId="10" r:id="rId5"/>
    <sheet name="MOUVEMENTS PRETS 2023" sheetId="11" r:id="rId6"/>
    <sheet name="CAISSE 2023" sheetId="12" r:id="rId7"/>
    <sheet name="FOYER 2023" sheetId="13" r:id="rId8"/>
    <sheet name="SYNTHESE DES FINANCES" sheetId="15" r:id="rId9"/>
  </sheets>
  <calcPr calcId="162913"/>
</workbook>
</file>

<file path=xl/calcChain.xml><?xml version="1.0" encoding="utf-8"?>
<calcChain xmlns="http://schemas.openxmlformats.org/spreadsheetml/2006/main">
  <c r="D35" i="9" l="1"/>
  <c r="E35" i="9"/>
  <c r="F35" i="9"/>
  <c r="G35" i="9"/>
  <c r="H35" i="9"/>
  <c r="I35" i="9"/>
  <c r="J35" i="9"/>
  <c r="K35" i="9"/>
  <c r="L35" i="9"/>
  <c r="M35" i="9"/>
  <c r="N35" i="9"/>
  <c r="O35" i="9"/>
  <c r="P35" i="9"/>
  <c r="Q35" i="9"/>
  <c r="R35" i="9"/>
  <c r="S35" i="9"/>
  <c r="T35" i="9"/>
  <c r="U35" i="9"/>
  <c r="V35" i="9"/>
  <c r="W35" i="9"/>
  <c r="X35" i="9"/>
  <c r="Y35" i="9"/>
  <c r="Z35" i="9"/>
  <c r="AB35" i="9" s="1"/>
  <c r="F334" i="12" l="1"/>
  <c r="F333" i="12"/>
  <c r="F332" i="12"/>
  <c r="G332" i="12" s="1"/>
  <c r="G327" i="12"/>
  <c r="G328" i="12"/>
  <c r="G329" i="12"/>
  <c r="G330" i="12"/>
  <c r="G331" i="12"/>
  <c r="G333" i="12"/>
  <c r="G334" i="12"/>
  <c r="G335" i="12"/>
  <c r="G336" i="12"/>
  <c r="G337" i="12"/>
  <c r="G338" i="12"/>
  <c r="G339" i="12"/>
  <c r="G340" i="12"/>
  <c r="G341" i="12"/>
  <c r="G342" i="12"/>
  <c r="G343" i="12"/>
  <c r="G344" i="12"/>
  <c r="G345" i="12"/>
  <c r="G346" i="12"/>
  <c r="G347" i="12"/>
  <c r="G348" i="12"/>
  <c r="G349" i="12"/>
  <c r="G350" i="12"/>
  <c r="F325" i="12"/>
  <c r="G325" i="12" s="1"/>
  <c r="G326" i="12"/>
  <c r="G324" i="12"/>
  <c r="F295" i="12" l="1"/>
  <c r="G295" i="12" s="1"/>
  <c r="C461" i="14"/>
  <c r="F294" i="12"/>
  <c r="G293" i="12"/>
  <c r="G294" i="12"/>
  <c r="G296" i="12"/>
  <c r="G297" i="12"/>
  <c r="G298" i="12"/>
  <c r="G299" i="12"/>
  <c r="G300" i="12"/>
  <c r="G301" i="12"/>
  <c r="G302" i="12"/>
  <c r="G303" i="12"/>
  <c r="G304" i="12"/>
  <c r="G305" i="12"/>
  <c r="G306" i="12"/>
  <c r="G307" i="12"/>
  <c r="G308" i="12"/>
  <c r="G309" i="12"/>
  <c r="G310" i="12"/>
  <c r="G311" i="12"/>
  <c r="G312" i="12"/>
  <c r="G313" i="12"/>
  <c r="G314" i="12"/>
  <c r="G315" i="12"/>
  <c r="G316" i="12"/>
  <c r="G317" i="12"/>
  <c r="G318" i="12"/>
  <c r="F292" i="12"/>
  <c r="G292" i="12" s="1"/>
  <c r="H176" i="9"/>
  <c r="H166" i="8"/>
  <c r="H166" i="3"/>
  <c r="Q34" i="13" l="1"/>
  <c r="Q35" i="13"/>
  <c r="Q36" i="13"/>
  <c r="Q37" i="13"/>
  <c r="Q38" i="13"/>
  <c r="Q39" i="13"/>
  <c r="Q32" i="13"/>
  <c r="Q33" i="13"/>
  <c r="C402" i="14" l="1"/>
  <c r="AF35" i="10"/>
  <c r="F262" i="12"/>
  <c r="F265" i="12"/>
  <c r="G265" i="12" s="1"/>
  <c r="F264" i="12"/>
  <c r="F263" i="12"/>
  <c r="G263" i="12" s="1"/>
  <c r="F261" i="12"/>
  <c r="G261" i="12" s="1"/>
  <c r="AF34" i="10"/>
  <c r="C404" i="14"/>
  <c r="G262" i="12"/>
  <c r="G264" i="12"/>
  <c r="G266" i="12"/>
  <c r="G267" i="12"/>
  <c r="G268" i="12"/>
  <c r="G269" i="12"/>
  <c r="G270" i="12"/>
  <c r="G271" i="12"/>
  <c r="G272" i="12"/>
  <c r="G273" i="12"/>
  <c r="G274" i="12"/>
  <c r="G275" i="12"/>
  <c r="G276" i="12"/>
  <c r="G277" i="12"/>
  <c r="G278" i="12"/>
  <c r="G279" i="12"/>
  <c r="G280" i="12"/>
  <c r="G281" i="12"/>
  <c r="G282" i="12"/>
  <c r="G283" i="12"/>
  <c r="G284" i="12"/>
  <c r="G285" i="12"/>
  <c r="G286" i="12"/>
  <c r="G260" i="12"/>
  <c r="G159" i="8"/>
  <c r="G160" i="8"/>
  <c r="G156" i="8"/>
  <c r="H151" i="8"/>
  <c r="H151" i="3"/>
  <c r="H161" i="9"/>
  <c r="J394" i="14"/>
  <c r="H394" i="14"/>
  <c r="J384" i="14"/>
  <c r="H384" i="14"/>
  <c r="I32" i="10"/>
  <c r="I33" i="10"/>
  <c r="I34" i="10"/>
  <c r="I35" i="10"/>
  <c r="I36" i="10"/>
  <c r="I37" i="10"/>
  <c r="I38" i="10"/>
  <c r="F234" i="12" l="1"/>
  <c r="G234" i="12" s="1"/>
  <c r="F235" i="12"/>
  <c r="F231" i="12"/>
  <c r="G231" i="12" s="1"/>
  <c r="F230" i="12"/>
  <c r="G230" i="12" s="1"/>
  <c r="F233" i="12"/>
  <c r="F232" i="12"/>
  <c r="G232" i="12" s="1"/>
  <c r="F229" i="12"/>
  <c r="G229" i="12" s="1"/>
  <c r="G233" i="12"/>
  <c r="G235" i="12"/>
  <c r="G236" i="12"/>
  <c r="G237" i="12"/>
  <c r="G238" i="12"/>
  <c r="G239" i="12"/>
  <c r="G240" i="12"/>
  <c r="G241" i="12"/>
  <c r="G242" i="12"/>
  <c r="G243" i="12"/>
  <c r="G244" i="12"/>
  <c r="G245" i="12"/>
  <c r="G246" i="12"/>
  <c r="G247" i="12"/>
  <c r="G248" i="12"/>
  <c r="G249" i="12"/>
  <c r="G250" i="12"/>
  <c r="G251" i="12"/>
  <c r="G252" i="12"/>
  <c r="G253" i="12"/>
  <c r="G254" i="12"/>
  <c r="G228" i="12"/>
  <c r="F228" i="12"/>
  <c r="H146" i="9"/>
  <c r="H136" i="8" l="1"/>
  <c r="H136" i="3"/>
  <c r="F199" i="12" l="1"/>
  <c r="G199" i="12" s="1"/>
  <c r="F209" i="12"/>
  <c r="F204" i="12"/>
  <c r="G204" i="12" s="1"/>
  <c r="F200" i="12"/>
  <c r="G200" i="12" s="1"/>
  <c r="F198" i="12"/>
  <c r="F197" i="12"/>
  <c r="F196" i="12"/>
  <c r="G196" i="12" s="1"/>
  <c r="G197" i="12"/>
  <c r="G198" i="12"/>
  <c r="G201" i="12"/>
  <c r="G202" i="12"/>
  <c r="G203" i="12"/>
  <c r="G205" i="12"/>
  <c r="G206" i="12"/>
  <c r="G207" i="12"/>
  <c r="G208" i="12"/>
  <c r="G209" i="12"/>
  <c r="G210" i="12"/>
  <c r="G211" i="12"/>
  <c r="G212" i="12"/>
  <c r="G213" i="12"/>
  <c r="G214" i="12"/>
  <c r="G215" i="12"/>
  <c r="G216" i="12"/>
  <c r="G217" i="12"/>
  <c r="G218" i="12"/>
  <c r="G219" i="12"/>
  <c r="G220" i="12"/>
  <c r="G221" i="12"/>
  <c r="G222" i="12"/>
  <c r="H117" i="9"/>
  <c r="H100" i="9"/>
  <c r="H131" i="9"/>
  <c r="C313" i="14"/>
  <c r="G152" i="12"/>
  <c r="F176" i="12" l="1"/>
  <c r="G176" i="12" s="1"/>
  <c r="F187" i="12"/>
  <c r="F181" i="12"/>
  <c r="G181" i="12" s="1"/>
  <c r="F180" i="12"/>
  <c r="G180" i="12" s="1"/>
  <c r="F175" i="12"/>
  <c r="G175" i="12" s="1"/>
  <c r="F174" i="12"/>
  <c r="F170" i="12"/>
  <c r="G170" i="12" s="1"/>
  <c r="F169" i="12"/>
  <c r="G169" i="12" s="1"/>
  <c r="G165" i="12"/>
  <c r="G166" i="12"/>
  <c r="G167" i="12"/>
  <c r="G168" i="12"/>
  <c r="G171" i="12"/>
  <c r="G172" i="12"/>
  <c r="G173" i="12"/>
  <c r="G174" i="12"/>
  <c r="G177" i="12"/>
  <c r="G178" i="12"/>
  <c r="G179" i="12"/>
  <c r="G182" i="12"/>
  <c r="G183" i="12"/>
  <c r="G184" i="12"/>
  <c r="G185" i="12"/>
  <c r="G186" i="12"/>
  <c r="G187" i="12"/>
  <c r="G188" i="12"/>
  <c r="F164" i="12"/>
  <c r="G164" i="12" s="1"/>
  <c r="M120" i="9"/>
  <c r="M121" i="9"/>
  <c r="M110" i="8"/>
  <c r="C31" i="11" l="1"/>
  <c r="AQ35" i="11"/>
  <c r="C34" i="11"/>
  <c r="C33" i="11"/>
  <c r="C32" i="11"/>
  <c r="E14" i="15" l="1"/>
  <c r="E13" i="15"/>
  <c r="E9" i="15"/>
  <c r="E8" i="15"/>
  <c r="E5" i="15"/>
  <c r="E3" i="15"/>
  <c r="F10" i="15"/>
  <c r="F12" i="15"/>
  <c r="F15" i="15"/>
  <c r="F16" i="15"/>
  <c r="F17" i="15"/>
  <c r="C18" i="15"/>
  <c r="A3" i="15"/>
  <c r="A4" i="15" s="1"/>
  <c r="A5" i="15" s="1"/>
  <c r="A6" i="15" s="1"/>
  <c r="A7" i="15" s="1"/>
  <c r="A8" i="15" s="1"/>
  <c r="A9" i="15" s="1"/>
  <c r="A10" i="15" s="1"/>
  <c r="A11" i="15" s="1"/>
  <c r="A12" i="15" s="1"/>
  <c r="A13" i="15" s="1"/>
  <c r="A14" i="15" s="1"/>
  <c r="A15" i="15" s="1"/>
  <c r="A16" i="15" s="1"/>
  <c r="A17" i="15" s="1"/>
  <c r="E18" i="15" l="1"/>
  <c r="D43" i="13" l="1"/>
  <c r="E43" i="13"/>
  <c r="F43" i="13"/>
  <c r="G43" i="13"/>
  <c r="H43" i="13"/>
  <c r="I43" i="13"/>
  <c r="J43" i="13"/>
  <c r="K43" i="13"/>
  <c r="L43" i="13"/>
  <c r="M43" i="13"/>
  <c r="N43" i="13"/>
  <c r="O43" i="13"/>
  <c r="P43" i="13"/>
  <c r="C43" i="13"/>
  <c r="AS38" i="11"/>
  <c r="AP6" i="11"/>
  <c r="AP7" i="11"/>
  <c r="AP8" i="11"/>
  <c r="AP9" i="11"/>
  <c r="AP10" i="11"/>
  <c r="AP11" i="11"/>
  <c r="AP12" i="11"/>
  <c r="AP13" i="11"/>
  <c r="AP14" i="11"/>
  <c r="AP15" i="11"/>
  <c r="AP16" i="11"/>
  <c r="AP17" i="11"/>
  <c r="AP18" i="11"/>
  <c r="AP19" i="11"/>
  <c r="AP20" i="11"/>
  <c r="AP21" i="11"/>
  <c r="AP22" i="11"/>
  <c r="AP23" i="11"/>
  <c r="AP24" i="11"/>
  <c r="AP25" i="11"/>
  <c r="AP26" i="11"/>
  <c r="AP27" i="11"/>
  <c r="AP28" i="11"/>
  <c r="AP29" i="11"/>
  <c r="AP30" i="11"/>
  <c r="AP31" i="11"/>
  <c r="AP32" i="11"/>
  <c r="AP33" i="11"/>
  <c r="AP34" i="11"/>
  <c r="AP35" i="11"/>
  <c r="AS35" i="11" s="1"/>
  <c r="AP36" i="11"/>
  <c r="AS36" i="11" s="1"/>
  <c r="AP37" i="11"/>
  <c r="AP38" i="11"/>
  <c r="AP39" i="11"/>
  <c r="AS39" i="11" s="1"/>
  <c r="AP40" i="11"/>
  <c r="AP5" i="11"/>
  <c r="AR5" i="11"/>
  <c r="AR6" i="11"/>
  <c r="AR7" i="11"/>
  <c r="AR8" i="11"/>
  <c r="AR9" i="11"/>
  <c r="AR10" i="11"/>
  <c r="AR11" i="11"/>
  <c r="AR12" i="11"/>
  <c r="AR13" i="11"/>
  <c r="AR14" i="11"/>
  <c r="AR15" i="11"/>
  <c r="AR16" i="11"/>
  <c r="AR17" i="11"/>
  <c r="AR18" i="11"/>
  <c r="AR19" i="11"/>
  <c r="AR20" i="11"/>
  <c r="AR21" i="11"/>
  <c r="AR22" i="11"/>
  <c r="AR24" i="11"/>
  <c r="AR25" i="11"/>
  <c r="AR26" i="11"/>
  <c r="AR27" i="11"/>
  <c r="AR28" i="11"/>
  <c r="AR29" i="11"/>
  <c r="AR30" i="11"/>
  <c r="AR31" i="11"/>
  <c r="AR32" i="11"/>
  <c r="AR33" i="11"/>
  <c r="AR34" i="11"/>
  <c r="AR35" i="11"/>
  <c r="AR36" i="11"/>
  <c r="AR37" i="11"/>
  <c r="AR38" i="11"/>
  <c r="AR39" i="11"/>
  <c r="AR40" i="11"/>
  <c r="AR23" i="11"/>
  <c r="F145" i="12" l="1"/>
  <c r="G145" i="12" s="1"/>
  <c r="G146" i="12"/>
  <c r="F144" i="12"/>
  <c r="G144" i="12" s="1"/>
  <c r="F147" i="12"/>
  <c r="F149" i="12"/>
  <c r="G149" i="12" s="1"/>
  <c r="F141" i="12"/>
  <c r="F140" i="12"/>
  <c r="G140" i="12" s="1"/>
  <c r="F137" i="12"/>
  <c r="G137" i="12" s="1"/>
  <c r="G136" i="12"/>
  <c r="G141" i="12"/>
  <c r="G142" i="12"/>
  <c r="G143" i="12"/>
  <c r="G138" i="12"/>
  <c r="G150" i="12"/>
  <c r="G139" i="12"/>
  <c r="G147" i="12"/>
  <c r="G133" i="12"/>
  <c r="G148" i="12"/>
  <c r="G134" i="12"/>
  <c r="G135" i="12"/>
  <c r="G151" i="12"/>
  <c r="G153" i="12"/>
  <c r="G154" i="12"/>
  <c r="G155" i="12"/>
  <c r="G156" i="12"/>
  <c r="G157" i="12"/>
  <c r="G158" i="12"/>
  <c r="AR32" i="10" l="1"/>
  <c r="AS32" i="10"/>
  <c r="AT32" i="10"/>
  <c r="AR33" i="10"/>
  <c r="AS33" i="10"/>
  <c r="AT33" i="10"/>
  <c r="AR34" i="10"/>
  <c r="AS34" i="10"/>
  <c r="AT34" i="10"/>
  <c r="AR35" i="10"/>
  <c r="AS35" i="10"/>
  <c r="AT35" i="10"/>
  <c r="AR36" i="10"/>
  <c r="AS36" i="10"/>
  <c r="AT36" i="10"/>
  <c r="AR37" i="10"/>
  <c r="AS37" i="10"/>
  <c r="AT37" i="10"/>
  <c r="AR38" i="10"/>
  <c r="AS38" i="10"/>
  <c r="AT38" i="10"/>
  <c r="U37" i="10"/>
  <c r="V37" i="10" s="1"/>
  <c r="U38" i="10"/>
  <c r="V38" i="10" s="1"/>
  <c r="X38" i="10" s="1"/>
  <c r="BA39" i="10"/>
  <c r="N39" i="10"/>
  <c r="Q39" i="10"/>
  <c r="T39" i="10"/>
  <c r="W39" i="10"/>
  <c r="Z39" i="10"/>
  <c r="AC39" i="10"/>
  <c r="AF39" i="10"/>
  <c r="AI39" i="10"/>
  <c r="AL39" i="10"/>
  <c r="AO39" i="10"/>
  <c r="AW39" i="10"/>
  <c r="AX39" i="10"/>
  <c r="AY39" i="10"/>
  <c r="AZ39" i="10"/>
  <c r="K39" i="10"/>
  <c r="H39" i="10"/>
  <c r="Q3" i="10"/>
  <c r="N3" i="10"/>
  <c r="K3" i="10"/>
  <c r="F54" i="12"/>
  <c r="Y37" i="10" l="1"/>
  <c r="X37" i="10"/>
  <c r="Y38" i="10"/>
  <c r="AA38" i="10" s="1"/>
  <c r="AB38" i="10" s="1"/>
  <c r="AD38" i="10" s="1"/>
  <c r="AE38" i="10" s="1"/>
  <c r="AG38" i="10" s="1"/>
  <c r="AH38" i="10" s="1"/>
  <c r="G117" i="12"/>
  <c r="F117" i="12"/>
  <c r="F116" i="12"/>
  <c r="F115" i="12"/>
  <c r="F114" i="12"/>
  <c r="F111" i="12"/>
  <c r="G111" i="12" s="1"/>
  <c r="F103" i="12"/>
  <c r="G103" i="12" s="1"/>
  <c r="F102" i="12"/>
  <c r="G102" i="12"/>
  <c r="G104" i="12"/>
  <c r="G105" i="12"/>
  <c r="G106" i="12"/>
  <c r="G107" i="12"/>
  <c r="G108" i="12"/>
  <c r="G109" i="12"/>
  <c r="G110" i="12"/>
  <c r="G112" i="12"/>
  <c r="G113" i="12"/>
  <c r="G114" i="12"/>
  <c r="G115" i="12"/>
  <c r="G116" i="12"/>
  <c r="G118" i="12"/>
  <c r="G119" i="12"/>
  <c r="G120" i="12"/>
  <c r="G121" i="12"/>
  <c r="G122" i="12"/>
  <c r="G123" i="12"/>
  <c r="G124" i="12"/>
  <c r="G125" i="12"/>
  <c r="G126" i="12"/>
  <c r="F101" i="12"/>
  <c r="G101" i="12" s="1"/>
  <c r="AB37" i="10" l="1"/>
  <c r="AD37" i="10" s="1"/>
  <c r="AE37" i="10" s="1"/>
  <c r="AA37" i="10"/>
  <c r="AJ38" i="10"/>
  <c r="AK38" i="10" s="1"/>
  <c r="G83" i="12"/>
  <c r="G84" i="12"/>
  <c r="F73" i="12"/>
  <c r="G73" i="12" s="1"/>
  <c r="F70" i="12"/>
  <c r="G70" i="12" s="1"/>
  <c r="F76" i="12"/>
  <c r="F75" i="12"/>
  <c r="G75" i="12" s="1"/>
  <c r="F74" i="12"/>
  <c r="G74" i="12" s="1"/>
  <c r="F71" i="12"/>
  <c r="G71" i="12" s="1"/>
  <c r="G72" i="12"/>
  <c r="G76" i="12"/>
  <c r="G77" i="12"/>
  <c r="G78" i="12"/>
  <c r="G79" i="12"/>
  <c r="G80" i="12"/>
  <c r="G81" i="12"/>
  <c r="G82" i="12"/>
  <c r="G69" i="12"/>
  <c r="M73" i="9"/>
  <c r="H69" i="9"/>
  <c r="AG37" i="10" l="1"/>
  <c r="AH37" i="10" s="1"/>
  <c r="AM38" i="10"/>
  <c r="AN38" i="10" s="1"/>
  <c r="L70" i="14"/>
  <c r="AJ37" i="10" l="1"/>
  <c r="AK37" i="10" s="1"/>
  <c r="AM37" i="10" s="1"/>
  <c r="AN37" i="10" s="1"/>
  <c r="AP38" i="10"/>
  <c r="AV38" i="10" s="1"/>
  <c r="BB38" i="10" s="1"/>
  <c r="BD38" i="10" s="1"/>
  <c r="BF38" i="10" s="1"/>
  <c r="T94" i="14"/>
  <c r="AQ38" i="10" l="1"/>
  <c r="AP37" i="10"/>
  <c r="AQ37" i="10" s="1"/>
  <c r="AU38" i="10"/>
  <c r="F42" i="12"/>
  <c r="G42" i="12" s="1"/>
  <c r="F40" i="12"/>
  <c r="G40" i="12" s="1"/>
  <c r="F43" i="12"/>
  <c r="G43" i="12" s="1"/>
  <c r="F41" i="12"/>
  <c r="F47" i="12"/>
  <c r="G47" i="12" s="1"/>
  <c r="G38" i="12"/>
  <c r="G39" i="12"/>
  <c r="G41" i="12"/>
  <c r="G44" i="12"/>
  <c r="G45" i="12"/>
  <c r="G46" i="12"/>
  <c r="G48" i="12"/>
  <c r="G49" i="12"/>
  <c r="G50" i="12"/>
  <c r="G51" i="12"/>
  <c r="G52" i="12"/>
  <c r="G53" i="12"/>
  <c r="G54" i="12"/>
  <c r="G55" i="12"/>
  <c r="G56" i="12"/>
  <c r="G57" i="12"/>
  <c r="G58" i="12"/>
  <c r="G59" i="12"/>
  <c r="G60" i="12"/>
  <c r="G61" i="12"/>
  <c r="G62" i="12"/>
  <c r="G63" i="12"/>
  <c r="G37" i="12"/>
  <c r="H53" i="9"/>
  <c r="H43" i="8"/>
  <c r="H43" i="3"/>
  <c r="J43" i="10"/>
  <c r="J37" i="10"/>
  <c r="J38" i="10"/>
  <c r="AU37" i="10" l="1"/>
  <c r="AV37" i="10"/>
  <c r="BB37" i="10" s="1"/>
  <c r="BD37" i="10" s="1"/>
  <c r="BF37" i="10" s="1"/>
  <c r="J32" i="12"/>
  <c r="C39" i="10" l="1"/>
  <c r="E14" i="12" l="1"/>
  <c r="G14" i="12" s="1"/>
  <c r="G6" i="12"/>
  <c r="G7" i="12"/>
  <c r="G8" i="12"/>
  <c r="G9" i="12"/>
  <c r="G10" i="12"/>
  <c r="G11" i="12"/>
  <c r="G12" i="12"/>
  <c r="G13" i="12"/>
  <c r="G15" i="12"/>
  <c r="G16" i="12"/>
  <c r="G17" i="12"/>
  <c r="G18" i="12"/>
  <c r="G19" i="12"/>
  <c r="G20" i="12"/>
  <c r="G21" i="12"/>
  <c r="G22" i="12"/>
  <c r="G23" i="12"/>
  <c r="G24" i="12"/>
  <c r="G25" i="12"/>
  <c r="G26" i="12"/>
  <c r="G27" i="12"/>
  <c r="G28" i="12"/>
  <c r="G5" i="12"/>
  <c r="J36" i="10" l="1"/>
  <c r="J32" i="10"/>
  <c r="L32" i="10" s="1"/>
  <c r="J33" i="10"/>
  <c r="J34" i="10"/>
  <c r="J35" i="10"/>
  <c r="M36" i="10" l="1"/>
  <c r="M35" i="10"/>
  <c r="M33" i="10"/>
  <c r="M34" i="10"/>
  <c r="M32" i="10"/>
  <c r="O32" i="10" s="1"/>
  <c r="A522" i="14"/>
  <c r="A523" i="14" s="1"/>
  <c r="A524" i="14" s="1"/>
  <c r="A525" i="14" s="1"/>
  <c r="A526" i="14" s="1"/>
  <c r="A527" i="14" s="1"/>
  <c r="A528" i="14" s="1"/>
  <c r="A529" i="14" s="1"/>
  <c r="A530" i="14" s="1"/>
  <c r="A531" i="14" s="1"/>
  <c r="A532" i="14" s="1"/>
  <c r="A533" i="14" s="1"/>
  <c r="A534" i="14" s="1"/>
  <c r="A535" i="14" s="1"/>
  <c r="A536" i="14" s="1"/>
  <c r="A537" i="14" s="1"/>
  <c r="A538" i="14" s="1"/>
  <c r="A539" i="14" s="1"/>
  <c r="A540" i="14" s="1"/>
  <c r="A541" i="14" s="1"/>
  <c r="A542" i="14" s="1"/>
  <c r="A543" i="14" s="1"/>
  <c r="A544" i="14" s="1"/>
  <c r="A545" i="14" s="1"/>
  <c r="A546" i="14" s="1"/>
  <c r="A547" i="14" s="1"/>
  <c r="A548" i="14" s="1"/>
  <c r="A549" i="14" s="1"/>
  <c r="A550" i="14" s="1"/>
  <c r="A551" i="14" s="1"/>
  <c r="A552" i="14" s="1"/>
  <c r="A553" i="14" s="1"/>
  <c r="A554" i="14" s="1"/>
  <c r="A555" i="14" s="1"/>
  <c r="A556" i="14" s="1"/>
  <c r="A557" i="14" s="1"/>
  <c r="A558" i="14" s="1"/>
  <c r="A559" i="14" s="1"/>
  <c r="A560" i="14" s="1"/>
  <c r="A561" i="14" s="1"/>
  <c r="A562" i="14" s="1"/>
  <c r="A569" i="14"/>
  <c r="A570" i="14" s="1"/>
  <c r="A571" i="14" s="1"/>
  <c r="A572" i="14" s="1"/>
  <c r="A573" i="14" s="1"/>
  <c r="A574" i="14" s="1"/>
  <c r="A575" i="14" s="1"/>
  <c r="A576" i="14" s="1"/>
  <c r="A577" i="14" s="1"/>
  <c r="A578" i="14" s="1"/>
  <c r="A579" i="14" s="1"/>
  <c r="A580" i="14" s="1"/>
  <c r="A581" i="14" s="1"/>
  <c r="A582" i="14" s="1"/>
  <c r="A583" i="14" s="1"/>
  <c r="A584" i="14" s="1"/>
  <c r="A585" i="14" s="1"/>
  <c r="A586" i="14" s="1"/>
  <c r="A587" i="14" s="1"/>
  <c r="A588" i="14" s="1"/>
  <c r="A589" i="14" s="1"/>
  <c r="A590" i="14" s="1"/>
  <c r="A591" i="14" s="1"/>
  <c r="A592" i="14" s="1"/>
  <c r="A593" i="14" s="1"/>
  <c r="A594" i="14" s="1"/>
  <c r="A595" i="14" s="1"/>
  <c r="A596" i="14" s="1"/>
  <c r="A597" i="14" s="1"/>
  <c r="A598" i="14" s="1"/>
  <c r="A599" i="14" s="1"/>
  <c r="A600" i="14" s="1"/>
  <c r="A601" i="14" s="1"/>
  <c r="A602" i="14" s="1"/>
  <c r="A603" i="14" s="1"/>
  <c r="A604" i="14" s="1"/>
  <c r="A605" i="14" s="1"/>
  <c r="A606" i="14" s="1"/>
  <c r="A607" i="14" s="1"/>
  <c r="A608" i="14" s="1"/>
  <c r="A609" i="14" s="1"/>
  <c r="O34" i="10" l="1"/>
  <c r="P34" i="10" s="1"/>
  <c r="O35" i="10"/>
  <c r="P35" i="10" s="1"/>
  <c r="P32" i="10"/>
  <c r="R32" i="10" s="1"/>
  <c r="O33" i="10"/>
  <c r="P33" i="10"/>
  <c r="O36" i="10"/>
  <c r="P36" i="10" s="1"/>
  <c r="E573" i="14"/>
  <c r="R35" i="10" l="1"/>
  <c r="S35" i="10" s="1"/>
  <c r="U35" i="10" s="1"/>
  <c r="V35" i="10" s="1"/>
  <c r="Y35" i="10" s="1"/>
  <c r="S32" i="10"/>
  <c r="U32" i="10" s="1"/>
  <c r="R34" i="10"/>
  <c r="S34" i="10" s="1"/>
  <c r="U34" i="10" s="1"/>
  <c r="V34" i="10" s="1"/>
  <c r="Y34" i="10" s="1"/>
  <c r="R36" i="10"/>
  <c r="S36" i="10" s="1"/>
  <c r="U36" i="10" s="1"/>
  <c r="V36" i="10" s="1"/>
  <c r="Y36" i="10" s="1"/>
  <c r="R33" i="10"/>
  <c r="S33" i="10" s="1"/>
  <c r="U33" i="10" s="1"/>
  <c r="V33" i="10" s="1"/>
  <c r="Y33" i="10" s="1"/>
  <c r="C569" i="14"/>
  <c r="D569" i="14"/>
  <c r="E569" i="14"/>
  <c r="F569" i="14"/>
  <c r="G569" i="14"/>
  <c r="H569" i="14"/>
  <c r="I569" i="14"/>
  <c r="J569" i="14"/>
  <c r="K569" i="14"/>
  <c r="L569" i="14"/>
  <c r="M569" i="14"/>
  <c r="N569" i="14"/>
  <c r="O569" i="14"/>
  <c r="P569" i="14"/>
  <c r="Q569" i="14"/>
  <c r="R569" i="14"/>
  <c r="C570" i="14"/>
  <c r="D570" i="14"/>
  <c r="E570" i="14"/>
  <c r="F570" i="14"/>
  <c r="G570" i="14"/>
  <c r="H570" i="14"/>
  <c r="I570" i="14"/>
  <c r="J570" i="14"/>
  <c r="K570" i="14"/>
  <c r="L570" i="14"/>
  <c r="M570" i="14"/>
  <c r="N570" i="14"/>
  <c r="O570" i="14"/>
  <c r="P570" i="14"/>
  <c r="Q570" i="14"/>
  <c r="R570" i="14"/>
  <c r="C571" i="14"/>
  <c r="D571" i="14"/>
  <c r="E571" i="14"/>
  <c r="F571" i="14"/>
  <c r="G571" i="14"/>
  <c r="H571" i="14"/>
  <c r="I571" i="14"/>
  <c r="J571" i="14"/>
  <c r="K571" i="14"/>
  <c r="L571" i="14"/>
  <c r="M571" i="14"/>
  <c r="N571" i="14"/>
  <c r="O571" i="14"/>
  <c r="P571" i="14"/>
  <c r="Q571" i="14"/>
  <c r="R571" i="14"/>
  <c r="C572" i="14"/>
  <c r="D572" i="14"/>
  <c r="E572" i="14"/>
  <c r="F572" i="14"/>
  <c r="G572" i="14"/>
  <c r="H572" i="14"/>
  <c r="I572" i="14"/>
  <c r="J572" i="14"/>
  <c r="K572" i="14"/>
  <c r="L572" i="14"/>
  <c r="M572" i="14"/>
  <c r="N572" i="14"/>
  <c r="O572" i="14"/>
  <c r="P572" i="14"/>
  <c r="Q572" i="14"/>
  <c r="R572" i="14"/>
  <c r="C573" i="14"/>
  <c r="D573" i="14"/>
  <c r="F573" i="14"/>
  <c r="G573" i="14"/>
  <c r="H573" i="14"/>
  <c r="I573" i="14"/>
  <c r="J573" i="14"/>
  <c r="K573" i="14"/>
  <c r="L573" i="14"/>
  <c r="M573" i="14"/>
  <c r="N573" i="14"/>
  <c r="O573" i="14"/>
  <c r="P573" i="14"/>
  <c r="Q573" i="14"/>
  <c r="R573" i="14"/>
  <c r="C574" i="14"/>
  <c r="D574" i="14"/>
  <c r="E574" i="14"/>
  <c r="F574" i="14"/>
  <c r="G574" i="14"/>
  <c r="H574" i="14"/>
  <c r="I574" i="14"/>
  <c r="J574" i="14"/>
  <c r="K574" i="14"/>
  <c r="L574" i="14"/>
  <c r="M574" i="14"/>
  <c r="N574" i="14"/>
  <c r="O574" i="14"/>
  <c r="P574" i="14"/>
  <c r="Q574" i="14"/>
  <c r="R574" i="14"/>
  <c r="C575" i="14"/>
  <c r="D575" i="14"/>
  <c r="E575" i="14"/>
  <c r="F575" i="14"/>
  <c r="G575" i="14"/>
  <c r="H575" i="14"/>
  <c r="I575" i="14"/>
  <c r="J575" i="14"/>
  <c r="K575" i="14"/>
  <c r="L575" i="14"/>
  <c r="M575" i="14"/>
  <c r="N575" i="14"/>
  <c r="O575" i="14"/>
  <c r="P575" i="14"/>
  <c r="Q575" i="14"/>
  <c r="R575" i="14"/>
  <c r="C576" i="14"/>
  <c r="D576" i="14"/>
  <c r="E576" i="14"/>
  <c r="F576" i="14"/>
  <c r="G576" i="14"/>
  <c r="H576" i="14"/>
  <c r="I576" i="14"/>
  <c r="J576" i="14"/>
  <c r="K576" i="14"/>
  <c r="L576" i="14"/>
  <c r="M576" i="14"/>
  <c r="N576" i="14"/>
  <c r="O576" i="14"/>
  <c r="P576" i="14"/>
  <c r="Q576" i="14"/>
  <c r="R576" i="14"/>
  <c r="C577" i="14"/>
  <c r="D577" i="14"/>
  <c r="E577" i="14"/>
  <c r="F577" i="14"/>
  <c r="G577" i="14"/>
  <c r="H577" i="14"/>
  <c r="I577" i="14"/>
  <c r="J577" i="14"/>
  <c r="K577" i="14"/>
  <c r="L577" i="14"/>
  <c r="M577" i="14"/>
  <c r="N577" i="14"/>
  <c r="O577" i="14"/>
  <c r="P577" i="14"/>
  <c r="Q577" i="14"/>
  <c r="R577" i="14"/>
  <c r="C578" i="14"/>
  <c r="D578" i="14"/>
  <c r="E578" i="14"/>
  <c r="F578" i="14"/>
  <c r="G578" i="14"/>
  <c r="H578" i="14"/>
  <c r="I578" i="14"/>
  <c r="J578" i="14"/>
  <c r="K578" i="14"/>
  <c r="L578" i="14"/>
  <c r="M578" i="14"/>
  <c r="N578" i="14"/>
  <c r="O578" i="14"/>
  <c r="P578" i="14"/>
  <c r="Q578" i="14"/>
  <c r="R578" i="14"/>
  <c r="C579" i="14"/>
  <c r="D579" i="14"/>
  <c r="E579" i="14"/>
  <c r="F579" i="14"/>
  <c r="G579" i="14"/>
  <c r="H579" i="14"/>
  <c r="I579" i="14"/>
  <c r="J579" i="14"/>
  <c r="K579" i="14"/>
  <c r="L579" i="14"/>
  <c r="M579" i="14"/>
  <c r="N579" i="14"/>
  <c r="O579" i="14"/>
  <c r="P579" i="14"/>
  <c r="Q579" i="14"/>
  <c r="R579" i="14"/>
  <c r="C580" i="14"/>
  <c r="D580" i="14"/>
  <c r="E580" i="14"/>
  <c r="F580" i="14"/>
  <c r="G580" i="14"/>
  <c r="H580" i="14"/>
  <c r="I580" i="14"/>
  <c r="J580" i="14"/>
  <c r="K580" i="14"/>
  <c r="L580" i="14"/>
  <c r="M580" i="14"/>
  <c r="N580" i="14"/>
  <c r="O580" i="14"/>
  <c r="P580" i="14"/>
  <c r="Q580" i="14"/>
  <c r="R580" i="14"/>
  <c r="C581" i="14"/>
  <c r="D581" i="14"/>
  <c r="E581" i="14"/>
  <c r="F581" i="14"/>
  <c r="G581" i="14"/>
  <c r="H581" i="14"/>
  <c r="I581" i="14"/>
  <c r="J581" i="14"/>
  <c r="K581" i="14"/>
  <c r="L581" i="14"/>
  <c r="M581" i="14"/>
  <c r="N581" i="14"/>
  <c r="O581" i="14"/>
  <c r="P581" i="14"/>
  <c r="Q581" i="14"/>
  <c r="R581" i="14"/>
  <c r="C582" i="14"/>
  <c r="D582" i="14"/>
  <c r="E582" i="14"/>
  <c r="F582" i="14"/>
  <c r="G582" i="14"/>
  <c r="H582" i="14"/>
  <c r="I582" i="14"/>
  <c r="J582" i="14"/>
  <c r="K582" i="14"/>
  <c r="L582" i="14"/>
  <c r="M582" i="14"/>
  <c r="N582" i="14"/>
  <c r="O582" i="14"/>
  <c r="P582" i="14"/>
  <c r="Q582" i="14"/>
  <c r="R582" i="14"/>
  <c r="C583" i="14"/>
  <c r="D583" i="14"/>
  <c r="E583" i="14"/>
  <c r="F583" i="14"/>
  <c r="G583" i="14"/>
  <c r="H583" i="14"/>
  <c r="I583" i="14"/>
  <c r="J583" i="14"/>
  <c r="K583" i="14"/>
  <c r="L583" i="14"/>
  <c r="M583" i="14"/>
  <c r="N583" i="14"/>
  <c r="O583" i="14"/>
  <c r="P583" i="14"/>
  <c r="Q583" i="14"/>
  <c r="R583" i="14"/>
  <c r="C584" i="14"/>
  <c r="D584" i="14"/>
  <c r="E584" i="14"/>
  <c r="F584" i="14"/>
  <c r="G584" i="14"/>
  <c r="H584" i="14"/>
  <c r="I584" i="14"/>
  <c r="J584" i="14"/>
  <c r="K584" i="14"/>
  <c r="L584" i="14"/>
  <c r="M584" i="14"/>
  <c r="N584" i="14"/>
  <c r="O584" i="14"/>
  <c r="P584" i="14"/>
  <c r="Q584" i="14"/>
  <c r="R584" i="14"/>
  <c r="C585" i="14"/>
  <c r="D585" i="14"/>
  <c r="E585" i="14"/>
  <c r="F585" i="14"/>
  <c r="G585" i="14"/>
  <c r="H585" i="14"/>
  <c r="I585" i="14"/>
  <c r="J585" i="14"/>
  <c r="K585" i="14"/>
  <c r="L585" i="14"/>
  <c r="M585" i="14"/>
  <c r="N585" i="14"/>
  <c r="O585" i="14"/>
  <c r="P585" i="14"/>
  <c r="Q585" i="14"/>
  <c r="R585" i="14"/>
  <c r="C586" i="14"/>
  <c r="D586" i="14"/>
  <c r="E586" i="14"/>
  <c r="F586" i="14"/>
  <c r="G586" i="14"/>
  <c r="H586" i="14"/>
  <c r="I586" i="14"/>
  <c r="J586" i="14"/>
  <c r="K586" i="14"/>
  <c r="L586" i="14"/>
  <c r="M586" i="14"/>
  <c r="N586" i="14"/>
  <c r="O586" i="14"/>
  <c r="P586" i="14"/>
  <c r="Q586" i="14"/>
  <c r="R586" i="14"/>
  <c r="C587" i="14"/>
  <c r="D587" i="14"/>
  <c r="E587" i="14"/>
  <c r="F587" i="14"/>
  <c r="G587" i="14"/>
  <c r="H587" i="14"/>
  <c r="I587" i="14"/>
  <c r="J587" i="14"/>
  <c r="K587" i="14"/>
  <c r="L587" i="14"/>
  <c r="M587" i="14"/>
  <c r="N587" i="14"/>
  <c r="O587" i="14"/>
  <c r="P587" i="14"/>
  <c r="Q587" i="14"/>
  <c r="R587" i="14"/>
  <c r="C588" i="14"/>
  <c r="D588" i="14"/>
  <c r="E588" i="14"/>
  <c r="F588" i="14"/>
  <c r="G588" i="14"/>
  <c r="H588" i="14"/>
  <c r="I588" i="14"/>
  <c r="J588" i="14"/>
  <c r="K588" i="14"/>
  <c r="L588" i="14"/>
  <c r="M588" i="14"/>
  <c r="N588" i="14"/>
  <c r="O588" i="14"/>
  <c r="P588" i="14"/>
  <c r="Q588" i="14"/>
  <c r="R588" i="14"/>
  <c r="C589" i="14"/>
  <c r="D589" i="14"/>
  <c r="E589" i="14"/>
  <c r="F589" i="14"/>
  <c r="G589" i="14"/>
  <c r="H589" i="14"/>
  <c r="I589" i="14"/>
  <c r="J589" i="14"/>
  <c r="K589" i="14"/>
  <c r="L589" i="14"/>
  <c r="M589" i="14"/>
  <c r="N589" i="14"/>
  <c r="O589" i="14"/>
  <c r="P589" i="14"/>
  <c r="Q589" i="14"/>
  <c r="R589" i="14"/>
  <c r="C590" i="14"/>
  <c r="D590" i="14"/>
  <c r="E590" i="14"/>
  <c r="F590" i="14"/>
  <c r="G590" i="14"/>
  <c r="H590" i="14"/>
  <c r="I590" i="14"/>
  <c r="J590" i="14"/>
  <c r="K590" i="14"/>
  <c r="L590" i="14"/>
  <c r="M590" i="14"/>
  <c r="N590" i="14"/>
  <c r="O590" i="14"/>
  <c r="P590" i="14"/>
  <c r="Q590" i="14"/>
  <c r="R590" i="14"/>
  <c r="C591" i="14"/>
  <c r="D591" i="14"/>
  <c r="E591" i="14"/>
  <c r="F591" i="14"/>
  <c r="G591" i="14"/>
  <c r="H591" i="14"/>
  <c r="I591" i="14"/>
  <c r="J591" i="14"/>
  <c r="K591" i="14"/>
  <c r="L591" i="14"/>
  <c r="M591" i="14"/>
  <c r="N591" i="14"/>
  <c r="O591" i="14"/>
  <c r="P591" i="14"/>
  <c r="Q591" i="14"/>
  <c r="R591" i="14"/>
  <c r="C592" i="14"/>
  <c r="D592" i="14"/>
  <c r="E592" i="14"/>
  <c r="F592" i="14"/>
  <c r="G592" i="14"/>
  <c r="H592" i="14"/>
  <c r="I592" i="14"/>
  <c r="J592" i="14"/>
  <c r="K592" i="14"/>
  <c r="L592" i="14"/>
  <c r="M592" i="14"/>
  <c r="N592" i="14"/>
  <c r="O592" i="14"/>
  <c r="P592" i="14"/>
  <c r="Q592" i="14"/>
  <c r="R592" i="14"/>
  <c r="C593" i="14"/>
  <c r="D593" i="14"/>
  <c r="E593" i="14"/>
  <c r="F593" i="14"/>
  <c r="G593" i="14"/>
  <c r="H593" i="14"/>
  <c r="I593" i="14"/>
  <c r="J593" i="14"/>
  <c r="K593" i="14"/>
  <c r="L593" i="14"/>
  <c r="M593" i="14"/>
  <c r="N593" i="14"/>
  <c r="O593" i="14"/>
  <c r="P593" i="14"/>
  <c r="Q593" i="14"/>
  <c r="R593" i="14"/>
  <c r="C594" i="14"/>
  <c r="D594" i="14"/>
  <c r="E594" i="14"/>
  <c r="F594" i="14"/>
  <c r="G594" i="14"/>
  <c r="H594" i="14"/>
  <c r="I594" i="14"/>
  <c r="J594" i="14"/>
  <c r="K594" i="14"/>
  <c r="L594" i="14"/>
  <c r="M594" i="14"/>
  <c r="N594" i="14"/>
  <c r="O594" i="14"/>
  <c r="P594" i="14"/>
  <c r="Q594" i="14"/>
  <c r="R594" i="14"/>
  <c r="C595" i="14"/>
  <c r="D595" i="14"/>
  <c r="E595" i="14"/>
  <c r="F595" i="14"/>
  <c r="G595" i="14"/>
  <c r="H595" i="14"/>
  <c r="I595" i="14"/>
  <c r="J595" i="14"/>
  <c r="K595" i="14"/>
  <c r="L595" i="14"/>
  <c r="M595" i="14"/>
  <c r="N595" i="14"/>
  <c r="O595" i="14"/>
  <c r="P595" i="14"/>
  <c r="Q595" i="14"/>
  <c r="R595" i="14"/>
  <c r="C596" i="14"/>
  <c r="D596" i="14"/>
  <c r="E596" i="14"/>
  <c r="F596" i="14"/>
  <c r="G596" i="14"/>
  <c r="H596" i="14"/>
  <c r="I596" i="14"/>
  <c r="J596" i="14"/>
  <c r="K596" i="14"/>
  <c r="L596" i="14"/>
  <c r="M596" i="14"/>
  <c r="N596" i="14"/>
  <c r="O596" i="14"/>
  <c r="P596" i="14"/>
  <c r="Q596" i="14"/>
  <c r="R596" i="14"/>
  <c r="C597" i="14"/>
  <c r="D597" i="14"/>
  <c r="E597" i="14"/>
  <c r="F597" i="14"/>
  <c r="G597" i="14"/>
  <c r="H597" i="14"/>
  <c r="I597" i="14"/>
  <c r="J597" i="14"/>
  <c r="K597" i="14"/>
  <c r="L597" i="14"/>
  <c r="M597" i="14"/>
  <c r="N597" i="14"/>
  <c r="O597" i="14"/>
  <c r="P597" i="14"/>
  <c r="Q597" i="14"/>
  <c r="R597" i="14"/>
  <c r="C598" i="14"/>
  <c r="D598" i="14"/>
  <c r="E598" i="14"/>
  <c r="F598" i="14"/>
  <c r="G598" i="14"/>
  <c r="H598" i="14"/>
  <c r="I598" i="14"/>
  <c r="J598" i="14"/>
  <c r="K598" i="14"/>
  <c r="L598" i="14"/>
  <c r="M598" i="14"/>
  <c r="N598" i="14"/>
  <c r="O598" i="14"/>
  <c r="P598" i="14"/>
  <c r="Q598" i="14"/>
  <c r="R598" i="14"/>
  <c r="C599" i="14"/>
  <c r="D599" i="14"/>
  <c r="E599" i="14"/>
  <c r="F599" i="14"/>
  <c r="G599" i="14"/>
  <c r="H599" i="14"/>
  <c r="I599" i="14"/>
  <c r="J599" i="14"/>
  <c r="K599" i="14"/>
  <c r="L599" i="14"/>
  <c r="M599" i="14"/>
  <c r="N599" i="14"/>
  <c r="O599" i="14"/>
  <c r="P599" i="14"/>
  <c r="Q599" i="14"/>
  <c r="R599" i="14"/>
  <c r="C600" i="14"/>
  <c r="D600" i="14"/>
  <c r="E600" i="14"/>
  <c r="F600" i="14"/>
  <c r="G600" i="14"/>
  <c r="H600" i="14"/>
  <c r="I600" i="14"/>
  <c r="J600" i="14"/>
  <c r="K600" i="14"/>
  <c r="L600" i="14"/>
  <c r="M600" i="14"/>
  <c r="N600" i="14"/>
  <c r="O600" i="14"/>
  <c r="P600" i="14"/>
  <c r="Q600" i="14"/>
  <c r="R600" i="14"/>
  <c r="C601" i="14"/>
  <c r="D601" i="14"/>
  <c r="E601" i="14"/>
  <c r="F601" i="14"/>
  <c r="G601" i="14"/>
  <c r="H601" i="14"/>
  <c r="I601" i="14"/>
  <c r="J601" i="14"/>
  <c r="K601" i="14"/>
  <c r="L601" i="14"/>
  <c r="M601" i="14"/>
  <c r="N601" i="14"/>
  <c r="O601" i="14"/>
  <c r="P601" i="14"/>
  <c r="Q601" i="14"/>
  <c r="R601" i="14"/>
  <c r="C602" i="14"/>
  <c r="D602" i="14"/>
  <c r="E602" i="14"/>
  <c r="F602" i="14"/>
  <c r="G602" i="14"/>
  <c r="H602" i="14"/>
  <c r="I602" i="14"/>
  <c r="J602" i="14"/>
  <c r="K602" i="14"/>
  <c r="L602" i="14"/>
  <c r="M602" i="14"/>
  <c r="N602" i="14"/>
  <c r="O602" i="14"/>
  <c r="P602" i="14"/>
  <c r="Q602" i="14"/>
  <c r="R602" i="14"/>
  <c r="C603" i="14"/>
  <c r="D603" i="14"/>
  <c r="E603" i="14"/>
  <c r="F603" i="14"/>
  <c r="G603" i="14"/>
  <c r="H603" i="14"/>
  <c r="I603" i="14"/>
  <c r="J603" i="14"/>
  <c r="K603" i="14"/>
  <c r="L603" i="14"/>
  <c r="M603" i="14"/>
  <c r="N603" i="14"/>
  <c r="O603" i="14"/>
  <c r="P603" i="14"/>
  <c r="Q603" i="14"/>
  <c r="R603" i="14"/>
  <c r="C604" i="14"/>
  <c r="D604" i="14"/>
  <c r="E604" i="14"/>
  <c r="F604" i="14"/>
  <c r="G604" i="14"/>
  <c r="H604" i="14"/>
  <c r="I604" i="14"/>
  <c r="J604" i="14"/>
  <c r="K604" i="14"/>
  <c r="L604" i="14"/>
  <c r="M604" i="14"/>
  <c r="N604" i="14"/>
  <c r="O604" i="14"/>
  <c r="P604" i="14"/>
  <c r="Q604" i="14"/>
  <c r="R604" i="14"/>
  <c r="C606" i="14"/>
  <c r="D606" i="14"/>
  <c r="E606" i="14"/>
  <c r="F606" i="14"/>
  <c r="G606" i="14"/>
  <c r="H606" i="14"/>
  <c r="I606" i="14"/>
  <c r="J606" i="14"/>
  <c r="K606" i="14"/>
  <c r="L606" i="14"/>
  <c r="M606" i="14"/>
  <c r="N606" i="14"/>
  <c r="O606" i="14"/>
  <c r="P606" i="14"/>
  <c r="Q606" i="14"/>
  <c r="R606" i="14"/>
  <c r="C607" i="14"/>
  <c r="D607" i="14"/>
  <c r="E607" i="14"/>
  <c r="F607" i="14"/>
  <c r="G607" i="14"/>
  <c r="H607" i="14"/>
  <c r="I607" i="14"/>
  <c r="J607" i="14"/>
  <c r="K607" i="14"/>
  <c r="L607" i="14"/>
  <c r="M607" i="14"/>
  <c r="N607" i="14"/>
  <c r="O607" i="14"/>
  <c r="P607" i="14"/>
  <c r="Q607" i="14"/>
  <c r="R607" i="14"/>
  <c r="C608" i="14"/>
  <c r="D608" i="14"/>
  <c r="E608" i="14"/>
  <c r="F608" i="14"/>
  <c r="G608" i="14"/>
  <c r="H608" i="14"/>
  <c r="I608" i="14"/>
  <c r="J608" i="14"/>
  <c r="K608" i="14"/>
  <c r="L608" i="14"/>
  <c r="M608" i="14"/>
  <c r="N608" i="14"/>
  <c r="O608" i="14"/>
  <c r="P608" i="14"/>
  <c r="Q608" i="14"/>
  <c r="R608" i="14"/>
  <c r="C609" i="14"/>
  <c r="D609" i="14"/>
  <c r="E609" i="14"/>
  <c r="F609" i="14"/>
  <c r="G609" i="14"/>
  <c r="H609" i="14"/>
  <c r="I609" i="14"/>
  <c r="J609" i="14"/>
  <c r="K609" i="14"/>
  <c r="L609" i="14"/>
  <c r="M609" i="14"/>
  <c r="N609" i="14"/>
  <c r="O609" i="14"/>
  <c r="P609" i="14"/>
  <c r="Q609" i="14"/>
  <c r="R609" i="14"/>
  <c r="D568" i="14"/>
  <c r="E568" i="14"/>
  <c r="F568" i="14"/>
  <c r="G568" i="14"/>
  <c r="H568" i="14"/>
  <c r="I568" i="14"/>
  <c r="J568" i="14"/>
  <c r="K568" i="14"/>
  <c r="L568" i="14"/>
  <c r="M568" i="14"/>
  <c r="N568" i="14"/>
  <c r="O568" i="14"/>
  <c r="P568" i="14"/>
  <c r="Q568" i="14"/>
  <c r="R568" i="14"/>
  <c r="C568" i="14"/>
  <c r="S521" i="14"/>
  <c r="U521" i="14" s="1"/>
  <c r="S522" i="14"/>
  <c r="U522" i="14" s="1"/>
  <c r="S523" i="14"/>
  <c r="U523" i="14" s="1"/>
  <c r="S524" i="14"/>
  <c r="U524" i="14" s="1"/>
  <c r="S525" i="14"/>
  <c r="U525" i="14" s="1"/>
  <c r="S526" i="14"/>
  <c r="U526" i="14" s="1"/>
  <c r="S527" i="14"/>
  <c r="U527" i="14" s="1"/>
  <c r="S528" i="14"/>
  <c r="U528" i="14" s="1"/>
  <c r="S529" i="14"/>
  <c r="U529" i="14" s="1"/>
  <c r="S530" i="14"/>
  <c r="U530" i="14" s="1"/>
  <c r="S531" i="14"/>
  <c r="U531" i="14" s="1"/>
  <c r="S532" i="14"/>
  <c r="U532" i="14" s="1"/>
  <c r="S533" i="14"/>
  <c r="U533" i="14" s="1"/>
  <c r="S534" i="14"/>
  <c r="U534" i="14" s="1"/>
  <c r="S535" i="14"/>
  <c r="U535" i="14" s="1"/>
  <c r="S536" i="14"/>
  <c r="U536" i="14" s="1"/>
  <c r="S537" i="14"/>
  <c r="U537" i="14" s="1"/>
  <c r="S538" i="14"/>
  <c r="U538" i="14" s="1"/>
  <c r="S539" i="14"/>
  <c r="U539" i="14" s="1"/>
  <c r="S540" i="14"/>
  <c r="U540" i="14" s="1"/>
  <c r="S541" i="14"/>
  <c r="U541" i="14" s="1"/>
  <c r="S542" i="14"/>
  <c r="U542" i="14" s="1"/>
  <c r="S543" i="14"/>
  <c r="U543" i="14" s="1"/>
  <c r="S544" i="14"/>
  <c r="U544" i="14" s="1"/>
  <c r="S545" i="14"/>
  <c r="U545" i="14" s="1"/>
  <c r="S546" i="14"/>
  <c r="U546" i="14" s="1"/>
  <c r="S547" i="14"/>
  <c r="U547" i="14" s="1"/>
  <c r="S548" i="14"/>
  <c r="U548" i="14" s="1"/>
  <c r="S549" i="14"/>
  <c r="U549" i="14" s="1"/>
  <c r="S550" i="14"/>
  <c r="U550" i="14" s="1"/>
  <c r="S551" i="14"/>
  <c r="U551" i="14" s="1"/>
  <c r="S552" i="14"/>
  <c r="U552" i="14" s="1"/>
  <c r="S553" i="14"/>
  <c r="U553" i="14" s="1"/>
  <c r="S554" i="14"/>
  <c r="U554" i="14" s="1"/>
  <c r="S555" i="14"/>
  <c r="U555" i="14" s="1"/>
  <c r="S556" i="14"/>
  <c r="U556" i="14" s="1"/>
  <c r="S557" i="14"/>
  <c r="U557" i="14" s="1"/>
  <c r="S558" i="14"/>
  <c r="U558" i="14" s="1"/>
  <c r="S559" i="14"/>
  <c r="U559" i="14" s="1"/>
  <c r="S560" i="14"/>
  <c r="U560" i="14" s="1"/>
  <c r="S561" i="14"/>
  <c r="U561" i="14" s="1"/>
  <c r="S562" i="14"/>
  <c r="U562" i="14" s="1"/>
  <c r="C563" i="14"/>
  <c r="D563" i="14"/>
  <c r="E563" i="14"/>
  <c r="F563" i="14"/>
  <c r="G563" i="14"/>
  <c r="H563" i="14"/>
  <c r="I563" i="14"/>
  <c r="J563" i="14"/>
  <c r="K563" i="14"/>
  <c r="L563" i="14"/>
  <c r="M563" i="14"/>
  <c r="N563" i="14"/>
  <c r="O563" i="14"/>
  <c r="P563" i="14"/>
  <c r="Q563" i="14"/>
  <c r="R563" i="14"/>
  <c r="T563" i="14"/>
  <c r="T610" i="14"/>
  <c r="S427" i="14"/>
  <c r="U427" i="14" s="1"/>
  <c r="A428" i="14"/>
  <c r="A429" i="14" s="1"/>
  <c r="A430" i="14" s="1"/>
  <c r="A431" i="14" s="1"/>
  <c r="A432" i="14" s="1"/>
  <c r="A433" i="14" s="1"/>
  <c r="A434" i="14" s="1"/>
  <c r="A435" i="14" s="1"/>
  <c r="A436" i="14" s="1"/>
  <c r="A437" i="14" s="1"/>
  <c r="A438" i="14" s="1"/>
  <c r="A439" i="14" s="1"/>
  <c r="A440" i="14" s="1"/>
  <c r="A441" i="14" s="1"/>
  <c r="A442" i="14" s="1"/>
  <c r="A443" i="14" s="1"/>
  <c r="A444" i="14" s="1"/>
  <c r="A445" i="14" s="1"/>
  <c r="A446" i="14" s="1"/>
  <c r="A447" i="14" s="1"/>
  <c r="A448" i="14" s="1"/>
  <c r="A449" i="14" s="1"/>
  <c r="A450" i="14" s="1"/>
  <c r="A451" i="14" s="1"/>
  <c r="A452" i="14" s="1"/>
  <c r="A453" i="14" s="1"/>
  <c r="A454" i="14" s="1"/>
  <c r="A455" i="14" s="1"/>
  <c r="A456" i="14" s="1"/>
  <c r="A457" i="14" s="1"/>
  <c r="A458" i="14" s="1"/>
  <c r="A459" i="14" s="1"/>
  <c r="A460" i="14" s="1"/>
  <c r="A461" i="14" s="1"/>
  <c r="A462" i="14" s="1"/>
  <c r="A463" i="14" s="1"/>
  <c r="A464" i="14" s="1"/>
  <c r="A465" i="14" s="1"/>
  <c r="A466" i="14" s="1"/>
  <c r="A467" i="14" s="1"/>
  <c r="A468" i="14" s="1"/>
  <c r="S428" i="14"/>
  <c r="U428" i="14"/>
  <c r="S429" i="14"/>
  <c r="U429" i="14" s="1"/>
  <c r="S430" i="14"/>
  <c r="U430" i="14" s="1"/>
  <c r="S431" i="14"/>
  <c r="U431" i="14" s="1"/>
  <c r="S432" i="14"/>
  <c r="U432" i="14" s="1"/>
  <c r="S433" i="14"/>
  <c r="U433" i="14" s="1"/>
  <c r="S434" i="14"/>
  <c r="U434" i="14" s="1"/>
  <c r="S435" i="14"/>
  <c r="U435" i="14" s="1"/>
  <c r="S436" i="14"/>
  <c r="U436" i="14" s="1"/>
  <c r="S437" i="14"/>
  <c r="U437" i="14" s="1"/>
  <c r="S438" i="14"/>
  <c r="U438" i="14" s="1"/>
  <c r="S439" i="14"/>
  <c r="U439" i="14" s="1"/>
  <c r="S440" i="14"/>
  <c r="U440" i="14" s="1"/>
  <c r="S441" i="14"/>
  <c r="U441" i="14" s="1"/>
  <c r="S442" i="14"/>
  <c r="U442" i="14" s="1"/>
  <c r="S443" i="14"/>
  <c r="U443" i="14" s="1"/>
  <c r="S444" i="14"/>
  <c r="U444" i="14" s="1"/>
  <c r="S445" i="14"/>
  <c r="U445" i="14" s="1"/>
  <c r="S446" i="14"/>
  <c r="U446" i="14" s="1"/>
  <c r="S447" i="14"/>
  <c r="U447" i="14" s="1"/>
  <c r="S448" i="14"/>
  <c r="U448" i="14" s="1"/>
  <c r="S449" i="14"/>
  <c r="U449" i="14" s="1"/>
  <c r="S450" i="14"/>
  <c r="U450" i="14" s="1"/>
  <c r="S451" i="14"/>
  <c r="U451" i="14" s="1"/>
  <c r="S452" i="14"/>
  <c r="U452" i="14" s="1"/>
  <c r="S453" i="14"/>
  <c r="U453" i="14" s="1"/>
  <c r="S454" i="14"/>
  <c r="U454" i="14" s="1"/>
  <c r="S455" i="14"/>
  <c r="U455" i="14" s="1"/>
  <c r="S456" i="14"/>
  <c r="U456" i="14" s="1"/>
  <c r="S457" i="14"/>
  <c r="U457" i="14" s="1"/>
  <c r="S458" i="14"/>
  <c r="U458" i="14" s="1"/>
  <c r="S459" i="14"/>
  <c r="U459" i="14" s="1"/>
  <c r="S460" i="14"/>
  <c r="U460" i="14"/>
  <c r="S461" i="14"/>
  <c r="U461" i="14" s="1"/>
  <c r="S462" i="14"/>
  <c r="U462" i="14" s="1"/>
  <c r="S463" i="14"/>
  <c r="U463" i="14" s="1"/>
  <c r="S464" i="14"/>
  <c r="U464" i="14" s="1"/>
  <c r="S465" i="14"/>
  <c r="U465" i="14" s="1"/>
  <c r="S466" i="14"/>
  <c r="U466" i="14" s="1"/>
  <c r="S467" i="14"/>
  <c r="U467" i="14" s="1"/>
  <c r="S468" i="14"/>
  <c r="U468" i="14" s="1"/>
  <c r="C469" i="14"/>
  <c r="D469" i="14"/>
  <c r="E469" i="14"/>
  <c r="F469" i="14"/>
  <c r="G469" i="14"/>
  <c r="H469" i="14"/>
  <c r="I469" i="14"/>
  <c r="J469" i="14"/>
  <c r="K469" i="14"/>
  <c r="L469" i="14"/>
  <c r="M469" i="14"/>
  <c r="N469" i="14"/>
  <c r="O469" i="14"/>
  <c r="P469" i="14"/>
  <c r="Q469" i="14"/>
  <c r="R469" i="14"/>
  <c r="T469" i="14"/>
  <c r="S474" i="14"/>
  <c r="U474" i="14" s="1"/>
  <c r="A475" i="14"/>
  <c r="A476" i="14" s="1"/>
  <c r="A477" i="14" s="1"/>
  <c r="A478" i="14" s="1"/>
  <c r="A479" i="14" s="1"/>
  <c r="A480" i="14" s="1"/>
  <c r="A481" i="14" s="1"/>
  <c r="A482" i="14" s="1"/>
  <c r="A483" i="14" s="1"/>
  <c r="A484" i="14" s="1"/>
  <c r="A485" i="14" s="1"/>
  <c r="A486" i="14" s="1"/>
  <c r="A487" i="14" s="1"/>
  <c r="A488" i="14" s="1"/>
  <c r="A489" i="14" s="1"/>
  <c r="A490" i="14" s="1"/>
  <c r="A491" i="14" s="1"/>
  <c r="A492" i="14" s="1"/>
  <c r="A493" i="14" s="1"/>
  <c r="A494" i="14" s="1"/>
  <c r="A495" i="14" s="1"/>
  <c r="A496" i="14" s="1"/>
  <c r="A497" i="14" s="1"/>
  <c r="A498" i="14" s="1"/>
  <c r="A499" i="14" s="1"/>
  <c r="A500" i="14" s="1"/>
  <c r="A501" i="14" s="1"/>
  <c r="A502" i="14" s="1"/>
  <c r="A503" i="14" s="1"/>
  <c r="A504" i="14" s="1"/>
  <c r="A505" i="14" s="1"/>
  <c r="A506" i="14" s="1"/>
  <c r="A507" i="14" s="1"/>
  <c r="A508" i="14" s="1"/>
  <c r="A509" i="14" s="1"/>
  <c r="A510" i="14" s="1"/>
  <c r="A511" i="14" s="1"/>
  <c r="A512" i="14" s="1"/>
  <c r="A513" i="14" s="1"/>
  <c r="A514" i="14" s="1"/>
  <c r="S475" i="14"/>
  <c r="U475" i="14" s="1"/>
  <c r="S476" i="14"/>
  <c r="U476" i="14" s="1"/>
  <c r="S477" i="14"/>
  <c r="U477" i="14" s="1"/>
  <c r="S478" i="14"/>
  <c r="U478" i="14" s="1"/>
  <c r="S479" i="14"/>
  <c r="U479" i="14" s="1"/>
  <c r="S480" i="14"/>
  <c r="U480" i="14" s="1"/>
  <c r="S481" i="14"/>
  <c r="U481" i="14" s="1"/>
  <c r="S482" i="14"/>
  <c r="U482" i="14" s="1"/>
  <c r="S483" i="14"/>
  <c r="U483" i="14" s="1"/>
  <c r="S484" i="14"/>
  <c r="U484" i="14" s="1"/>
  <c r="S485" i="14"/>
  <c r="U485" i="14" s="1"/>
  <c r="S486" i="14"/>
  <c r="U486" i="14" s="1"/>
  <c r="S487" i="14"/>
  <c r="U487" i="14" s="1"/>
  <c r="S488" i="14"/>
  <c r="U488" i="14" s="1"/>
  <c r="S489" i="14"/>
  <c r="U489" i="14" s="1"/>
  <c r="S490" i="14"/>
  <c r="U490" i="14" s="1"/>
  <c r="S491" i="14"/>
  <c r="U491" i="14" s="1"/>
  <c r="S492" i="14"/>
  <c r="U492" i="14" s="1"/>
  <c r="S493" i="14"/>
  <c r="U493" i="14" s="1"/>
  <c r="S494" i="14"/>
  <c r="U494" i="14" s="1"/>
  <c r="S495" i="14"/>
  <c r="U495" i="14" s="1"/>
  <c r="S496" i="14"/>
  <c r="U496" i="14" s="1"/>
  <c r="S497" i="14"/>
  <c r="U497" i="14" s="1"/>
  <c r="S498" i="14"/>
  <c r="U498" i="14" s="1"/>
  <c r="S499" i="14"/>
  <c r="U499" i="14" s="1"/>
  <c r="S500" i="14"/>
  <c r="U500" i="14" s="1"/>
  <c r="S501" i="14"/>
  <c r="U501" i="14" s="1"/>
  <c r="S502" i="14"/>
  <c r="U502" i="14" s="1"/>
  <c r="S503" i="14"/>
  <c r="U503" i="14" s="1"/>
  <c r="S504" i="14"/>
  <c r="U504" i="14" s="1"/>
  <c r="S505" i="14"/>
  <c r="U505" i="14" s="1"/>
  <c r="S506" i="14"/>
  <c r="U506" i="14" s="1"/>
  <c r="S507" i="14"/>
  <c r="U507" i="14" s="1"/>
  <c r="S508" i="14"/>
  <c r="U508" i="14" s="1"/>
  <c r="S509" i="14"/>
  <c r="U509" i="14" s="1"/>
  <c r="S510" i="14"/>
  <c r="U510" i="14" s="1"/>
  <c r="S511" i="14"/>
  <c r="U511" i="14" s="1"/>
  <c r="S512" i="14"/>
  <c r="U512" i="14" s="1"/>
  <c r="S513" i="14"/>
  <c r="U513" i="14" s="1"/>
  <c r="S514" i="14"/>
  <c r="U514" i="14" s="1"/>
  <c r="A515" i="14"/>
  <c r="S515" i="14"/>
  <c r="U515" i="14" s="1"/>
  <c r="C516" i="14"/>
  <c r="D516" i="14"/>
  <c r="E516" i="14"/>
  <c r="F516" i="14"/>
  <c r="G516" i="14"/>
  <c r="H516" i="14"/>
  <c r="I516" i="14"/>
  <c r="J516" i="14"/>
  <c r="K516" i="14"/>
  <c r="L516" i="14"/>
  <c r="M516" i="14"/>
  <c r="N516" i="14"/>
  <c r="O516" i="14"/>
  <c r="P516" i="14"/>
  <c r="Q516" i="14"/>
  <c r="R516" i="14"/>
  <c r="T516" i="14"/>
  <c r="S380" i="14"/>
  <c r="U380" i="14" s="1"/>
  <c r="A381" i="14"/>
  <c r="A382" i="14" s="1"/>
  <c r="A383" i="14" s="1"/>
  <c r="A384" i="14" s="1"/>
  <c r="A385" i="14" s="1"/>
  <c r="A386" i="14" s="1"/>
  <c r="A387" i="14" s="1"/>
  <c r="A388" i="14" s="1"/>
  <c r="A389" i="14" s="1"/>
  <c r="A390" i="14" s="1"/>
  <c r="A391" i="14" s="1"/>
  <c r="A392" i="14" s="1"/>
  <c r="A393" i="14" s="1"/>
  <c r="A394" i="14" s="1"/>
  <c r="A395" i="14" s="1"/>
  <c r="A396" i="14" s="1"/>
  <c r="A397" i="14" s="1"/>
  <c r="A398" i="14" s="1"/>
  <c r="A399" i="14" s="1"/>
  <c r="A400" i="14" s="1"/>
  <c r="A401" i="14" s="1"/>
  <c r="A402" i="14" s="1"/>
  <c r="A403" i="14" s="1"/>
  <c r="A404" i="14" s="1"/>
  <c r="A405" i="14" s="1"/>
  <c r="A406" i="14" s="1"/>
  <c r="A407" i="14" s="1"/>
  <c r="A408" i="14" s="1"/>
  <c r="A409" i="14" s="1"/>
  <c r="A410" i="14" s="1"/>
  <c r="A411" i="14" s="1"/>
  <c r="A412" i="14" s="1"/>
  <c r="A413" i="14" s="1"/>
  <c r="A414" i="14" s="1"/>
  <c r="A415" i="14" s="1"/>
  <c r="A416" i="14" s="1"/>
  <c r="A417" i="14" s="1"/>
  <c r="A418" i="14" s="1"/>
  <c r="A419" i="14" s="1"/>
  <c r="A420" i="14" s="1"/>
  <c r="A421" i="14" s="1"/>
  <c r="S381" i="14"/>
  <c r="U381" i="14" s="1"/>
  <c r="S382" i="14"/>
  <c r="U382" i="14" s="1"/>
  <c r="S383" i="14"/>
  <c r="U383" i="14" s="1"/>
  <c r="S384" i="14"/>
  <c r="U384" i="14" s="1"/>
  <c r="S385" i="14"/>
  <c r="U385" i="14" s="1"/>
  <c r="S386" i="14"/>
  <c r="U386" i="14" s="1"/>
  <c r="S387" i="14"/>
  <c r="U387" i="14" s="1"/>
  <c r="S388" i="14"/>
  <c r="U388" i="14" s="1"/>
  <c r="S389" i="14"/>
  <c r="U389" i="14" s="1"/>
  <c r="S390" i="14"/>
  <c r="U390" i="14" s="1"/>
  <c r="S391" i="14"/>
  <c r="U391" i="14" s="1"/>
  <c r="S392" i="14"/>
  <c r="U392" i="14" s="1"/>
  <c r="S393" i="14"/>
  <c r="U393" i="14" s="1"/>
  <c r="S394" i="14"/>
  <c r="U394" i="14" s="1"/>
  <c r="S395" i="14"/>
  <c r="U395" i="14" s="1"/>
  <c r="S396" i="14"/>
  <c r="U396" i="14" s="1"/>
  <c r="S397" i="14"/>
  <c r="U397" i="14" s="1"/>
  <c r="S398" i="14"/>
  <c r="U398" i="14" s="1"/>
  <c r="S399" i="14"/>
  <c r="U399" i="14" s="1"/>
  <c r="S400" i="14"/>
  <c r="U400" i="14" s="1"/>
  <c r="S401" i="14"/>
  <c r="U401" i="14" s="1"/>
  <c r="S402" i="14"/>
  <c r="U402" i="14" s="1"/>
  <c r="S403" i="14"/>
  <c r="U403" i="14" s="1"/>
  <c r="S404" i="14"/>
  <c r="U404" i="14" s="1"/>
  <c r="S405" i="14"/>
  <c r="U405" i="14" s="1"/>
  <c r="S406" i="14"/>
  <c r="U406" i="14" s="1"/>
  <c r="S407" i="14"/>
  <c r="U407" i="14" s="1"/>
  <c r="S408" i="14"/>
  <c r="U408" i="14" s="1"/>
  <c r="S409" i="14"/>
  <c r="U409" i="14"/>
  <c r="S410" i="14"/>
  <c r="U410" i="14" s="1"/>
  <c r="S411" i="14"/>
  <c r="U411" i="14" s="1"/>
  <c r="S412" i="14"/>
  <c r="U412" i="14" s="1"/>
  <c r="S413" i="14"/>
  <c r="U413" i="14" s="1"/>
  <c r="S414" i="14"/>
  <c r="U414" i="14" s="1"/>
  <c r="S415" i="14"/>
  <c r="U415" i="14" s="1"/>
  <c r="S416" i="14"/>
  <c r="U416" i="14" s="1"/>
  <c r="S417" i="14"/>
  <c r="U417" i="14" s="1"/>
  <c r="S418" i="14"/>
  <c r="U418" i="14" s="1"/>
  <c r="S419" i="14"/>
  <c r="U419" i="14" s="1"/>
  <c r="S420" i="14"/>
  <c r="U420" i="14" s="1"/>
  <c r="S421" i="14"/>
  <c r="U421" i="14" s="1"/>
  <c r="C422" i="14"/>
  <c r="D422" i="14"/>
  <c r="E422" i="14"/>
  <c r="F422" i="14"/>
  <c r="G422" i="14"/>
  <c r="H422" i="14"/>
  <c r="I422" i="14"/>
  <c r="J422" i="14"/>
  <c r="K422" i="14"/>
  <c r="L422" i="14"/>
  <c r="M422" i="14"/>
  <c r="N422" i="14"/>
  <c r="O422" i="14"/>
  <c r="P422" i="14"/>
  <c r="Q422" i="14"/>
  <c r="R422" i="14"/>
  <c r="T422" i="14"/>
  <c r="S333" i="14"/>
  <c r="U333" i="14" s="1"/>
  <c r="A334" i="14"/>
  <c r="A335" i="14" s="1"/>
  <c r="A336" i="14" s="1"/>
  <c r="A337" i="14" s="1"/>
  <c r="A338" i="14" s="1"/>
  <c r="A339" i="14" s="1"/>
  <c r="A340" i="14" s="1"/>
  <c r="A341" i="14" s="1"/>
  <c r="A342" i="14" s="1"/>
  <c r="A343" i="14" s="1"/>
  <c r="A344" i="14" s="1"/>
  <c r="A345" i="14" s="1"/>
  <c r="A346" i="14" s="1"/>
  <c r="A347" i="14" s="1"/>
  <c r="A348" i="14" s="1"/>
  <c r="A349" i="14" s="1"/>
  <c r="A350" i="14" s="1"/>
  <c r="A351" i="14" s="1"/>
  <c r="A352" i="14" s="1"/>
  <c r="A353" i="14" s="1"/>
  <c r="A354" i="14" s="1"/>
  <c r="A355" i="14" s="1"/>
  <c r="A356" i="14" s="1"/>
  <c r="A357" i="14" s="1"/>
  <c r="A358" i="14" s="1"/>
  <c r="A359" i="14" s="1"/>
  <c r="A360" i="14" s="1"/>
  <c r="A361" i="14" s="1"/>
  <c r="A362" i="14" s="1"/>
  <c r="A363" i="14" s="1"/>
  <c r="A364" i="14" s="1"/>
  <c r="A365" i="14" s="1"/>
  <c r="A366" i="14" s="1"/>
  <c r="A367" i="14" s="1"/>
  <c r="A368" i="14" s="1"/>
  <c r="A369" i="14" s="1"/>
  <c r="A370" i="14" s="1"/>
  <c r="A371" i="14" s="1"/>
  <c r="A372" i="14" s="1"/>
  <c r="A373" i="14" s="1"/>
  <c r="A374" i="14" s="1"/>
  <c r="S334" i="14"/>
  <c r="U334" i="14" s="1"/>
  <c r="S335" i="14"/>
  <c r="U335" i="14" s="1"/>
  <c r="S336" i="14"/>
  <c r="U336" i="14" s="1"/>
  <c r="S337" i="14"/>
  <c r="U337" i="14" s="1"/>
  <c r="S338" i="14"/>
  <c r="U338" i="14" s="1"/>
  <c r="S339" i="14"/>
  <c r="U339" i="14" s="1"/>
  <c r="S340" i="14"/>
  <c r="U340" i="14" s="1"/>
  <c r="S341" i="14"/>
  <c r="U341" i="14" s="1"/>
  <c r="S342" i="14"/>
  <c r="U342" i="14" s="1"/>
  <c r="S343" i="14"/>
  <c r="U343" i="14" s="1"/>
  <c r="S344" i="14"/>
  <c r="U344" i="14" s="1"/>
  <c r="S345" i="14"/>
  <c r="U345" i="14" s="1"/>
  <c r="S346" i="14"/>
  <c r="U346" i="14" s="1"/>
  <c r="S347" i="14"/>
  <c r="U347" i="14" s="1"/>
  <c r="S348" i="14"/>
  <c r="U348" i="14" s="1"/>
  <c r="S349" i="14"/>
  <c r="U349" i="14" s="1"/>
  <c r="S350" i="14"/>
  <c r="U350" i="14" s="1"/>
  <c r="S351" i="14"/>
  <c r="U351" i="14" s="1"/>
  <c r="S352" i="14"/>
  <c r="U352" i="14" s="1"/>
  <c r="S353" i="14"/>
  <c r="U353" i="14" s="1"/>
  <c r="S354" i="14"/>
  <c r="U354" i="14" s="1"/>
  <c r="S355" i="14"/>
  <c r="U355" i="14" s="1"/>
  <c r="S356" i="14"/>
  <c r="U356" i="14" s="1"/>
  <c r="S357" i="14"/>
  <c r="U357" i="14" s="1"/>
  <c r="S358" i="14"/>
  <c r="U358" i="14" s="1"/>
  <c r="S359" i="14"/>
  <c r="U359" i="14" s="1"/>
  <c r="S360" i="14"/>
  <c r="U360" i="14" s="1"/>
  <c r="S361" i="14"/>
  <c r="U361" i="14" s="1"/>
  <c r="S362" i="14"/>
  <c r="U362" i="14" s="1"/>
  <c r="S363" i="14"/>
  <c r="U363" i="14" s="1"/>
  <c r="S364" i="14"/>
  <c r="U364" i="14" s="1"/>
  <c r="S365" i="14"/>
  <c r="U365" i="14" s="1"/>
  <c r="S366" i="14"/>
  <c r="U366" i="14" s="1"/>
  <c r="S367" i="14"/>
  <c r="U367" i="14" s="1"/>
  <c r="S368" i="14"/>
  <c r="U368" i="14" s="1"/>
  <c r="S369" i="14"/>
  <c r="U369" i="14" s="1"/>
  <c r="S370" i="14"/>
  <c r="U370" i="14" s="1"/>
  <c r="S371" i="14"/>
  <c r="U371" i="14" s="1"/>
  <c r="S372" i="14"/>
  <c r="U372" i="14" s="1"/>
  <c r="S373" i="14"/>
  <c r="U373" i="14" s="1"/>
  <c r="S374" i="14"/>
  <c r="U374" i="14" s="1"/>
  <c r="C375" i="14"/>
  <c r="D375" i="14"/>
  <c r="E375" i="14"/>
  <c r="F375" i="14"/>
  <c r="G375" i="14"/>
  <c r="H375" i="14"/>
  <c r="I375" i="14"/>
  <c r="J375" i="14"/>
  <c r="K375" i="14"/>
  <c r="L375" i="14"/>
  <c r="M375" i="14"/>
  <c r="N375" i="14"/>
  <c r="O375" i="14"/>
  <c r="P375" i="14"/>
  <c r="Q375" i="14"/>
  <c r="R375" i="14"/>
  <c r="T375" i="14"/>
  <c r="S287" i="14"/>
  <c r="U287" i="14" s="1"/>
  <c r="A288" i="14"/>
  <c r="A289" i="14" s="1"/>
  <c r="A290" i="14" s="1"/>
  <c r="A291" i="14" s="1"/>
  <c r="A292" i="14" s="1"/>
  <c r="A293" i="14" s="1"/>
  <c r="A294" i="14" s="1"/>
  <c r="A295" i="14" s="1"/>
  <c r="A296" i="14" s="1"/>
  <c r="A297" i="14" s="1"/>
  <c r="A298" i="14" s="1"/>
  <c r="A299" i="14" s="1"/>
  <c r="A300" i="14" s="1"/>
  <c r="A301" i="14" s="1"/>
  <c r="A302" i="14" s="1"/>
  <c r="A303" i="14" s="1"/>
  <c r="A304" i="14" s="1"/>
  <c r="A305" i="14" s="1"/>
  <c r="A306" i="14" s="1"/>
  <c r="A307" i="14" s="1"/>
  <c r="A308" i="14" s="1"/>
  <c r="A309" i="14" s="1"/>
  <c r="A310" i="14" s="1"/>
  <c r="A311" i="14" s="1"/>
  <c r="A312" i="14" s="1"/>
  <c r="A313" i="14" s="1"/>
  <c r="A314" i="14" s="1"/>
  <c r="A315" i="14" s="1"/>
  <c r="A316" i="14" s="1"/>
  <c r="A317" i="14" s="1"/>
  <c r="A318" i="14" s="1"/>
  <c r="A319" i="14" s="1"/>
  <c r="A320" i="14" s="1"/>
  <c r="A321" i="14" s="1"/>
  <c r="A322" i="14" s="1"/>
  <c r="A323" i="14" s="1"/>
  <c r="A324" i="14" s="1"/>
  <c r="A325" i="14" s="1"/>
  <c r="A326" i="14" s="1"/>
  <c r="A327" i="14" s="1"/>
  <c r="S288" i="14"/>
  <c r="U288" i="14" s="1"/>
  <c r="S289" i="14"/>
  <c r="U289" i="14" s="1"/>
  <c r="S290" i="14"/>
  <c r="U290" i="14" s="1"/>
  <c r="S291" i="14"/>
  <c r="U291" i="14" s="1"/>
  <c r="S292" i="14"/>
  <c r="U292" i="14" s="1"/>
  <c r="S293" i="14"/>
  <c r="U293" i="14" s="1"/>
  <c r="S294" i="14"/>
  <c r="U294" i="14" s="1"/>
  <c r="S295" i="14"/>
  <c r="U295" i="14" s="1"/>
  <c r="S296" i="14"/>
  <c r="U296" i="14" s="1"/>
  <c r="S297" i="14"/>
  <c r="U297" i="14" s="1"/>
  <c r="S298" i="14"/>
  <c r="U298" i="14" s="1"/>
  <c r="S299" i="14"/>
  <c r="U299" i="14" s="1"/>
  <c r="S300" i="14"/>
  <c r="U300" i="14" s="1"/>
  <c r="S301" i="14"/>
  <c r="U301" i="14" s="1"/>
  <c r="S302" i="14"/>
  <c r="U302" i="14" s="1"/>
  <c r="S303" i="14"/>
  <c r="U303" i="14" s="1"/>
  <c r="S304" i="14"/>
  <c r="U304" i="14" s="1"/>
  <c r="S305" i="14"/>
  <c r="U305" i="14" s="1"/>
  <c r="S306" i="14"/>
  <c r="U306" i="14" s="1"/>
  <c r="S307" i="14"/>
  <c r="U307" i="14" s="1"/>
  <c r="S308" i="14"/>
  <c r="U308" i="14" s="1"/>
  <c r="S309" i="14"/>
  <c r="U309" i="14" s="1"/>
  <c r="S310" i="14"/>
  <c r="U310" i="14" s="1"/>
  <c r="S311" i="14"/>
  <c r="U311" i="14" s="1"/>
  <c r="S312" i="14"/>
  <c r="U312" i="14" s="1"/>
  <c r="S313" i="14"/>
  <c r="U313" i="14" s="1"/>
  <c r="S314" i="14"/>
  <c r="U314" i="14" s="1"/>
  <c r="S315" i="14"/>
  <c r="U315" i="14" s="1"/>
  <c r="S316" i="14"/>
  <c r="U316" i="14" s="1"/>
  <c r="S317" i="14"/>
  <c r="U317" i="14" s="1"/>
  <c r="S318" i="14"/>
  <c r="U318" i="14" s="1"/>
  <c r="S319" i="14"/>
  <c r="U319" i="14" s="1"/>
  <c r="S320" i="14"/>
  <c r="U320" i="14" s="1"/>
  <c r="S321" i="14"/>
  <c r="U321" i="14" s="1"/>
  <c r="S322" i="14"/>
  <c r="U322" i="14" s="1"/>
  <c r="S323" i="14"/>
  <c r="U323" i="14" s="1"/>
  <c r="S324" i="14"/>
  <c r="U324" i="14" s="1"/>
  <c r="S325" i="14"/>
  <c r="U325" i="14" s="1"/>
  <c r="S326" i="14"/>
  <c r="U326" i="14" s="1"/>
  <c r="S327" i="14"/>
  <c r="U327" i="14" s="1"/>
  <c r="C328" i="14"/>
  <c r="D328" i="14"/>
  <c r="E328" i="14"/>
  <c r="F328" i="14"/>
  <c r="G328" i="14"/>
  <c r="H328" i="14"/>
  <c r="I328" i="14"/>
  <c r="J328" i="14"/>
  <c r="K328" i="14"/>
  <c r="L328" i="14"/>
  <c r="M328" i="14"/>
  <c r="N328" i="14"/>
  <c r="O328" i="14"/>
  <c r="P328" i="14"/>
  <c r="Q328" i="14"/>
  <c r="R328" i="14"/>
  <c r="T328" i="14"/>
  <c r="S240" i="14"/>
  <c r="U240" i="14" s="1"/>
  <c r="A241" i="14"/>
  <c r="A242" i="14" s="1"/>
  <c r="A243" i="14" s="1"/>
  <c r="A244" i="14" s="1"/>
  <c r="A245" i="14" s="1"/>
  <c r="A246" i="14" s="1"/>
  <c r="A247" i="14" s="1"/>
  <c r="A248" i="14" s="1"/>
  <c r="A249" i="14" s="1"/>
  <c r="A250" i="14" s="1"/>
  <c r="A251" i="14" s="1"/>
  <c r="A252" i="14" s="1"/>
  <c r="A253" i="14" s="1"/>
  <c r="A254" i="14" s="1"/>
  <c r="A255" i="14" s="1"/>
  <c r="A256" i="14" s="1"/>
  <c r="A257" i="14" s="1"/>
  <c r="A258" i="14" s="1"/>
  <c r="A259" i="14" s="1"/>
  <c r="A260" i="14" s="1"/>
  <c r="A261" i="14" s="1"/>
  <c r="A262" i="14" s="1"/>
  <c r="A263" i="14" s="1"/>
  <c r="A264" i="14" s="1"/>
  <c r="A265" i="14" s="1"/>
  <c r="A266" i="14" s="1"/>
  <c r="A267" i="14" s="1"/>
  <c r="A268" i="14" s="1"/>
  <c r="A269" i="14" s="1"/>
  <c r="A270" i="14" s="1"/>
  <c r="A271" i="14" s="1"/>
  <c r="A272" i="14" s="1"/>
  <c r="A273" i="14" s="1"/>
  <c r="A274" i="14" s="1"/>
  <c r="A275" i="14" s="1"/>
  <c r="A276" i="14" s="1"/>
  <c r="A277" i="14" s="1"/>
  <c r="A278" i="14" s="1"/>
  <c r="A279" i="14" s="1"/>
  <c r="A280" i="14" s="1"/>
  <c r="A281" i="14" s="1"/>
  <c r="S241" i="14"/>
  <c r="U241" i="14" s="1"/>
  <c r="S242" i="14"/>
  <c r="U242" i="14" s="1"/>
  <c r="S243" i="14"/>
  <c r="U243" i="14" s="1"/>
  <c r="S244" i="14"/>
  <c r="U244" i="14" s="1"/>
  <c r="S245" i="14"/>
  <c r="U245" i="14" s="1"/>
  <c r="S246" i="14"/>
  <c r="U246" i="14" s="1"/>
  <c r="S247" i="14"/>
  <c r="U247" i="14" s="1"/>
  <c r="S248" i="14"/>
  <c r="U248" i="14" s="1"/>
  <c r="S249" i="14"/>
  <c r="U249" i="14" s="1"/>
  <c r="S250" i="14"/>
  <c r="U250" i="14" s="1"/>
  <c r="S251" i="14"/>
  <c r="U251" i="14" s="1"/>
  <c r="S252" i="14"/>
  <c r="U252" i="14" s="1"/>
  <c r="S253" i="14"/>
  <c r="U253" i="14" s="1"/>
  <c r="S254" i="14"/>
  <c r="U254" i="14" s="1"/>
  <c r="S255" i="14"/>
  <c r="U255" i="14" s="1"/>
  <c r="S256" i="14"/>
  <c r="U256" i="14" s="1"/>
  <c r="S257" i="14"/>
  <c r="U257" i="14" s="1"/>
  <c r="S258" i="14"/>
  <c r="U258" i="14" s="1"/>
  <c r="S259" i="14"/>
  <c r="U259" i="14" s="1"/>
  <c r="S260" i="14"/>
  <c r="U260" i="14" s="1"/>
  <c r="S261" i="14"/>
  <c r="U261" i="14" s="1"/>
  <c r="S262" i="14"/>
  <c r="U262" i="14" s="1"/>
  <c r="S263" i="14"/>
  <c r="U263" i="14" s="1"/>
  <c r="S264" i="14"/>
  <c r="U264" i="14" s="1"/>
  <c r="S265" i="14"/>
  <c r="U265" i="14" s="1"/>
  <c r="S266" i="14"/>
  <c r="U266" i="14" s="1"/>
  <c r="S267" i="14"/>
  <c r="U267" i="14" s="1"/>
  <c r="S268" i="14"/>
  <c r="U268" i="14" s="1"/>
  <c r="S269" i="14"/>
  <c r="U269" i="14" s="1"/>
  <c r="S270" i="14"/>
  <c r="U270" i="14" s="1"/>
  <c r="S271" i="14"/>
  <c r="U271" i="14" s="1"/>
  <c r="S272" i="14"/>
  <c r="U272" i="14" s="1"/>
  <c r="S273" i="14"/>
  <c r="U273" i="14" s="1"/>
  <c r="S274" i="14"/>
  <c r="U274" i="14" s="1"/>
  <c r="S275" i="14"/>
  <c r="U275" i="14" s="1"/>
  <c r="S276" i="14"/>
  <c r="U276" i="14" s="1"/>
  <c r="S277" i="14"/>
  <c r="U277" i="14" s="1"/>
  <c r="S278" i="14"/>
  <c r="U278" i="14" s="1"/>
  <c r="S279" i="14"/>
  <c r="U279" i="14" s="1"/>
  <c r="S280" i="14"/>
  <c r="U280" i="14" s="1"/>
  <c r="S281" i="14"/>
  <c r="U281" i="14" s="1"/>
  <c r="C282" i="14"/>
  <c r="D282" i="14"/>
  <c r="E282" i="14"/>
  <c r="F282" i="14"/>
  <c r="G282" i="14"/>
  <c r="H282" i="14"/>
  <c r="I282" i="14"/>
  <c r="J282" i="14"/>
  <c r="K282" i="14"/>
  <c r="L282" i="14"/>
  <c r="M282" i="14"/>
  <c r="N282" i="14"/>
  <c r="O282" i="14"/>
  <c r="P282" i="14"/>
  <c r="Q282" i="14"/>
  <c r="R282" i="14"/>
  <c r="T282" i="14"/>
  <c r="S193" i="14"/>
  <c r="U193" i="14" s="1"/>
  <c r="A194" i="14"/>
  <c r="A195" i="14" s="1"/>
  <c r="A196" i="14" s="1"/>
  <c r="A197" i="14" s="1"/>
  <c r="A198" i="14" s="1"/>
  <c r="A199" i="14" s="1"/>
  <c r="A200" i="14" s="1"/>
  <c r="A201" i="14" s="1"/>
  <c r="A202" i="14" s="1"/>
  <c r="A203" i="14" s="1"/>
  <c r="A204" i="14" s="1"/>
  <c r="A205" i="14" s="1"/>
  <c r="A206" i="14" s="1"/>
  <c r="A207" i="14" s="1"/>
  <c r="A208" i="14" s="1"/>
  <c r="A209" i="14" s="1"/>
  <c r="A210" i="14" s="1"/>
  <c r="A211" i="14" s="1"/>
  <c r="A212" i="14" s="1"/>
  <c r="A213" i="14" s="1"/>
  <c r="A214" i="14" s="1"/>
  <c r="A215" i="14" s="1"/>
  <c r="A216" i="14" s="1"/>
  <c r="A217" i="14" s="1"/>
  <c r="A218" i="14" s="1"/>
  <c r="A219" i="14" s="1"/>
  <c r="A220" i="14" s="1"/>
  <c r="A221" i="14" s="1"/>
  <c r="A222" i="14" s="1"/>
  <c r="A223" i="14" s="1"/>
  <c r="A224" i="14" s="1"/>
  <c r="A225" i="14" s="1"/>
  <c r="A226" i="14" s="1"/>
  <c r="A227" i="14" s="1"/>
  <c r="A228" i="14" s="1"/>
  <c r="A229" i="14" s="1"/>
  <c r="A230" i="14" s="1"/>
  <c r="A231" i="14" s="1"/>
  <c r="A232" i="14" s="1"/>
  <c r="A233" i="14" s="1"/>
  <c r="A234" i="14" s="1"/>
  <c r="S194" i="14"/>
  <c r="U194" i="14" s="1"/>
  <c r="S195" i="14"/>
  <c r="U195" i="14" s="1"/>
  <c r="S196" i="14"/>
  <c r="U196" i="14" s="1"/>
  <c r="S197" i="14"/>
  <c r="U197" i="14" s="1"/>
  <c r="S198" i="14"/>
  <c r="U198" i="14" s="1"/>
  <c r="S199" i="14"/>
  <c r="U199" i="14" s="1"/>
  <c r="S200" i="14"/>
  <c r="U200" i="14"/>
  <c r="S201" i="14"/>
  <c r="U201" i="14" s="1"/>
  <c r="S202" i="14"/>
  <c r="U202" i="14" s="1"/>
  <c r="S203" i="14"/>
  <c r="U203" i="14" s="1"/>
  <c r="S204" i="14"/>
  <c r="U204" i="14" s="1"/>
  <c r="S205" i="14"/>
  <c r="U205" i="14" s="1"/>
  <c r="S206" i="14"/>
  <c r="U206" i="14" s="1"/>
  <c r="S207" i="14"/>
  <c r="U207" i="14" s="1"/>
  <c r="S208" i="14"/>
  <c r="U208" i="14" s="1"/>
  <c r="S209" i="14"/>
  <c r="U209" i="14" s="1"/>
  <c r="S210" i="14"/>
  <c r="U210" i="14" s="1"/>
  <c r="S211" i="14"/>
  <c r="U211" i="14" s="1"/>
  <c r="S212" i="14"/>
  <c r="U212" i="14" s="1"/>
  <c r="S213" i="14"/>
  <c r="U213" i="14" s="1"/>
  <c r="S214" i="14"/>
  <c r="U214" i="14" s="1"/>
  <c r="S215" i="14"/>
  <c r="U215" i="14" s="1"/>
  <c r="S216" i="14"/>
  <c r="U216" i="14" s="1"/>
  <c r="S217" i="14"/>
  <c r="U217" i="14" s="1"/>
  <c r="S218" i="14"/>
  <c r="U218" i="14" s="1"/>
  <c r="S219" i="14"/>
  <c r="U219" i="14" s="1"/>
  <c r="S220" i="14"/>
  <c r="U220" i="14" s="1"/>
  <c r="S221" i="14"/>
  <c r="U221" i="14" s="1"/>
  <c r="S222" i="14"/>
  <c r="U222" i="14" s="1"/>
  <c r="S223" i="14"/>
  <c r="U223" i="14" s="1"/>
  <c r="S224" i="14"/>
  <c r="U224" i="14" s="1"/>
  <c r="S225" i="14"/>
  <c r="U225" i="14" s="1"/>
  <c r="S226" i="14"/>
  <c r="U226" i="14" s="1"/>
  <c r="S227" i="14"/>
  <c r="U227" i="14" s="1"/>
  <c r="S228" i="14"/>
  <c r="U228" i="14" s="1"/>
  <c r="S229" i="14"/>
  <c r="U229" i="14" s="1"/>
  <c r="S230" i="14"/>
  <c r="U230" i="14" s="1"/>
  <c r="S231" i="14"/>
  <c r="U231" i="14" s="1"/>
  <c r="S232" i="14"/>
  <c r="U232" i="14" s="1"/>
  <c r="S233" i="14"/>
  <c r="U233" i="14" s="1"/>
  <c r="S234" i="14"/>
  <c r="U234" i="14" s="1"/>
  <c r="C235" i="14"/>
  <c r="D235" i="14"/>
  <c r="E235" i="14"/>
  <c r="F235" i="14"/>
  <c r="G235" i="14"/>
  <c r="H235" i="14"/>
  <c r="I235" i="14"/>
  <c r="J235" i="14"/>
  <c r="K235" i="14"/>
  <c r="L235" i="14"/>
  <c r="M235" i="14"/>
  <c r="N235" i="14"/>
  <c r="O235" i="14"/>
  <c r="P235" i="14"/>
  <c r="Q235" i="14"/>
  <c r="R235" i="14"/>
  <c r="T235" i="14"/>
  <c r="S146" i="14"/>
  <c r="U146" i="14" s="1"/>
  <c r="A147" i="14"/>
  <c r="A148" i="14" s="1"/>
  <c r="A149" i="14" s="1"/>
  <c r="A150" i="14" s="1"/>
  <c r="A151" i="14" s="1"/>
  <c r="A152" i="14" s="1"/>
  <c r="A153" i="14" s="1"/>
  <c r="A154" i="14" s="1"/>
  <c r="A155" i="14" s="1"/>
  <c r="A156" i="14" s="1"/>
  <c r="A157" i="14" s="1"/>
  <c r="A158" i="14" s="1"/>
  <c r="A159" i="14" s="1"/>
  <c r="A160" i="14" s="1"/>
  <c r="A161" i="14" s="1"/>
  <c r="A162" i="14" s="1"/>
  <c r="A163" i="14" s="1"/>
  <c r="A164" i="14" s="1"/>
  <c r="A165" i="14" s="1"/>
  <c r="A166" i="14" s="1"/>
  <c r="A167" i="14" s="1"/>
  <c r="A168" i="14" s="1"/>
  <c r="A169" i="14" s="1"/>
  <c r="A170" i="14" s="1"/>
  <c r="A171" i="14" s="1"/>
  <c r="A172" i="14" s="1"/>
  <c r="A173" i="14" s="1"/>
  <c r="A174" i="14" s="1"/>
  <c r="A175" i="14" s="1"/>
  <c r="A176" i="14" s="1"/>
  <c r="A177" i="14" s="1"/>
  <c r="A178" i="14" s="1"/>
  <c r="A179" i="14" s="1"/>
  <c r="A180" i="14" s="1"/>
  <c r="A181" i="14" s="1"/>
  <c r="A182" i="14" s="1"/>
  <c r="A183" i="14" s="1"/>
  <c r="A184" i="14" s="1"/>
  <c r="A185" i="14" s="1"/>
  <c r="A186" i="14" s="1"/>
  <c r="A187" i="14" s="1"/>
  <c r="S147" i="14"/>
  <c r="U147" i="14" s="1"/>
  <c r="S148" i="14"/>
  <c r="U148" i="14" s="1"/>
  <c r="S149" i="14"/>
  <c r="U149" i="14" s="1"/>
  <c r="S150" i="14"/>
  <c r="U150" i="14" s="1"/>
  <c r="S151" i="14"/>
  <c r="U151" i="14" s="1"/>
  <c r="S152" i="14"/>
  <c r="U152" i="14" s="1"/>
  <c r="S153" i="14"/>
  <c r="U153" i="14" s="1"/>
  <c r="S154" i="14"/>
  <c r="U154" i="14" s="1"/>
  <c r="S155" i="14"/>
  <c r="U155" i="14" s="1"/>
  <c r="S156" i="14"/>
  <c r="U156" i="14" s="1"/>
  <c r="S157" i="14"/>
  <c r="U157" i="14" s="1"/>
  <c r="S158" i="14"/>
  <c r="U158" i="14" s="1"/>
  <c r="S159" i="14"/>
  <c r="U159" i="14" s="1"/>
  <c r="S160" i="14"/>
  <c r="U160" i="14" s="1"/>
  <c r="S161" i="14"/>
  <c r="U161" i="14" s="1"/>
  <c r="S162" i="14"/>
  <c r="U162" i="14" s="1"/>
  <c r="S163" i="14"/>
  <c r="U163" i="14" s="1"/>
  <c r="S164" i="14"/>
  <c r="U164" i="14" s="1"/>
  <c r="S165" i="14"/>
  <c r="U165" i="14" s="1"/>
  <c r="S166" i="14"/>
  <c r="U166" i="14" s="1"/>
  <c r="S167" i="14"/>
  <c r="U167" i="14" s="1"/>
  <c r="S168" i="14"/>
  <c r="U168" i="14" s="1"/>
  <c r="S169" i="14"/>
  <c r="U169" i="14" s="1"/>
  <c r="S170" i="14"/>
  <c r="U170" i="14" s="1"/>
  <c r="S171" i="14"/>
  <c r="U171" i="14" s="1"/>
  <c r="S172" i="14"/>
  <c r="U172" i="14" s="1"/>
  <c r="S173" i="14"/>
  <c r="U173" i="14" s="1"/>
  <c r="S174" i="14"/>
  <c r="U174" i="14" s="1"/>
  <c r="S175" i="14"/>
  <c r="U175" i="14" s="1"/>
  <c r="S176" i="14"/>
  <c r="U176" i="14" s="1"/>
  <c r="S177" i="14"/>
  <c r="U177" i="14" s="1"/>
  <c r="S178" i="14"/>
  <c r="U178" i="14" s="1"/>
  <c r="S179" i="14"/>
  <c r="U179" i="14" s="1"/>
  <c r="S180" i="14"/>
  <c r="U180" i="14" s="1"/>
  <c r="S181" i="14"/>
  <c r="U181" i="14" s="1"/>
  <c r="S182" i="14"/>
  <c r="U182" i="14" s="1"/>
  <c r="S183" i="14"/>
  <c r="U183" i="14" s="1"/>
  <c r="S184" i="14"/>
  <c r="U184" i="14" s="1"/>
  <c r="S185" i="14"/>
  <c r="U185" i="14" s="1"/>
  <c r="S186" i="14"/>
  <c r="U186" i="14" s="1"/>
  <c r="S187" i="14"/>
  <c r="U187" i="14" s="1"/>
  <c r="C188" i="14"/>
  <c r="D188" i="14"/>
  <c r="E188" i="14"/>
  <c r="F188" i="14"/>
  <c r="G188" i="14"/>
  <c r="H188" i="14"/>
  <c r="I188" i="14"/>
  <c r="J188" i="14"/>
  <c r="K188" i="14"/>
  <c r="L188" i="14"/>
  <c r="M188" i="14"/>
  <c r="N188" i="14"/>
  <c r="O188" i="14"/>
  <c r="P188" i="14"/>
  <c r="Q188" i="14"/>
  <c r="R188" i="14"/>
  <c r="T188" i="14"/>
  <c r="S99" i="14"/>
  <c r="U99" i="14" s="1"/>
  <c r="A100" i="14"/>
  <c r="A101" i="14" s="1"/>
  <c r="A102" i="14" s="1"/>
  <c r="A103" i="14" s="1"/>
  <c r="A104" i="14" s="1"/>
  <c r="A105" i="14" s="1"/>
  <c r="A106" i="14" s="1"/>
  <c r="A107" i="14" s="1"/>
  <c r="A108" i="14" s="1"/>
  <c r="A109" i="14" s="1"/>
  <c r="A110" i="14" s="1"/>
  <c r="A111" i="14" s="1"/>
  <c r="A112" i="14" s="1"/>
  <c r="A113" i="14" s="1"/>
  <c r="A114" i="14" s="1"/>
  <c r="A115" i="14" s="1"/>
  <c r="A116" i="14" s="1"/>
  <c r="A117" i="14" s="1"/>
  <c r="A118" i="14" s="1"/>
  <c r="A119" i="14" s="1"/>
  <c r="A120" i="14" s="1"/>
  <c r="A121" i="14" s="1"/>
  <c r="A122" i="14" s="1"/>
  <c r="A123" i="14" s="1"/>
  <c r="A124" i="14" s="1"/>
  <c r="A125" i="14" s="1"/>
  <c r="A126" i="14" s="1"/>
  <c r="A127" i="14" s="1"/>
  <c r="A128" i="14" s="1"/>
  <c r="A129" i="14" s="1"/>
  <c r="A130" i="14" s="1"/>
  <c r="A131" i="14" s="1"/>
  <c r="A132" i="14" s="1"/>
  <c r="A133" i="14" s="1"/>
  <c r="A134" i="14" s="1"/>
  <c r="A135" i="14" s="1"/>
  <c r="A136" i="14" s="1"/>
  <c r="A137" i="14" s="1"/>
  <c r="A138" i="14" s="1"/>
  <c r="A139" i="14" s="1"/>
  <c r="A140" i="14" s="1"/>
  <c r="S100" i="14"/>
  <c r="U100" i="14" s="1"/>
  <c r="S101" i="14"/>
  <c r="U101" i="14" s="1"/>
  <c r="S102" i="14"/>
  <c r="U102" i="14" s="1"/>
  <c r="S103" i="14"/>
  <c r="U103" i="14" s="1"/>
  <c r="S104" i="14"/>
  <c r="U104" i="14" s="1"/>
  <c r="S105" i="14"/>
  <c r="U105" i="14" s="1"/>
  <c r="S106" i="14"/>
  <c r="U106" i="14" s="1"/>
  <c r="S107" i="14"/>
  <c r="U107" i="14" s="1"/>
  <c r="S108" i="14"/>
  <c r="U108" i="14" s="1"/>
  <c r="S109" i="14"/>
  <c r="U109" i="14" s="1"/>
  <c r="S110" i="14"/>
  <c r="U110" i="14" s="1"/>
  <c r="S111" i="14"/>
  <c r="U111" i="14" s="1"/>
  <c r="S112" i="14"/>
  <c r="U112" i="14" s="1"/>
  <c r="S113" i="14"/>
  <c r="U113" i="14" s="1"/>
  <c r="S114" i="14"/>
  <c r="U114" i="14"/>
  <c r="S115" i="14"/>
  <c r="U115" i="14" s="1"/>
  <c r="S116" i="14"/>
  <c r="U116" i="14" s="1"/>
  <c r="S117" i="14"/>
  <c r="U117" i="14" s="1"/>
  <c r="S118" i="14"/>
  <c r="U118" i="14" s="1"/>
  <c r="S119" i="14"/>
  <c r="U119" i="14" s="1"/>
  <c r="S120" i="14"/>
  <c r="U120" i="14" s="1"/>
  <c r="S121" i="14"/>
  <c r="U121" i="14" s="1"/>
  <c r="S122" i="14"/>
  <c r="U122" i="14" s="1"/>
  <c r="S123" i="14"/>
  <c r="U123" i="14" s="1"/>
  <c r="S124" i="14"/>
  <c r="U124" i="14" s="1"/>
  <c r="S125" i="14"/>
  <c r="U125" i="14" s="1"/>
  <c r="S126" i="14"/>
  <c r="U126" i="14" s="1"/>
  <c r="S127" i="14"/>
  <c r="U127" i="14" s="1"/>
  <c r="S128" i="14"/>
  <c r="U128" i="14" s="1"/>
  <c r="S129" i="14"/>
  <c r="U129" i="14" s="1"/>
  <c r="S130" i="14"/>
  <c r="U130" i="14" s="1"/>
  <c r="S131" i="14"/>
  <c r="U131" i="14" s="1"/>
  <c r="S132" i="14"/>
  <c r="U132" i="14" s="1"/>
  <c r="S133" i="14"/>
  <c r="U133" i="14" s="1"/>
  <c r="S134" i="14"/>
  <c r="U134" i="14" s="1"/>
  <c r="S135" i="14"/>
  <c r="U135" i="14" s="1"/>
  <c r="S136" i="14"/>
  <c r="U136" i="14" s="1"/>
  <c r="S137" i="14"/>
  <c r="U137" i="14" s="1"/>
  <c r="S138" i="14"/>
  <c r="U138" i="14"/>
  <c r="S139" i="14"/>
  <c r="U139" i="14" s="1"/>
  <c r="S140" i="14"/>
  <c r="U140" i="14" s="1"/>
  <c r="C141" i="14"/>
  <c r="D141" i="14"/>
  <c r="E141" i="14"/>
  <c r="F141" i="14"/>
  <c r="G141" i="14"/>
  <c r="H141" i="14"/>
  <c r="I141" i="14"/>
  <c r="J141" i="14"/>
  <c r="K141" i="14"/>
  <c r="L141" i="14"/>
  <c r="M141" i="14"/>
  <c r="N141" i="14"/>
  <c r="O141" i="14"/>
  <c r="P141" i="14"/>
  <c r="Q141" i="14"/>
  <c r="R141" i="14"/>
  <c r="T141" i="14"/>
  <c r="S52" i="14"/>
  <c r="U52" i="14" s="1"/>
  <c r="A53" i="14"/>
  <c r="A54" i="14" s="1"/>
  <c r="A55" i="14" s="1"/>
  <c r="A56" i="14" s="1"/>
  <c r="A57" i="14" s="1"/>
  <c r="A58" i="14" s="1"/>
  <c r="A59" i="14" s="1"/>
  <c r="A60" i="14" s="1"/>
  <c r="A61" i="14" s="1"/>
  <c r="A62" i="14" s="1"/>
  <c r="A63" i="14" s="1"/>
  <c r="A64" i="14" s="1"/>
  <c r="A65" i="14" s="1"/>
  <c r="A66" i="14" s="1"/>
  <c r="A67" i="14" s="1"/>
  <c r="A68" i="14" s="1"/>
  <c r="A69" i="14" s="1"/>
  <c r="A70" i="14" s="1"/>
  <c r="A71" i="14" s="1"/>
  <c r="A72" i="14" s="1"/>
  <c r="A73" i="14" s="1"/>
  <c r="A74" i="14" s="1"/>
  <c r="A75" i="14" s="1"/>
  <c r="A76" i="14" s="1"/>
  <c r="A77" i="14" s="1"/>
  <c r="A78" i="14" s="1"/>
  <c r="A79" i="14" s="1"/>
  <c r="A80" i="14" s="1"/>
  <c r="A81" i="14" s="1"/>
  <c r="A82" i="14" s="1"/>
  <c r="A83" i="14" s="1"/>
  <c r="A84" i="14" s="1"/>
  <c r="A85" i="14" s="1"/>
  <c r="A86" i="14" s="1"/>
  <c r="A87" i="14" s="1"/>
  <c r="A88" i="14" s="1"/>
  <c r="A89" i="14" s="1"/>
  <c r="A90" i="14" s="1"/>
  <c r="A91" i="14" s="1"/>
  <c r="A92" i="14" s="1"/>
  <c r="A93" i="14" s="1"/>
  <c r="S53" i="14"/>
  <c r="U53" i="14" s="1"/>
  <c r="S54" i="14"/>
  <c r="U54" i="14" s="1"/>
  <c r="S55" i="14"/>
  <c r="U55" i="14" s="1"/>
  <c r="S56" i="14"/>
  <c r="U56" i="14" s="1"/>
  <c r="S57" i="14"/>
  <c r="U57" i="14" s="1"/>
  <c r="S58" i="14"/>
  <c r="U58" i="14" s="1"/>
  <c r="S59" i="14"/>
  <c r="U59" i="14" s="1"/>
  <c r="S60" i="14"/>
  <c r="U60" i="14" s="1"/>
  <c r="S61" i="14"/>
  <c r="U61" i="14" s="1"/>
  <c r="S62" i="14"/>
  <c r="U62" i="14" s="1"/>
  <c r="S63" i="14"/>
  <c r="U63" i="14" s="1"/>
  <c r="S64" i="14"/>
  <c r="U64" i="14" s="1"/>
  <c r="S65" i="14"/>
  <c r="U65" i="14" s="1"/>
  <c r="S66" i="14"/>
  <c r="U66" i="14" s="1"/>
  <c r="S67" i="14"/>
  <c r="U67" i="14" s="1"/>
  <c r="S68" i="14"/>
  <c r="U68" i="14" s="1"/>
  <c r="S69" i="14"/>
  <c r="U69" i="14" s="1"/>
  <c r="S70" i="14"/>
  <c r="U70" i="14" s="1"/>
  <c r="S71" i="14"/>
  <c r="U71" i="14" s="1"/>
  <c r="S72" i="14"/>
  <c r="U72" i="14" s="1"/>
  <c r="S73" i="14"/>
  <c r="U73" i="14" s="1"/>
  <c r="S74" i="14"/>
  <c r="U74" i="14" s="1"/>
  <c r="S75" i="14"/>
  <c r="U75" i="14" s="1"/>
  <c r="S76" i="14"/>
  <c r="U76" i="14" s="1"/>
  <c r="S77" i="14"/>
  <c r="U77" i="14" s="1"/>
  <c r="S78" i="14"/>
  <c r="U78" i="14" s="1"/>
  <c r="S79" i="14"/>
  <c r="U79" i="14" s="1"/>
  <c r="S80" i="14"/>
  <c r="U80" i="14" s="1"/>
  <c r="S81" i="14"/>
  <c r="U81" i="14" s="1"/>
  <c r="S82" i="14"/>
  <c r="U82" i="14" s="1"/>
  <c r="S83" i="14"/>
  <c r="U83" i="14" s="1"/>
  <c r="S84" i="14"/>
  <c r="U84" i="14" s="1"/>
  <c r="S85" i="14"/>
  <c r="U85" i="14" s="1"/>
  <c r="S86" i="14"/>
  <c r="U86" i="14" s="1"/>
  <c r="S87" i="14"/>
  <c r="U87" i="14" s="1"/>
  <c r="S88" i="14"/>
  <c r="U88" i="14" s="1"/>
  <c r="S89" i="14"/>
  <c r="U89" i="14" s="1"/>
  <c r="S90" i="14"/>
  <c r="U90" i="14" s="1"/>
  <c r="S91" i="14"/>
  <c r="U91" i="14" s="1"/>
  <c r="S92" i="14"/>
  <c r="U92" i="14" s="1"/>
  <c r="S93" i="14"/>
  <c r="U93" i="14" s="1"/>
  <c r="C94" i="14"/>
  <c r="D94" i="14"/>
  <c r="E94" i="14"/>
  <c r="F94" i="14"/>
  <c r="G94" i="14"/>
  <c r="H94" i="14"/>
  <c r="I94" i="14"/>
  <c r="J94" i="14"/>
  <c r="K94" i="14"/>
  <c r="L94" i="14"/>
  <c r="M94" i="14"/>
  <c r="N94" i="14"/>
  <c r="O94" i="14"/>
  <c r="P94" i="14"/>
  <c r="Q94" i="14"/>
  <c r="R94" i="14"/>
  <c r="T47" i="14"/>
  <c r="R47" i="14"/>
  <c r="Q47" i="14"/>
  <c r="P47" i="14"/>
  <c r="O47" i="14"/>
  <c r="N47" i="14"/>
  <c r="M47" i="14"/>
  <c r="L47" i="14"/>
  <c r="K47" i="14"/>
  <c r="J47" i="14"/>
  <c r="I47" i="14"/>
  <c r="H47" i="14"/>
  <c r="G47" i="14"/>
  <c r="F47" i="14"/>
  <c r="E47" i="14"/>
  <c r="D47" i="14"/>
  <c r="C47" i="14"/>
  <c r="S46" i="14"/>
  <c r="U46" i="14" s="1"/>
  <c r="S45" i="14"/>
  <c r="U45" i="14" s="1"/>
  <c r="S44" i="14"/>
  <c r="U44" i="14" s="1"/>
  <c r="S43" i="14"/>
  <c r="U43" i="14" s="1"/>
  <c r="S42" i="14"/>
  <c r="U42" i="14" s="1"/>
  <c r="S41" i="14"/>
  <c r="U41" i="14" s="1"/>
  <c r="S40" i="14"/>
  <c r="U40" i="14" s="1"/>
  <c r="S39" i="14"/>
  <c r="U39" i="14" s="1"/>
  <c r="S38" i="14"/>
  <c r="U38" i="14" s="1"/>
  <c r="S37" i="14"/>
  <c r="U37" i="14" s="1"/>
  <c r="S36" i="14"/>
  <c r="U36" i="14" s="1"/>
  <c r="S35" i="14"/>
  <c r="U35" i="14" s="1"/>
  <c r="S34" i="14"/>
  <c r="U34" i="14" s="1"/>
  <c r="S33" i="14"/>
  <c r="U33" i="14" s="1"/>
  <c r="S32" i="14"/>
  <c r="U32" i="14" s="1"/>
  <c r="S31" i="14"/>
  <c r="U31" i="14" s="1"/>
  <c r="S30" i="14"/>
  <c r="U30" i="14" s="1"/>
  <c r="S29" i="14"/>
  <c r="U29" i="14" s="1"/>
  <c r="S28" i="14"/>
  <c r="U28" i="14" s="1"/>
  <c r="S27" i="14"/>
  <c r="U27" i="14" s="1"/>
  <c r="S26" i="14"/>
  <c r="U26" i="14" s="1"/>
  <c r="S25" i="14"/>
  <c r="U25" i="14" s="1"/>
  <c r="S24" i="14"/>
  <c r="U24" i="14" s="1"/>
  <c r="S23" i="14"/>
  <c r="U23" i="14" s="1"/>
  <c r="S22" i="14"/>
  <c r="U22" i="14" s="1"/>
  <c r="S21" i="14"/>
  <c r="U21" i="14" s="1"/>
  <c r="S20" i="14"/>
  <c r="U20" i="14" s="1"/>
  <c r="S19" i="14"/>
  <c r="U19" i="14" s="1"/>
  <c r="S18" i="14"/>
  <c r="U18" i="14" s="1"/>
  <c r="S17" i="14"/>
  <c r="U17" i="14" s="1"/>
  <c r="S16" i="14"/>
  <c r="U16" i="14" s="1"/>
  <c r="S15" i="14"/>
  <c r="U15" i="14" s="1"/>
  <c r="S14" i="14"/>
  <c r="U14" i="14" s="1"/>
  <c r="S13" i="14"/>
  <c r="U13" i="14" s="1"/>
  <c r="S12" i="14"/>
  <c r="U12" i="14" s="1"/>
  <c r="S11" i="14"/>
  <c r="U11" i="14" s="1"/>
  <c r="S10" i="14"/>
  <c r="U10" i="14" s="1"/>
  <c r="S9" i="14"/>
  <c r="U9" i="14" s="1"/>
  <c r="S8" i="14"/>
  <c r="U8" i="14" s="1"/>
  <c r="S7" i="14"/>
  <c r="U7" i="14" s="1"/>
  <c r="S6" i="14"/>
  <c r="U6" i="14" s="1"/>
  <c r="A6" i="14"/>
  <c r="A7" i="14" s="1"/>
  <c r="A8" i="14" s="1"/>
  <c r="A9" i="14" s="1"/>
  <c r="A10" i="14" s="1"/>
  <c r="A11" i="14" s="1"/>
  <c r="A12" i="14" s="1"/>
  <c r="A13" i="14" s="1"/>
  <c r="A14" i="14" s="1"/>
  <c r="A15" i="14" s="1"/>
  <c r="A16" i="14" s="1"/>
  <c r="A17" i="14" s="1"/>
  <c r="A18" i="14" s="1"/>
  <c r="A19" i="14" s="1"/>
  <c r="A20" i="14" s="1"/>
  <c r="A21" i="14" s="1"/>
  <c r="A22" i="14" s="1"/>
  <c r="A23" i="14" s="1"/>
  <c r="A24" i="14" s="1"/>
  <c r="A25" i="14" s="1"/>
  <c r="A26" i="14" s="1"/>
  <c r="A27" i="14" s="1"/>
  <c r="A28" i="14" s="1"/>
  <c r="A29" i="14" s="1"/>
  <c r="A30" i="14" s="1"/>
  <c r="A31" i="14" s="1"/>
  <c r="A32" i="14" s="1"/>
  <c r="A33" i="14" s="1"/>
  <c r="A34" i="14" s="1"/>
  <c r="A35" i="14" s="1"/>
  <c r="A36" i="14" s="1"/>
  <c r="A37" i="14" s="1"/>
  <c r="A38" i="14" s="1"/>
  <c r="A39" i="14" s="1"/>
  <c r="A40" i="14" s="1"/>
  <c r="A41" i="14" s="1"/>
  <c r="A42" i="14" s="1"/>
  <c r="A43" i="14" s="1"/>
  <c r="A44" i="14" s="1"/>
  <c r="A45" i="14" s="1"/>
  <c r="A46" i="14" s="1"/>
  <c r="S5" i="14"/>
  <c r="AA36" i="10" l="1"/>
  <c r="AB36" i="10" s="1"/>
  <c r="AD36" i="10" s="1"/>
  <c r="AE36" i="10" s="1"/>
  <c r="AG36" i="10" s="1"/>
  <c r="AH36" i="10" s="1"/>
  <c r="AA34" i="10"/>
  <c r="AB34" i="10" s="1"/>
  <c r="AD34" i="10" s="1"/>
  <c r="AE34" i="10" s="1"/>
  <c r="AG34" i="10" s="1"/>
  <c r="AH34" i="10" s="1"/>
  <c r="AJ34" i="10" s="1"/>
  <c r="AK34" i="10" s="1"/>
  <c r="AM34" i="10" s="1"/>
  <c r="AN34" i="10" s="1"/>
  <c r="AP34" i="10" s="1"/>
  <c r="AU34" i="10" s="1"/>
  <c r="AA33" i="10"/>
  <c r="AB33" i="10" s="1"/>
  <c r="AD33" i="10" s="1"/>
  <c r="AE33" i="10" s="1"/>
  <c r="AG33" i="10" s="1"/>
  <c r="AH33" i="10" s="1"/>
  <c r="AJ33" i="10" s="1"/>
  <c r="AK33" i="10" s="1"/>
  <c r="AA35" i="10"/>
  <c r="AB35" i="10" s="1"/>
  <c r="AD35" i="10" s="1"/>
  <c r="AE35" i="10" s="1"/>
  <c r="AG35" i="10" s="1"/>
  <c r="AH35" i="10" s="1"/>
  <c r="R610" i="14"/>
  <c r="D5" i="15" s="1"/>
  <c r="F5" i="15" s="1"/>
  <c r="V32" i="10"/>
  <c r="X32" i="10" s="1"/>
  <c r="S282" i="14"/>
  <c r="S188" i="14"/>
  <c r="S608" i="14"/>
  <c r="U608" i="14" s="1"/>
  <c r="S609" i="14"/>
  <c r="U609" i="14" s="1"/>
  <c r="H610" i="14"/>
  <c r="S141" i="14"/>
  <c r="L610" i="14"/>
  <c r="J610" i="14"/>
  <c r="S568" i="14"/>
  <c r="U568" i="14" s="1"/>
  <c r="P610" i="14"/>
  <c r="S592" i="14"/>
  <c r="U592" i="14" s="1"/>
  <c r="Q610" i="14"/>
  <c r="D11" i="15" s="1"/>
  <c r="F11" i="15" s="1"/>
  <c r="O610" i="14"/>
  <c r="D7" i="15" s="1"/>
  <c r="F7" i="15" s="1"/>
  <c r="M610" i="14"/>
  <c r="S596" i="14"/>
  <c r="U596" i="14" s="1"/>
  <c r="S588" i="14"/>
  <c r="U588" i="14" s="1"/>
  <c r="S584" i="14"/>
  <c r="U584" i="14" s="1"/>
  <c r="S574" i="14"/>
  <c r="U574" i="14" s="1"/>
  <c r="S569" i="14"/>
  <c r="U569" i="14" s="1"/>
  <c r="S598" i="14"/>
  <c r="U598" i="14" s="1"/>
  <c r="S594" i="14"/>
  <c r="U594" i="14" s="1"/>
  <c r="S583" i="14"/>
  <c r="U583" i="14" s="1"/>
  <c r="S581" i="14"/>
  <c r="U581" i="14" s="1"/>
  <c r="S576" i="14"/>
  <c r="U576" i="14" s="1"/>
  <c r="S575" i="14"/>
  <c r="U575" i="14" s="1"/>
  <c r="S602" i="14"/>
  <c r="U602" i="14" s="1"/>
  <c r="N610" i="14"/>
  <c r="D6" i="15" s="1"/>
  <c r="F6" i="15" s="1"/>
  <c r="S589" i="14"/>
  <c r="U589" i="14" s="1"/>
  <c r="S595" i="14"/>
  <c r="U595" i="14" s="1"/>
  <c r="S580" i="14"/>
  <c r="U580" i="14" s="1"/>
  <c r="S579" i="14"/>
  <c r="U579" i="14" s="1"/>
  <c r="K610" i="14"/>
  <c r="S600" i="14"/>
  <c r="U600" i="14" s="1"/>
  <c r="S591" i="14"/>
  <c r="U591" i="14" s="1"/>
  <c r="S587" i="14"/>
  <c r="U587" i="14" s="1"/>
  <c r="S586" i="14"/>
  <c r="U586" i="14" s="1"/>
  <c r="S582" i="14"/>
  <c r="U582" i="14" s="1"/>
  <c r="I610" i="14"/>
  <c r="D13" i="15" s="1"/>
  <c r="F13" i="15" s="1"/>
  <c r="S577" i="14"/>
  <c r="U577" i="14" s="1"/>
  <c r="S573" i="14"/>
  <c r="U573" i="14" s="1"/>
  <c r="S572" i="14"/>
  <c r="U572" i="14" s="1"/>
  <c r="S590" i="14"/>
  <c r="U590" i="14" s="1"/>
  <c r="S578" i="14"/>
  <c r="U578" i="14" s="1"/>
  <c r="S585" i="14"/>
  <c r="U585" i="14" s="1"/>
  <c r="S604" i="14"/>
  <c r="U604" i="14" s="1"/>
  <c r="S606" i="14"/>
  <c r="U606" i="14" s="1"/>
  <c r="S593" i="14"/>
  <c r="U593" i="14" s="1"/>
  <c r="S607" i="14"/>
  <c r="U607" i="14" s="1"/>
  <c r="S605" i="14"/>
  <c r="U605" i="14" s="1"/>
  <c r="S603" i="14"/>
  <c r="U603" i="14" s="1"/>
  <c r="S601" i="14"/>
  <c r="U601" i="14" s="1"/>
  <c r="S599" i="14"/>
  <c r="U599" i="14" s="1"/>
  <c r="E610" i="14"/>
  <c r="D4" i="15" s="1"/>
  <c r="F4" i="15" s="1"/>
  <c r="S597" i="14"/>
  <c r="U597" i="14" s="1"/>
  <c r="G610" i="14"/>
  <c r="D9" i="15" s="1"/>
  <c r="F9" i="15" s="1"/>
  <c r="C610" i="14"/>
  <c r="S571" i="14"/>
  <c r="U571" i="14" s="1"/>
  <c r="F610" i="14"/>
  <c r="D8" i="15" s="1"/>
  <c r="F8" i="15" s="1"/>
  <c r="S570" i="14"/>
  <c r="U570" i="14" s="1"/>
  <c r="D610" i="14"/>
  <c r="D3" i="15" s="1"/>
  <c r="F3" i="15" s="1"/>
  <c r="S94" i="14"/>
  <c r="U516" i="14"/>
  <c r="S563" i="14"/>
  <c r="U563" i="14"/>
  <c r="U469" i="14"/>
  <c r="S516" i="14"/>
  <c r="S469" i="14"/>
  <c r="U422" i="14"/>
  <c r="S422" i="14"/>
  <c r="U375" i="14"/>
  <c r="S375" i="14"/>
  <c r="U328" i="14"/>
  <c r="S328" i="14"/>
  <c r="U282" i="14"/>
  <c r="U235" i="14"/>
  <c r="S235" i="14"/>
  <c r="U188" i="14"/>
  <c r="U141" i="14"/>
  <c r="U94" i="14"/>
  <c r="S47" i="14"/>
  <c r="U5" i="14"/>
  <c r="U47" i="14" s="1"/>
  <c r="AJ35" i="10" l="1"/>
  <c r="AK35" i="10" s="1"/>
  <c r="AM35" i="10" s="1"/>
  <c r="AN35" i="10" s="1"/>
  <c r="AK36" i="10"/>
  <c r="AM36" i="10" s="1"/>
  <c r="AN36" i="10" s="1"/>
  <c r="AP36" i="10" s="1"/>
  <c r="AU36" i="10" s="1"/>
  <c r="AJ36" i="10"/>
  <c r="AV34" i="10"/>
  <c r="BB34" i="10" s="1"/>
  <c r="BD34" i="10" s="1"/>
  <c r="BF34" i="10" s="1"/>
  <c r="Y32" i="10"/>
  <c r="AM33" i="10"/>
  <c r="AN33" i="10" s="1"/>
  <c r="AQ34" i="10"/>
  <c r="D14" i="15"/>
  <c r="F14" i="15" s="1"/>
  <c r="S610" i="14"/>
  <c r="U610" i="14"/>
  <c r="N41" i="9"/>
  <c r="N42" i="9" s="1"/>
  <c r="N43" i="9" s="1"/>
  <c r="N44" i="9" s="1"/>
  <c r="N45" i="9" s="1"/>
  <c r="N46" i="9" s="1"/>
  <c r="N47" i="9" s="1"/>
  <c r="N48" i="9" s="1"/>
  <c r="N49" i="9" s="1"/>
  <c r="N50" i="9" s="1"/>
  <c r="N51" i="9" s="1"/>
  <c r="N52" i="9" s="1"/>
  <c r="N53" i="9" s="1"/>
  <c r="N54" i="9" s="1"/>
  <c r="N55" i="9" s="1"/>
  <c r="N56" i="9" s="1"/>
  <c r="N57" i="9" s="1"/>
  <c r="N58" i="9" s="1"/>
  <c r="N59" i="9" s="1"/>
  <c r="N60" i="9" s="1"/>
  <c r="N61" i="9" s="1"/>
  <c r="N62" i="9" s="1"/>
  <c r="N63" i="9" s="1"/>
  <c r="N64" i="9" s="1"/>
  <c r="N65" i="9" s="1"/>
  <c r="N66" i="9" s="1"/>
  <c r="N67" i="9" s="1"/>
  <c r="N68" i="9" s="1"/>
  <c r="N69" i="9" s="1"/>
  <c r="N70" i="9" s="1"/>
  <c r="R37" i="13"/>
  <c r="R36" i="13"/>
  <c r="R35" i="13"/>
  <c r="R34" i="13"/>
  <c r="R33" i="13"/>
  <c r="R32" i="13"/>
  <c r="Q31" i="13"/>
  <c r="R31" i="13" s="1"/>
  <c r="R30" i="13"/>
  <c r="Q30" i="13"/>
  <c r="Q29" i="13"/>
  <c r="R29" i="13" s="1"/>
  <c r="Q28" i="13"/>
  <c r="R28" i="13" s="1"/>
  <c r="Q27" i="13"/>
  <c r="R27" i="13" s="1"/>
  <c r="R26" i="13"/>
  <c r="Q26" i="13"/>
  <c r="Q25" i="13"/>
  <c r="R25" i="13" s="1"/>
  <c r="Q24" i="13"/>
  <c r="R24" i="13" s="1"/>
  <c r="Q23" i="13"/>
  <c r="R23" i="13" s="1"/>
  <c r="R22" i="13"/>
  <c r="Q22" i="13"/>
  <c r="Q21" i="13"/>
  <c r="R21" i="13" s="1"/>
  <c r="Q20" i="13"/>
  <c r="R20" i="13" s="1"/>
  <c r="Q19" i="13"/>
  <c r="R19" i="13" s="1"/>
  <c r="R18" i="13"/>
  <c r="Q18" i="13"/>
  <c r="Q17" i="13"/>
  <c r="R17" i="13" s="1"/>
  <c r="Q16" i="13"/>
  <c r="R16" i="13" s="1"/>
  <c r="Q15" i="13"/>
  <c r="R15" i="13" s="1"/>
  <c r="Q14" i="13"/>
  <c r="R14" i="13" s="1"/>
  <c r="Q13" i="13"/>
  <c r="R13" i="13" s="1"/>
  <c r="Q12" i="13"/>
  <c r="R12" i="13" s="1"/>
  <c r="Q11" i="13"/>
  <c r="R11" i="13" s="1"/>
  <c r="R10" i="13"/>
  <c r="Q10" i="13"/>
  <c r="Q9" i="13"/>
  <c r="R9" i="13" s="1"/>
  <c r="Q8" i="13"/>
  <c r="R8" i="13" s="1"/>
  <c r="Q7" i="13"/>
  <c r="R7" i="13" s="1"/>
  <c r="R6" i="13"/>
  <c r="Q6" i="13"/>
  <c r="Q5" i="13"/>
  <c r="R5" i="13" s="1"/>
  <c r="Q4" i="13"/>
  <c r="R4" i="13" s="1"/>
  <c r="A4" i="13"/>
  <c r="A5" i="13" s="1"/>
  <c r="A6" i="13" s="1"/>
  <c r="A7" i="13" s="1"/>
  <c r="A8" i="13" s="1"/>
  <c r="A9" i="13" s="1"/>
  <c r="A10" i="13" s="1"/>
  <c r="A11" i="13" s="1"/>
  <c r="A12" i="13" s="1"/>
  <c r="A13" i="13" s="1"/>
  <c r="A14" i="13" s="1"/>
  <c r="A15" i="13" s="1"/>
  <c r="A16" i="13" s="1"/>
  <c r="A17" i="13" s="1"/>
  <c r="A18" i="13" s="1"/>
  <c r="A19" i="13" s="1"/>
  <c r="A20" i="13" s="1"/>
  <c r="A21" i="13" s="1"/>
  <c r="A22" i="13" s="1"/>
  <c r="A23" i="13" s="1"/>
  <c r="A24" i="13" s="1"/>
  <c r="A25" i="13" s="1"/>
  <c r="A26" i="13" s="1"/>
  <c r="A27" i="13" s="1"/>
  <c r="A28" i="13" s="1"/>
  <c r="A29" i="13" s="1"/>
  <c r="A30" i="13" s="1"/>
  <c r="A31" i="13" s="1"/>
  <c r="A32" i="13" s="1"/>
  <c r="A33" i="13" s="1"/>
  <c r="A34" i="13" s="1"/>
  <c r="A35" i="13" s="1"/>
  <c r="A36" i="13" s="1"/>
  <c r="A37" i="13" s="1"/>
  <c r="A38" i="13" s="1"/>
  <c r="A39" i="13" s="1"/>
  <c r="A40" i="13" s="1"/>
  <c r="A41" i="13" s="1"/>
  <c r="A42" i="13" s="1"/>
  <c r="Q3" i="13"/>
  <c r="AA32" i="10" l="1"/>
  <c r="AB32" i="10" s="1"/>
  <c r="AV36" i="10"/>
  <c r="BB36" i="10" s="1"/>
  <c r="BD36" i="10" s="1"/>
  <c r="BF36" i="10" s="1"/>
  <c r="AP35" i="10"/>
  <c r="AU35" i="10" s="1"/>
  <c r="AP33" i="10"/>
  <c r="AU33" i="10" s="1"/>
  <c r="AQ36" i="10"/>
  <c r="Q43" i="13"/>
  <c r="D44" i="13" s="1"/>
  <c r="R3" i="13"/>
  <c r="R43" i="13" s="1"/>
  <c r="AD32" i="10" l="1"/>
  <c r="AE32" i="10" s="1"/>
  <c r="AG32" i="10" s="1"/>
  <c r="AH32" i="10" s="1"/>
  <c r="AQ33" i="10"/>
  <c r="AV33" i="10"/>
  <c r="BB33" i="10" s="1"/>
  <c r="BD33" i="10" s="1"/>
  <c r="BF33" i="10" s="1"/>
  <c r="AQ35" i="10"/>
  <c r="AV35" i="10"/>
  <c r="BB35" i="10" s="1"/>
  <c r="BD35" i="10" s="1"/>
  <c r="BF35" i="10" s="1"/>
  <c r="A357" i="12"/>
  <c r="A358" i="12" s="1"/>
  <c r="A359" i="12" s="1"/>
  <c r="A360" i="12" s="1"/>
  <c r="A361" i="12" s="1"/>
  <c r="A362" i="12" s="1"/>
  <c r="A363" i="12" s="1"/>
  <c r="A364" i="12" s="1"/>
  <c r="A365" i="12" s="1"/>
  <c r="A366" i="12" s="1"/>
  <c r="A367" i="12" s="1"/>
  <c r="A368" i="12" s="1"/>
  <c r="A369" i="12" s="1"/>
  <c r="A370" i="12" s="1"/>
  <c r="A371" i="12" s="1"/>
  <c r="A372" i="12" s="1"/>
  <c r="A373" i="12" s="1"/>
  <c r="A374" i="12" s="1"/>
  <c r="A375" i="12" s="1"/>
  <c r="A376" i="12" s="1"/>
  <c r="A377" i="12" s="1"/>
  <c r="A378" i="12" s="1"/>
  <c r="A379" i="12" s="1"/>
  <c r="A380" i="12" s="1"/>
  <c r="A381" i="12" s="1"/>
  <c r="A382" i="12" s="1"/>
  <c r="A383" i="12" s="1"/>
  <c r="D383" i="12"/>
  <c r="E383" i="12"/>
  <c r="F383" i="12"/>
  <c r="G383" i="12"/>
  <c r="H383" i="12" s="1"/>
  <c r="A229" i="12"/>
  <c r="A230" i="12" s="1"/>
  <c r="A231" i="12" s="1"/>
  <c r="A232" i="12" s="1"/>
  <c r="A233" i="12" s="1"/>
  <c r="A234" i="12" s="1"/>
  <c r="A235" i="12" s="1"/>
  <c r="A236" i="12" s="1"/>
  <c r="A237" i="12" s="1"/>
  <c r="A238" i="12" s="1"/>
  <c r="A239" i="12" s="1"/>
  <c r="A240" i="12" s="1"/>
  <c r="A241" i="12" s="1"/>
  <c r="A242" i="12" s="1"/>
  <c r="A243" i="12" s="1"/>
  <c r="A244" i="12" s="1"/>
  <c r="A245" i="12" s="1"/>
  <c r="A246" i="12" s="1"/>
  <c r="A247" i="12" s="1"/>
  <c r="A248" i="12" s="1"/>
  <c r="A249" i="12" s="1"/>
  <c r="A250" i="12" s="1"/>
  <c r="A251" i="12" s="1"/>
  <c r="A252" i="12" s="1"/>
  <c r="A253" i="12" s="1"/>
  <c r="A254" i="12" s="1"/>
  <c r="A255" i="12" s="1"/>
  <c r="D255" i="12"/>
  <c r="E255" i="12"/>
  <c r="F255" i="12"/>
  <c r="G255" i="12"/>
  <c r="A261" i="12"/>
  <c r="A262" i="12" s="1"/>
  <c r="A263" i="12" s="1"/>
  <c r="A264" i="12" s="1"/>
  <c r="A265" i="12" s="1"/>
  <c r="A266" i="12" s="1"/>
  <c r="A267" i="12" s="1"/>
  <c r="A268" i="12" s="1"/>
  <c r="A269" i="12" s="1"/>
  <c r="A270" i="12" s="1"/>
  <c r="A271" i="12" s="1"/>
  <c r="A272" i="12" s="1"/>
  <c r="A273" i="12" s="1"/>
  <c r="A274" i="12" s="1"/>
  <c r="A275" i="12" s="1"/>
  <c r="A276" i="12" s="1"/>
  <c r="A277" i="12" s="1"/>
  <c r="A278" i="12" s="1"/>
  <c r="A279" i="12" s="1"/>
  <c r="A280" i="12" s="1"/>
  <c r="A281" i="12" s="1"/>
  <c r="A282" i="12" s="1"/>
  <c r="A283" i="12" s="1"/>
  <c r="A284" i="12" s="1"/>
  <c r="A285" i="12" s="1"/>
  <c r="A286" i="12" s="1"/>
  <c r="A287" i="12" s="1"/>
  <c r="D287" i="12"/>
  <c r="E287" i="12"/>
  <c r="F287" i="12"/>
  <c r="G287" i="12"/>
  <c r="A293" i="12"/>
  <c r="A294" i="12" s="1"/>
  <c r="A295" i="12" s="1"/>
  <c r="A296" i="12" s="1"/>
  <c r="A297" i="12" s="1"/>
  <c r="A298" i="12" s="1"/>
  <c r="A299" i="12" s="1"/>
  <c r="A300" i="12" s="1"/>
  <c r="A301" i="12" s="1"/>
  <c r="A302" i="12" s="1"/>
  <c r="A303" i="12" s="1"/>
  <c r="A304" i="12" s="1"/>
  <c r="A305" i="12" s="1"/>
  <c r="A306" i="12" s="1"/>
  <c r="A307" i="12" s="1"/>
  <c r="A308" i="12" s="1"/>
  <c r="A309" i="12" s="1"/>
  <c r="A310" i="12" s="1"/>
  <c r="A311" i="12" s="1"/>
  <c r="A312" i="12" s="1"/>
  <c r="A313" i="12" s="1"/>
  <c r="A314" i="12" s="1"/>
  <c r="A315" i="12" s="1"/>
  <c r="A316" i="12" s="1"/>
  <c r="A317" i="12" s="1"/>
  <c r="A318" i="12" s="1"/>
  <c r="A319" i="12" s="1"/>
  <c r="D319" i="12"/>
  <c r="E319" i="12"/>
  <c r="F319" i="12"/>
  <c r="G319" i="12"/>
  <c r="A325" i="12"/>
  <c r="A326" i="12" s="1"/>
  <c r="A327" i="12" s="1"/>
  <c r="A328" i="12" s="1"/>
  <c r="A329" i="12" s="1"/>
  <c r="A330" i="12" s="1"/>
  <c r="A331" i="12" s="1"/>
  <c r="A332" i="12" s="1"/>
  <c r="A333" i="12" s="1"/>
  <c r="A334" i="12" s="1"/>
  <c r="A335" i="12" s="1"/>
  <c r="A336" i="12" s="1"/>
  <c r="A337" i="12" s="1"/>
  <c r="A338" i="12" s="1"/>
  <c r="A339" i="12" s="1"/>
  <c r="A340" i="12" s="1"/>
  <c r="A341" i="12" s="1"/>
  <c r="A342" i="12" s="1"/>
  <c r="A343" i="12" s="1"/>
  <c r="A344" i="12" s="1"/>
  <c r="A345" i="12" s="1"/>
  <c r="A346" i="12" s="1"/>
  <c r="A347" i="12" s="1"/>
  <c r="A348" i="12" s="1"/>
  <c r="A349" i="12" s="1"/>
  <c r="A350" i="12" s="1"/>
  <c r="A351" i="12" s="1"/>
  <c r="D351" i="12"/>
  <c r="E351" i="12"/>
  <c r="F351" i="12"/>
  <c r="G351" i="12"/>
  <c r="A165" i="12"/>
  <c r="A166" i="12" s="1"/>
  <c r="A167" i="12" s="1"/>
  <c r="A168" i="12" s="1"/>
  <c r="A169" i="12" s="1"/>
  <c r="A170" i="12" s="1"/>
  <c r="A171" i="12" s="1"/>
  <c r="A172" i="12" s="1"/>
  <c r="A173" i="12" s="1"/>
  <c r="A174" i="12" s="1"/>
  <c r="A175" i="12" s="1"/>
  <c r="A176" i="12" s="1"/>
  <c r="A177" i="12" s="1"/>
  <c r="A178" i="12" s="1"/>
  <c r="A179" i="12" s="1"/>
  <c r="A180" i="12" s="1"/>
  <c r="A181" i="12" s="1"/>
  <c r="A182" i="12" s="1"/>
  <c r="A183" i="12" s="1"/>
  <c r="A184" i="12" s="1"/>
  <c r="A185" i="12" s="1"/>
  <c r="A186" i="12" s="1"/>
  <c r="A187" i="12" s="1"/>
  <c r="A188" i="12" s="1"/>
  <c r="A189" i="12" s="1"/>
  <c r="A190" i="12" s="1"/>
  <c r="A191" i="12" s="1"/>
  <c r="D191" i="12"/>
  <c r="E191" i="12"/>
  <c r="F191" i="12"/>
  <c r="G191" i="12"/>
  <c r="A197" i="12"/>
  <c r="A198" i="12" s="1"/>
  <c r="A199" i="12" s="1"/>
  <c r="A200" i="12" s="1"/>
  <c r="A201" i="12" s="1"/>
  <c r="A202" i="12" s="1"/>
  <c r="A203" i="12" s="1"/>
  <c r="A204" i="12" s="1"/>
  <c r="A205" i="12" s="1"/>
  <c r="A206" i="12" s="1"/>
  <c r="A207" i="12" s="1"/>
  <c r="A208" i="12" s="1"/>
  <c r="A209" i="12" s="1"/>
  <c r="A210" i="12" s="1"/>
  <c r="A211" i="12" s="1"/>
  <c r="A212" i="12" s="1"/>
  <c r="A213" i="12" s="1"/>
  <c r="A214" i="12" s="1"/>
  <c r="A215" i="12" s="1"/>
  <c r="A216" i="12" s="1"/>
  <c r="A217" i="12" s="1"/>
  <c r="A218" i="12" s="1"/>
  <c r="A219" i="12" s="1"/>
  <c r="A220" i="12" s="1"/>
  <c r="A221" i="12" s="1"/>
  <c r="A222" i="12" s="1"/>
  <c r="A223" i="12" s="1"/>
  <c r="D223" i="12"/>
  <c r="E223" i="12"/>
  <c r="F223" i="12"/>
  <c r="G223" i="12"/>
  <c r="A134" i="12"/>
  <c r="A135" i="12" s="1"/>
  <c r="A136" i="12" s="1"/>
  <c r="A137" i="12" s="1"/>
  <c r="A138" i="12" s="1"/>
  <c r="A139" i="12" s="1"/>
  <c r="A140" i="12" s="1"/>
  <c r="A141" i="12" s="1"/>
  <c r="A142" i="12" s="1"/>
  <c r="A143" i="12" s="1"/>
  <c r="A144" i="12" s="1"/>
  <c r="A145" i="12" s="1"/>
  <c r="A146" i="12" s="1"/>
  <c r="A147" i="12" s="1"/>
  <c r="A148" i="12" s="1"/>
  <c r="A149" i="12" s="1"/>
  <c r="A150" i="12" s="1"/>
  <c r="A151" i="12" s="1"/>
  <c r="D159" i="12"/>
  <c r="E159" i="12"/>
  <c r="F159" i="12"/>
  <c r="G159" i="12"/>
  <c r="A70" i="12"/>
  <c r="A71" i="12" s="1"/>
  <c r="A72" i="12" s="1"/>
  <c r="A73" i="12" s="1"/>
  <c r="A74" i="12" s="1"/>
  <c r="A75" i="12" s="1"/>
  <c r="A76" i="12" s="1"/>
  <c r="A77" i="12" s="1"/>
  <c r="A78" i="12" s="1"/>
  <c r="A79" i="12" s="1"/>
  <c r="A80" i="12" s="1"/>
  <c r="A81" i="12" s="1"/>
  <c r="A82" i="12" s="1"/>
  <c r="A83" i="12" s="1"/>
  <c r="A84" i="12" s="1"/>
  <c r="A85" i="12" s="1"/>
  <c r="A86" i="12" s="1"/>
  <c r="A87" i="12" s="1"/>
  <c r="A88" i="12" s="1"/>
  <c r="A89" i="12" s="1"/>
  <c r="A90" i="12" s="1"/>
  <c r="A91" i="12" s="1"/>
  <c r="A92" i="12" s="1"/>
  <c r="A93" i="12" s="1"/>
  <c r="A94" i="12" s="1"/>
  <c r="A95" i="12" s="1"/>
  <c r="A96" i="12" s="1"/>
  <c r="D96" i="12"/>
  <c r="E96" i="12"/>
  <c r="F96" i="12"/>
  <c r="G96" i="12"/>
  <c r="A102" i="12"/>
  <c r="A103" i="12" s="1"/>
  <c r="A104" i="12" s="1"/>
  <c r="A105" i="12" s="1"/>
  <c r="A106" i="12" s="1"/>
  <c r="A107" i="12" s="1"/>
  <c r="A108" i="12" s="1"/>
  <c r="A109" i="12" s="1"/>
  <c r="A110" i="12" s="1"/>
  <c r="A111" i="12" s="1"/>
  <c r="A112" i="12" s="1"/>
  <c r="A113" i="12" s="1"/>
  <c r="A114" i="12" s="1"/>
  <c r="A115" i="12" s="1"/>
  <c r="A116" i="12" s="1"/>
  <c r="A117" i="12" s="1"/>
  <c r="A118" i="12" s="1"/>
  <c r="A119" i="12" s="1"/>
  <c r="A120" i="12" s="1"/>
  <c r="A121" i="12" s="1"/>
  <c r="A122" i="12" s="1"/>
  <c r="A123" i="12" s="1"/>
  <c r="A124" i="12" s="1"/>
  <c r="A125" i="12" s="1"/>
  <c r="A126" i="12" s="1"/>
  <c r="A127" i="12" s="1"/>
  <c r="A128" i="12" s="1"/>
  <c r="D128" i="12"/>
  <c r="E128" i="12"/>
  <c r="F128" i="12"/>
  <c r="G128" i="12"/>
  <c r="A38" i="12"/>
  <c r="A39" i="12" s="1"/>
  <c r="A40" i="12" s="1"/>
  <c r="A41" i="12" s="1"/>
  <c r="A42" i="12" s="1"/>
  <c r="D64" i="12"/>
  <c r="E64" i="12"/>
  <c r="F64" i="12"/>
  <c r="G64" i="12"/>
  <c r="G32" i="12"/>
  <c r="H32" i="12" s="1"/>
  <c r="F32" i="12"/>
  <c r="E32" i="12"/>
  <c r="D32" i="12"/>
  <c r="A7" i="12"/>
  <c r="A8" i="12" s="1"/>
  <c r="A9" i="12" s="1"/>
  <c r="A10" i="12" s="1"/>
  <c r="A11" i="12" s="1"/>
  <c r="A12" i="12" s="1"/>
  <c r="A13" i="12" s="1"/>
  <c r="A14" i="12" s="1"/>
  <c r="A15" i="12" s="1"/>
  <c r="A16" i="12" s="1"/>
  <c r="A17" i="12" s="1"/>
  <c r="A18" i="12" s="1"/>
  <c r="A19" i="12" s="1"/>
  <c r="A20" i="12" s="1"/>
  <c r="A21" i="12" s="1"/>
  <c r="A22" i="12" s="1"/>
  <c r="A23" i="12" s="1"/>
  <c r="A24" i="12" s="1"/>
  <c r="A25" i="12" s="1"/>
  <c r="A26" i="12" s="1"/>
  <c r="A27" i="12" s="1"/>
  <c r="A28" i="12" s="1"/>
  <c r="A29" i="12" s="1"/>
  <c r="A30" i="12" s="1"/>
  <c r="A31" i="12" s="1"/>
  <c r="A32" i="12" s="1"/>
  <c r="A6" i="12"/>
  <c r="AJ32" i="10" l="1"/>
  <c r="AK32" i="10" s="1"/>
  <c r="AM32" i="10" s="1"/>
  <c r="AN32" i="10" s="1"/>
  <c r="A152" i="12"/>
  <c r="A153" i="12" s="1"/>
  <c r="A154" i="12" s="1"/>
  <c r="A155" i="12" s="1"/>
  <c r="A156" i="12" s="1"/>
  <c r="A157" i="12" s="1"/>
  <c r="A158" i="12" s="1"/>
  <c r="A159" i="12" s="1"/>
  <c r="H223" i="12"/>
  <c r="A45" i="12"/>
  <c r="A46" i="12" s="1"/>
  <c r="A47" i="12" s="1"/>
  <c r="A48" i="12" s="1"/>
  <c r="A49" i="12" s="1"/>
  <c r="A50" i="12" s="1"/>
  <c r="A51" i="12" s="1"/>
  <c r="A52" i="12" s="1"/>
  <c r="A53" i="12" s="1"/>
  <c r="A54" i="12" s="1"/>
  <c r="A55" i="12" s="1"/>
  <c r="A56" i="12" s="1"/>
  <c r="A57" i="12" s="1"/>
  <c r="A58" i="12" s="1"/>
  <c r="A59" i="12" s="1"/>
  <c r="A60" i="12" s="1"/>
  <c r="A61" i="12" s="1"/>
  <c r="A62" i="12" s="1"/>
  <c r="A63" i="12" s="1"/>
  <c r="A64" i="12" s="1"/>
  <c r="A43" i="12"/>
  <c r="A44" i="12" s="1"/>
  <c r="H255" i="12"/>
  <c r="H191" i="12"/>
  <c r="H159" i="12"/>
  <c r="H128" i="12"/>
  <c r="H96" i="12"/>
  <c r="H64" i="12"/>
  <c r="D5" i="10"/>
  <c r="D39" i="10" s="1"/>
  <c r="AO41" i="11"/>
  <c r="AN41" i="11"/>
  <c r="AM41" i="11"/>
  <c r="AL41" i="11"/>
  <c r="AK41" i="11"/>
  <c r="AJ41" i="11"/>
  <c r="AI41" i="11"/>
  <c r="AH41" i="11"/>
  <c r="AG41" i="11"/>
  <c r="AF41" i="11"/>
  <c r="AE41" i="11"/>
  <c r="AD41" i="11"/>
  <c r="AC41" i="11"/>
  <c r="AB41" i="11"/>
  <c r="AA41" i="11"/>
  <c r="Z41" i="11"/>
  <c r="Y41" i="11"/>
  <c r="X41" i="11"/>
  <c r="W41" i="11"/>
  <c r="V41" i="11"/>
  <c r="U41" i="11"/>
  <c r="T41" i="11"/>
  <c r="S41" i="11"/>
  <c r="R41" i="11"/>
  <c r="Q41" i="11"/>
  <c r="P41" i="11"/>
  <c r="O41" i="11"/>
  <c r="N41" i="11"/>
  <c r="M41" i="11"/>
  <c r="L41" i="11"/>
  <c r="K41" i="11"/>
  <c r="J41" i="11"/>
  <c r="I41" i="11"/>
  <c r="H41" i="11"/>
  <c r="G41" i="11"/>
  <c r="F41" i="11"/>
  <c r="E41" i="11"/>
  <c r="D41" i="11"/>
  <c r="C41" i="11"/>
  <c r="AQ40" i="11"/>
  <c r="AS40" i="11" s="1"/>
  <c r="AQ37" i="11"/>
  <c r="AS37" i="11" s="1"/>
  <c r="AQ34" i="11"/>
  <c r="AS34" i="11" s="1"/>
  <c r="AQ33" i="11"/>
  <c r="AS33" i="11" s="1"/>
  <c r="AQ32" i="11"/>
  <c r="AS32" i="11" s="1"/>
  <c r="AQ31" i="11"/>
  <c r="AS31" i="11" s="1"/>
  <c r="AQ30" i="11"/>
  <c r="AS30" i="11" s="1"/>
  <c r="AQ29" i="11"/>
  <c r="AS29" i="11" s="1"/>
  <c r="AQ28" i="11"/>
  <c r="AS28" i="11" s="1"/>
  <c r="AQ27" i="11"/>
  <c r="AS27" i="11" s="1"/>
  <c r="AQ26" i="11"/>
  <c r="AS26" i="11" s="1"/>
  <c r="AQ25" i="11"/>
  <c r="AS25" i="11" s="1"/>
  <c r="AQ24" i="11"/>
  <c r="AS24" i="11" s="1"/>
  <c r="AQ23" i="11"/>
  <c r="AS23" i="11" s="1"/>
  <c r="AQ22" i="11"/>
  <c r="AS22" i="11" s="1"/>
  <c r="AQ21" i="11"/>
  <c r="AS21" i="11" s="1"/>
  <c r="AQ20" i="11"/>
  <c r="AS20" i="11" s="1"/>
  <c r="AQ19" i="11"/>
  <c r="AS19" i="11" s="1"/>
  <c r="AQ18" i="11"/>
  <c r="AS18" i="11" s="1"/>
  <c r="AQ17" i="11"/>
  <c r="AS17" i="11" s="1"/>
  <c r="AQ16" i="11"/>
  <c r="AS16" i="11" s="1"/>
  <c r="AQ15" i="11"/>
  <c r="AS15" i="11" s="1"/>
  <c r="AQ14" i="11"/>
  <c r="AS14" i="11" s="1"/>
  <c r="AQ13" i="11"/>
  <c r="AS13" i="11" s="1"/>
  <c r="AQ12" i="11"/>
  <c r="AS12" i="11" s="1"/>
  <c r="AQ11" i="11"/>
  <c r="AS11" i="11" s="1"/>
  <c r="AQ10" i="11"/>
  <c r="AS10" i="11" s="1"/>
  <c r="AQ9" i="11"/>
  <c r="AS9" i="11" s="1"/>
  <c r="AQ8" i="11"/>
  <c r="AS8" i="11" s="1"/>
  <c r="AQ7" i="11"/>
  <c r="AS7" i="11" s="1"/>
  <c r="AQ6" i="11"/>
  <c r="AS6" i="11" s="1"/>
  <c r="AQ5" i="11"/>
  <c r="AS5" i="11" s="1"/>
  <c r="BD46" i="10"/>
  <c r="BF46" i="10" s="1"/>
  <c r="BC46" i="10"/>
  <c r="BA46" i="10"/>
  <c r="AZ46" i="10"/>
  <c r="AY46" i="10"/>
  <c r="AY47" i="10" s="1"/>
  <c r="AX46" i="10"/>
  <c r="AW46" i="10"/>
  <c r="AO46" i="10"/>
  <c r="AL46" i="10"/>
  <c r="AL47" i="10" s="1"/>
  <c r="AI46" i="10"/>
  <c r="AF46" i="10"/>
  <c r="AC46" i="10"/>
  <c r="Z46" i="10"/>
  <c r="Z47" i="10" s="1"/>
  <c r="W46" i="10"/>
  <c r="W47" i="10" s="1"/>
  <c r="T46" i="10"/>
  <c r="Q46" i="10"/>
  <c r="N46" i="10"/>
  <c r="N47" i="10" s="1"/>
  <c r="K46" i="10"/>
  <c r="K47" i="10" s="1"/>
  <c r="H46" i="10"/>
  <c r="D46" i="10"/>
  <c r="C46" i="10"/>
  <c r="C47" i="10" s="1"/>
  <c r="BF45" i="10"/>
  <c r="AT45" i="10"/>
  <c r="AT46" i="10" s="1"/>
  <c r="AS45" i="10"/>
  <c r="AS46" i="10" s="1"/>
  <c r="AR45" i="10"/>
  <c r="AR46" i="10" s="1"/>
  <c r="E45" i="10"/>
  <c r="E46" i="10" s="1"/>
  <c r="A45" i="10"/>
  <c r="BF44" i="10"/>
  <c r="BF43" i="10"/>
  <c r="BF42" i="10"/>
  <c r="BF41" i="10"/>
  <c r="BF40" i="10"/>
  <c r="BC47" i="10"/>
  <c r="BA47" i="10"/>
  <c r="AZ47" i="10"/>
  <c r="AX47" i="10"/>
  <c r="AW47" i="10"/>
  <c r="AO47" i="10"/>
  <c r="AI47" i="10"/>
  <c r="AF47" i="10"/>
  <c r="AC47" i="10"/>
  <c r="T47" i="10"/>
  <c r="Q47" i="10"/>
  <c r="H47" i="10"/>
  <c r="AT31" i="10"/>
  <c r="AS31" i="10"/>
  <c r="AR31" i="10"/>
  <c r="E31" i="10"/>
  <c r="F31" i="10" s="1"/>
  <c r="AT30" i="10"/>
  <c r="AS30" i="10"/>
  <c r="AR30" i="10"/>
  <c r="E30" i="10"/>
  <c r="F30" i="10" s="1"/>
  <c r="AT29" i="10"/>
  <c r="AS29" i="10"/>
  <c r="AR29" i="10"/>
  <c r="E29" i="10"/>
  <c r="F29" i="10" s="1"/>
  <c r="AT28" i="10"/>
  <c r="AS28" i="10"/>
  <c r="AR28" i="10"/>
  <c r="E28" i="10"/>
  <c r="F28" i="10" s="1"/>
  <c r="AT27" i="10"/>
  <c r="AS27" i="10"/>
  <c r="AR27" i="10"/>
  <c r="E27" i="10"/>
  <c r="F27" i="10" s="1"/>
  <c r="G27" i="10" s="1"/>
  <c r="I27" i="10" s="1"/>
  <c r="AT26" i="10"/>
  <c r="AS26" i="10"/>
  <c r="AR26" i="10"/>
  <c r="E26" i="10"/>
  <c r="F26" i="10" s="1"/>
  <c r="AT25" i="10"/>
  <c r="AS25" i="10"/>
  <c r="AR25" i="10"/>
  <c r="E25" i="10"/>
  <c r="F25" i="10" s="1"/>
  <c r="AT24" i="10"/>
  <c r="AS24" i="10"/>
  <c r="AR24" i="10"/>
  <c r="E24" i="10"/>
  <c r="F24" i="10" s="1"/>
  <c r="AT23" i="10"/>
  <c r="AS23" i="10"/>
  <c r="AR23" i="10"/>
  <c r="E23" i="10"/>
  <c r="F23" i="10" s="1"/>
  <c r="G23" i="10" s="1"/>
  <c r="I23" i="10" s="1"/>
  <c r="AT22" i="10"/>
  <c r="AS22" i="10"/>
  <c r="AR22" i="10"/>
  <c r="E22" i="10"/>
  <c r="F22" i="10" s="1"/>
  <c r="AT21" i="10"/>
  <c r="AS21" i="10"/>
  <c r="AR21" i="10"/>
  <c r="E21" i="10"/>
  <c r="F21" i="10" s="1"/>
  <c r="AT20" i="10"/>
  <c r="AS20" i="10"/>
  <c r="AR20" i="10"/>
  <c r="E20" i="10"/>
  <c r="F20" i="10" s="1"/>
  <c r="AT19" i="10"/>
  <c r="AS19" i="10"/>
  <c r="AR19" i="10"/>
  <c r="E19" i="10"/>
  <c r="F19" i="10" s="1"/>
  <c r="G19" i="10" s="1"/>
  <c r="I19" i="10" s="1"/>
  <c r="AT18" i="10"/>
  <c r="AS18" i="10"/>
  <c r="AR18" i="10"/>
  <c r="E18" i="10"/>
  <c r="F18" i="10" s="1"/>
  <c r="AT17" i="10"/>
  <c r="AS17" i="10"/>
  <c r="AR17" i="10"/>
  <c r="E17" i="10"/>
  <c r="F17" i="10" s="1"/>
  <c r="AT16" i="10"/>
  <c r="AS16" i="10"/>
  <c r="AR16" i="10"/>
  <c r="E16" i="10"/>
  <c r="F16" i="10" s="1"/>
  <c r="AT15" i="10"/>
  <c r="AS15" i="10"/>
  <c r="AR15" i="10"/>
  <c r="E15" i="10"/>
  <c r="F15" i="10" s="1"/>
  <c r="AT14" i="10"/>
  <c r="AS14" i="10"/>
  <c r="AR14" i="10"/>
  <c r="E14" i="10"/>
  <c r="F14" i="10" s="1"/>
  <c r="AT13" i="10"/>
  <c r="AS13" i="10"/>
  <c r="AR13" i="10"/>
  <c r="E13" i="10"/>
  <c r="F13" i="10" s="1"/>
  <c r="AT12" i="10"/>
  <c r="AS12" i="10"/>
  <c r="AR12" i="10"/>
  <c r="E12" i="10"/>
  <c r="F12" i="10" s="1"/>
  <c r="AT11" i="10"/>
  <c r="AS11" i="10"/>
  <c r="AR11" i="10"/>
  <c r="E11" i="10"/>
  <c r="F11" i="10" s="1"/>
  <c r="AT10" i="10"/>
  <c r="AS10" i="10"/>
  <c r="AR10" i="10"/>
  <c r="E10" i="10"/>
  <c r="F10" i="10" s="1"/>
  <c r="AT9" i="10"/>
  <c r="AS9" i="10"/>
  <c r="AR9" i="10"/>
  <c r="E9" i="10"/>
  <c r="F9" i="10" s="1"/>
  <c r="AT8" i="10"/>
  <c r="AS8" i="10"/>
  <c r="AR8" i="10"/>
  <c r="E8" i="10"/>
  <c r="F8" i="10" s="1"/>
  <c r="AT7" i="10"/>
  <c r="AS7" i="10"/>
  <c r="AR7" i="10"/>
  <c r="E7" i="10"/>
  <c r="F7" i="10" s="1"/>
  <c r="AT6" i="10"/>
  <c r="AT39" i="10" s="1"/>
  <c r="AS6" i="10"/>
  <c r="AR6" i="10"/>
  <c r="E6" i="10"/>
  <c r="F6" i="10" s="1"/>
  <c r="AT5" i="10"/>
  <c r="AS5" i="10"/>
  <c r="AS39" i="10" s="1"/>
  <c r="AR5" i="10"/>
  <c r="E5" i="10"/>
  <c r="F5" i="10" s="1"/>
  <c r="AR3" i="10"/>
  <c r="AP32" i="10" l="1"/>
  <c r="AU32" i="10" s="1"/>
  <c r="AR39" i="10"/>
  <c r="AS41" i="11"/>
  <c r="AQ41" i="11"/>
  <c r="AP41" i="11"/>
  <c r="AR47" i="10"/>
  <c r="D47" i="10"/>
  <c r="AT47" i="10"/>
  <c r="G21" i="10"/>
  <c r="I21" i="10" s="1"/>
  <c r="G25" i="10"/>
  <c r="I25" i="10" s="1"/>
  <c r="AR41" i="11"/>
  <c r="E39" i="10"/>
  <c r="E47" i="10" s="1"/>
  <c r="AS47" i="10"/>
  <c r="G20" i="10"/>
  <c r="I20" i="10" s="1"/>
  <c r="G22" i="10"/>
  <c r="I22" i="10" s="1"/>
  <c r="G24" i="10"/>
  <c r="I24" i="10" s="1"/>
  <c r="G26" i="10"/>
  <c r="G29" i="10"/>
  <c r="G31" i="10"/>
  <c r="I31" i="10" s="1"/>
  <c r="F45" i="10"/>
  <c r="F46" i="10" s="1"/>
  <c r="G28" i="10"/>
  <c r="G30" i="10"/>
  <c r="G6" i="10"/>
  <c r="G7" i="10"/>
  <c r="G8" i="10"/>
  <c r="I8" i="10" s="1"/>
  <c r="J8" i="10" s="1"/>
  <c r="J25" i="10"/>
  <c r="L25" i="10" s="1"/>
  <c r="J27" i="10"/>
  <c r="L27" i="10" s="1"/>
  <c r="G9" i="10"/>
  <c r="I9" i="10" s="1"/>
  <c r="G10" i="10"/>
  <c r="I10" i="10" s="1"/>
  <c r="G11" i="10"/>
  <c r="I11" i="10" s="1"/>
  <c r="G12" i="10"/>
  <c r="I12" i="10" s="1"/>
  <c r="G13" i="10"/>
  <c r="I13" i="10" s="1"/>
  <c r="G14" i="10"/>
  <c r="I14" i="10" s="1"/>
  <c r="G15" i="10"/>
  <c r="I15" i="10" s="1"/>
  <c r="G16" i="10"/>
  <c r="I16" i="10" s="1"/>
  <c r="G17" i="10"/>
  <c r="I17" i="10" s="1"/>
  <c r="G18" i="10"/>
  <c r="I18" i="10" s="1"/>
  <c r="J19" i="10"/>
  <c r="L19" i="10" s="1"/>
  <c r="J23" i="10"/>
  <c r="L23" i="10" s="1"/>
  <c r="G45" i="10"/>
  <c r="F264" i="9"/>
  <c r="E264" i="9"/>
  <c r="D264" i="9"/>
  <c r="G263" i="9"/>
  <c r="L262" i="9"/>
  <c r="G262" i="9"/>
  <c r="M261" i="9"/>
  <c r="G261" i="9"/>
  <c r="M260" i="9"/>
  <c r="M259" i="9"/>
  <c r="M262" i="9" s="1"/>
  <c r="F257" i="9"/>
  <c r="E257" i="9"/>
  <c r="D257" i="9"/>
  <c r="G254" i="9"/>
  <c r="G253" i="9"/>
  <c r="G252" i="9"/>
  <c r="G251" i="9"/>
  <c r="G250" i="9"/>
  <c r="L249" i="9"/>
  <c r="G249" i="9"/>
  <c r="M248" i="9"/>
  <c r="G248" i="9"/>
  <c r="M247" i="9"/>
  <c r="G247" i="9"/>
  <c r="M246" i="9"/>
  <c r="G246" i="9"/>
  <c r="M245" i="9"/>
  <c r="G245" i="9"/>
  <c r="M244" i="9"/>
  <c r="M249" i="9" s="1"/>
  <c r="G241" i="9"/>
  <c r="G240" i="9"/>
  <c r="G239" i="9"/>
  <c r="G238" i="9"/>
  <c r="G237" i="9"/>
  <c r="G236" i="9"/>
  <c r="G235" i="9"/>
  <c r="G234" i="9"/>
  <c r="L233" i="9"/>
  <c r="G233" i="9"/>
  <c r="M232" i="9"/>
  <c r="G232" i="9"/>
  <c r="M231" i="9"/>
  <c r="G231" i="9"/>
  <c r="M230" i="9"/>
  <c r="M233" i="9" s="1"/>
  <c r="G230" i="9"/>
  <c r="F228" i="9"/>
  <c r="E228" i="9"/>
  <c r="D228" i="9"/>
  <c r="G227" i="9"/>
  <c r="G226" i="9"/>
  <c r="G225" i="9"/>
  <c r="G224" i="9"/>
  <c r="G223" i="9"/>
  <c r="G222" i="9"/>
  <c r="G221" i="9"/>
  <c r="G220" i="9"/>
  <c r="G219" i="9"/>
  <c r="G218" i="9"/>
  <c r="L217" i="9"/>
  <c r="G217" i="9"/>
  <c r="M216" i="9"/>
  <c r="G216" i="9"/>
  <c r="M215" i="9"/>
  <c r="G215" i="9"/>
  <c r="M214" i="9"/>
  <c r="M217" i="9" s="1"/>
  <c r="G214" i="9"/>
  <c r="F212" i="9"/>
  <c r="E212" i="9"/>
  <c r="D212" i="9"/>
  <c r="G209" i="9"/>
  <c r="G208" i="9"/>
  <c r="G207" i="9"/>
  <c r="G206" i="9"/>
  <c r="G205" i="9"/>
  <c r="G204" i="9"/>
  <c r="G203" i="9"/>
  <c r="G202" i="9"/>
  <c r="G201" i="9"/>
  <c r="G200" i="9"/>
  <c r="G199" i="9"/>
  <c r="G198" i="9"/>
  <c r="L197" i="9"/>
  <c r="G197" i="9"/>
  <c r="M196" i="9"/>
  <c r="G196" i="9"/>
  <c r="M195" i="9"/>
  <c r="G195" i="9"/>
  <c r="M194" i="9"/>
  <c r="G194" i="9"/>
  <c r="M193" i="9"/>
  <c r="M197" i="9" s="1"/>
  <c r="G193" i="9"/>
  <c r="F191" i="9"/>
  <c r="E191" i="9"/>
  <c r="D191" i="9"/>
  <c r="G189" i="9"/>
  <c r="G188" i="9"/>
  <c r="G187" i="9"/>
  <c r="G186" i="9"/>
  <c r="G185" i="9"/>
  <c r="G184" i="9"/>
  <c r="G183" i="9"/>
  <c r="G182" i="9"/>
  <c r="M181" i="9"/>
  <c r="G181" i="9"/>
  <c r="M180" i="9"/>
  <c r="G180" i="9"/>
  <c r="M179" i="9"/>
  <c r="G179" i="9"/>
  <c r="M178" i="9"/>
  <c r="G178" i="9"/>
  <c r="G191" i="9" s="1"/>
  <c r="F176" i="9"/>
  <c r="E176" i="9"/>
  <c r="D176" i="9"/>
  <c r="G173" i="9"/>
  <c r="L172" i="9"/>
  <c r="G172" i="9"/>
  <c r="G171" i="9"/>
  <c r="G169" i="9"/>
  <c r="G168" i="9"/>
  <c r="G167" i="9"/>
  <c r="M166" i="9"/>
  <c r="M165" i="9"/>
  <c r="G165" i="9"/>
  <c r="M164" i="9"/>
  <c r="G164" i="9"/>
  <c r="M163" i="9"/>
  <c r="M172" i="9" s="1"/>
  <c r="G163" i="9"/>
  <c r="F161" i="9"/>
  <c r="E161" i="9"/>
  <c r="D161" i="9"/>
  <c r="G159" i="9"/>
  <c r="G158" i="9"/>
  <c r="G157" i="9"/>
  <c r="G156" i="9"/>
  <c r="G155" i="9"/>
  <c r="G154" i="9"/>
  <c r="G153" i="9"/>
  <c r="L152" i="9"/>
  <c r="G152" i="9"/>
  <c r="M151" i="9"/>
  <c r="G151" i="9"/>
  <c r="M150" i="9"/>
  <c r="G150" i="9"/>
  <c r="M149" i="9"/>
  <c r="G149" i="9"/>
  <c r="M148" i="9"/>
  <c r="M152" i="9" s="1"/>
  <c r="G148" i="9"/>
  <c r="F146" i="9"/>
  <c r="E146" i="9"/>
  <c r="D146" i="9"/>
  <c r="G142" i="9"/>
  <c r="G141" i="9"/>
  <c r="G140" i="9"/>
  <c r="G139" i="9"/>
  <c r="G138" i="9"/>
  <c r="L137" i="9"/>
  <c r="G137" i="9"/>
  <c r="M136" i="9"/>
  <c r="G136" i="9"/>
  <c r="M135" i="9"/>
  <c r="G135" i="9"/>
  <c r="M134" i="9"/>
  <c r="G134" i="9"/>
  <c r="M133" i="9"/>
  <c r="G133" i="9"/>
  <c r="F131" i="9"/>
  <c r="E131" i="9"/>
  <c r="D131" i="9"/>
  <c r="G130" i="9"/>
  <c r="G129" i="9"/>
  <c r="L128" i="9"/>
  <c r="G128" i="9"/>
  <c r="G127" i="9"/>
  <c r="G126" i="9"/>
  <c r="G125" i="9"/>
  <c r="G124" i="9"/>
  <c r="G123" i="9"/>
  <c r="M122" i="9"/>
  <c r="G122" i="9"/>
  <c r="G121" i="9"/>
  <c r="G120" i="9"/>
  <c r="M119" i="9"/>
  <c r="G119" i="9"/>
  <c r="F117" i="9"/>
  <c r="E117" i="9"/>
  <c r="D117" i="9"/>
  <c r="G116" i="9"/>
  <c r="G115" i="9"/>
  <c r="G114" i="9"/>
  <c r="G113" i="9"/>
  <c r="G112" i="9"/>
  <c r="G111" i="9"/>
  <c r="G110" i="9"/>
  <c r="L109" i="9"/>
  <c r="G109" i="9"/>
  <c r="G108" i="9"/>
  <c r="G107" i="9"/>
  <c r="G106" i="9"/>
  <c r="M105" i="9"/>
  <c r="G105" i="9"/>
  <c r="M104" i="9"/>
  <c r="G104" i="9"/>
  <c r="M103" i="9"/>
  <c r="G103" i="9"/>
  <c r="M102" i="9"/>
  <c r="G102" i="9"/>
  <c r="G117" i="9" s="1"/>
  <c r="F100" i="9"/>
  <c r="E100" i="9"/>
  <c r="D100" i="9"/>
  <c r="L99" i="9"/>
  <c r="G99" i="9"/>
  <c r="G98" i="9"/>
  <c r="G97" i="9"/>
  <c r="G96" i="9"/>
  <c r="G95" i="9"/>
  <c r="G94" i="9"/>
  <c r="G93" i="9"/>
  <c r="G92" i="9"/>
  <c r="G91" i="9"/>
  <c r="G90" i="9"/>
  <c r="G89" i="9"/>
  <c r="M88" i="9"/>
  <c r="G88" i="9"/>
  <c r="M87" i="9"/>
  <c r="G87" i="9"/>
  <c r="F85" i="9"/>
  <c r="E85" i="9"/>
  <c r="D85" i="9"/>
  <c r="G84" i="9"/>
  <c r="G83" i="9"/>
  <c r="G82" i="9"/>
  <c r="G80" i="9"/>
  <c r="G79" i="9"/>
  <c r="L78" i="9"/>
  <c r="G78" i="9"/>
  <c r="G77" i="9"/>
  <c r="G76" i="9"/>
  <c r="G75" i="9"/>
  <c r="P74" i="9"/>
  <c r="G74" i="9"/>
  <c r="G73" i="9"/>
  <c r="M72" i="9"/>
  <c r="G72" i="9"/>
  <c r="M71" i="9"/>
  <c r="G71" i="9"/>
  <c r="F69" i="9"/>
  <c r="E69" i="9"/>
  <c r="D69" i="9"/>
  <c r="I69" i="9" s="1"/>
  <c r="G68" i="9"/>
  <c r="G67" i="9"/>
  <c r="G66" i="9"/>
  <c r="G65" i="9"/>
  <c r="G64" i="9"/>
  <c r="G63" i="9"/>
  <c r="G62" i="9"/>
  <c r="G61" i="9"/>
  <c r="G60" i="9"/>
  <c r="L59" i="9"/>
  <c r="G59" i="9"/>
  <c r="G58" i="9"/>
  <c r="M57" i="9"/>
  <c r="G57" i="9"/>
  <c r="M56" i="9"/>
  <c r="G56" i="9"/>
  <c r="M55" i="9"/>
  <c r="G55" i="9"/>
  <c r="G69" i="9" s="1"/>
  <c r="F53" i="9"/>
  <c r="E53" i="9"/>
  <c r="D53" i="9"/>
  <c r="G52" i="9"/>
  <c r="G51" i="9"/>
  <c r="G50" i="9"/>
  <c r="G49" i="9"/>
  <c r="G48" i="9"/>
  <c r="G47" i="9"/>
  <c r="G46" i="9"/>
  <c r="G45" i="9"/>
  <c r="L44" i="9"/>
  <c r="G44" i="9"/>
  <c r="M43" i="9"/>
  <c r="G43" i="9"/>
  <c r="M42" i="9"/>
  <c r="G42" i="9"/>
  <c r="M41" i="9"/>
  <c r="AJ35" i="9"/>
  <c r="AI35" i="9"/>
  <c r="AF35" i="9"/>
  <c r="AE35" i="9"/>
  <c r="AD35" i="9"/>
  <c r="AC35" i="9"/>
  <c r="AA35" i="9"/>
  <c r="C35" i="9"/>
  <c r="A6" i="9"/>
  <c r="F254" i="8"/>
  <c r="E254" i="8"/>
  <c r="D254" i="8"/>
  <c r="G253" i="8"/>
  <c r="L252" i="8"/>
  <c r="G252" i="8"/>
  <c r="M251" i="8"/>
  <c r="G251" i="8"/>
  <c r="M250" i="8"/>
  <c r="M249" i="8"/>
  <c r="F247" i="8"/>
  <c r="E247" i="8"/>
  <c r="D247" i="8"/>
  <c r="G244" i="8"/>
  <c r="G243" i="8"/>
  <c r="G242" i="8"/>
  <c r="G241" i="8"/>
  <c r="G240" i="8"/>
  <c r="M239" i="8"/>
  <c r="L239" i="8"/>
  <c r="G239" i="8"/>
  <c r="M238" i="8"/>
  <c r="G238" i="8"/>
  <c r="M237" i="8"/>
  <c r="G237" i="8"/>
  <c r="M236" i="8"/>
  <c r="G236" i="8"/>
  <c r="M235" i="8"/>
  <c r="G235" i="8"/>
  <c r="M234" i="8"/>
  <c r="G231" i="8"/>
  <c r="G230" i="8"/>
  <c r="G229" i="8"/>
  <c r="G228" i="8"/>
  <c r="G227" i="8"/>
  <c r="G226" i="8"/>
  <c r="G225" i="8"/>
  <c r="G224" i="8"/>
  <c r="M223" i="8"/>
  <c r="L223" i="8"/>
  <c r="G223" i="8"/>
  <c r="M222" i="8"/>
  <c r="G222" i="8"/>
  <c r="M221" i="8"/>
  <c r="G221" i="8"/>
  <c r="M220" i="8"/>
  <c r="G220" i="8"/>
  <c r="F218" i="8"/>
  <c r="E218" i="8"/>
  <c r="D218" i="8"/>
  <c r="G217" i="8"/>
  <c r="G216" i="8"/>
  <c r="G215" i="8"/>
  <c r="G214" i="8"/>
  <c r="G213" i="8"/>
  <c r="G212" i="8"/>
  <c r="G211" i="8"/>
  <c r="G210" i="8"/>
  <c r="G209" i="8"/>
  <c r="G208" i="8"/>
  <c r="M207" i="8"/>
  <c r="L207" i="8"/>
  <c r="G207" i="8"/>
  <c r="M206" i="8"/>
  <c r="G206" i="8"/>
  <c r="M205" i="8"/>
  <c r="G205" i="8"/>
  <c r="M204" i="8"/>
  <c r="G204" i="8"/>
  <c r="G218" i="8" s="1"/>
  <c r="F202" i="8"/>
  <c r="E202" i="8"/>
  <c r="D202" i="8"/>
  <c r="G199" i="8"/>
  <c r="G198" i="8"/>
  <c r="G197" i="8"/>
  <c r="G196" i="8"/>
  <c r="G195" i="8"/>
  <c r="G194" i="8"/>
  <c r="G193" i="8"/>
  <c r="G192" i="8"/>
  <c r="G191" i="8"/>
  <c r="G190" i="8"/>
  <c r="G189" i="8"/>
  <c r="G188" i="8"/>
  <c r="M187" i="8"/>
  <c r="L187" i="8"/>
  <c r="G187" i="8"/>
  <c r="M186" i="8"/>
  <c r="G186" i="8"/>
  <c r="M185" i="8"/>
  <c r="G185" i="8"/>
  <c r="M184" i="8"/>
  <c r="G184" i="8"/>
  <c r="M183" i="8"/>
  <c r="G183" i="8"/>
  <c r="F181" i="8"/>
  <c r="E181" i="8"/>
  <c r="D181" i="8"/>
  <c r="G179" i="8"/>
  <c r="G178" i="8"/>
  <c r="G177" i="8"/>
  <c r="G176" i="8"/>
  <c r="G175" i="8"/>
  <c r="G174" i="8"/>
  <c r="M173" i="8"/>
  <c r="G173" i="8"/>
  <c r="G172" i="8"/>
  <c r="M171" i="8"/>
  <c r="G171" i="8"/>
  <c r="M170" i="8"/>
  <c r="G170" i="8"/>
  <c r="M169" i="8"/>
  <c r="G169" i="8"/>
  <c r="M168" i="8"/>
  <c r="G168" i="8"/>
  <c r="F166" i="8"/>
  <c r="E166" i="8"/>
  <c r="D166" i="8"/>
  <c r="G163" i="8"/>
  <c r="L162" i="8"/>
  <c r="G162" i="8"/>
  <c r="G161" i="8"/>
  <c r="G158" i="8"/>
  <c r="G157" i="8"/>
  <c r="M156" i="8"/>
  <c r="M155" i="8"/>
  <c r="G155" i="8"/>
  <c r="M154" i="8"/>
  <c r="G154" i="8"/>
  <c r="M153" i="8"/>
  <c r="G153" i="8"/>
  <c r="F151" i="8"/>
  <c r="E151" i="8"/>
  <c r="D151" i="8"/>
  <c r="G149" i="8"/>
  <c r="G148" i="8"/>
  <c r="G147" i="8"/>
  <c r="G146" i="8"/>
  <c r="G145" i="8"/>
  <c r="G144" i="8"/>
  <c r="G143" i="8"/>
  <c r="L142" i="8"/>
  <c r="G142" i="8"/>
  <c r="M141" i="8"/>
  <c r="G141" i="8"/>
  <c r="M140" i="8"/>
  <c r="G140" i="8"/>
  <c r="M139" i="8"/>
  <c r="G139" i="8"/>
  <c r="M138" i="8"/>
  <c r="M142" i="8" s="1"/>
  <c r="G138" i="8"/>
  <c r="F136" i="8"/>
  <c r="E136" i="8"/>
  <c r="D136" i="8"/>
  <c r="G132" i="8"/>
  <c r="G131" i="8"/>
  <c r="G130" i="8"/>
  <c r="G129" i="8"/>
  <c r="G128" i="8"/>
  <c r="L127" i="8"/>
  <c r="G127" i="8"/>
  <c r="M126" i="8"/>
  <c r="G126" i="8"/>
  <c r="M125" i="8"/>
  <c r="G125" i="8"/>
  <c r="M124" i="8"/>
  <c r="G124" i="8"/>
  <c r="M123" i="8"/>
  <c r="M127" i="8" s="1"/>
  <c r="G123" i="8"/>
  <c r="F121" i="8"/>
  <c r="E121" i="8"/>
  <c r="D121" i="8"/>
  <c r="G120" i="8"/>
  <c r="G119" i="8"/>
  <c r="L118" i="8"/>
  <c r="G118" i="8"/>
  <c r="G117" i="8"/>
  <c r="G116" i="8"/>
  <c r="G115" i="8"/>
  <c r="G114" i="8"/>
  <c r="G113" i="8"/>
  <c r="M112" i="8"/>
  <c r="G112" i="8"/>
  <c r="M111" i="8"/>
  <c r="G111" i="8"/>
  <c r="G110" i="8"/>
  <c r="M109" i="8"/>
  <c r="G109" i="8"/>
  <c r="G121" i="8" s="1"/>
  <c r="F107" i="8"/>
  <c r="E107" i="8"/>
  <c r="D107" i="8"/>
  <c r="G106" i="8"/>
  <c r="G105" i="8"/>
  <c r="G104" i="8"/>
  <c r="G103" i="8"/>
  <c r="G102" i="8"/>
  <c r="G101" i="8"/>
  <c r="G100" i="8"/>
  <c r="L99" i="8"/>
  <c r="G99" i="8"/>
  <c r="G98" i="8"/>
  <c r="G97" i="8"/>
  <c r="G96" i="8"/>
  <c r="M95" i="8"/>
  <c r="G95" i="8"/>
  <c r="M94" i="8"/>
  <c r="G94" i="8"/>
  <c r="M93" i="8"/>
  <c r="G93" i="8"/>
  <c r="M92" i="8"/>
  <c r="G92" i="8"/>
  <c r="F90" i="8"/>
  <c r="E90" i="8"/>
  <c r="D90" i="8"/>
  <c r="L89" i="8"/>
  <c r="G89" i="8"/>
  <c r="G88" i="8"/>
  <c r="G87" i="8"/>
  <c r="G86" i="8"/>
  <c r="G85" i="8"/>
  <c r="G84" i="8"/>
  <c r="G83" i="8"/>
  <c r="G82" i="8"/>
  <c r="G81" i="8"/>
  <c r="G80" i="8"/>
  <c r="G79" i="8"/>
  <c r="M78" i="8"/>
  <c r="G78" i="8"/>
  <c r="M77" i="8"/>
  <c r="M89" i="8" s="1"/>
  <c r="G77" i="8"/>
  <c r="F75" i="8"/>
  <c r="E75" i="8"/>
  <c r="D75" i="8"/>
  <c r="G74" i="8"/>
  <c r="G73" i="8"/>
  <c r="G72" i="8"/>
  <c r="G70" i="8"/>
  <c r="G69" i="8"/>
  <c r="L68" i="8"/>
  <c r="G68" i="8"/>
  <c r="G67" i="8"/>
  <c r="G66" i="8"/>
  <c r="G65" i="8"/>
  <c r="P64" i="8"/>
  <c r="G64" i="8"/>
  <c r="G63" i="8"/>
  <c r="M62" i="8"/>
  <c r="G62" i="8"/>
  <c r="M61" i="8"/>
  <c r="M68" i="8" s="1"/>
  <c r="G61" i="8"/>
  <c r="F59" i="8"/>
  <c r="E59" i="8"/>
  <c r="D59" i="8"/>
  <c r="G58" i="8"/>
  <c r="G57" i="8"/>
  <c r="G56" i="8"/>
  <c r="G55" i="8"/>
  <c r="G54" i="8"/>
  <c r="G53" i="8"/>
  <c r="G52" i="8"/>
  <c r="G51" i="8"/>
  <c r="G50" i="8"/>
  <c r="L49" i="8"/>
  <c r="G49" i="8"/>
  <c r="G48" i="8"/>
  <c r="M47" i="8"/>
  <c r="G47" i="8"/>
  <c r="M46" i="8"/>
  <c r="G46" i="8"/>
  <c r="M45" i="8"/>
  <c r="G45" i="8"/>
  <c r="F43" i="8"/>
  <c r="AA26" i="8" s="1"/>
  <c r="E43" i="8"/>
  <c r="D43" i="8"/>
  <c r="G42" i="8"/>
  <c r="G41" i="8"/>
  <c r="G40" i="8"/>
  <c r="G39" i="8"/>
  <c r="G38" i="8"/>
  <c r="G37" i="8"/>
  <c r="G36" i="8"/>
  <c r="G35" i="8"/>
  <c r="L34" i="8"/>
  <c r="G34" i="8"/>
  <c r="M33" i="8"/>
  <c r="G33" i="8"/>
  <c r="M32" i="8"/>
  <c r="G32" i="8"/>
  <c r="M31" i="8"/>
  <c r="M34" i="8" s="1"/>
  <c r="AJ25" i="8"/>
  <c r="AI25" i="8"/>
  <c r="AF25" i="8"/>
  <c r="AE25" i="8"/>
  <c r="AD25" i="8"/>
  <c r="AC25" i="8"/>
  <c r="AB25" i="8"/>
  <c r="Z25" i="8"/>
  <c r="Y25" i="8"/>
  <c r="X25" i="8"/>
  <c r="W25" i="8"/>
  <c r="V25" i="8"/>
  <c r="U25" i="8"/>
  <c r="T25" i="8"/>
  <c r="S25" i="8"/>
  <c r="R25" i="8"/>
  <c r="Q25" i="8"/>
  <c r="P25" i="8"/>
  <c r="O25" i="8"/>
  <c r="N25" i="8"/>
  <c r="M25" i="8"/>
  <c r="L25" i="8"/>
  <c r="K25" i="8"/>
  <c r="J25" i="8"/>
  <c r="I25" i="8"/>
  <c r="H25" i="8"/>
  <c r="G25" i="8"/>
  <c r="F25" i="8"/>
  <c r="E25" i="8"/>
  <c r="D25" i="8"/>
  <c r="C25" i="8"/>
  <c r="D31" i="8" s="1"/>
  <c r="A6" i="8"/>
  <c r="A7" i="8" s="1"/>
  <c r="A8" i="8" s="1"/>
  <c r="A9" i="8" s="1"/>
  <c r="A10" i="8" s="1"/>
  <c r="A11" i="8" s="1"/>
  <c r="A12" i="8" s="1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7" i="3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6" i="3"/>
  <c r="G247" i="8" l="1"/>
  <c r="I30" i="10"/>
  <c r="J30" i="10" s="1"/>
  <c r="I29" i="10"/>
  <c r="J29" i="10" s="1"/>
  <c r="L29" i="10" s="1"/>
  <c r="AA25" i="8"/>
  <c r="AA27" i="8" s="1"/>
  <c r="AA28" i="8" s="1"/>
  <c r="G59" i="8"/>
  <c r="G107" i="8"/>
  <c r="G254" i="8"/>
  <c r="A7" i="9"/>
  <c r="A8" i="9" s="1"/>
  <c r="A9" i="9" s="1"/>
  <c r="A10" i="9" s="1"/>
  <c r="A11" i="9" s="1"/>
  <c r="A12" i="9" s="1"/>
  <c r="A13" i="9" s="1"/>
  <c r="A14" i="9" s="1"/>
  <c r="A15" i="9" s="1"/>
  <c r="A16" i="9" s="1"/>
  <c r="A17" i="9" s="1"/>
  <c r="A18" i="9" s="1"/>
  <c r="A19" i="9" s="1"/>
  <c r="A20" i="9" s="1"/>
  <c r="A21" i="9" s="1"/>
  <c r="A22" i="9" s="1"/>
  <c r="A23" i="9" s="1"/>
  <c r="A24" i="9" s="1"/>
  <c r="A25" i="9" s="1"/>
  <c r="A26" i="9" s="1"/>
  <c r="A27" i="9" s="1"/>
  <c r="A28" i="9" s="1"/>
  <c r="A29" i="9" s="1"/>
  <c r="A30" i="9" s="1"/>
  <c r="A31" i="9" s="1"/>
  <c r="A32" i="9" s="1"/>
  <c r="A33" i="9" s="1"/>
  <c r="A34" i="9" s="1"/>
  <c r="M59" i="9"/>
  <c r="G85" i="9"/>
  <c r="G100" i="9"/>
  <c r="M109" i="9"/>
  <c r="G146" i="9"/>
  <c r="M183" i="9"/>
  <c r="G228" i="9"/>
  <c r="G257" i="9"/>
  <c r="I28" i="10"/>
  <c r="J28" i="10" s="1"/>
  <c r="I26" i="10"/>
  <c r="J26" i="10"/>
  <c r="L26" i="10" s="1"/>
  <c r="AV32" i="10"/>
  <c r="BB32" i="10" s="1"/>
  <c r="BD32" i="10" s="1"/>
  <c r="BF32" i="10" s="1"/>
  <c r="M49" i="8"/>
  <c r="G90" i="8"/>
  <c r="M99" i="8"/>
  <c r="G181" i="8"/>
  <c r="G202" i="8"/>
  <c r="G232" i="8"/>
  <c r="D41" i="9"/>
  <c r="M44" i="9"/>
  <c r="M78" i="9"/>
  <c r="M99" i="9"/>
  <c r="M137" i="9"/>
  <c r="G264" i="9"/>
  <c r="I7" i="10"/>
  <c r="J7" i="10" s="1"/>
  <c r="L7" i="10" s="1"/>
  <c r="AQ32" i="10"/>
  <c r="G136" i="8"/>
  <c r="M162" i="8"/>
  <c r="M252" i="8"/>
  <c r="AB36" i="9"/>
  <c r="AB37" i="9" s="1"/>
  <c r="AB38" i="9" s="1"/>
  <c r="G176" i="9"/>
  <c r="G212" i="9"/>
  <c r="G242" i="9"/>
  <c r="J6" i="10"/>
  <c r="L6" i="10" s="1"/>
  <c r="I6" i="10"/>
  <c r="G166" i="8"/>
  <c r="G151" i="8"/>
  <c r="G161" i="9"/>
  <c r="G131" i="9"/>
  <c r="M128" i="9"/>
  <c r="M118" i="8"/>
  <c r="G75" i="8"/>
  <c r="G53" i="9"/>
  <c r="G43" i="8"/>
  <c r="J21" i="10"/>
  <c r="L21" i="10" s="1"/>
  <c r="J24" i="10"/>
  <c r="J20" i="10"/>
  <c r="J22" i="10"/>
  <c r="G46" i="10"/>
  <c r="I45" i="10"/>
  <c r="J45" i="10" s="1"/>
  <c r="M23" i="10"/>
  <c r="O23" i="10" s="1"/>
  <c r="M21" i="10"/>
  <c r="O21" i="10" s="1"/>
  <c r="M19" i="10"/>
  <c r="O19" i="10" s="1"/>
  <c r="M27" i="10"/>
  <c r="O27" i="10" s="1"/>
  <c r="M25" i="10"/>
  <c r="O25" i="10" s="1"/>
  <c r="L8" i="10"/>
  <c r="J31" i="10"/>
  <c r="L31" i="10" s="1"/>
  <c r="F39" i="10"/>
  <c r="F47" i="10" s="1"/>
  <c r="G5" i="10"/>
  <c r="I5" i="10" s="1"/>
  <c r="I53" i="9"/>
  <c r="D54" i="9" s="1"/>
  <c r="I43" i="8"/>
  <c r="D44" i="8" s="1"/>
  <c r="H59" i="8" s="1"/>
  <c r="I59" i="8" s="1"/>
  <c r="D60" i="8" s="1"/>
  <c r="H75" i="8" s="1"/>
  <c r="I75" i="8" s="1"/>
  <c r="D76" i="8" s="1"/>
  <c r="H90" i="8" s="1"/>
  <c r="I90" i="8" s="1"/>
  <c r="D91" i="8" s="1"/>
  <c r="H107" i="8" s="1"/>
  <c r="I107" i="8" s="1"/>
  <c r="G62" i="3"/>
  <c r="M31" i="3"/>
  <c r="AA25" i="3"/>
  <c r="AB25" i="3"/>
  <c r="AD25" i="3"/>
  <c r="AE25" i="3"/>
  <c r="AF25" i="3"/>
  <c r="AI25" i="3"/>
  <c r="AJ25" i="3"/>
  <c r="Z25" i="3"/>
  <c r="X25" i="3"/>
  <c r="P25" i="3"/>
  <c r="R25" i="3"/>
  <c r="N25" i="3"/>
  <c r="L25" i="3"/>
  <c r="J25" i="3"/>
  <c r="F25" i="3"/>
  <c r="H25" i="3"/>
  <c r="D25" i="3"/>
  <c r="G142" i="3"/>
  <c r="G143" i="3"/>
  <c r="D90" i="3"/>
  <c r="G87" i="3"/>
  <c r="G55" i="3"/>
  <c r="G223" i="3"/>
  <c r="G224" i="3"/>
  <c r="G225" i="3"/>
  <c r="G213" i="3"/>
  <c r="G214" i="3"/>
  <c r="G215" i="3"/>
  <c r="G216" i="3"/>
  <c r="G217" i="3"/>
  <c r="G191" i="3"/>
  <c r="G192" i="3"/>
  <c r="G170" i="3"/>
  <c r="G171" i="3"/>
  <c r="G172" i="3"/>
  <c r="G173" i="3"/>
  <c r="G158" i="3"/>
  <c r="G141" i="3"/>
  <c r="G131" i="3"/>
  <c r="G132" i="3"/>
  <c r="G41" i="3"/>
  <c r="G40" i="3"/>
  <c r="G240" i="3"/>
  <c r="G241" i="3"/>
  <c r="G242" i="3"/>
  <c r="G243" i="3"/>
  <c r="G244" i="3"/>
  <c r="G226" i="3"/>
  <c r="F218" i="3"/>
  <c r="E218" i="3"/>
  <c r="D218" i="3"/>
  <c r="D202" i="3"/>
  <c r="E202" i="3"/>
  <c r="F202" i="3"/>
  <c r="G197" i="3"/>
  <c r="G198" i="3"/>
  <c r="G199" i="3"/>
  <c r="G195" i="3"/>
  <c r="G196" i="3"/>
  <c r="G194" i="3"/>
  <c r="G188" i="3"/>
  <c r="G183" i="3"/>
  <c r="D151" i="3"/>
  <c r="E151" i="3"/>
  <c r="F151" i="3"/>
  <c r="G138" i="3"/>
  <c r="G139" i="3"/>
  <c r="G148" i="3"/>
  <c r="G147" i="3"/>
  <c r="G129" i="3"/>
  <c r="G130" i="3"/>
  <c r="G120" i="3"/>
  <c r="G119" i="3"/>
  <c r="G95" i="3"/>
  <c r="G100" i="3"/>
  <c r="G101" i="3"/>
  <c r="G102" i="3"/>
  <c r="G103" i="3"/>
  <c r="G104" i="3"/>
  <c r="G105" i="3"/>
  <c r="G106" i="3"/>
  <c r="G84" i="3"/>
  <c r="G85" i="3"/>
  <c r="G86" i="3"/>
  <c r="G88" i="3"/>
  <c r="G72" i="3"/>
  <c r="G73" i="3"/>
  <c r="G52" i="3"/>
  <c r="G53" i="3"/>
  <c r="G54" i="3"/>
  <c r="G56" i="3"/>
  <c r="G57" i="3"/>
  <c r="G58" i="3"/>
  <c r="G211" i="3"/>
  <c r="D166" i="3"/>
  <c r="E166" i="3"/>
  <c r="F166" i="3"/>
  <c r="G161" i="3"/>
  <c r="D121" i="3"/>
  <c r="E121" i="3"/>
  <c r="F121" i="3"/>
  <c r="G116" i="3"/>
  <c r="G117" i="3"/>
  <c r="G83" i="3"/>
  <c r="D75" i="3"/>
  <c r="F75" i="3"/>
  <c r="E75" i="3"/>
  <c r="G69" i="3"/>
  <c r="G70" i="3"/>
  <c r="G74" i="3"/>
  <c r="G209" i="3"/>
  <c r="G187" i="3"/>
  <c r="G177" i="3"/>
  <c r="G178" i="3"/>
  <c r="E136" i="3"/>
  <c r="F136" i="3"/>
  <c r="G235" i="3"/>
  <c r="G236" i="3"/>
  <c r="G237" i="3"/>
  <c r="G238" i="3"/>
  <c r="G227" i="3"/>
  <c r="G228" i="3"/>
  <c r="G229" i="3"/>
  <c r="G230" i="3"/>
  <c r="G231" i="3"/>
  <c r="G169" i="3"/>
  <c r="G154" i="3"/>
  <c r="G155" i="3"/>
  <c r="G140" i="3"/>
  <c r="G144" i="3"/>
  <c r="G145" i="3"/>
  <c r="G146" i="3"/>
  <c r="G149" i="3"/>
  <c r="G115" i="3"/>
  <c r="G212" i="3"/>
  <c r="G184" i="3"/>
  <c r="G185" i="3"/>
  <c r="G186" i="3"/>
  <c r="G189" i="3"/>
  <c r="G190" i="3"/>
  <c r="G193" i="3"/>
  <c r="M186" i="3"/>
  <c r="G175" i="3"/>
  <c r="G176" i="3"/>
  <c r="G179" i="3"/>
  <c r="G159" i="3"/>
  <c r="G162" i="3"/>
  <c r="D136" i="3"/>
  <c r="G128" i="3"/>
  <c r="G113" i="3"/>
  <c r="G67" i="3"/>
  <c r="G66" i="3"/>
  <c r="G65" i="3"/>
  <c r="G47" i="3"/>
  <c r="L142" i="3"/>
  <c r="M141" i="3"/>
  <c r="G123" i="3"/>
  <c r="G124" i="3"/>
  <c r="G125" i="3"/>
  <c r="G114" i="3"/>
  <c r="G82" i="3"/>
  <c r="G81" i="3"/>
  <c r="G80" i="3"/>
  <c r="G78" i="3"/>
  <c r="G77" i="3"/>
  <c r="M47" i="3"/>
  <c r="M33" i="3"/>
  <c r="L30" i="10" l="1"/>
  <c r="M30" i="10" s="1"/>
  <c r="L28" i="10"/>
  <c r="M28" i="10"/>
  <c r="O28" i="10" s="1"/>
  <c r="D70" i="9"/>
  <c r="H85" i="9" s="1"/>
  <c r="I85" i="9" s="1"/>
  <c r="D86" i="9" s="1"/>
  <c r="I100" i="9" s="1"/>
  <c r="D101" i="9" s="1"/>
  <c r="I117" i="9" s="1"/>
  <c r="D118" i="9" s="1"/>
  <c r="I131" i="9" s="1"/>
  <c r="M26" i="10"/>
  <c r="P26" i="10" s="1"/>
  <c r="R26" i="10" s="1"/>
  <c r="L22" i="10"/>
  <c r="M22" i="10" s="1"/>
  <c r="L24" i="10"/>
  <c r="M24" i="10" s="1"/>
  <c r="L20" i="10"/>
  <c r="M20" i="10" s="1"/>
  <c r="D108" i="8"/>
  <c r="H121" i="8" s="1"/>
  <c r="I121" i="8" s="1"/>
  <c r="D122" i="8" s="1"/>
  <c r="I136" i="8" s="1"/>
  <c r="I151" i="8" s="1"/>
  <c r="D152" i="8" s="1"/>
  <c r="I166" i="8" s="1"/>
  <c r="D167" i="8" s="1"/>
  <c r="H181" i="8" s="1"/>
  <c r="I181" i="8" s="1"/>
  <c r="D182" i="8" s="1"/>
  <c r="H202" i="8" s="1"/>
  <c r="I202" i="8" s="1"/>
  <c r="D203" i="8" s="1"/>
  <c r="H218" i="8" s="1"/>
  <c r="I218" i="8" s="1"/>
  <c r="D219" i="8" s="1"/>
  <c r="H232" i="8" s="1"/>
  <c r="I232" i="8" s="1"/>
  <c r="D233" i="8" s="1"/>
  <c r="H247" i="8" s="1"/>
  <c r="I254" i="8" s="1"/>
  <c r="O26" i="10"/>
  <c r="P28" i="10"/>
  <c r="R28" i="10" s="1"/>
  <c r="M7" i="10"/>
  <c r="O7" i="10" s="1"/>
  <c r="M6" i="10"/>
  <c r="O6" i="10" s="1"/>
  <c r="M8" i="10"/>
  <c r="O8" i="10" s="1"/>
  <c r="P25" i="10"/>
  <c r="R25" i="10" s="1"/>
  <c r="P27" i="10"/>
  <c r="R27" i="10" s="1"/>
  <c r="P19" i="10"/>
  <c r="R19" i="10" s="1"/>
  <c r="P21" i="10"/>
  <c r="R21" i="10" s="1"/>
  <c r="P23" i="10"/>
  <c r="R23" i="10" s="1"/>
  <c r="J46" i="10"/>
  <c r="L45" i="10"/>
  <c r="L46" i="10" s="1"/>
  <c r="G39" i="10"/>
  <c r="G47" i="10" s="1"/>
  <c r="J5" i="10"/>
  <c r="J10" i="10"/>
  <c r="L10" i="10" s="1"/>
  <c r="J12" i="10"/>
  <c r="L12" i="10" s="1"/>
  <c r="J14" i="10"/>
  <c r="L14" i="10" s="1"/>
  <c r="J16" i="10"/>
  <c r="L16" i="10" s="1"/>
  <c r="J18" i="10"/>
  <c r="L18" i="10" s="1"/>
  <c r="J9" i="10"/>
  <c r="L9" i="10" s="1"/>
  <c r="J11" i="10"/>
  <c r="L11" i="10" s="1"/>
  <c r="J13" i="10"/>
  <c r="L13" i="10" s="1"/>
  <c r="J15" i="10"/>
  <c r="L15" i="10" s="1"/>
  <c r="J17" i="10"/>
  <c r="L17" i="10" s="1"/>
  <c r="I46" i="10"/>
  <c r="M29" i="10"/>
  <c r="O29" i="10" s="1"/>
  <c r="G151" i="3"/>
  <c r="G202" i="3"/>
  <c r="O30" i="10" l="1"/>
  <c r="P30" i="10" s="1"/>
  <c r="I146" i="9"/>
  <c r="D147" i="9" s="1"/>
  <c r="I161" i="9" s="1"/>
  <c r="D162" i="9" s="1"/>
  <c r="I176" i="9" s="1"/>
  <c r="D177" i="9" s="1"/>
  <c r="H191" i="9" s="1"/>
  <c r="I191" i="9" s="1"/>
  <c r="D192" i="9" s="1"/>
  <c r="H212" i="9" s="1"/>
  <c r="I212" i="9" s="1"/>
  <c r="D213" i="9" s="1"/>
  <c r="H228" i="9" s="1"/>
  <c r="I228" i="9" s="1"/>
  <c r="D229" i="9" s="1"/>
  <c r="H242" i="9" s="1"/>
  <c r="I242" i="9" s="1"/>
  <c r="D243" i="9" s="1"/>
  <c r="H257" i="9" s="1"/>
  <c r="I257" i="9" s="1"/>
  <c r="D258" i="9" s="1"/>
  <c r="Q40" i="9" s="1"/>
  <c r="D132" i="9"/>
  <c r="O20" i="10"/>
  <c r="P20" i="10" s="1"/>
  <c r="R20" i="10" s="1"/>
  <c r="O22" i="10"/>
  <c r="P22" i="10" s="1"/>
  <c r="R22" i="10" s="1"/>
  <c r="O24" i="10"/>
  <c r="P24" i="10" s="1"/>
  <c r="J39" i="10"/>
  <c r="J47" i="10" s="1"/>
  <c r="L5" i="10"/>
  <c r="L39" i="10" s="1"/>
  <c r="I247" i="8"/>
  <c r="D248" i="8" s="1"/>
  <c r="Q30" i="8" s="1"/>
  <c r="S21" i="10"/>
  <c r="U21" i="10" s="1"/>
  <c r="P7" i="10"/>
  <c r="R7" i="10" s="1"/>
  <c r="S26" i="10"/>
  <c r="U26" i="10" s="1"/>
  <c r="S23" i="10"/>
  <c r="U23" i="10" s="1"/>
  <c r="S19" i="10"/>
  <c r="U19" i="10" s="1"/>
  <c r="P29" i="10"/>
  <c r="R29" i="10" s="1"/>
  <c r="M17" i="10"/>
  <c r="O17" i="10" s="1"/>
  <c r="M9" i="10"/>
  <c r="O9" i="10" s="1"/>
  <c r="M18" i="10"/>
  <c r="O18" i="10" s="1"/>
  <c r="M15" i="10"/>
  <c r="O15" i="10" s="1"/>
  <c r="M11" i="10"/>
  <c r="O11" i="10" s="1"/>
  <c r="M31" i="10"/>
  <c r="O31" i="10" s="1"/>
  <c r="M16" i="10"/>
  <c r="O16" i="10" s="1"/>
  <c r="M12" i="10"/>
  <c r="O12" i="10" s="1"/>
  <c r="I39" i="10"/>
  <c r="I47" i="10" s="1"/>
  <c r="M45" i="10"/>
  <c r="S27" i="10"/>
  <c r="U27" i="10" s="1"/>
  <c r="S28" i="10"/>
  <c r="U28" i="10" s="1"/>
  <c r="M237" i="3"/>
  <c r="M236" i="3"/>
  <c r="R30" i="10" l="1"/>
  <c r="S30" i="10" s="1"/>
  <c r="H264" i="9"/>
  <c r="I264" i="9"/>
  <c r="R24" i="10"/>
  <c r="S24" i="10" s="1"/>
  <c r="U24" i="10" s="1"/>
  <c r="H254" i="8"/>
  <c r="L47" i="10"/>
  <c r="V27" i="10"/>
  <c r="X27" i="10" s="1"/>
  <c r="P12" i="10"/>
  <c r="R12" i="10" s="1"/>
  <c r="V19" i="10"/>
  <c r="X19" i="10" s="1"/>
  <c r="V26" i="10"/>
  <c r="X26" i="10" s="1"/>
  <c r="V21" i="10"/>
  <c r="X21" i="10" s="1"/>
  <c r="P16" i="10"/>
  <c r="R16" i="10" s="1"/>
  <c r="P18" i="10"/>
  <c r="R18" i="10" s="1"/>
  <c r="V23" i="10"/>
  <c r="X23" i="10" s="1"/>
  <c r="S7" i="10"/>
  <c r="U7" i="10" s="1"/>
  <c r="V28" i="10"/>
  <c r="X28" i="10" s="1"/>
  <c r="M46" i="10"/>
  <c r="O45" i="10"/>
  <c r="S20" i="10"/>
  <c r="U20" i="10" s="1"/>
  <c r="S22" i="10"/>
  <c r="U22" i="10" s="1"/>
  <c r="P6" i="10"/>
  <c r="R6" i="10" s="1"/>
  <c r="P8" i="10"/>
  <c r="R8" i="10" s="1"/>
  <c r="S25" i="10"/>
  <c r="U25" i="10" s="1"/>
  <c r="M5" i="10"/>
  <c r="M10" i="10"/>
  <c r="O10" i="10" s="1"/>
  <c r="M14" i="10"/>
  <c r="O14" i="10" s="1"/>
  <c r="M13" i="10"/>
  <c r="O13" i="10" s="1"/>
  <c r="P9" i="10"/>
  <c r="R9" i="10" s="1"/>
  <c r="P17" i="10"/>
  <c r="R17" i="10" s="1"/>
  <c r="S29" i="10"/>
  <c r="U29" i="10" s="1"/>
  <c r="R70" i="9"/>
  <c r="R69" i="9"/>
  <c r="R56" i="9"/>
  <c r="R54" i="9"/>
  <c r="R53" i="9"/>
  <c r="R42" i="9"/>
  <c r="R40" i="9"/>
  <c r="R72" i="9"/>
  <c r="R68" i="9"/>
  <c r="R61" i="9"/>
  <c r="R60" i="9"/>
  <c r="R59" i="9"/>
  <c r="R58" i="9"/>
  <c r="R57" i="9"/>
  <c r="R55" i="9"/>
  <c r="R52" i="9"/>
  <c r="R51" i="9"/>
  <c r="R50" i="9"/>
  <c r="R49" i="9"/>
  <c r="R48" i="9"/>
  <c r="R47" i="9"/>
  <c r="R46" i="9"/>
  <c r="R45" i="9"/>
  <c r="R44" i="9"/>
  <c r="R43" i="9"/>
  <c r="R41" i="9"/>
  <c r="R60" i="8"/>
  <c r="R59" i="8"/>
  <c r="R46" i="8"/>
  <c r="R44" i="8"/>
  <c r="R43" i="8"/>
  <c r="R32" i="8"/>
  <c r="R30" i="8"/>
  <c r="R62" i="8"/>
  <c r="R58" i="8"/>
  <c r="R51" i="8"/>
  <c r="R50" i="8"/>
  <c r="R49" i="8"/>
  <c r="R48" i="8"/>
  <c r="R47" i="8"/>
  <c r="R45" i="8"/>
  <c r="R42" i="8"/>
  <c r="R41" i="8"/>
  <c r="R40" i="8"/>
  <c r="R39" i="8"/>
  <c r="R38" i="8"/>
  <c r="R37" i="8"/>
  <c r="R36" i="8"/>
  <c r="R35" i="8"/>
  <c r="R34" i="8"/>
  <c r="R33" i="8"/>
  <c r="R31" i="8"/>
  <c r="G222" i="3"/>
  <c r="U30" i="10" l="1"/>
  <c r="V30" i="10" s="1"/>
  <c r="O5" i="10"/>
  <c r="O39" i="10" s="1"/>
  <c r="M39" i="10"/>
  <c r="M47" i="10" s="1"/>
  <c r="V7" i="10"/>
  <c r="X7" i="10" s="1"/>
  <c r="Y26" i="10"/>
  <c r="AA26" i="10" s="1"/>
  <c r="Y27" i="10"/>
  <c r="AA27" i="10" s="1"/>
  <c r="Y23" i="10"/>
  <c r="AA23" i="10" s="1"/>
  <c r="Y21" i="10"/>
  <c r="AA21" i="10" s="1"/>
  <c r="Y19" i="10"/>
  <c r="AA19" i="10" s="1"/>
  <c r="S17" i="10"/>
  <c r="U17" i="10" s="1"/>
  <c r="S9" i="10"/>
  <c r="U9" i="10" s="1"/>
  <c r="S8" i="10"/>
  <c r="U8" i="10" s="1"/>
  <c r="O46" i="10"/>
  <c r="S18" i="10"/>
  <c r="U18" i="10" s="1"/>
  <c r="P15" i="10"/>
  <c r="R15" i="10" s="1"/>
  <c r="P11" i="10"/>
  <c r="R11" i="10" s="1"/>
  <c r="P31" i="10"/>
  <c r="R31" i="10" s="1"/>
  <c r="P13" i="10"/>
  <c r="R13" i="10" s="1"/>
  <c r="V25" i="10"/>
  <c r="X25" i="10" s="1"/>
  <c r="S6" i="10"/>
  <c r="U6" i="10" s="1"/>
  <c r="V20" i="10"/>
  <c r="X20" i="10" s="1"/>
  <c r="P45" i="10"/>
  <c r="V24" i="10"/>
  <c r="X24" i="10" s="1"/>
  <c r="V29" i="10"/>
  <c r="X29" i="10" s="1"/>
  <c r="P14" i="10"/>
  <c r="R14" i="10" s="1"/>
  <c r="Y28" i="10"/>
  <c r="AA28" i="10" s="1"/>
  <c r="S12" i="10"/>
  <c r="U12" i="10" s="1"/>
  <c r="R74" i="9"/>
  <c r="R64" i="8"/>
  <c r="G210" i="3"/>
  <c r="G208" i="3"/>
  <c r="G207" i="3"/>
  <c r="G206" i="3"/>
  <c r="G205" i="3"/>
  <c r="G204" i="3"/>
  <c r="W25" i="3"/>
  <c r="L187" i="3"/>
  <c r="V25" i="3"/>
  <c r="G174" i="3"/>
  <c r="M170" i="3"/>
  <c r="U25" i="3"/>
  <c r="G163" i="3"/>
  <c r="M155" i="3"/>
  <c r="S25" i="3"/>
  <c r="Q25" i="3"/>
  <c r="O25" i="3"/>
  <c r="D107" i="3"/>
  <c r="M25" i="3"/>
  <c r="F107" i="3"/>
  <c r="E107" i="3"/>
  <c r="G96" i="3"/>
  <c r="G97" i="3"/>
  <c r="G98" i="3"/>
  <c r="G99" i="3"/>
  <c r="K25" i="3"/>
  <c r="I25" i="3"/>
  <c r="G63" i="3"/>
  <c r="G25" i="3"/>
  <c r="E25" i="3"/>
  <c r="C25" i="3"/>
  <c r="G157" i="3"/>
  <c r="L252" i="3"/>
  <c r="M251" i="3"/>
  <c r="M250" i="3"/>
  <c r="M249" i="3"/>
  <c r="L239" i="3"/>
  <c r="M238" i="3"/>
  <c r="M235" i="3"/>
  <c r="M234" i="3"/>
  <c r="L223" i="3"/>
  <c r="M222" i="3"/>
  <c r="M221" i="3"/>
  <c r="M220" i="3"/>
  <c r="L207" i="3"/>
  <c r="M206" i="3"/>
  <c r="M205" i="3"/>
  <c r="M204" i="3"/>
  <c r="M185" i="3"/>
  <c r="M184" i="3"/>
  <c r="M183" i="3"/>
  <c r="F254" i="3"/>
  <c r="E254" i="3"/>
  <c r="D254" i="3"/>
  <c r="G253" i="3"/>
  <c r="G252" i="3"/>
  <c r="G251" i="3"/>
  <c r="F247" i="3"/>
  <c r="E247" i="3"/>
  <c r="D247" i="3"/>
  <c r="G239" i="3"/>
  <c r="G221" i="3"/>
  <c r="G220" i="3"/>
  <c r="M125" i="3"/>
  <c r="G51" i="3"/>
  <c r="G50" i="3"/>
  <c r="G42" i="3"/>
  <c r="G39" i="3"/>
  <c r="G38" i="3"/>
  <c r="G37" i="3"/>
  <c r="G36" i="3"/>
  <c r="P64" i="3"/>
  <c r="X30" i="10" l="1"/>
  <c r="Y30" i="10" s="1"/>
  <c r="O47" i="10"/>
  <c r="V12" i="10"/>
  <c r="X12" i="10" s="1"/>
  <c r="S13" i="10"/>
  <c r="U13" i="10" s="1"/>
  <c r="AB19" i="10"/>
  <c r="AD19" i="10" s="1"/>
  <c r="AB23" i="10"/>
  <c r="AD23" i="10" s="1"/>
  <c r="V18" i="10"/>
  <c r="X18" i="10" s="1"/>
  <c r="V8" i="10"/>
  <c r="X8" i="10" s="1"/>
  <c r="AB21" i="10"/>
  <c r="AD21" i="10" s="1"/>
  <c r="AB28" i="10"/>
  <c r="AD28" i="10" s="1"/>
  <c r="Y29" i="10"/>
  <c r="AA29" i="10" s="1"/>
  <c r="Y20" i="10"/>
  <c r="AA20" i="10" s="1"/>
  <c r="Y25" i="10"/>
  <c r="AA25" i="10" s="1"/>
  <c r="S15" i="10"/>
  <c r="U15" i="10" s="1"/>
  <c r="V22" i="10"/>
  <c r="X22" i="10" s="1"/>
  <c r="P46" i="10"/>
  <c r="R45" i="10"/>
  <c r="P10" i="10"/>
  <c r="R10" i="10" s="1"/>
  <c r="S11" i="10"/>
  <c r="U11" i="10" s="1"/>
  <c r="S16" i="10"/>
  <c r="U16" i="10" s="1"/>
  <c r="P5" i="10"/>
  <c r="S14" i="10"/>
  <c r="U14" i="10" s="1"/>
  <c r="V9" i="10"/>
  <c r="X9" i="10" s="1"/>
  <c r="V17" i="10"/>
  <c r="X17" i="10" s="1"/>
  <c r="AB26" i="10"/>
  <c r="AD26" i="10" s="1"/>
  <c r="Y25" i="3"/>
  <c r="G218" i="3"/>
  <c r="G232" i="3"/>
  <c r="M187" i="3"/>
  <c r="G254" i="3"/>
  <c r="M252" i="3"/>
  <c r="G247" i="3"/>
  <c r="M239" i="3"/>
  <c r="M223" i="3"/>
  <c r="M207" i="3"/>
  <c r="AA30" i="10" l="1"/>
  <c r="AB30" i="10" s="1"/>
  <c r="P39" i="10"/>
  <c r="R5" i="10"/>
  <c r="P47" i="10"/>
  <c r="Y9" i="10"/>
  <c r="AA9" i="10" s="1"/>
  <c r="AB20" i="10"/>
  <c r="AD20" i="10" s="1"/>
  <c r="AE28" i="10"/>
  <c r="V13" i="10"/>
  <c r="X13" i="10" s="1"/>
  <c r="AE26" i="10"/>
  <c r="Y17" i="10"/>
  <c r="AA17" i="10" s="1"/>
  <c r="V15" i="10"/>
  <c r="X15" i="10" s="1"/>
  <c r="AB25" i="10"/>
  <c r="AD25" i="10" s="1"/>
  <c r="Y18" i="10"/>
  <c r="AA18" i="10" s="1"/>
  <c r="V14" i="10"/>
  <c r="X14" i="10" s="1"/>
  <c r="V11" i="10"/>
  <c r="X11" i="10" s="1"/>
  <c r="AE21" i="10"/>
  <c r="AE19" i="10"/>
  <c r="Y7" i="10"/>
  <c r="AA7" i="10" s="1"/>
  <c r="AB27" i="10"/>
  <c r="AD27" i="10" s="1"/>
  <c r="V6" i="10"/>
  <c r="X6" i="10" s="1"/>
  <c r="V16" i="10"/>
  <c r="X16" i="10" s="1"/>
  <c r="S10" i="10"/>
  <c r="U10" i="10" s="1"/>
  <c r="R46" i="10"/>
  <c r="S45" i="10"/>
  <c r="Y22" i="10"/>
  <c r="AA22" i="10" s="1"/>
  <c r="S31" i="10"/>
  <c r="U31" i="10" s="1"/>
  <c r="Y24" i="10"/>
  <c r="AA24" i="10" s="1"/>
  <c r="AB29" i="10"/>
  <c r="AD29" i="10" s="1"/>
  <c r="Y12" i="10"/>
  <c r="AA12" i="10" s="1"/>
  <c r="M171" i="3"/>
  <c r="M169" i="3"/>
  <c r="M168" i="3"/>
  <c r="L162" i="3"/>
  <c r="M156" i="3"/>
  <c r="M154" i="3"/>
  <c r="M153" i="3"/>
  <c r="M140" i="3"/>
  <c r="M139" i="3"/>
  <c r="M138" i="3"/>
  <c r="L127" i="3"/>
  <c r="M126" i="3"/>
  <c r="M124" i="3"/>
  <c r="M123" i="3"/>
  <c r="G111" i="3"/>
  <c r="M112" i="3"/>
  <c r="M111" i="3"/>
  <c r="M109" i="3"/>
  <c r="M95" i="3"/>
  <c r="L99" i="3"/>
  <c r="M94" i="3"/>
  <c r="M93" i="3"/>
  <c r="M92" i="3"/>
  <c r="L89" i="3"/>
  <c r="M78" i="3"/>
  <c r="M77" i="3"/>
  <c r="L68" i="3"/>
  <c r="M62" i="3"/>
  <c r="M61" i="3"/>
  <c r="L49" i="3"/>
  <c r="M46" i="3"/>
  <c r="M45" i="3"/>
  <c r="L34" i="3"/>
  <c r="M32" i="3"/>
  <c r="AD30" i="10" l="1"/>
  <c r="AE30" i="10" s="1"/>
  <c r="AG30" i="10" s="1"/>
  <c r="AH30" i="10" s="1"/>
  <c r="AJ30" i="10" s="1"/>
  <c r="R39" i="10"/>
  <c r="S5" i="10"/>
  <c r="U5" i="10" s="1"/>
  <c r="R47" i="10"/>
  <c r="AB22" i="10"/>
  <c r="AD22" i="10" s="1"/>
  <c r="AG19" i="10"/>
  <c r="AH19" i="10" s="1"/>
  <c r="AJ19" i="10" s="1"/>
  <c r="AG21" i="10"/>
  <c r="Y14" i="10"/>
  <c r="AA14" i="10" s="1"/>
  <c r="Y15" i="10"/>
  <c r="AA15" i="10" s="1"/>
  <c r="AE20" i="10"/>
  <c r="Y16" i="10"/>
  <c r="AA16" i="10" s="1"/>
  <c r="AB18" i="10"/>
  <c r="AD18" i="10" s="1"/>
  <c r="AG26" i="10"/>
  <c r="AH26" i="10" s="1"/>
  <c r="AJ26" i="10" s="1"/>
  <c r="V31" i="10"/>
  <c r="X31" i="10" s="1"/>
  <c r="S46" i="10"/>
  <c r="U45" i="10"/>
  <c r="V45" i="10" s="1"/>
  <c r="V10" i="10"/>
  <c r="X10" i="10" s="1"/>
  <c r="AE25" i="10"/>
  <c r="AG28" i="10"/>
  <c r="AH28" i="10" s="1"/>
  <c r="AJ28" i="10" s="1"/>
  <c r="Y8" i="10"/>
  <c r="AA8" i="10" s="1"/>
  <c r="Y6" i="10"/>
  <c r="AA6" i="10" s="1"/>
  <c r="AE23" i="10"/>
  <c r="AB17" i="10"/>
  <c r="AD17" i="10" s="1"/>
  <c r="Y13" i="10"/>
  <c r="AA13" i="10" s="1"/>
  <c r="AB9" i="10"/>
  <c r="AD9" i="10" s="1"/>
  <c r="M142" i="3"/>
  <c r="M173" i="3"/>
  <c r="M162" i="3"/>
  <c r="M127" i="3"/>
  <c r="M99" i="3"/>
  <c r="M34" i="3"/>
  <c r="D31" i="3" s="1"/>
  <c r="M68" i="3"/>
  <c r="M118" i="3"/>
  <c r="M89" i="3"/>
  <c r="M49" i="3"/>
  <c r="S39" i="10" l="1"/>
  <c r="S47" i="10" s="1"/>
  <c r="U39" i="10"/>
  <c r="AE9" i="10"/>
  <c r="Y31" i="10"/>
  <c r="AA31" i="10" s="1"/>
  <c r="AE22" i="10"/>
  <c r="AB6" i="10"/>
  <c r="AD6" i="10" s="1"/>
  <c r="AK30" i="10"/>
  <c r="AK26" i="10"/>
  <c r="AG20" i="10"/>
  <c r="AH20" i="10" s="1"/>
  <c r="AJ20" i="10" s="1"/>
  <c r="AK19" i="10"/>
  <c r="Y10" i="10"/>
  <c r="AA10" i="10" s="1"/>
  <c r="V46" i="10"/>
  <c r="X45" i="10"/>
  <c r="X46" i="10" s="1"/>
  <c r="AE18" i="10"/>
  <c r="AB15" i="10"/>
  <c r="AD15" i="10" s="1"/>
  <c r="V5" i="10"/>
  <c r="X5" i="10" s="1"/>
  <c r="AE29" i="10"/>
  <c r="AB12" i="10"/>
  <c r="AD12" i="10" s="1"/>
  <c r="AE27" i="10"/>
  <c r="AB24" i="10"/>
  <c r="AD24" i="10" s="1"/>
  <c r="Y11" i="10"/>
  <c r="AA11" i="10" s="1"/>
  <c r="AB7" i="10"/>
  <c r="AD7" i="10" s="1"/>
  <c r="U46" i="10"/>
  <c r="AH21" i="10"/>
  <c r="AJ21" i="10" s="1"/>
  <c r="AE17" i="10"/>
  <c r="AG23" i="10"/>
  <c r="AH23" i="10" s="1"/>
  <c r="AJ23" i="10" s="1"/>
  <c r="AG25" i="10"/>
  <c r="AH25" i="10" s="1"/>
  <c r="AJ25" i="10" s="1"/>
  <c r="G168" i="3"/>
  <c r="G153" i="3"/>
  <c r="G166" i="3" s="1"/>
  <c r="G126" i="3"/>
  <c r="G127" i="3"/>
  <c r="G110" i="3"/>
  <c r="G112" i="3"/>
  <c r="G118" i="3"/>
  <c r="G109" i="3"/>
  <c r="G93" i="3"/>
  <c r="G94" i="3"/>
  <c r="G92" i="3"/>
  <c r="G79" i="3"/>
  <c r="G89" i="3"/>
  <c r="G64" i="3"/>
  <c r="G68" i="3"/>
  <c r="G61" i="3"/>
  <c r="G46" i="3"/>
  <c r="G48" i="3"/>
  <c r="G49" i="3"/>
  <c r="G45" i="3"/>
  <c r="G33" i="3"/>
  <c r="G34" i="3"/>
  <c r="G35" i="3"/>
  <c r="G32" i="3"/>
  <c r="F181" i="3"/>
  <c r="E181" i="3"/>
  <c r="D181" i="3"/>
  <c r="F90" i="3"/>
  <c r="E90" i="3"/>
  <c r="F59" i="3"/>
  <c r="E59" i="3"/>
  <c r="D59" i="3"/>
  <c r="V39" i="10" l="1"/>
  <c r="V47" i="10" s="1"/>
  <c r="U47" i="10"/>
  <c r="Y45" i="10"/>
  <c r="Y46" i="10" s="1"/>
  <c r="AK25" i="10"/>
  <c r="AE15" i="10"/>
  <c r="AG18" i="10"/>
  <c r="AH18" i="10" s="1"/>
  <c r="AJ18" i="10" s="1"/>
  <c r="AG17" i="10"/>
  <c r="AH17" i="10" s="1"/>
  <c r="AJ17" i="10" s="1"/>
  <c r="AM30" i="10"/>
  <c r="AN30" i="10" s="1"/>
  <c r="AK23" i="10"/>
  <c r="AB11" i="10"/>
  <c r="AD11" i="10" s="1"/>
  <c r="AG27" i="10"/>
  <c r="AH27" i="10" s="1"/>
  <c r="AJ27" i="10" s="1"/>
  <c r="AE12" i="10"/>
  <c r="AB10" i="10"/>
  <c r="AD10" i="10" s="1"/>
  <c r="AM19" i="10"/>
  <c r="AN19" i="10" s="1"/>
  <c r="AK20" i="10"/>
  <c r="AM26" i="10"/>
  <c r="AN26" i="10" s="1"/>
  <c r="AB14" i="10"/>
  <c r="AD14" i="10" s="1"/>
  <c r="AB13" i="10"/>
  <c r="AD13" i="10" s="1"/>
  <c r="AK21" i="10"/>
  <c r="AG29" i="10"/>
  <c r="AB16" i="10"/>
  <c r="AD16" i="10" s="1"/>
  <c r="AB8" i="10"/>
  <c r="AD8" i="10" s="1"/>
  <c r="AK28" i="10"/>
  <c r="AA45" i="10"/>
  <c r="AA46" i="10" s="1"/>
  <c r="AG22" i="10"/>
  <c r="AG9" i="10"/>
  <c r="AH9" i="10" s="1"/>
  <c r="AJ9" i="10" s="1"/>
  <c r="G75" i="3"/>
  <c r="G121" i="3"/>
  <c r="G181" i="3"/>
  <c r="G136" i="3"/>
  <c r="G107" i="3"/>
  <c r="G59" i="3"/>
  <c r="G90" i="3"/>
  <c r="D43" i="3"/>
  <c r="G43" i="3"/>
  <c r="F43" i="3"/>
  <c r="AC26" i="3" s="1"/>
  <c r="E43" i="3"/>
  <c r="Y5" i="10" l="1"/>
  <c r="X39" i="10"/>
  <c r="X47" i="10" s="1"/>
  <c r="AB45" i="10"/>
  <c r="AK27" i="10"/>
  <c r="AP30" i="10"/>
  <c r="AU30" i="10" s="1"/>
  <c r="AK18" i="10"/>
  <c r="AM25" i="10"/>
  <c r="AN25" i="10" s="1"/>
  <c r="AM23" i="10"/>
  <c r="AN23" i="10" s="1"/>
  <c r="AK17" i="10"/>
  <c r="AG15" i="10"/>
  <c r="AH15" i="10" s="1"/>
  <c r="AJ15" i="10" s="1"/>
  <c r="AE8" i="10"/>
  <c r="AE16" i="10"/>
  <c r="AE13" i="10"/>
  <c r="AP26" i="10"/>
  <c r="AV26" i="10" s="1"/>
  <c r="BB26" i="10" s="1"/>
  <c r="AM20" i="10"/>
  <c r="AN20" i="10" s="1"/>
  <c r="AG12" i="10"/>
  <c r="AH12" i="10" s="1"/>
  <c r="AJ12" i="10" s="1"/>
  <c r="AE11" i="10"/>
  <c r="AB31" i="10"/>
  <c r="AD31" i="10" s="1"/>
  <c r="AH22" i="10"/>
  <c r="AJ22" i="10" s="1"/>
  <c r="AE24" i="10"/>
  <c r="AM28" i="10"/>
  <c r="AN28" i="10" s="1"/>
  <c r="AH29" i="10"/>
  <c r="AJ29" i="10" s="1"/>
  <c r="AE7" i="10"/>
  <c r="AE6" i="10"/>
  <c r="AB46" i="10"/>
  <c r="AD45" i="10"/>
  <c r="AD46" i="10" s="1"/>
  <c r="AM21" i="10"/>
  <c r="AP19" i="10"/>
  <c r="AU19" i="10" s="1"/>
  <c r="I43" i="3"/>
  <c r="D44" i="3" s="1"/>
  <c r="T25" i="3"/>
  <c r="AC25" i="3" s="1"/>
  <c r="AC27" i="3" s="1"/>
  <c r="AC28" i="3" s="1"/>
  <c r="Y39" i="10" l="1"/>
  <c r="Y47" i="10" s="1"/>
  <c r="AA5" i="10"/>
  <c r="AA39" i="10" s="1"/>
  <c r="AA47" i="10" s="1"/>
  <c r="AV30" i="10"/>
  <c r="BB30" i="10" s="1"/>
  <c r="BD26" i="10"/>
  <c r="BF26" i="10" s="1"/>
  <c r="BD30" i="10"/>
  <c r="BF30" i="10" s="1"/>
  <c r="AQ19" i="10"/>
  <c r="AV19" i="10"/>
  <c r="BB19" i="10" s="1"/>
  <c r="AU26" i="10"/>
  <c r="AQ26" i="10"/>
  <c r="AK12" i="10"/>
  <c r="AG13" i="10"/>
  <c r="AH13" i="10" s="1"/>
  <c r="AJ13" i="10" s="1"/>
  <c r="AP23" i="10"/>
  <c r="AU23" i="10" s="1"/>
  <c r="AG11" i="10"/>
  <c r="AH11" i="10" s="1"/>
  <c r="AJ11" i="10" s="1"/>
  <c r="AG16" i="10"/>
  <c r="AH16" i="10" s="1"/>
  <c r="AJ16" i="10" s="1"/>
  <c r="AP25" i="10"/>
  <c r="AV25" i="10" s="1"/>
  <c r="BB25" i="10" s="1"/>
  <c r="AP28" i="10"/>
  <c r="AV28" i="10" s="1"/>
  <c r="BB28" i="10" s="1"/>
  <c r="AG24" i="10"/>
  <c r="AH24" i="10" s="1"/>
  <c r="AJ24" i="10" s="1"/>
  <c r="AE31" i="10"/>
  <c r="AP20" i="10"/>
  <c r="AV20" i="10" s="1"/>
  <c r="BB20" i="10" s="1"/>
  <c r="AN21" i="10"/>
  <c r="AE45" i="10"/>
  <c r="AK9" i="10"/>
  <c r="AG6" i="10"/>
  <c r="AH6" i="10" s="1"/>
  <c r="AJ6" i="10" s="1"/>
  <c r="AG7" i="10"/>
  <c r="AE10" i="10"/>
  <c r="AE14" i="10"/>
  <c r="AQ30" i="10"/>
  <c r="AK29" i="10"/>
  <c r="AG8" i="10"/>
  <c r="AH8" i="10" s="1"/>
  <c r="AJ8" i="10" s="1"/>
  <c r="AK15" i="10"/>
  <c r="AM17" i="10"/>
  <c r="AN17" i="10" s="1"/>
  <c r="AM18" i="10"/>
  <c r="AN18" i="10" s="1"/>
  <c r="AM27" i="10"/>
  <c r="H59" i="3"/>
  <c r="I59" i="3" s="1"/>
  <c r="D60" i="3" s="1"/>
  <c r="AU20" i="10" l="1"/>
  <c r="AB5" i="10"/>
  <c r="AD5" i="10" s="1"/>
  <c r="AQ23" i="10"/>
  <c r="AV23" i="10"/>
  <c r="BD20" i="10"/>
  <c r="BF20" i="10" s="1"/>
  <c r="BD28" i="10"/>
  <c r="BF28" i="10" s="1"/>
  <c r="BD19" i="10"/>
  <c r="BF19" i="10" s="1"/>
  <c r="AU28" i="10"/>
  <c r="AQ20" i="10"/>
  <c r="BD25" i="10"/>
  <c r="BF25" i="10" s="1"/>
  <c r="AK16" i="10"/>
  <c r="AK6" i="10"/>
  <c r="AK11" i="10"/>
  <c r="AP17" i="10"/>
  <c r="AU17" i="10" s="1"/>
  <c r="AK24" i="10"/>
  <c r="AQ28" i="10"/>
  <c r="AN27" i="10"/>
  <c r="AK22" i="10"/>
  <c r="AU25" i="10"/>
  <c r="AH7" i="10"/>
  <c r="AJ7" i="10" s="1"/>
  <c r="AE46" i="10"/>
  <c r="AG45" i="10"/>
  <c r="AH45" i="10" s="1"/>
  <c r="AQ25" i="10"/>
  <c r="AP18" i="10"/>
  <c r="AU18" i="10" s="1"/>
  <c r="AM15" i="10"/>
  <c r="AN15" i="10" s="1"/>
  <c r="AK8" i="10"/>
  <c r="AM29" i="10"/>
  <c r="AN29" i="10" s="1"/>
  <c r="AG14" i="10"/>
  <c r="AH14" i="10" s="1"/>
  <c r="AJ14" i="10" s="1"/>
  <c r="AG10" i="10"/>
  <c r="AH10" i="10" s="1"/>
  <c r="AJ10" i="10" s="1"/>
  <c r="AM9" i="10"/>
  <c r="AN9" i="10" s="1"/>
  <c r="AP21" i="10"/>
  <c r="AU21" i="10" s="1"/>
  <c r="AG31" i="10"/>
  <c r="AK13" i="10"/>
  <c r="AM12" i="10"/>
  <c r="H75" i="3"/>
  <c r="I75" i="3" s="1"/>
  <c r="D76" i="3" s="1"/>
  <c r="AB39" i="10" l="1"/>
  <c r="AB47" i="10" s="1"/>
  <c r="BB23" i="10"/>
  <c r="BD23" i="10" s="1"/>
  <c r="BF23" i="10" s="1"/>
  <c r="AE5" i="10"/>
  <c r="AD39" i="10"/>
  <c r="AD47" i="10" s="1"/>
  <c r="AV18" i="10"/>
  <c r="BB18" i="10" s="1"/>
  <c r="BD18" i="10" s="1"/>
  <c r="BF18" i="10" s="1"/>
  <c r="AP9" i="10"/>
  <c r="AQ9" i="10" s="1"/>
  <c r="AM11" i="10"/>
  <c r="AN11" i="10" s="1"/>
  <c r="AM13" i="10"/>
  <c r="AN13" i="10" s="1"/>
  <c r="AM16" i="10"/>
  <c r="AK10" i="10"/>
  <c r="AK14" i="10"/>
  <c r="AM8" i="10"/>
  <c r="AN8" i="10" s="1"/>
  <c r="AP15" i="10"/>
  <c r="AV15" i="10" s="1"/>
  <c r="BB15" i="10" s="1"/>
  <c r="AH46" i="10"/>
  <c r="AJ45" i="10"/>
  <c r="AJ46" i="10" s="1"/>
  <c r="AP27" i="10"/>
  <c r="AU27" i="10" s="1"/>
  <c r="AQ17" i="10"/>
  <c r="AM6" i="10"/>
  <c r="AN12" i="10"/>
  <c r="AH31" i="10"/>
  <c r="AJ31" i="10" s="1"/>
  <c r="AQ21" i="10"/>
  <c r="AV21" i="10"/>
  <c r="BB21" i="10" s="1"/>
  <c r="AQ18" i="10"/>
  <c r="AG46" i="10"/>
  <c r="AV17" i="10"/>
  <c r="BB17" i="10" s="1"/>
  <c r="AP29" i="10"/>
  <c r="AQ29" i="10" s="1"/>
  <c r="AM22" i="10"/>
  <c r="AM24" i="10"/>
  <c r="H90" i="3"/>
  <c r="AE39" i="10" l="1"/>
  <c r="AE47" i="10" s="1"/>
  <c r="AG5" i="10"/>
  <c r="AU9" i="10"/>
  <c r="BD17" i="10"/>
  <c r="BF17" i="10" s="1"/>
  <c r="AV29" i="10"/>
  <c r="BB29" i="10" s="1"/>
  <c r="BD21" i="10"/>
  <c r="BF21" i="10" s="1"/>
  <c r="AQ27" i="10"/>
  <c r="AV27" i="10"/>
  <c r="BB27" i="10" s="1"/>
  <c r="BD15" i="10"/>
  <c r="BF15" i="10" s="1"/>
  <c r="AU29" i="10"/>
  <c r="AV9" i="10"/>
  <c r="BB9" i="10" s="1"/>
  <c r="AQ15" i="10"/>
  <c r="AP8" i="10"/>
  <c r="AQ8" i="10" s="1"/>
  <c r="AM14" i="10"/>
  <c r="AN14" i="10" s="1"/>
  <c r="AM10" i="10"/>
  <c r="AN10" i="10" s="1"/>
  <c r="AP13" i="10"/>
  <c r="AU13" i="10" s="1"/>
  <c r="AP11" i="10"/>
  <c r="AV11" i="10" s="1"/>
  <c r="BB11" i="10" s="1"/>
  <c r="AN24" i="10"/>
  <c r="AN22" i="10"/>
  <c r="AU15" i="10"/>
  <c r="AP12" i="10"/>
  <c r="AU12" i="10" s="1"/>
  <c r="AN6" i="10"/>
  <c r="AK7" i="10"/>
  <c r="AK45" i="10"/>
  <c r="AN16" i="10"/>
  <c r="I90" i="3"/>
  <c r="AH5" i="10" l="1"/>
  <c r="AJ5" i="10" s="1"/>
  <c r="AG39" i="10"/>
  <c r="AG47" i="10" s="1"/>
  <c r="AU11" i="10"/>
  <c r="AU8" i="10"/>
  <c r="BD11" i="10"/>
  <c r="BF11" i="10" s="1"/>
  <c r="AV13" i="10"/>
  <c r="BB13" i="10" s="1"/>
  <c r="AV8" i="10"/>
  <c r="BB8" i="10" s="1"/>
  <c r="BD9" i="10"/>
  <c r="BF9" i="10" s="1"/>
  <c r="BD27" i="10"/>
  <c r="BF27" i="10" s="1"/>
  <c r="BD29" i="10"/>
  <c r="BF29" i="10" s="1"/>
  <c r="AM7" i="10"/>
  <c r="AQ12" i="10"/>
  <c r="AP22" i="10"/>
  <c r="AU22" i="10" s="1"/>
  <c r="AQ11" i="10"/>
  <c r="AP10" i="10"/>
  <c r="AQ10" i="10" s="1"/>
  <c r="AP14" i="10"/>
  <c r="AV14" i="10" s="1"/>
  <c r="BB14" i="10" s="1"/>
  <c r="AP16" i="10"/>
  <c r="AU16" i="10" s="1"/>
  <c r="AK46" i="10"/>
  <c r="AM45" i="10"/>
  <c r="AP6" i="10"/>
  <c r="AU6" i="10" s="1"/>
  <c r="AV12" i="10"/>
  <c r="BB12" i="10" s="1"/>
  <c r="AP24" i="10"/>
  <c r="AU24" i="10" s="1"/>
  <c r="AQ13" i="10"/>
  <c r="AK31" i="10"/>
  <c r="D91" i="3"/>
  <c r="H107" i="3" s="1"/>
  <c r="I107" i="3" s="1"/>
  <c r="D108" i="3" s="1"/>
  <c r="H121" i="3" s="1"/>
  <c r="I121" i="3" s="1"/>
  <c r="D122" i="3" s="1"/>
  <c r="AH39" i="10" l="1"/>
  <c r="AH47" i="10" s="1"/>
  <c r="AU10" i="10"/>
  <c r="AQ24" i="10"/>
  <c r="AV24" i="10"/>
  <c r="BD12" i="10"/>
  <c r="BF12" i="10" s="1"/>
  <c r="AV16" i="10"/>
  <c r="BB16" i="10" s="1"/>
  <c r="BD14" i="10"/>
  <c r="BF14" i="10" s="1"/>
  <c r="AV10" i="10"/>
  <c r="BB10" i="10" s="1"/>
  <c r="BD13" i="10"/>
  <c r="BF13" i="10" s="1"/>
  <c r="BD8" i="10"/>
  <c r="BF8" i="10" s="1"/>
  <c r="AM46" i="10"/>
  <c r="AQ14" i="10"/>
  <c r="AM31" i="10"/>
  <c r="AN31" i="10" s="1"/>
  <c r="AU14" i="10"/>
  <c r="AQ6" i="10"/>
  <c r="AV6" i="10"/>
  <c r="BB6" i="10" s="1"/>
  <c r="AN45" i="10"/>
  <c r="AQ16" i="10"/>
  <c r="AQ22" i="10"/>
  <c r="AV22" i="10"/>
  <c r="BB22" i="10" s="1"/>
  <c r="AN7" i="10"/>
  <c r="BB24" i="10" l="1"/>
  <c r="BD24" i="10" s="1"/>
  <c r="BF24" i="10" s="1"/>
  <c r="AK5" i="10"/>
  <c r="AJ39" i="10"/>
  <c r="AJ47" i="10" s="1"/>
  <c r="BD16" i="10"/>
  <c r="BF16" i="10" s="1"/>
  <c r="BD22" i="10"/>
  <c r="BF22" i="10" s="1"/>
  <c r="BD6" i="10"/>
  <c r="BF6" i="10" s="1"/>
  <c r="BD10" i="10"/>
  <c r="BF10" i="10" s="1"/>
  <c r="AN46" i="10"/>
  <c r="AP45" i="10"/>
  <c r="AQ45" i="10" s="1"/>
  <c r="AQ46" i="10" s="1"/>
  <c r="AP31" i="10"/>
  <c r="AV31" i="10" s="1"/>
  <c r="BB31" i="10" s="1"/>
  <c r="AP7" i="10"/>
  <c r="AV7" i="10" s="1"/>
  <c r="BB7" i="10" s="1"/>
  <c r="I136" i="3"/>
  <c r="AK39" i="10" l="1"/>
  <c r="AK47" i="10" s="1"/>
  <c r="AM5" i="10"/>
  <c r="AV45" i="10"/>
  <c r="AV46" i="10" s="1"/>
  <c r="AU31" i="10"/>
  <c r="AQ31" i="10"/>
  <c r="BD31" i="10"/>
  <c r="BF31" i="10" s="1"/>
  <c r="BD7" i="10"/>
  <c r="AQ7" i="10"/>
  <c r="AP46" i="10"/>
  <c r="AU45" i="10"/>
  <c r="AU46" i="10" s="1"/>
  <c r="AU7" i="10"/>
  <c r="BB45" i="10"/>
  <c r="BB46" i="10" s="1"/>
  <c r="D137" i="3"/>
  <c r="AN5" i="10" l="1"/>
  <c r="AM39" i="10"/>
  <c r="AM47" i="10" s="1"/>
  <c r="BF7" i="10"/>
  <c r="I151" i="3"/>
  <c r="D152" i="3" s="1"/>
  <c r="I166" i="3" s="1"/>
  <c r="D167" i="3" s="1"/>
  <c r="H181" i="3" s="1"/>
  <c r="I181" i="3" s="1"/>
  <c r="D182" i="3" s="1"/>
  <c r="H202" i="3" s="1"/>
  <c r="AN39" i="10" l="1"/>
  <c r="AN47" i="10" s="1"/>
  <c r="AP5" i="10"/>
  <c r="I202" i="3"/>
  <c r="D203" i="3" s="1"/>
  <c r="H218" i="3" s="1"/>
  <c r="I218" i="3" s="1"/>
  <c r="AV5" i="10" l="1"/>
  <c r="AP39" i="10"/>
  <c r="AP47" i="10" s="1"/>
  <c r="AU5" i="10"/>
  <c r="AU39" i="10" s="1"/>
  <c r="AQ5" i="10"/>
  <c r="AQ39" i="10" s="1"/>
  <c r="AQ47" i="10" s="1"/>
  <c r="D219" i="3"/>
  <c r="H232" i="3" s="1"/>
  <c r="I232" i="3" s="1"/>
  <c r="D233" i="3" s="1"/>
  <c r="H247" i="3" s="1"/>
  <c r="AU47" i="10" l="1"/>
  <c r="D2" i="15"/>
  <c r="AV39" i="10"/>
  <c r="BB5" i="10"/>
  <c r="BD5" i="10" s="1"/>
  <c r="I247" i="3"/>
  <c r="D248" i="3" s="1"/>
  <c r="I254" i="3"/>
  <c r="F2" i="15" l="1"/>
  <c r="F18" i="15" s="1"/>
  <c r="D18" i="15"/>
  <c r="BB39" i="10"/>
  <c r="AV47" i="10"/>
  <c r="BF5" i="10"/>
  <c r="BF39" i="10" s="1"/>
  <c r="H254" i="3"/>
  <c r="Q30" i="3"/>
  <c r="BB47" i="10" l="1"/>
  <c r="BD39" i="10"/>
  <c r="BE39" i="10" s="1"/>
  <c r="BE47" i="10" s="1"/>
  <c r="BF47" i="10"/>
  <c r="R41" i="3"/>
  <c r="R40" i="3"/>
  <c r="R36" i="3"/>
  <c r="R50" i="3"/>
  <c r="R38" i="3"/>
  <c r="R37" i="3"/>
  <c r="R47" i="3"/>
  <c r="R39" i="3"/>
  <c r="R51" i="3"/>
  <c r="R42" i="3"/>
  <c r="R44" i="3"/>
  <c r="R30" i="3"/>
  <c r="R43" i="3"/>
  <c r="R60" i="3"/>
  <c r="R34" i="3"/>
  <c r="R59" i="3"/>
  <c r="R35" i="3"/>
  <c r="R58" i="3"/>
  <c r="R32" i="3"/>
  <c r="R49" i="3"/>
  <c r="R33" i="3"/>
  <c r="R48" i="3"/>
  <c r="R46" i="3"/>
  <c r="R31" i="3"/>
  <c r="R45" i="3"/>
  <c r="R62" i="3"/>
  <c r="BD47" i="10" l="1"/>
  <c r="R64" i="3"/>
  <c r="L118" i="3" l="1"/>
</calcChain>
</file>

<file path=xl/comments1.xml><?xml version="1.0" encoding="utf-8"?>
<comments xmlns="http://schemas.openxmlformats.org/spreadsheetml/2006/main">
  <authors>
    <author>lenovo</author>
  </authors>
  <commentList>
    <comment ref="N27" authorId="0" shapeId="0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INSCRIPTION</t>
        </r>
      </text>
    </comment>
    <comment ref="N29" authorId="0" shapeId="0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INSCRIPTION</t>
        </r>
      </text>
    </comment>
    <comment ref="N39" authorId="0" shapeId="0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INSCRIPTION</t>
        </r>
      </text>
    </comment>
    <comment ref="P72" authorId="0" shapeId="0">
      <text>
        <r>
          <rPr>
            <b/>
            <sz val="9"/>
            <color indexed="81"/>
            <rFont val="Tahoma"/>
            <charset val="1"/>
          </rPr>
          <t>lenovo:</t>
        </r>
        <r>
          <rPr>
            <sz val="9"/>
            <color indexed="81"/>
            <rFont val="Tahoma"/>
            <charset val="1"/>
          </rPr>
          <t xml:space="preserve">
prêt de 1000000 pour 3 mois</t>
        </r>
      </text>
    </comment>
    <comment ref="T94" authorId="0" shapeId="0">
      <text>
        <r>
          <rPr>
            <b/>
            <sz val="9"/>
            <color indexed="81"/>
            <rFont val="Tahoma"/>
            <charset val="1"/>
          </rPr>
          <t>lenovo:</t>
        </r>
        <r>
          <rPr>
            <sz val="9"/>
            <color indexed="81"/>
            <rFont val="Tahoma"/>
            <charset val="1"/>
          </rPr>
          <t xml:space="preserve">
40000 de M yepmo deduire du  paiement de de M Nkamgang </t>
        </r>
      </text>
    </comment>
    <comment ref="H123" authorId="0" shapeId="0">
      <text>
        <r>
          <rPr>
            <b/>
            <sz val="9"/>
            <color indexed="81"/>
            <rFont val="Tahoma"/>
            <charset val="1"/>
          </rPr>
          <t>lenovo:</t>
        </r>
        <r>
          <rPr>
            <sz val="9"/>
            <color indexed="81"/>
            <rFont val="Tahoma"/>
            <charset val="1"/>
          </rPr>
          <t xml:space="preserve">
pour le compte de mbogning guy</t>
        </r>
      </text>
    </comment>
    <comment ref="P127" authorId="0" shapeId="0">
      <text>
        <r>
          <rPr>
            <b/>
            <sz val="9"/>
            <color indexed="81"/>
            <rFont val="Tahoma"/>
            <charset val="1"/>
          </rPr>
          <t>lenovo:</t>
        </r>
        <r>
          <rPr>
            <sz val="9"/>
            <color indexed="81"/>
            <rFont val="Tahoma"/>
            <charset val="1"/>
          </rPr>
          <t xml:space="preserve">
prêt de 200000 pour 3 mois</t>
        </r>
      </text>
    </comment>
    <comment ref="P147" authorId="0" shapeId="0">
      <text>
        <r>
          <rPr>
            <b/>
            <sz val="9"/>
            <color indexed="81"/>
            <rFont val="Tahoma"/>
            <charset val="1"/>
          </rPr>
          <t>lenovo:</t>
        </r>
        <r>
          <rPr>
            <sz val="9"/>
            <color indexed="81"/>
            <rFont val="Tahoma"/>
            <charset val="1"/>
          </rPr>
          <t xml:space="preserve">
prêt de 500000 pour 2 mois</t>
        </r>
      </text>
    </comment>
    <comment ref="P150" authorId="0" shapeId="0">
      <text>
        <r>
          <rPr>
            <b/>
            <sz val="9"/>
            <color indexed="81"/>
            <rFont val="Tahoma"/>
            <charset val="1"/>
          </rPr>
          <t>lenovo:</t>
        </r>
        <r>
          <rPr>
            <sz val="9"/>
            <color indexed="81"/>
            <rFont val="Tahoma"/>
            <charset val="1"/>
          </rPr>
          <t xml:space="preserve">
prêt de 1000000 pour 8 mois</t>
        </r>
      </text>
    </comment>
    <comment ref="P159" authorId="0" shapeId="0">
      <text>
        <r>
          <rPr>
            <b/>
            <sz val="9"/>
            <color indexed="81"/>
            <rFont val="Tahoma"/>
            <charset val="1"/>
          </rPr>
          <t>lenovo:</t>
        </r>
        <r>
          <rPr>
            <sz val="9"/>
            <color indexed="81"/>
            <rFont val="Tahoma"/>
            <charset val="1"/>
          </rPr>
          <t xml:space="preserve">
prêt de 300000 pour 4 mois</t>
        </r>
      </text>
    </comment>
    <comment ref="H170" authorId="0" shapeId="0">
      <text>
        <r>
          <rPr>
            <b/>
            <sz val="9"/>
            <color indexed="81"/>
            <rFont val="Tahoma"/>
            <charset val="1"/>
          </rPr>
          <t>lenovo:</t>
        </r>
        <r>
          <rPr>
            <sz val="9"/>
            <color indexed="81"/>
            <rFont val="Tahoma"/>
            <charset val="1"/>
          </rPr>
          <t xml:space="preserve">
pour le compte de mbogning guy</t>
        </r>
      </text>
    </comment>
    <comment ref="P174" authorId="0" shapeId="0">
      <text>
        <r>
          <rPr>
            <b/>
            <sz val="9"/>
            <color indexed="81"/>
            <rFont val="Tahoma"/>
            <charset val="1"/>
          </rPr>
          <t>lenovo:</t>
        </r>
        <r>
          <rPr>
            <sz val="9"/>
            <color indexed="81"/>
            <rFont val="Tahoma"/>
            <charset val="1"/>
          </rPr>
          <t xml:space="preserve">
prêt de 700000 pour 6 mois</t>
        </r>
      </text>
    </comment>
    <comment ref="P178" authorId="0" shapeId="0">
      <text>
        <r>
          <rPr>
            <b/>
            <sz val="9"/>
            <color indexed="81"/>
            <rFont val="Tahoma"/>
            <charset val="1"/>
          </rPr>
          <t>lenovo:</t>
        </r>
        <r>
          <rPr>
            <sz val="9"/>
            <color indexed="81"/>
            <rFont val="Tahoma"/>
            <charset val="1"/>
          </rPr>
          <t xml:space="preserve">
prêt de 1000000 pour 6 mois</t>
        </r>
      </text>
    </comment>
    <comment ref="D333" authorId="0" shapeId="0">
      <text>
        <r>
          <rPr>
            <b/>
            <sz val="9"/>
            <color indexed="81"/>
            <rFont val="Tahoma"/>
            <charset val="1"/>
          </rPr>
          <t>lenovo:</t>
        </r>
        <r>
          <rPr>
            <sz val="9"/>
            <color indexed="81"/>
            <rFont val="Tahoma"/>
            <charset val="1"/>
          </rPr>
          <t xml:space="preserve">
RETOUR EN CAISSE DEUIL MEFIEU KOUATCHO</t>
        </r>
      </text>
    </comment>
  </commentList>
</comments>
</file>

<file path=xl/comments2.xml><?xml version="1.0" encoding="utf-8"?>
<comments xmlns="http://schemas.openxmlformats.org/spreadsheetml/2006/main">
  <authors>
    <author>lenovo</author>
  </authors>
  <commentList>
    <comment ref="C36" authorId="0" shapeId="0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305000 DANS EPARGNE ET 191118 DANS TONTINE DÉJÀ LIQUIDEE</t>
        </r>
      </text>
    </comment>
  </commentList>
</comments>
</file>

<file path=xl/comments3.xml><?xml version="1.0" encoding="utf-8"?>
<comments xmlns="http://schemas.openxmlformats.org/spreadsheetml/2006/main">
  <authors>
    <author>lenovo</author>
  </authors>
  <commentList>
    <comment ref="E46" authorId="0" shapeId="0">
      <text>
        <r>
          <rPr>
            <b/>
            <sz val="9"/>
            <color indexed="81"/>
            <rFont val="Tahoma"/>
            <charset val="1"/>
          </rPr>
          <t>lenovo:</t>
        </r>
        <r>
          <rPr>
            <sz val="9"/>
            <color indexed="81"/>
            <rFont val="Tahoma"/>
            <charset val="1"/>
          </rPr>
          <t xml:space="preserve">
mais retenu pour compensation 40000 de M Yepmo</t>
        </r>
      </text>
    </comment>
  </commentList>
</comments>
</file>

<file path=xl/sharedStrings.xml><?xml version="1.0" encoding="utf-8"?>
<sst xmlns="http://schemas.openxmlformats.org/spreadsheetml/2006/main" count="2453" uniqueCount="464">
  <si>
    <t>TOTAL</t>
  </si>
  <si>
    <t xml:space="preserve">TOTAL </t>
  </si>
  <si>
    <t>Somme empruntée</t>
  </si>
  <si>
    <t>Montant</t>
  </si>
  <si>
    <t>Intérêt produit</t>
  </si>
  <si>
    <t xml:space="preserve">Dates </t>
  </si>
  <si>
    <t>Somme remboursée</t>
  </si>
  <si>
    <t>Montant à rembourser</t>
  </si>
  <si>
    <t>Nom et Prénom</t>
  </si>
  <si>
    <t>Date</t>
  </si>
  <si>
    <t>Cotisation</t>
  </si>
  <si>
    <t>Mtant achat</t>
  </si>
  <si>
    <t>Nom &amp; Prénom</t>
  </si>
  <si>
    <t>Reliquat Juil</t>
  </si>
  <si>
    <t>Total disponible</t>
  </si>
  <si>
    <t>Solde en caisse</t>
  </si>
  <si>
    <t>cotisation</t>
  </si>
  <si>
    <t xml:space="preserve">Total </t>
  </si>
  <si>
    <t>Disponible</t>
  </si>
  <si>
    <t>REMBOURSEMENTS ET EMPRUNTS DES SOUS-PRODUITS</t>
  </si>
  <si>
    <t xml:space="preserve">Mt achat </t>
  </si>
  <si>
    <t>Net à percev</t>
  </si>
  <si>
    <t xml:space="preserve">Mt du lot </t>
  </si>
  <si>
    <t>NOM</t>
  </si>
  <si>
    <t>DETTE</t>
  </si>
  <si>
    <t>Nbre de part</t>
  </si>
  <si>
    <t>Mtant d'une part</t>
  </si>
  <si>
    <t>Net à percevoir</t>
  </si>
  <si>
    <t>:::::::::::::::::::</t>
  </si>
  <si>
    <t>BILAN DE LA TONTINE VENTE</t>
  </si>
  <si>
    <t>reliquat fev</t>
  </si>
  <si>
    <t>reliquat mar</t>
  </si>
  <si>
    <t>reliquat avr</t>
  </si>
  <si>
    <t>mtant achat</t>
  </si>
  <si>
    <t>reliquat</t>
  </si>
  <si>
    <t>TOTINE AVEC RETENUE</t>
  </si>
  <si>
    <t xml:space="preserve">KOUATCHO </t>
  </si>
  <si>
    <t>HOTCHO BENJAMIN</t>
  </si>
  <si>
    <t>NGONDIEP CLAUDE</t>
  </si>
  <si>
    <t>BOUTCHOUANG WILLIAM</t>
  </si>
  <si>
    <t>SIMO PIERRE</t>
  </si>
  <si>
    <t>PATEGO NJOSSU GUSTAVE</t>
  </si>
  <si>
    <t>HENGUE PAUL OMER</t>
  </si>
  <si>
    <t xml:space="preserve">DJOMO JEAN PAUL </t>
  </si>
  <si>
    <t>INTERETS DISTRIBUES</t>
  </si>
  <si>
    <t>TROP PERCU</t>
  </si>
  <si>
    <t>SIME BRICE</t>
  </si>
  <si>
    <t>ANNEE 2023</t>
  </si>
  <si>
    <t>nombre de parts</t>
  </si>
  <si>
    <t>19 fevrier 2023</t>
  </si>
  <si>
    <t>20 aout 2023</t>
  </si>
  <si>
    <t>17 decembre 2023</t>
  </si>
  <si>
    <t>SITUATION FONDS DES MEMBRES DEC 2022</t>
  </si>
  <si>
    <t>SITUATION FONDS DES MEMBRES DE2022</t>
  </si>
  <si>
    <t>SITUATION FONDS DES MEMBRES</t>
  </si>
  <si>
    <t>N°</t>
  </si>
  <si>
    <t>NOMS ET PRENOMS</t>
  </si>
  <si>
    <t>FONDS</t>
  </si>
  <si>
    <t>RECONDUCTIONS</t>
  </si>
  <si>
    <t>DECEMBRE 2022</t>
  </si>
  <si>
    <t>JANVIER 2023</t>
  </si>
  <si>
    <t>FEVRIER 2023</t>
  </si>
  <si>
    <t>MARS 2023</t>
  </si>
  <si>
    <t>AVRIL 2023</t>
  </si>
  <si>
    <t>MAI 2023</t>
  </si>
  <si>
    <t>JUIN 2023</t>
  </si>
  <si>
    <t>JUILLET 2023</t>
  </si>
  <si>
    <t>AOUT 2023</t>
  </si>
  <si>
    <t>SEPTEMBRE 2023</t>
  </si>
  <si>
    <t>OCTOBRE 2023</t>
  </si>
  <si>
    <t>NOVEMBRE 2023</t>
  </si>
  <si>
    <t>DECEMBRE 2023</t>
  </si>
  <si>
    <t>SYNTHESE ANNUELLE</t>
  </si>
  <si>
    <t>INTERET</t>
  </si>
  <si>
    <t>CUMUL</t>
  </si>
  <si>
    <t>EPARGNE</t>
  </si>
  <si>
    <t>RECONDUCTION</t>
  </si>
  <si>
    <t>EPARGNE ANNUELLE</t>
  </si>
  <si>
    <t>RETRAIT FOND</t>
  </si>
  <si>
    <t>RETRAIT MUTUEL</t>
  </si>
  <si>
    <t>RETRAIT FOYER</t>
  </si>
  <si>
    <t>RETRAIT PENALITE</t>
  </si>
  <si>
    <t>SAISIE REMB</t>
  </si>
  <si>
    <t>RESTE</t>
  </si>
  <si>
    <t>NOUVEAU FONDS</t>
  </si>
  <si>
    <t>NAP</t>
  </si>
  <si>
    <t>MONTANT DECHARGE</t>
  </si>
  <si>
    <t>REPORT A NOUVEAU</t>
  </si>
  <si>
    <t>ASELBY</t>
  </si>
  <si>
    <t>DJOMOU TCHANDA</t>
  </si>
  <si>
    <t>DJOUKWE NANGUEN GUY BLAISE</t>
  </si>
  <si>
    <t>DJUOMBESSY ANTOINE</t>
  </si>
  <si>
    <t>DOMOU FABIEN</t>
  </si>
  <si>
    <t>DONHOU DAVID</t>
  </si>
  <si>
    <t>KOUAMOU MOISE</t>
  </si>
  <si>
    <t>KOUATCHO MESSACK</t>
  </si>
  <si>
    <t>LOWE JEAN</t>
  </si>
  <si>
    <t>MBOGNING TUGMA GUY</t>
  </si>
  <si>
    <t>NANGUEN MARTIN</t>
  </si>
  <si>
    <t>NANKAM APPOLINAIRE</t>
  </si>
  <si>
    <t>NDJOMO ETIENNE</t>
  </si>
  <si>
    <t>NGUIEMEGNI MATHIEU BLAISE</t>
  </si>
  <si>
    <t>NKAMGANG JUSTIN DEJOLIE</t>
  </si>
  <si>
    <t>NKEPSEU DIEUDONNE</t>
  </si>
  <si>
    <t>SIMO FONGANG ERIC</t>
  </si>
  <si>
    <t>TCHOUAMOU MATHIEU</t>
  </si>
  <si>
    <t>YEPMOU JEAN JACQUES</t>
  </si>
  <si>
    <t>YOUMBI EMMANUEL</t>
  </si>
  <si>
    <t>TOTAL 1</t>
  </si>
  <si>
    <t>NKEHE DAVID</t>
  </si>
  <si>
    <t>TIEYAM ERNEST</t>
  </si>
  <si>
    <t>BAKOP ACHILLE</t>
  </si>
  <si>
    <t>NGONGANG JEAN THEODORE</t>
  </si>
  <si>
    <t>NGANHOU JEAN</t>
  </si>
  <si>
    <t>FOTSO THOMAS</t>
  </si>
  <si>
    <t>TOTAL 2</t>
  </si>
  <si>
    <t>TOTAL 1+2</t>
  </si>
  <si>
    <t>80000 DE NGANHOU JEAN</t>
  </si>
  <si>
    <t>PRETS ET REMBOURSEMENTS 2023</t>
  </si>
  <si>
    <t>CUMUL ANNUEL</t>
  </si>
  <si>
    <t xml:space="preserve">PRETS </t>
  </si>
  <si>
    <t>REMBOURSEMENT</t>
  </si>
  <si>
    <t>INTERET PAYE</t>
  </si>
  <si>
    <t>MONTANT</t>
  </si>
  <si>
    <t>DJOUKWE NANGUEN GUY BL</t>
  </si>
  <si>
    <t>NGUIEMEGNI MATHIEU B</t>
  </si>
  <si>
    <t>NKAMGANG JUSTIN DEJ</t>
  </si>
  <si>
    <t>PATEGO NJOSSU GUST</t>
  </si>
  <si>
    <t>TCHOUANTE FRANCOIS</t>
  </si>
  <si>
    <t>NJIEPDJIO DELUXE</t>
  </si>
  <si>
    <t>TCHINGUE FABRICE</t>
  </si>
  <si>
    <t>LIBELLES</t>
  </si>
  <si>
    <t>MONTANT A PAYER</t>
  </si>
  <si>
    <t>PAYE EN ESPECE</t>
  </si>
  <si>
    <t>EN COMPTE</t>
  </si>
  <si>
    <t>PAYE PAR CHEQUE</t>
  </si>
  <si>
    <t>SOLDE CCA AU 30/12/22</t>
  </si>
  <si>
    <t>Observations</t>
  </si>
  <si>
    <t>VERSEMENTS</t>
  </si>
  <si>
    <t>CAISSE JANVIER 2023</t>
  </si>
  <si>
    <t>SOLDE CCA AU 30/12/23</t>
  </si>
  <si>
    <t>SOLDE CCA AU 30/12/24</t>
  </si>
  <si>
    <t>CAISSE FEVRIER 2023</t>
  </si>
  <si>
    <t>CAISSE MARS 2023</t>
  </si>
  <si>
    <t>SOLDE CCA AU 30/12/25</t>
  </si>
  <si>
    <t>SOLDE CCA AU 30/12/26</t>
  </si>
  <si>
    <t>SOLDE CCA AU 30/12/27</t>
  </si>
  <si>
    <t>CAISSE AVRIL 2023</t>
  </si>
  <si>
    <t>CAISSE MAI 2023</t>
  </si>
  <si>
    <t>CAISSE JUIN 2023</t>
  </si>
  <si>
    <t>CAISSE JUILLET 2023</t>
  </si>
  <si>
    <t>CAISSE AOUT 2023</t>
  </si>
  <si>
    <t>CAISSE SEPTEMBRE 2023</t>
  </si>
  <si>
    <t>CAISSE OCTOBRE 2023</t>
  </si>
  <si>
    <t>CAISSE NOVEMBRE 2023</t>
  </si>
  <si>
    <t>SOLDE CCA AU 30/12/28</t>
  </si>
  <si>
    <t>CAISSE DECEMBRE 2023</t>
  </si>
  <si>
    <t>COTISATION FOYER</t>
  </si>
  <si>
    <t>NOUVEAU</t>
  </si>
  <si>
    <t>FEV 2022</t>
  </si>
  <si>
    <t>AOUT 2022</t>
  </si>
  <si>
    <t>DEC 2022</t>
  </si>
  <si>
    <t>TOTAL COTISE</t>
  </si>
  <si>
    <t>RESTE A COTISER</t>
  </si>
  <si>
    <t>NGUIEMEGNI MATHIEU BL</t>
  </si>
  <si>
    <t>SEUMOU POLYCARPE</t>
  </si>
  <si>
    <t>NOUBE ETIENNE</t>
  </si>
  <si>
    <t>SOLDE</t>
  </si>
  <si>
    <t>F R</t>
  </si>
  <si>
    <t>F EX</t>
  </si>
  <si>
    <t>COLL</t>
  </si>
  <si>
    <t>T PRESENCE</t>
  </si>
  <si>
    <t>T 75</t>
  </si>
  <si>
    <t>T 100</t>
  </si>
  <si>
    <t>REMB PRÊT</t>
  </si>
  <si>
    <t>DEPOT</t>
  </si>
  <si>
    <t>PENALITE</t>
  </si>
  <si>
    <t>INTERET PRÊT</t>
  </si>
  <si>
    <t>FOYER</t>
  </si>
  <si>
    <t>TOTAL VERSE</t>
  </si>
  <si>
    <t>COTISE</t>
  </si>
  <si>
    <t>REMB</t>
  </si>
  <si>
    <t>ESPECE</t>
  </si>
  <si>
    <t>BANQUE</t>
  </si>
  <si>
    <t>TCHEMHOU EMMANUEL</t>
  </si>
  <si>
    <t>CHINGUE FABRICE</t>
  </si>
  <si>
    <t>KOUAMOU EMMANUEL</t>
  </si>
  <si>
    <t>TCHOUTOU NANA CLAUDE</t>
  </si>
  <si>
    <t>BROUILLARD DE CAISSE 15 JANVIER 2023</t>
  </si>
  <si>
    <t>BROUILLARD DE CAISSE DU 19 MARS 2023</t>
  </si>
  <si>
    <t>BROUILLARD DE CAISSE DU 16 AVRIL 2023</t>
  </si>
  <si>
    <t>BROUILLARD DE CAISSE DU 21 MAI 2023</t>
  </si>
  <si>
    <t>BROUILLARD DE CAISSE DU 18 JUIN 2023</t>
  </si>
  <si>
    <t>BROUILLARD DE CAISSE DU 16 JUILLET 2023</t>
  </si>
  <si>
    <t>BROUILLARD DE CAISSE DU 17 SEPTEMBRE 2023</t>
  </si>
  <si>
    <t>BROUILLARD DE CAISSE DU 15 OCTOBRE 2023</t>
  </si>
  <si>
    <t>BROUILLARD DE CAISSE DU 19 NOVEMBRE 2023</t>
  </si>
  <si>
    <t>BROUILLARD DE CAISSE DU17 DECEMBRE 2023</t>
  </si>
  <si>
    <t>SYNTHESE ANNUELLE 2023</t>
  </si>
  <si>
    <t>OPERATION DE CASSATION</t>
  </si>
  <si>
    <t>T75</t>
  </si>
  <si>
    <t>T100</t>
  </si>
  <si>
    <t>DJOUKWE GUY</t>
  </si>
  <si>
    <t>PATEGO GUSTAVE</t>
  </si>
  <si>
    <t>YOUMBI EMMANUEL 1</t>
  </si>
  <si>
    <t>YOUMBI EMMANUEL 2</t>
  </si>
  <si>
    <t>KOUATCHO</t>
  </si>
  <si>
    <t>MBOGNING GUY</t>
  </si>
  <si>
    <t>DJUOMBISSY ANTOINE</t>
  </si>
  <si>
    <t>NGUIEMENI MATHIEU BLAISE 1</t>
  </si>
  <si>
    <t>NGUIEMENI MATHIEU BLAISE 2</t>
  </si>
  <si>
    <t>reliquat Janvier</t>
  </si>
  <si>
    <t>reliquat Février</t>
  </si>
  <si>
    <t>RELIQUAT MARS</t>
  </si>
  <si>
    <t>reliquat AVRIL</t>
  </si>
  <si>
    <t>RELIQUAT MAI</t>
  </si>
  <si>
    <t>DJOMO JEAN PAUL</t>
  </si>
  <si>
    <t>DJUOMBISSY ANTOINE 1</t>
  </si>
  <si>
    <t>DJUOMBISSY ANTOINE 2</t>
  </si>
  <si>
    <t>NDJOMO ETIENNE 1</t>
  </si>
  <si>
    <t>NDJOMO ETIENNE 2</t>
  </si>
  <si>
    <t>NGUIEMENI MATHIEU BALISE</t>
  </si>
  <si>
    <t>SIME PIERRE</t>
  </si>
  <si>
    <t xml:space="preserve"> </t>
  </si>
  <si>
    <t>YANTCHOU GERVAIS</t>
  </si>
  <si>
    <t>MUTUELLE</t>
  </si>
  <si>
    <t>DJOMO TCHAPDA</t>
  </si>
  <si>
    <t>DJOUKWEU GUY B</t>
  </si>
  <si>
    <t>NGUIEMENI MATHIEU B</t>
  </si>
  <si>
    <t>MBAKOP ACHILLE</t>
  </si>
  <si>
    <t>YEPMO JEAN JACQUES</t>
  </si>
  <si>
    <t>TCHOUTOU NANA</t>
  </si>
  <si>
    <t>NGUIEMENI M B</t>
  </si>
  <si>
    <t>NGONDIEP CL</t>
  </si>
  <si>
    <t>DJOMO JEAN P</t>
  </si>
  <si>
    <t>NGUIEMENI</t>
  </si>
  <si>
    <t>NGONDIEP</t>
  </si>
  <si>
    <t>MBOGNING</t>
  </si>
  <si>
    <t>DJOMO JP</t>
  </si>
  <si>
    <t>NKAMGANG J D</t>
  </si>
  <si>
    <t>DJOUKWEU G</t>
  </si>
  <si>
    <t>DJOMO FRANCOIS</t>
  </si>
  <si>
    <t>TONTINE DE PRESENCE</t>
  </si>
  <si>
    <t>NKAMGANG JUSTIN D</t>
  </si>
  <si>
    <t>INTERET T PRESENCE</t>
  </si>
  <si>
    <t>DJOUKWEU GUY</t>
  </si>
  <si>
    <t>BENEF T 100</t>
  </si>
  <si>
    <t xml:space="preserve">NBOGNING GUY </t>
  </si>
  <si>
    <t>INTERET T 100</t>
  </si>
  <si>
    <t>BENEFICIAIRE T 75</t>
  </si>
  <si>
    <t>INTERET T 75</t>
  </si>
  <si>
    <t>INTERET T75</t>
  </si>
  <si>
    <t xml:space="preserve">NDJOMO ETIENNE </t>
  </si>
  <si>
    <t>TAXI BANQUE</t>
  </si>
  <si>
    <t>COLLATION FEVRIER</t>
  </si>
  <si>
    <t>NGONGANG JEAN THIEDOR</t>
  </si>
  <si>
    <t>tchoutou nana</t>
  </si>
  <si>
    <t>solde après retrait 4337431</t>
  </si>
  <si>
    <t>solde CCA</t>
  </si>
  <si>
    <t>VERSEMENTS en banque</t>
  </si>
  <si>
    <t>difference entre mon solde et le solde en banque</t>
  </si>
  <si>
    <t>12fevrier 2023</t>
  </si>
  <si>
    <t>12 fevrier 2023</t>
  </si>
  <si>
    <t>BROUILLARD DE CAISSE 12 FEVRIER 2023</t>
  </si>
  <si>
    <t>BOGNING</t>
  </si>
  <si>
    <t>HOTCHO</t>
  </si>
  <si>
    <t>NKAMGANG</t>
  </si>
  <si>
    <t>NGUIEMENI MATHIEU</t>
  </si>
  <si>
    <t>saisie et impression rapports</t>
  </si>
  <si>
    <t>commision du 22-1-23</t>
  </si>
  <si>
    <t>commission du 06--02-2023</t>
  </si>
  <si>
    <t>benef tontine presence</t>
  </si>
  <si>
    <t>gratiffication du bureau</t>
  </si>
  <si>
    <t>kouamou moise</t>
  </si>
  <si>
    <t>BENEF T75</t>
  </si>
  <si>
    <t>HOTCHO Benjamin</t>
  </si>
  <si>
    <t>BENEFICIAIRE T 100</t>
  </si>
  <si>
    <t>int presence</t>
  </si>
  <si>
    <t>OBSEQUES</t>
  </si>
  <si>
    <t>500000 PRÊT MBOUTCHOUANG</t>
  </si>
  <si>
    <t>70000 FOYER</t>
  </si>
  <si>
    <t>70000 FOYER 30000 INTERET PRÊT</t>
  </si>
  <si>
    <t>PRÊT</t>
  </si>
  <si>
    <t>EN COMPTE (RECONDUCTION)</t>
  </si>
  <si>
    <t>DJOMO Jean Paul</t>
  </si>
  <si>
    <t>djuombissy antoine</t>
  </si>
  <si>
    <t xml:space="preserve">NGONDIEP </t>
  </si>
  <si>
    <t>TCHOUAMOU</t>
  </si>
  <si>
    <t>TCHOUMOU MATHIEU</t>
  </si>
  <si>
    <t>TONTINE DE 75000</t>
  </si>
  <si>
    <t>RETENUE 892500 POUR SON REMBOURSEMENT</t>
  </si>
  <si>
    <t>DJOUOMBISSI ANTOINE</t>
  </si>
  <si>
    <t>TONTINE DE 100000</t>
  </si>
  <si>
    <t>TONTINE JP</t>
  </si>
  <si>
    <t>PRESENCE</t>
  </si>
  <si>
    <t>FOYER 70000</t>
  </si>
  <si>
    <t>INT T 100000</t>
  </si>
  <si>
    <t>A KOUATCHO</t>
  </si>
  <si>
    <t>107500 COMPLEMENT REMB</t>
  </si>
  <si>
    <t>VERSEMENT FOYER</t>
  </si>
  <si>
    <t>66000 A REMETTRE A HOTCHO</t>
  </si>
  <si>
    <t>kouatcho</t>
  </si>
  <si>
    <t>Tchouamou mat</t>
  </si>
  <si>
    <t>Djoukweu</t>
  </si>
  <si>
    <t>Djoukweu guy</t>
  </si>
  <si>
    <t>Djomo francois</t>
  </si>
  <si>
    <t>Djomo jean p</t>
  </si>
  <si>
    <t>Nguiemeni Mb</t>
  </si>
  <si>
    <t>887000 Retenus pour avance dette M LOWE</t>
  </si>
  <si>
    <t>70000 foyer, 157500 solde dette Epargne</t>
  </si>
  <si>
    <t>Intérêt présence</t>
  </si>
  <si>
    <t>INT T75000</t>
  </si>
  <si>
    <t>colLATION Mai</t>
  </si>
  <si>
    <t>RETOUR FONDS MOIS PASSE</t>
  </si>
  <si>
    <t>70000 foyer</t>
  </si>
  <si>
    <t>nguiemeni</t>
  </si>
  <si>
    <t>Djumbissy</t>
  </si>
  <si>
    <t>lowe</t>
  </si>
  <si>
    <t>Ngondiep</t>
  </si>
  <si>
    <t>Hotcho</t>
  </si>
  <si>
    <t>sime pierre</t>
  </si>
  <si>
    <t>djomo etienne</t>
  </si>
  <si>
    <t>Djuimbissy</t>
  </si>
  <si>
    <t>tontine de 100000</t>
  </si>
  <si>
    <t>déces beau père</t>
  </si>
  <si>
    <t>Djuombissy antoine</t>
  </si>
  <si>
    <t>déces belle mère</t>
  </si>
  <si>
    <t>tontine de présence</t>
  </si>
  <si>
    <t>tontine de presence</t>
  </si>
  <si>
    <t>interet t100</t>
  </si>
  <si>
    <t>interet t75</t>
  </si>
  <si>
    <t>prêt</t>
  </si>
  <si>
    <t>colLATION juin</t>
  </si>
  <si>
    <t>interet presence</t>
  </si>
  <si>
    <t>INTERET PRÊT POUR 3 MOIS</t>
  </si>
  <si>
    <t>COLLATION MARS</t>
  </si>
  <si>
    <t>PRÊTS EN CIRCULATION</t>
  </si>
  <si>
    <t>REMBOURSEMENT PRÊT</t>
  </si>
  <si>
    <t>RUBRIQUES</t>
  </si>
  <si>
    <t>ENTREES</t>
  </si>
  <si>
    <t>SORTIES</t>
  </si>
  <si>
    <t>SOLDES</t>
  </si>
  <si>
    <t>FONDS DE CAISSE ET RELIQUAT</t>
  </si>
  <si>
    <t>FONDS DE ROULEMENT</t>
  </si>
  <si>
    <t>FRAIS EXCEPTIONNELS</t>
  </si>
  <si>
    <t>INSCRIPTION</t>
  </si>
  <si>
    <t>PENALITES</t>
  </si>
  <si>
    <t>COLLATION</t>
  </si>
  <si>
    <t>RECOUVREMENT LAGWEU</t>
  </si>
  <si>
    <t>INTERETS PRETS ET AUTRES</t>
  </si>
  <si>
    <t>TONTINE DE 100 000</t>
  </si>
  <si>
    <t>ANCIENNES TONTINES</t>
  </si>
  <si>
    <t>SURPLUS DE CAISSE</t>
  </si>
  <si>
    <t>Ndjomo etienne</t>
  </si>
  <si>
    <t>Youmbi emmanuel</t>
  </si>
  <si>
    <t>youmbi emmanuel</t>
  </si>
  <si>
    <t>BOGNING Guy</t>
  </si>
  <si>
    <t>en caisse</t>
  </si>
  <si>
    <t>DJUOMBESSY</t>
  </si>
  <si>
    <t>NANKAM</t>
  </si>
  <si>
    <t>djuombessy</t>
  </si>
  <si>
    <t>caisse</t>
  </si>
  <si>
    <t>bakop</t>
  </si>
  <si>
    <t>NDJOMO ETIENNE (bogning)</t>
  </si>
  <si>
    <t>NDJOMO ETIENNE(bogning)</t>
  </si>
  <si>
    <t>int t 75</t>
  </si>
  <si>
    <t>mbogning</t>
  </si>
  <si>
    <t>djoumbessy antoine</t>
  </si>
  <si>
    <t>nankam appolinaire</t>
  </si>
  <si>
    <t>int t presence</t>
  </si>
  <si>
    <t>commission   du 16-6-2023</t>
  </si>
  <si>
    <t>aide JELBY</t>
  </si>
  <si>
    <t>saisie rapport commission</t>
  </si>
  <si>
    <t>collation juillet</t>
  </si>
  <si>
    <t>pris en complement de son remboursement</t>
  </si>
  <si>
    <t>BAKOP Achille</t>
  </si>
  <si>
    <t xml:space="preserve">hengue </t>
  </si>
  <si>
    <t>ngondiep claude</t>
  </si>
  <si>
    <t>hengue</t>
  </si>
  <si>
    <t>HENGUE PAUL</t>
  </si>
  <si>
    <t>BAKOP</t>
  </si>
  <si>
    <t>INTERET T 75000</t>
  </si>
  <si>
    <t>COMMISSION NUIT DES ELITES</t>
  </si>
  <si>
    <t>BROUILLARD DE CAISSE DU 27 AOUT 2023</t>
  </si>
  <si>
    <t>21 aout 2023</t>
  </si>
  <si>
    <t>27 aout 2023</t>
  </si>
  <si>
    <t>SIME FONGANG ERIC</t>
  </si>
  <si>
    <t>27  aout 2023</t>
  </si>
  <si>
    <t>CAISSE</t>
  </si>
  <si>
    <t>INT T 75</t>
  </si>
  <si>
    <t>INT T100</t>
  </si>
  <si>
    <t>ECHARPES</t>
  </si>
  <si>
    <t>LEGALISATION</t>
  </si>
  <si>
    <t>NB 5451000 POUR CE JOUR ET LE RESTE AU COURANT DU MOIS PASSE</t>
  </si>
  <si>
    <t>seumou polycarpe</t>
  </si>
  <si>
    <t>Noube etienne</t>
  </si>
  <si>
    <t>ndomo etienne</t>
  </si>
  <si>
    <t>mboutchouang</t>
  </si>
  <si>
    <t>nankam</t>
  </si>
  <si>
    <t>djoumbissy antoine</t>
  </si>
  <si>
    <t>ndjomo etienne</t>
  </si>
  <si>
    <t>foyer 70000 et fonds 177500</t>
  </si>
  <si>
    <t>NOUBE Etienne</t>
  </si>
  <si>
    <t>foyer 70000 et fonds 227500</t>
  </si>
  <si>
    <t>foyer70000</t>
  </si>
  <si>
    <t>Mboutchouang william</t>
  </si>
  <si>
    <t>intérêt tontine de 75000</t>
  </si>
  <si>
    <t>interêt tontine de 100000</t>
  </si>
  <si>
    <t>intérêt tontine de 100000</t>
  </si>
  <si>
    <t>collation moi prochain</t>
  </si>
  <si>
    <t xml:space="preserve">confection écharpes  </t>
  </si>
  <si>
    <t>MBOUTCOUANG</t>
  </si>
  <si>
    <t>YANTCHOU</t>
  </si>
  <si>
    <t>PREFINANCEMENT NUITS DES ELITES</t>
  </si>
  <si>
    <t>2500 MISE A PRIX, 70000 FOYER, 227500 DANS SON FOND</t>
  </si>
  <si>
    <t>REUNION BUREAU</t>
  </si>
  <si>
    <t>COMMISSION DE MBOUTCHOUANG</t>
  </si>
  <si>
    <t>ASELBY NUIT DES ELITES</t>
  </si>
  <si>
    <t>RECEPTION NUIT DES ELITES</t>
  </si>
  <si>
    <t>A VERSER A OPTIMUM</t>
  </si>
  <si>
    <t>A REMBOURSER</t>
  </si>
  <si>
    <t>INTERETS T75</t>
  </si>
  <si>
    <t>COLLATION ASELBY</t>
  </si>
  <si>
    <t>CONTRIBUTION PROJET PATEGO</t>
  </si>
  <si>
    <t>RECEPTION NUIT DES ELITES PATEGO</t>
  </si>
  <si>
    <t>PATEGO Gustave</t>
  </si>
  <si>
    <t xml:space="preserve">kouatcho </t>
  </si>
  <si>
    <t>DOHOU DAVID</t>
  </si>
  <si>
    <t>COLLATION DECEMBRE</t>
  </si>
  <si>
    <t>DEJOLIE</t>
  </si>
  <si>
    <t>COMPLEMENT COLLATION</t>
  </si>
  <si>
    <t>INT TONTINE DE PRESENCE</t>
  </si>
  <si>
    <t>AS201648</t>
  </si>
  <si>
    <t>AS201601</t>
  </si>
  <si>
    <t>AS201602</t>
  </si>
  <si>
    <t>AS201604</t>
  </si>
  <si>
    <t>AS201654</t>
  </si>
  <si>
    <t>AS201605</t>
  </si>
  <si>
    <t>AS201608</t>
  </si>
  <si>
    <t>AS201651</t>
  </si>
  <si>
    <t>AS201609</t>
  </si>
  <si>
    <t>AS201611</t>
  </si>
  <si>
    <t>AS201613</t>
  </si>
  <si>
    <t>AS201617</t>
  </si>
  <si>
    <t>AS201619</t>
  </si>
  <si>
    <t>AS201620</t>
  </si>
  <si>
    <t>AS201649</t>
  </si>
  <si>
    <t>AS201639</t>
  </si>
  <si>
    <t>AS201621</t>
  </si>
  <si>
    <t>AS201622</t>
  </si>
  <si>
    <t>AS201624</t>
  </si>
  <si>
    <t>AS201626</t>
  </si>
  <si>
    <t>AS201628</t>
  </si>
  <si>
    <t>AS201656</t>
  </si>
  <si>
    <t>AS201633</t>
  </si>
  <si>
    <t>AS201653</t>
  </si>
  <si>
    <t>AS201638</t>
  </si>
  <si>
    <t>AS201641</t>
  </si>
  <si>
    <t>AS201646</t>
  </si>
  <si>
    <t>AS201647</t>
  </si>
  <si>
    <t>AS201643</t>
  </si>
  <si>
    <t>AS201657</t>
  </si>
  <si>
    <t>AS201658</t>
  </si>
  <si>
    <t>AS201636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</si>
</sst>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3" formatCode="_-* #,##0.00\ _€_-;\-* #,##0.00\ _€_-;_-* &quot;-&quot;??\ _€_-;_-@_-"/>
    <numFmt numFmtId="164" formatCode="_-* #,##0\ _€_-;\-* #,##0\ _€_-;_-* &quot;-&quot;??\ _€_-;_-@_-"/>
    <numFmt numFmtId="165" formatCode="[$-40C]d\ mmmm\ yyyy;@"/>
    <numFmt numFmtId="166" formatCode="[$-40C]d\-mmm\-yyyy;@"/>
    <numFmt numFmtId="167" formatCode="[$-12C0C]d\ mmmm\ yyyy;@"/>
    <numFmt numFmtId="168" formatCode="0.0"/>
  </numFmts>
  <fonts count="3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0"/>
      <color rgb="FFFA7D00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Book Antiqua"/>
      <family val="1"/>
    </font>
    <font>
      <b/>
      <sz val="10"/>
      <color rgb="FFFF0000"/>
      <name val="Book Antiqua"/>
      <family val="1"/>
    </font>
    <font>
      <b/>
      <sz val="8"/>
      <color theme="1"/>
      <name val="Book Antiqua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2"/>
      <color theme="1"/>
      <name val="Arabic Typesetting"/>
      <family val="4"/>
    </font>
    <font>
      <b/>
      <sz val="16"/>
      <color theme="1"/>
      <name val="Calibri"/>
      <family val="2"/>
      <scheme val="minor"/>
    </font>
    <font>
      <b/>
      <sz val="8"/>
      <color theme="1"/>
      <name val="Angsana New"/>
      <family val="1"/>
    </font>
    <font>
      <sz val="8"/>
      <color rgb="FFFF0000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14"/>
      <color theme="1"/>
      <name val="Calibri"/>
      <family val="2"/>
      <scheme val="minor"/>
    </font>
    <font>
      <sz val="12"/>
      <color theme="1"/>
      <name val="Book Antiqua"/>
      <family val="1"/>
    </font>
    <font>
      <sz val="11"/>
      <color theme="1"/>
      <name val="Britannic Bold"/>
      <family val="2"/>
    </font>
  </fonts>
  <fills count="22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B050"/>
        <bgColor indexed="64"/>
      </patternFill>
    </fill>
  </fills>
  <borders count="33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3F3F3F"/>
      </left>
      <right/>
      <top style="thin">
        <color rgb="FF3F3F3F"/>
      </top>
      <bottom style="thin">
        <color rgb="FF3F3F3F"/>
      </bottom>
      <diagonal/>
    </border>
    <border>
      <left/>
      <right/>
      <top style="thin">
        <color rgb="FF3F3F3F"/>
      </top>
      <bottom style="thin">
        <color rgb="FF3F3F3F"/>
      </bottom>
      <diagonal/>
    </border>
    <border>
      <left/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3F3F3F"/>
      </top>
      <bottom/>
      <diagonal/>
    </border>
    <border>
      <left style="thin">
        <color rgb="FFB2B2B2"/>
      </left>
      <right/>
      <top style="thin">
        <color rgb="FF3F3F3F"/>
      </top>
      <bottom style="thin">
        <color rgb="FFB2B2B2"/>
      </bottom>
      <diagonal/>
    </border>
    <border>
      <left/>
      <right style="thin">
        <color rgb="FFB2B2B2"/>
      </right>
      <top style="thin">
        <color rgb="FF3F3F3F"/>
      </top>
      <bottom style="thin">
        <color rgb="FFB2B2B2"/>
      </bottom>
      <diagonal/>
    </border>
    <border>
      <left style="thin">
        <color rgb="FFB2B2B2"/>
      </left>
      <right/>
      <top style="thin">
        <color rgb="FF3F3F3F"/>
      </top>
      <bottom/>
      <diagonal/>
    </border>
    <border>
      <left style="thin">
        <color rgb="FFB2B2B2"/>
      </left>
      <right/>
      <top/>
      <bottom style="thin">
        <color rgb="FFB2B2B2"/>
      </bottom>
      <diagonal/>
    </border>
    <border>
      <left/>
      <right style="thin">
        <color rgb="FFB2B2B2"/>
      </right>
      <top style="thin">
        <color rgb="FF3F3F3F"/>
      </top>
      <bottom/>
      <diagonal/>
    </border>
    <border>
      <left/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/>
      <diagonal/>
    </border>
    <border>
      <left style="thin">
        <color rgb="FFB2B2B2"/>
      </left>
      <right style="thin">
        <color rgb="FFB2B2B2"/>
      </right>
      <top/>
      <bottom/>
      <diagonal/>
    </border>
    <border>
      <left/>
      <right style="thin">
        <color rgb="FFB2B2B2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B2B2B2"/>
      </right>
      <top style="thin">
        <color rgb="FFB2B2B2"/>
      </top>
      <bottom/>
      <diagonal/>
    </border>
    <border>
      <left/>
      <right/>
      <top style="thin">
        <color rgb="FF7F7F7F"/>
      </top>
      <bottom style="thin">
        <color rgb="FF7F7F7F"/>
      </bottom>
      <diagonal/>
    </border>
    <border>
      <left/>
      <right style="thin">
        <color rgb="FFB2B2B2"/>
      </right>
      <top style="thin">
        <color rgb="FF7F7F7F"/>
      </top>
      <bottom/>
      <diagonal/>
    </border>
    <border>
      <left/>
      <right style="thin">
        <color rgb="FFB2B2B2"/>
      </right>
      <top/>
      <bottom style="thin">
        <color rgb="FF7F7F7F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5" fillId="2" borderId="1" applyNumberFormat="0" applyAlignment="0" applyProtection="0"/>
    <xf numFmtId="0" fontId="1" fillId="3" borderId="2" applyNumberFormat="0" applyFont="0" applyAlignment="0" applyProtection="0"/>
    <xf numFmtId="0" fontId="15" fillId="2" borderId="17" applyNumberFormat="0" applyAlignment="0" applyProtection="0"/>
  </cellStyleXfs>
  <cellXfs count="300">
    <xf numFmtId="0" fontId="0" fillId="0" borderId="0" xfId="0"/>
    <xf numFmtId="0" fontId="2" fillId="0" borderId="0" xfId="0" applyFont="1"/>
    <xf numFmtId="0" fontId="0" fillId="0" borderId="0" xfId="0" applyFont="1"/>
    <xf numFmtId="0" fontId="4" fillId="0" borderId="0" xfId="0" applyFont="1"/>
    <xf numFmtId="0" fontId="5" fillId="2" borderId="1" xfId="2"/>
    <xf numFmtId="0" fontId="7" fillId="3" borderId="2" xfId="3" applyFont="1" applyAlignment="1">
      <alignment horizontal="center"/>
    </xf>
    <xf numFmtId="0" fontId="7" fillId="3" borderId="2" xfId="3" applyFont="1"/>
    <xf numFmtId="0" fontId="0" fillId="3" borderId="2" xfId="3" applyFont="1"/>
    <xf numFmtId="9" fontId="5" fillId="2" borderId="1" xfId="2" applyNumberFormat="1"/>
    <xf numFmtId="0" fontId="3" fillId="0" borderId="0" xfId="0" applyFont="1"/>
    <xf numFmtId="0" fontId="9" fillId="0" borderId="0" xfId="0" applyFont="1"/>
    <xf numFmtId="0" fontId="3" fillId="7" borderId="0" xfId="0" applyFont="1" applyFill="1"/>
    <xf numFmtId="0" fontId="3" fillId="9" borderId="0" xfId="0" applyFont="1" applyFill="1"/>
    <xf numFmtId="0" fontId="2" fillId="9" borderId="0" xfId="0" applyFont="1" applyFill="1"/>
    <xf numFmtId="0" fontId="2" fillId="8" borderId="0" xfId="0" applyFont="1" applyFill="1"/>
    <xf numFmtId="0" fontId="10" fillId="3" borderId="2" xfId="3" applyFont="1" applyAlignment="1">
      <alignment horizontal="center"/>
    </xf>
    <xf numFmtId="0" fontId="0" fillId="0" borderId="0" xfId="0"/>
    <xf numFmtId="0" fontId="0" fillId="3" borderId="2" xfId="3" applyFont="1" applyAlignment="1"/>
    <xf numFmtId="0" fontId="2" fillId="11" borderId="0" xfId="0" applyFont="1" applyFill="1"/>
    <xf numFmtId="0" fontId="3" fillId="9" borderId="2" xfId="3" applyFont="1" applyFill="1"/>
    <xf numFmtId="0" fontId="0" fillId="4" borderId="0" xfId="0" applyFill="1"/>
    <xf numFmtId="0" fontId="0" fillId="12" borderId="0" xfId="0" applyFill="1"/>
    <xf numFmtId="0" fontId="3" fillId="12" borderId="0" xfId="0" applyFont="1" applyFill="1"/>
    <xf numFmtId="1" fontId="3" fillId="5" borderId="0" xfId="0" applyNumberFormat="1" applyFont="1" applyFill="1"/>
    <xf numFmtId="1" fontId="0" fillId="0" borderId="0" xfId="0" applyNumberFormat="1"/>
    <xf numFmtId="0" fontId="0" fillId="3" borderId="2" xfId="3" applyFont="1"/>
    <xf numFmtId="0" fontId="15" fillId="2" borderId="17" xfId="4"/>
    <xf numFmtId="0" fontId="8" fillId="2" borderId="17" xfId="4" applyFont="1"/>
    <xf numFmtId="1" fontId="9" fillId="0" borderId="0" xfId="0" applyNumberFormat="1" applyFont="1"/>
    <xf numFmtId="0" fontId="6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center" wrapText="1"/>
    </xf>
    <xf numFmtId="0" fontId="9" fillId="0" borderId="0" xfId="0" applyFont="1" applyAlignment="1">
      <alignment wrapText="1"/>
    </xf>
    <xf numFmtId="0" fontId="0" fillId="3" borderId="2" xfId="3" applyFont="1"/>
    <xf numFmtId="0" fontId="0" fillId="3" borderId="2" xfId="3" applyFont="1"/>
    <xf numFmtId="17" fontId="2" fillId="5" borderId="0" xfId="0" applyNumberFormat="1" applyFont="1" applyFill="1" applyAlignment="1">
      <alignment horizontal="center"/>
    </xf>
    <xf numFmtId="0" fontId="2" fillId="5" borderId="0" xfId="0" applyFont="1" applyFill="1" applyAlignment="1">
      <alignment horizontal="center"/>
    </xf>
    <xf numFmtId="0" fontId="17" fillId="2" borderId="17" xfId="4" applyFont="1"/>
    <xf numFmtId="0" fontId="0" fillId="3" borderId="2" xfId="3" applyFont="1"/>
    <xf numFmtId="0" fontId="0" fillId="3" borderId="2" xfId="3" applyFont="1"/>
    <xf numFmtId="0" fontId="0" fillId="3" borderId="2" xfId="3" applyFont="1"/>
    <xf numFmtId="0" fontId="0" fillId="3" borderId="2" xfId="3" applyFont="1"/>
    <xf numFmtId="0" fontId="0" fillId="3" borderId="2" xfId="3" applyFont="1"/>
    <xf numFmtId="0" fontId="0" fillId="3" borderId="2" xfId="3" applyFont="1"/>
    <xf numFmtId="0" fontId="0" fillId="3" borderId="2" xfId="3" applyFont="1"/>
    <xf numFmtId="0" fontId="0" fillId="3" borderId="2" xfId="3" applyFont="1"/>
    <xf numFmtId="0" fontId="0" fillId="3" borderId="2" xfId="3" applyFont="1"/>
    <xf numFmtId="0" fontId="0" fillId="3" borderId="2" xfId="3" applyFont="1"/>
    <xf numFmtId="0" fontId="0" fillId="3" borderId="2" xfId="3" applyFont="1"/>
    <xf numFmtId="0" fontId="0" fillId="3" borderId="2" xfId="3" applyFont="1"/>
    <xf numFmtId="0" fontId="0" fillId="3" borderId="2" xfId="3" applyFont="1"/>
    <xf numFmtId="0" fontId="0" fillId="3" borderId="2" xfId="3" applyFont="1"/>
    <xf numFmtId="0" fontId="0" fillId="3" borderId="2" xfId="3" applyFont="1"/>
    <xf numFmtId="0" fontId="0" fillId="3" borderId="2" xfId="3" applyFont="1"/>
    <xf numFmtId="0" fontId="0" fillId="3" borderId="2" xfId="3" applyFont="1"/>
    <xf numFmtId="0" fontId="0" fillId="3" borderId="2" xfId="3" applyFont="1"/>
    <xf numFmtId="0" fontId="0" fillId="3" borderId="2" xfId="3" applyFont="1"/>
    <xf numFmtId="0" fontId="0" fillId="3" borderId="2" xfId="3" applyFont="1"/>
    <xf numFmtId="0" fontId="0" fillId="3" borderId="2" xfId="3" applyFont="1"/>
    <xf numFmtId="0" fontId="0" fillId="3" borderId="2" xfId="3" applyFont="1"/>
    <xf numFmtId="0" fontId="0" fillId="3" borderId="2" xfId="3" applyFont="1"/>
    <xf numFmtId="0" fontId="0" fillId="3" borderId="2" xfId="3" applyFont="1"/>
    <xf numFmtId="0" fontId="0" fillId="3" borderId="2" xfId="3" applyFont="1"/>
    <xf numFmtId="0" fontId="0" fillId="3" borderId="2" xfId="3" applyFont="1"/>
    <xf numFmtId="0" fontId="0" fillId="3" borderId="2" xfId="3" applyFont="1"/>
    <xf numFmtId="17" fontId="2" fillId="5" borderId="0" xfId="0" applyNumberFormat="1" applyFont="1" applyFill="1" applyAlignment="1">
      <alignment horizontal="center"/>
    </xf>
    <xf numFmtId="0" fontId="0" fillId="3" borderId="2" xfId="3" applyFont="1"/>
    <xf numFmtId="0" fontId="0" fillId="3" borderId="2" xfId="3" applyFont="1"/>
    <xf numFmtId="0" fontId="0" fillId="3" borderId="2" xfId="3" applyFont="1"/>
    <xf numFmtId="0" fontId="0" fillId="3" borderId="2" xfId="3" applyFont="1"/>
    <xf numFmtId="0" fontId="0" fillId="3" borderId="2" xfId="3" applyFont="1"/>
    <xf numFmtId="0" fontId="0" fillId="3" borderId="2" xfId="3" applyFont="1"/>
    <xf numFmtId="0" fontId="0" fillId="3" borderId="2" xfId="3" applyFont="1"/>
    <xf numFmtId="0" fontId="2" fillId="5" borderId="0" xfId="0" applyFont="1" applyFill="1" applyAlignment="1">
      <alignment horizontal="center"/>
    </xf>
    <xf numFmtId="0" fontId="0" fillId="11" borderId="18" xfId="0" applyFill="1" applyBorder="1"/>
    <xf numFmtId="0" fontId="0" fillId="11" borderId="18" xfId="0" applyFont="1" applyFill="1" applyBorder="1"/>
    <xf numFmtId="0" fontId="16" fillId="11" borderId="18" xfId="0" applyFont="1" applyFill="1" applyBorder="1"/>
    <xf numFmtId="0" fontId="0" fillId="11" borderId="0" xfId="0" applyFill="1" applyBorder="1"/>
    <xf numFmtId="0" fontId="0" fillId="0" borderId="0" xfId="0" applyBorder="1"/>
    <xf numFmtId="166" fontId="2" fillId="11" borderId="0" xfId="0" applyNumberFormat="1" applyFont="1" applyFill="1" applyAlignment="1">
      <alignment horizontal="center"/>
    </xf>
    <xf numFmtId="0" fontId="18" fillId="0" borderId="18" xfId="0" applyFont="1" applyBorder="1"/>
    <xf numFmtId="0" fontId="0" fillId="0" borderId="18" xfId="0" applyBorder="1"/>
    <xf numFmtId="0" fontId="19" fillId="0" borderId="0" xfId="0" applyFont="1" applyAlignment="1"/>
    <xf numFmtId="0" fontId="19" fillId="0" borderId="18" xfId="0" applyFont="1" applyBorder="1"/>
    <xf numFmtId="0" fontId="19" fillId="0" borderId="18" xfId="0" applyFont="1" applyBorder="1" applyAlignment="1">
      <alignment horizontal="center" vertical="center" wrapText="1"/>
    </xf>
    <xf numFmtId="164" fontId="19" fillId="0" borderId="18" xfId="1" applyNumberFormat="1" applyFont="1" applyBorder="1" applyAlignment="1">
      <alignment horizontal="center" vertical="center" wrapText="1"/>
    </xf>
    <xf numFmtId="0" fontId="19" fillId="0" borderId="18" xfId="0" applyFont="1" applyBorder="1" applyAlignment="1">
      <alignment horizontal="center" wrapText="1"/>
    </xf>
    <xf numFmtId="164" fontId="19" fillId="0" borderId="18" xfId="1" applyNumberFormat="1" applyFont="1" applyBorder="1" applyAlignment="1">
      <alignment horizontal="center" wrapText="1"/>
    </xf>
    <xf numFmtId="164" fontId="19" fillId="0" borderId="18" xfId="1" applyNumberFormat="1" applyFont="1" applyBorder="1"/>
    <xf numFmtId="3" fontId="19" fillId="0" borderId="18" xfId="0" applyNumberFormat="1" applyFont="1" applyBorder="1"/>
    <xf numFmtId="164" fontId="19" fillId="0" borderId="18" xfId="0" applyNumberFormat="1" applyFont="1" applyBorder="1"/>
    <xf numFmtId="164" fontId="19" fillId="13" borderId="26" xfId="0" applyNumberFormat="1" applyFont="1" applyFill="1" applyBorder="1" applyAlignment="1"/>
    <xf numFmtId="164" fontId="19" fillId="13" borderId="18" xfId="1" applyNumberFormat="1" applyFont="1" applyFill="1" applyBorder="1"/>
    <xf numFmtId="0" fontId="19" fillId="14" borderId="18" xfId="0" applyFont="1" applyFill="1" applyBorder="1"/>
    <xf numFmtId="164" fontId="19" fillId="14" borderId="18" xfId="1" applyNumberFormat="1" applyFont="1" applyFill="1" applyBorder="1"/>
    <xf numFmtId="3" fontId="20" fillId="14" borderId="18" xfId="0" applyNumberFormat="1" applyFont="1" applyFill="1" applyBorder="1"/>
    <xf numFmtId="164" fontId="19" fillId="11" borderId="18" xfId="1" applyNumberFormat="1" applyFont="1" applyFill="1" applyBorder="1"/>
    <xf numFmtId="3" fontId="19" fillId="14" borderId="18" xfId="0" applyNumberFormat="1" applyFont="1" applyFill="1" applyBorder="1"/>
    <xf numFmtId="0" fontId="19" fillId="14" borderId="28" xfId="0" applyFont="1" applyFill="1" applyBorder="1"/>
    <xf numFmtId="164" fontId="19" fillId="14" borderId="29" xfId="1" applyNumberFormat="1" applyFont="1" applyFill="1" applyBorder="1"/>
    <xf numFmtId="3" fontId="19" fillId="14" borderId="28" xfId="0" applyNumberFormat="1" applyFont="1" applyFill="1" applyBorder="1"/>
    <xf numFmtId="0" fontId="19" fillId="14" borderId="30" xfId="0" applyFont="1" applyFill="1" applyBorder="1"/>
    <xf numFmtId="164" fontId="19" fillId="14" borderId="30" xfId="1" applyNumberFormat="1" applyFont="1" applyFill="1" applyBorder="1"/>
    <xf numFmtId="3" fontId="19" fillId="14" borderId="30" xfId="0" applyNumberFormat="1" applyFont="1" applyFill="1" applyBorder="1"/>
    <xf numFmtId="164" fontId="19" fillId="0" borderId="30" xfId="1" applyNumberFormat="1" applyFont="1" applyBorder="1"/>
    <xf numFmtId="164" fontId="19" fillId="11" borderId="30" xfId="1" applyNumberFormat="1" applyFont="1" applyFill="1" applyBorder="1"/>
    <xf numFmtId="0" fontId="19" fillId="13" borderId="18" xfId="0" applyFont="1" applyFill="1" applyBorder="1"/>
    <xf numFmtId="164" fontId="19" fillId="13" borderId="18" xfId="0" applyNumberFormat="1" applyFont="1" applyFill="1" applyBorder="1"/>
    <xf numFmtId="0" fontId="21" fillId="0" borderId="18" xfId="0" applyFont="1" applyBorder="1" applyAlignment="1">
      <alignment horizontal="center"/>
    </xf>
    <xf numFmtId="0" fontId="21" fillId="0" borderId="18" xfId="0" applyFont="1" applyBorder="1"/>
    <xf numFmtId="0" fontId="21" fillId="11" borderId="18" xfId="0" applyFont="1" applyFill="1" applyBorder="1"/>
    <xf numFmtId="164" fontId="21" fillId="11" borderId="18" xfId="1" applyNumberFormat="1" applyFont="1" applyFill="1" applyBorder="1" applyAlignment="1">
      <alignment horizontal="center" vertical="center"/>
    </xf>
    <xf numFmtId="0" fontId="21" fillId="0" borderId="18" xfId="0" applyFont="1" applyBorder="1" applyAlignment="1">
      <alignment horizontal="center" vertical="center"/>
    </xf>
    <xf numFmtId="164" fontId="21" fillId="0" borderId="18" xfId="1" applyNumberFormat="1" applyFont="1" applyBorder="1"/>
    <xf numFmtId="0" fontId="21" fillId="15" borderId="18" xfId="0" applyFont="1" applyFill="1" applyBorder="1"/>
    <xf numFmtId="164" fontId="21" fillId="15" borderId="18" xfId="1" applyNumberFormat="1" applyFont="1" applyFill="1" applyBorder="1"/>
    <xf numFmtId="0" fontId="6" fillId="0" borderId="18" xfId="0" applyFont="1" applyBorder="1" applyAlignment="1">
      <alignment horizontal="center" vertical="center" wrapText="1"/>
    </xf>
    <xf numFmtId="164" fontId="0" fillId="0" borderId="18" xfId="1" applyNumberFormat="1" applyFont="1" applyBorder="1"/>
    <xf numFmtId="164" fontId="24" fillId="0" borderId="29" xfId="1" applyNumberFormat="1" applyFont="1" applyBorder="1"/>
    <xf numFmtId="164" fontId="24" fillId="0" borderId="29" xfId="1" applyNumberFormat="1" applyFont="1" applyBorder="1" applyAlignment="1">
      <alignment wrapText="1"/>
    </xf>
    <xf numFmtId="164" fontId="0" fillId="0" borderId="18" xfId="1" applyNumberFormat="1" applyFont="1" applyBorder="1" applyAlignment="1">
      <alignment wrapText="1"/>
    </xf>
    <xf numFmtId="164" fontId="0" fillId="11" borderId="18" xfId="1" applyNumberFormat="1" applyFont="1" applyFill="1" applyBorder="1"/>
    <xf numFmtId="0" fontId="6" fillId="0" borderId="18" xfId="0" applyFont="1" applyBorder="1"/>
    <xf numFmtId="3" fontId="0" fillId="11" borderId="18" xfId="0" applyNumberFormat="1" applyFont="1" applyFill="1" applyBorder="1"/>
    <xf numFmtId="164" fontId="0" fillId="0" borderId="18" xfId="0" applyNumberFormat="1" applyFont="1" applyBorder="1"/>
    <xf numFmtId="164" fontId="6" fillId="0" borderId="18" xfId="0" applyNumberFormat="1" applyFont="1" applyBorder="1" applyAlignment="1"/>
    <xf numFmtId="164" fontId="6" fillId="0" borderId="18" xfId="1" applyNumberFormat="1" applyFont="1" applyBorder="1"/>
    <xf numFmtId="164" fontId="6" fillId="0" borderId="18" xfId="1" applyNumberFormat="1" applyFont="1" applyBorder="1" applyAlignment="1">
      <alignment horizontal="center"/>
    </xf>
    <xf numFmtId="0" fontId="6" fillId="0" borderId="0" xfId="0" applyFont="1"/>
    <xf numFmtId="17" fontId="6" fillId="0" borderId="18" xfId="0" applyNumberFormat="1" applyFont="1" applyBorder="1"/>
    <xf numFmtId="0" fontId="14" fillId="0" borderId="18" xfId="0" applyFont="1" applyBorder="1"/>
    <xf numFmtId="164" fontId="14" fillId="0" borderId="18" xfId="1" applyNumberFormat="1" applyFont="1" applyBorder="1"/>
    <xf numFmtId="164" fontId="14" fillId="0" borderId="18" xfId="0" applyNumberFormat="1" applyFont="1" applyBorder="1"/>
    <xf numFmtId="164" fontId="14" fillId="6" borderId="18" xfId="0" applyNumberFormat="1" applyFont="1" applyFill="1" applyBorder="1"/>
    <xf numFmtId="0" fontId="0" fillId="0" borderId="0" xfId="0" applyAlignment="1"/>
    <xf numFmtId="164" fontId="14" fillId="11" borderId="18" xfId="1" applyNumberFormat="1" applyFont="1" applyFill="1" applyBorder="1"/>
    <xf numFmtId="0" fontId="14" fillId="0" borderId="0" xfId="0" applyFont="1"/>
    <xf numFmtId="0" fontId="11" fillId="0" borderId="18" xfId="0" applyFont="1" applyBorder="1"/>
    <xf numFmtId="0" fontId="26" fillId="0" borderId="18" xfId="0" applyFont="1" applyBorder="1"/>
    <xf numFmtId="0" fontId="26" fillId="0" borderId="18" xfId="0" applyFont="1" applyFill="1" applyBorder="1"/>
    <xf numFmtId="164" fontId="14" fillId="16" borderId="18" xfId="1" applyNumberFormat="1" applyFont="1" applyFill="1" applyBorder="1"/>
    <xf numFmtId="0" fontId="19" fillId="16" borderId="18" xfId="0" applyFont="1" applyFill="1" applyBorder="1"/>
    <xf numFmtId="0" fontId="19" fillId="16" borderId="18" xfId="0" applyFont="1" applyFill="1" applyBorder="1" applyAlignment="1">
      <alignment horizontal="center" vertical="center" wrapText="1"/>
    </xf>
    <xf numFmtId="164" fontId="19" fillId="16" borderId="18" xfId="1" applyNumberFormat="1" applyFont="1" applyFill="1" applyBorder="1" applyAlignment="1">
      <alignment horizontal="center" vertical="center" wrapText="1"/>
    </xf>
    <xf numFmtId="164" fontId="19" fillId="16" borderId="18" xfId="1" applyNumberFormat="1" applyFont="1" applyFill="1" applyBorder="1"/>
    <xf numFmtId="0" fontId="19" fillId="0" borderId="27" xfId="0" applyFont="1" applyBorder="1"/>
    <xf numFmtId="164" fontId="19" fillId="16" borderId="26" xfId="1" applyNumberFormat="1" applyFont="1" applyFill="1" applyBorder="1"/>
    <xf numFmtId="0" fontId="11" fillId="0" borderId="0" xfId="0" applyFont="1"/>
    <xf numFmtId="164" fontId="14" fillId="17" borderId="18" xfId="1" applyNumberFormat="1" applyFont="1" applyFill="1" applyBorder="1"/>
    <xf numFmtId="164" fontId="27" fillId="11" borderId="18" xfId="1" applyNumberFormat="1" applyFont="1" applyFill="1" applyBorder="1"/>
    <xf numFmtId="164" fontId="28" fillId="17" borderId="18" xfId="1" applyNumberFormat="1" applyFont="1" applyFill="1" applyBorder="1"/>
    <xf numFmtId="0" fontId="18" fillId="17" borderId="18" xfId="0" applyFont="1" applyFill="1" applyBorder="1"/>
    <xf numFmtId="164" fontId="0" fillId="17" borderId="18" xfId="1" applyNumberFormat="1" applyFont="1" applyFill="1" applyBorder="1"/>
    <xf numFmtId="0" fontId="0" fillId="17" borderId="18" xfId="0" applyFill="1" applyBorder="1"/>
    <xf numFmtId="164" fontId="29" fillId="11" borderId="18" xfId="1" applyNumberFormat="1" applyFont="1" applyFill="1" applyBorder="1"/>
    <xf numFmtId="164" fontId="0" fillId="0" borderId="0" xfId="1" applyNumberFormat="1" applyFont="1"/>
    <xf numFmtId="0" fontId="11" fillId="18" borderId="18" xfId="0" applyFont="1" applyFill="1" applyBorder="1"/>
    <xf numFmtId="0" fontId="26" fillId="18" borderId="18" xfId="0" applyFont="1" applyFill="1" applyBorder="1"/>
    <xf numFmtId="164" fontId="14" fillId="18" borderId="18" xfId="1" applyNumberFormat="1" applyFont="1" applyFill="1" applyBorder="1"/>
    <xf numFmtId="164" fontId="28" fillId="18" borderId="18" xfId="1" applyNumberFormat="1" applyFont="1" applyFill="1" applyBorder="1"/>
    <xf numFmtId="164" fontId="0" fillId="9" borderId="18" xfId="1" applyNumberFormat="1" applyFont="1" applyFill="1" applyBorder="1"/>
    <xf numFmtId="0" fontId="11" fillId="11" borderId="18" xfId="0" applyFont="1" applyFill="1" applyBorder="1"/>
    <xf numFmtId="0" fontId="26" fillId="11" borderId="18" xfId="0" applyFont="1" applyFill="1" applyBorder="1"/>
    <xf numFmtId="164" fontId="28" fillId="11" borderId="18" xfId="1" applyNumberFormat="1" applyFont="1" applyFill="1" applyBorder="1"/>
    <xf numFmtId="0" fontId="26" fillId="19" borderId="18" xfId="0" applyFont="1" applyFill="1" applyBorder="1"/>
    <xf numFmtId="164" fontId="14" fillId="20" borderId="18" xfId="1" applyNumberFormat="1" applyFont="1" applyFill="1" applyBorder="1"/>
    <xf numFmtId="0" fontId="0" fillId="3" borderId="15" xfId="3" applyFont="1" applyBorder="1"/>
    <xf numFmtId="0" fontId="0" fillId="17" borderId="18" xfId="0" applyFont="1" applyFill="1" applyBorder="1"/>
    <xf numFmtId="0" fontId="26" fillId="9" borderId="18" xfId="0" applyFont="1" applyFill="1" applyBorder="1"/>
    <xf numFmtId="164" fontId="27" fillId="17" borderId="18" xfId="1" applyNumberFormat="1" applyFont="1" applyFill="1" applyBorder="1"/>
    <xf numFmtId="0" fontId="26" fillId="17" borderId="18" xfId="0" applyFont="1" applyFill="1" applyBorder="1"/>
    <xf numFmtId="164" fontId="15" fillId="2" borderId="17" xfId="1" applyNumberFormat="1" applyFont="1" applyFill="1" applyBorder="1"/>
    <xf numFmtId="164" fontId="0" fillId="0" borderId="18" xfId="0" applyNumberFormat="1" applyBorder="1"/>
    <xf numFmtId="0" fontId="32" fillId="0" borderId="18" xfId="0" applyFont="1" applyBorder="1" applyAlignment="1">
      <alignment horizontal="center" vertical="center" wrapText="1"/>
    </xf>
    <xf numFmtId="0" fontId="33" fillId="0" borderId="18" xfId="0" applyFont="1" applyBorder="1"/>
    <xf numFmtId="0" fontId="6" fillId="11" borderId="0" xfId="0" applyFont="1" applyFill="1"/>
    <xf numFmtId="0" fontId="0" fillId="11" borderId="0" xfId="0" applyFill="1"/>
    <xf numFmtId="0" fontId="14" fillId="11" borderId="18" xfId="0" applyFont="1" applyFill="1" applyBorder="1"/>
    <xf numFmtId="164" fontId="14" fillId="11" borderId="18" xfId="0" applyNumberFormat="1" applyFont="1" applyFill="1" applyBorder="1"/>
    <xf numFmtId="0" fontId="0" fillId="11" borderId="0" xfId="0" applyFill="1" applyAlignment="1"/>
    <xf numFmtId="0" fontId="0" fillId="12" borderId="18" xfId="0" applyFill="1" applyBorder="1"/>
    <xf numFmtId="0" fontId="6" fillId="12" borderId="18" xfId="0" applyFont="1" applyFill="1" applyBorder="1" applyAlignment="1">
      <alignment horizontal="center" vertical="center" wrapText="1"/>
    </xf>
    <xf numFmtId="164" fontId="0" fillId="12" borderId="18" xfId="1" applyNumberFormat="1" applyFont="1" applyFill="1" applyBorder="1"/>
    <xf numFmtId="164" fontId="24" fillId="12" borderId="29" xfId="1" applyNumberFormat="1" applyFont="1" applyFill="1" applyBorder="1"/>
    <xf numFmtId="164" fontId="24" fillId="12" borderId="29" xfId="1" applyNumberFormat="1" applyFont="1" applyFill="1" applyBorder="1" applyAlignment="1">
      <alignment wrapText="1"/>
    </xf>
    <xf numFmtId="164" fontId="0" fillId="12" borderId="18" xfId="1" applyNumberFormat="1" applyFont="1" applyFill="1" applyBorder="1" applyAlignment="1">
      <alignment wrapText="1"/>
    </xf>
    <xf numFmtId="0" fontId="6" fillId="11" borderId="18" xfId="0" applyFont="1" applyFill="1" applyBorder="1" applyAlignment="1">
      <alignment horizontal="center" vertical="center" wrapText="1"/>
    </xf>
    <xf numFmtId="164" fontId="24" fillId="11" borderId="29" xfId="1" applyNumberFormat="1" applyFont="1" applyFill="1" applyBorder="1"/>
    <xf numFmtId="164" fontId="24" fillId="11" borderId="29" xfId="1" applyNumberFormat="1" applyFont="1" applyFill="1" applyBorder="1" applyAlignment="1">
      <alignment wrapText="1"/>
    </xf>
    <xf numFmtId="164" fontId="0" fillId="11" borderId="18" xfId="1" applyNumberFormat="1" applyFont="1" applyFill="1" applyBorder="1" applyAlignment="1">
      <alignment wrapText="1"/>
    </xf>
    <xf numFmtId="0" fontId="0" fillId="11" borderId="2" xfId="3" applyFont="1" applyFill="1"/>
    <xf numFmtId="164" fontId="29" fillId="17" borderId="18" xfId="1" applyNumberFormat="1" applyFont="1" applyFill="1" applyBorder="1"/>
    <xf numFmtId="0" fontId="29" fillId="17" borderId="18" xfId="0" applyFont="1" applyFill="1" applyBorder="1"/>
    <xf numFmtId="0" fontId="0" fillId="6" borderId="18" xfId="0" applyFill="1" applyBorder="1"/>
    <xf numFmtId="0" fontId="6" fillId="6" borderId="18" xfId="0" applyFont="1" applyFill="1" applyBorder="1" applyAlignment="1">
      <alignment horizontal="center" vertical="center" wrapText="1"/>
    </xf>
    <xf numFmtId="164" fontId="0" fillId="6" borderId="18" xfId="1" applyNumberFormat="1" applyFont="1" applyFill="1" applyBorder="1"/>
    <xf numFmtId="164" fontId="24" fillId="6" borderId="29" xfId="1" applyNumberFormat="1" applyFont="1" applyFill="1" applyBorder="1"/>
    <xf numFmtId="164" fontId="24" fillId="6" borderId="29" xfId="1" applyNumberFormat="1" applyFont="1" applyFill="1" applyBorder="1" applyAlignment="1">
      <alignment wrapText="1"/>
    </xf>
    <xf numFmtId="164" fontId="0" fillId="6" borderId="18" xfId="1" applyNumberFormat="1" applyFont="1" applyFill="1" applyBorder="1" applyAlignment="1">
      <alignment wrapText="1"/>
    </xf>
    <xf numFmtId="0" fontId="11" fillId="12" borderId="18" xfId="0" applyFont="1" applyFill="1" applyBorder="1"/>
    <xf numFmtId="0" fontId="26" fillId="12" borderId="18" xfId="0" applyFont="1" applyFill="1" applyBorder="1"/>
    <xf numFmtId="164" fontId="14" fillId="12" borderId="18" xfId="1" applyNumberFormat="1" applyFont="1" applyFill="1" applyBorder="1"/>
    <xf numFmtId="0" fontId="14" fillId="12" borderId="18" xfId="0" applyFont="1" applyFill="1" applyBorder="1"/>
    <xf numFmtId="164" fontId="14" fillId="12" borderId="18" xfId="0" applyNumberFormat="1" applyFont="1" applyFill="1" applyBorder="1"/>
    <xf numFmtId="0" fontId="0" fillId="21" borderId="0" xfId="0" applyFill="1"/>
    <xf numFmtId="168" fontId="25" fillId="15" borderId="0" xfId="0" applyNumberFormat="1" applyFont="1" applyFill="1"/>
    <xf numFmtId="1" fontId="25" fillId="13" borderId="0" xfId="0" applyNumberFormat="1" applyFont="1" applyFill="1"/>
    <xf numFmtId="2" fontId="25" fillId="13" borderId="0" xfId="0" applyNumberFormat="1" applyFont="1" applyFill="1"/>
    <xf numFmtId="0" fontId="34" fillId="0" borderId="0" xfId="0" applyFont="1"/>
    <xf numFmtId="0" fontId="11" fillId="0" borderId="30" xfId="0" applyFont="1" applyBorder="1" applyAlignment="1">
      <alignment horizontal="center" vertical="center"/>
    </xf>
    <xf numFmtId="0" fontId="11" fillId="0" borderId="29" xfId="0" applyFont="1" applyBorder="1" applyAlignment="1">
      <alignment horizontal="center" vertical="center"/>
    </xf>
    <xf numFmtId="0" fontId="11" fillId="0" borderId="25" xfId="0" applyFont="1" applyBorder="1" applyAlignment="1">
      <alignment horizontal="center"/>
    </xf>
    <xf numFmtId="0" fontId="11" fillId="0" borderId="27" xfId="0" applyFont="1" applyBorder="1" applyAlignment="1">
      <alignment horizontal="center"/>
    </xf>
    <xf numFmtId="0" fontId="11" fillId="0" borderId="26" xfId="0" applyFont="1" applyBorder="1" applyAlignment="1">
      <alignment horizontal="center"/>
    </xf>
    <xf numFmtId="0" fontId="25" fillId="15" borderId="0" xfId="0" applyFont="1" applyFill="1" applyAlignment="1">
      <alignment horizontal="center"/>
    </xf>
    <xf numFmtId="0" fontId="11" fillId="11" borderId="30" xfId="0" applyFont="1" applyFill="1" applyBorder="1" applyAlignment="1">
      <alignment horizontal="center" vertical="center"/>
    </xf>
    <xf numFmtId="0" fontId="11" fillId="11" borderId="29" xfId="0" applyFont="1" applyFill="1" applyBorder="1" applyAlignment="1">
      <alignment horizontal="center" vertical="center"/>
    </xf>
    <xf numFmtId="0" fontId="11" fillId="11" borderId="25" xfId="0" applyFont="1" applyFill="1" applyBorder="1" applyAlignment="1">
      <alignment horizontal="center"/>
    </xf>
    <xf numFmtId="0" fontId="11" fillId="11" borderId="26" xfId="0" applyFont="1" applyFill="1" applyBorder="1" applyAlignment="1">
      <alignment horizontal="center"/>
    </xf>
    <xf numFmtId="0" fontId="11" fillId="11" borderId="27" xfId="0" applyFont="1" applyFill="1" applyBorder="1" applyAlignment="1">
      <alignment horizontal="center"/>
    </xf>
    <xf numFmtId="0" fontId="25" fillId="11" borderId="0" xfId="0" applyFont="1" applyFill="1" applyAlignment="1">
      <alignment horizontal="center"/>
    </xf>
    <xf numFmtId="0" fontId="11" fillId="12" borderId="30" xfId="0" applyFont="1" applyFill="1" applyBorder="1" applyAlignment="1">
      <alignment horizontal="center" vertical="center"/>
    </xf>
    <xf numFmtId="0" fontId="11" fillId="12" borderId="29" xfId="0" applyFont="1" applyFill="1" applyBorder="1" applyAlignment="1">
      <alignment horizontal="center" vertical="center"/>
    </xf>
    <xf numFmtId="0" fontId="11" fillId="12" borderId="25" xfId="0" applyFont="1" applyFill="1" applyBorder="1" applyAlignment="1">
      <alignment horizontal="center"/>
    </xf>
    <xf numFmtId="0" fontId="11" fillId="12" borderId="26" xfId="0" applyFont="1" applyFill="1" applyBorder="1" applyAlignment="1">
      <alignment horizontal="center"/>
    </xf>
    <xf numFmtId="0" fontId="11" fillId="12" borderId="27" xfId="0" applyFont="1" applyFill="1" applyBorder="1" applyAlignment="1">
      <alignment horizontal="center"/>
    </xf>
    <xf numFmtId="0" fontId="11" fillId="0" borderId="30" xfId="0" applyFont="1" applyBorder="1" applyAlignment="1">
      <alignment horizontal="center"/>
    </xf>
    <xf numFmtId="0" fontId="11" fillId="0" borderId="29" xfId="0" applyFont="1" applyBorder="1" applyAlignment="1">
      <alignment horizontal="center"/>
    </xf>
    <xf numFmtId="15" fontId="3" fillId="3" borderId="14" xfId="3" applyNumberFormat="1" applyFont="1" applyBorder="1" applyAlignment="1">
      <alignment horizontal="center" vertical="center"/>
    </xf>
    <xf numFmtId="0" fontId="3" fillId="3" borderId="15" xfId="3" applyFont="1" applyBorder="1" applyAlignment="1">
      <alignment horizontal="center" vertical="center"/>
    </xf>
    <xf numFmtId="0" fontId="3" fillId="3" borderId="3" xfId="3" applyFont="1" applyBorder="1" applyAlignment="1">
      <alignment horizontal="center" vertical="center"/>
    </xf>
    <xf numFmtId="0" fontId="2" fillId="6" borderId="0" xfId="0" applyFont="1" applyFill="1" applyAlignment="1">
      <alignment horizontal="center"/>
    </xf>
    <xf numFmtId="15" fontId="2" fillId="6" borderId="0" xfId="0" applyNumberFormat="1" applyFont="1" applyFill="1" applyAlignment="1">
      <alignment horizontal="center"/>
    </xf>
    <xf numFmtId="166" fontId="2" fillId="11" borderId="19" xfId="0" applyNumberFormat="1" applyFont="1" applyFill="1" applyBorder="1" applyAlignment="1">
      <alignment horizontal="center" vertical="center"/>
    </xf>
    <xf numFmtId="166" fontId="2" fillId="11" borderId="16" xfId="0" applyNumberFormat="1" applyFont="1" applyFill="1" applyBorder="1" applyAlignment="1">
      <alignment horizontal="center" vertical="center"/>
    </xf>
    <xf numFmtId="166" fontId="2" fillId="11" borderId="13" xfId="0" applyNumberFormat="1" applyFont="1" applyFill="1" applyBorder="1" applyAlignment="1">
      <alignment horizontal="center" vertical="center"/>
    </xf>
    <xf numFmtId="165" fontId="2" fillId="5" borderId="20" xfId="0" applyNumberFormat="1" applyFont="1" applyFill="1" applyBorder="1" applyAlignment="1">
      <alignment horizontal="center"/>
    </xf>
    <xf numFmtId="165" fontId="2" fillId="11" borderId="21" xfId="0" applyNumberFormat="1" applyFont="1" applyFill="1" applyBorder="1" applyAlignment="1">
      <alignment horizontal="center" vertical="center"/>
    </xf>
    <xf numFmtId="165" fontId="2" fillId="11" borderId="16" xfId="0" applyNumberFormat="1" applyFont="1" applyFill="1" applyBorder="1" applyAlignment="1">
      <alignment horizontal="center" vertical="center"/>
    </xf>
    <xf numFmtId="165" fontId="2" fillId="11" borderId="22" xfId="0" applyNumberFormat="1" applyFont="1" applyFill="1" applyBorder="1" applyAlignment="1">
      <alignment horizontal="center" vertical="center"/>
    </xf>
    <xf numFmtId="0" fontId="12" fillId="4" borderId="2" xfId="3" applyFont="1" applyFill="1" applyAlignment="1">
      <alignment horizontal="center" wrapText="1"/>
    </xf>
    <xf numFmtId="166" fontId="2" fillId="6" borderId="0" xfId="0" applyNumberFormat="1" applyFont="1" applyFill="1" applyAlignment="1">
      <alignment horizontal="center"/>
    </xf>
    <xf numFmtId="165" fontId="2" fillId="5" borderId="0" xfId="0" applyNumberFormat="1" applyFont="1" applyFill="1" applyAlignment="1">
      <alignment horizontal="center"/>
    </xf>
    <xf numFmtId="17" fontId="2" fillId="10" borderId="0" xfId="0" applyNumberFormat="1" applyFont="1" applyFill="1" applyAlignment="1">
      <alignment horizontal="center"/>
    </xf>
    <xf numFmtId="0" fontId="5" fillId="2" borderId="4" xfId="2" applyBorder="1" applyAlignment="1">
      <alignment horizontal="center"/>
    </xf>
    <xf numFmtId="0" fontId="5" fillId="2" borderId="5" xfId="2" applyBorder="1" applyAlignment="1">
      <alignment horizontal="center"/>
    </xf>
    <xf numFmtId="0" fontId="5" fillId="2" borderId="6" xfId="2" applyBorder="1" applyAlignment="1">
      <alignment horizontal="center"/>
    </xf>
    <xf numFmtId="0" fontId="3" fillId="5" borderId="0" xfId="0" applyFont="1" applyFill="1" applyAlignment="1">
      <alignment horizontal="center"/>
    </xf>
    <xf numFmtId="0" fontId="7" fillId="3" borderId="12" xfId="3" applyFont="1" applyBorder="1" applyAlignment="1">
      <alignment horizontal="center" vertical="center"/>
    </xf>
    <xf numFmtId="0" fontId="7" fillId="3" borderId="13" xfId="3" applyFont="1" applyBorder="1" applyAlignment="1">
      <alignment horizontal="center" vertical="center"/>
    </xf>
    <xf numFmtId="0" fontId="7" fillId="3" borderId="8" xfId="3" applyFont="1" applyBorder="1" applyAlignment="1">
      <alignment horizontal="center" wrapText="1"/>
    </xf>
    <xf numFmtId="0" fontId="7" fillId="3" borderId="9" xfId="3" applyFont="1" applyBorder="1" applyAlignment="1">
      <alignment horizontal="center" wrapText="1"/>
    </xf>
    <xf numFmtId="0" fontId="7" fillId="3" borderId="7" xfId="3" applyFont="1" applyBorder="1" applyAlignment="1">
      <alignment horizontal="center" vertical="center" wrapText="1"/>
    </xf>
    <xf numFmtId="0" fontId="7" fillId="3" borderId="3" xfId="3" applyFont="1" applyBorder="1" applyAlignment="1">
      <alignment horizontal="center" vertical="center" wrapText="1"/>
    </xf>
    <xf numFmtId="0" fontId="7" fillId="3" borderId="7" xfId="3" applyFont="1" applyBorder="1" applyAlignment="1">
      <alignment horizontal="center" wrapText="1"/>
    </xf>
    <xf numFmtId="0" fontId="7" fillId="3" borderId="3" xfId="3" applyFont="1" applyBorder="1" applyAlignment="1">
      <alignment horizontal="center" wrapText="1"/>
    </xf>
    <xf numFmtId="0" fontId="10" fillId="3" borderId="10" xfId="3" applyFont="1" applyBorder="1" applyAlignment="1">
      <alignment horizontal="center" vertical="center" wrapText="1"/>
    </xf>
    <xf numFmtId="0" fontId="10" fillId="3" borderId="11" xfId="3" applyFont="1" applyBorder="1" applyAlignment="1">
      <alignment horizontal="center" vertical="center" wrapText="1"/>
    </xf>
    <xf numFmtId="165" fontId="2" fillId="10" borderId="0" xfId="0" applyNumberFormat="1" applyFont="1" applyFill="1" applyAlignment="1">
      <alignment horizontal="center"/>
    </xf>
    <xf numFmtId="0" fontId="13" fillId="0" borderId="0" xfId="0" applyFont="1" applyAlignment="1">
      <alignment horizontal="center"/>
    </xf>
    <xf numFmtId="0" fontId="19" fillId="0" borderId="23" xfId="0" applyFont="1" applyBorder="1" applyAlignment="1">
      <alignment horizontal="center" vertical="center"/>
    </xf>
    <xf numFmtId="0" fontId="19" fillId="0" borderId="24" xfId="0" applyFont="1" applyBorder="1" applyAlignment="1">
      <alignment horizontal="center" vertical="center"/>
    </xf>
    <xf numFmtId="0" fontId="19" fillId="0" borderId="0" xfId="0" applyFont="1" applyBorder="1" applyAlignment="1">
      <alignment horizontal="center" vertical="center"/>
    </xf>
    <xf numFmtId="0" fontId="19" fillId="0" borderId="24" xfId="0" applyFont="1" applyBorder="1" applyAlignment="1">
      <alignment horizontal="center"/>
    </xf>
    <xf numFmtId="0" fontId="19" fillId="0" borderId="0" xfId="0" applyFont="1" applyBorder="1" applyAlignment="1">
      <alignment horizontal="center"/>
    </xf>
    <xf numFmtId="164" fontId="19" fillId="16" borderId="25" xfId="1" applyNumberFormat="1" applyFont="1" applyFill="1" applyBorder="1" applyAlignment="1">
      <alignment horizontal="center"/>
    </xf>
    <xf numFmtId="164" fontId="19" fillId="16" borderId="26" xfId="1" applyNumberFormat="1" applyFont="1" applyFill="1" applyBorder="1" applyAlignment="1">
      <alignment horizontal="center"/>
    </xf>
    <xf numFmtId="49" fontId="19" fillId="16" borderId="25" xfId="1" applyNumberFormat="1" applyFont="1" applyFill="1" applyBorder="1" applyAlignment="1">
      <alignment horizontal="center"/>
    </xf>
    <xf numFmtId="49" fontId="19" fillId="16" borderId="27" xfId="1" applyNumberFormat="1" applyFont="1" applyFill="1" applyBorder="1" applyAlignment="1">
      <alignment horizontal="center"/>
    </xf>
    <xf numFmtId="49" fontId="19" fillId="16" borderId="26" xfId="1" applyNumberFormat="1" applyFont="1" applyFill="1" applyBorder="1" applyAlignment="1">
      <alignment horizontal="center"/>
    </xf>
    <xf numFmtId="167" fontId="19" fillId="16" borderId="25" xfId="1" applyNumberFormat="1" applyFont="1" applyFill="1" applyBorder="1" applyAlignment="1">
      <alignment horizontal="center"/>
    </xf>
    <xf numFmtId="167" fontId="19" fillId="16" borderId="27" xfId="1" applyNumberFormat="1" applyFont="1" applyFill="1" applyBorder="1" applyAlignment="1">
      <alignment horizontal="center"/>
    </xf>
    <xf numFmtId="167" fontId="19" fillId="16" borderId="26" xfId="1" applyNumberFormat="1" applyFont="1" applyFill="1" applyBorder="1" applyAlignment="1">
      <alignment horizontal="center"/>
    </xf>
    <xf numFmtId="164" fontId="19" fillId="0" borderId="25" xfId="1" applyNumberFormat="1" applyFont="1" applyBorder="1" applyAlignment="1">
      <alignment horizontal="center"/>
    </xf>
    <xf numFmtId="164" fontId="19" fillId="0" borderId="27" xfId="1" applyNumberFormat="1" applyFont="1" applyBorder="1" applyAlignment="1">
      <alignment horizontal="center"/>
    </xf>
    <xf numFmtId="164" fontId="19" fillId="0" borderId="26" xfId="1" applyNumberFormat="1" applyFont="1" applyBorder="1" applyAlignment="1">
      <alignment horizontal="center"/>
    </xf>
    <xf numFmtId="0" fontId="19" fillId="13" borderId="25" xfId="0" applyFont="1" applyFill="1" applyBorder="1" applyAlignment="1">
      <alignment horizontal="center"/>
    </xf>
    <xf numFmtId="0" fontId="19" fillId="13" borderId="27" xfId="0" applyFont="1" applyFill="1" applyBorder="1" applyAlignment="1">
      <alignment horizontal="center"/>
    </xf>
    <xf numFmtId="0" fontId="19" fillId="16" borderId="31" xfId="0" applyFont="1" applyFill="1" applyBorder="1" applyAlignment="1">
      <alignment horizontal="center"/>
    </xf>
    <xf numFmtId="0" fontId="19" fillId="16" borderId="0" xfId="0" applyFont="1" applyFill="1" applyBorder="1" applyAlignment="1">
      <alignment horizontal="center"/>
    </xf>
    <xf numFmtId="0" fontId="19" fillId="0" borderId="30" xfId="0" applyFont="1" applyBorder="1" applyAlignment="1">
      <alignment horizontal="center" vertical="center" wrapText="1"/>
    </xf>
    <xf numFmtId="0" fontId="19" fillId="0" borderId="29" xfId="0" applyFont="1" applyBorder="1" applyAlignment="1">
      <alignment horizontal="center" vertical="center" wrapText="1"/>
    </xf>
    <xf numFmtId="0" fontId="19" fillId="0" borderId="31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0" fillId="0" borderId="30" xfId="0" applyBorder="1" applyAlignment="1">
      <alignment horizontal="center" wrapText="1"/>
    </xf>
    <xf numFmtId="0" fontId="0" fillId="0" borderId="32" xfId="0" applyBorder="1" applyAlignment="1">
      <alignment horizontal="center" wrapText="1"/>
    </xf>
    <xf numFmtId="0" fontId="0" fillId="0" borderId="29" xfId="0" applyBorder="1" applyAlignment="1">
      <alignment horizontal="center" wrapText="1"/>
    </xf>
    <xf numFmtId="17" fontId="21" fillId="0" borderId="25" xfId="0" applyNumberFormat="1" applyFont="1" applyBorder="1" applyAlignment="1">
      <alignment horizontal="center"/>
    </xf>
    <xf numFmtId="0" fontId="21" fillId="0" borderId="27" xfId="0" applyFont="1" applyBorder="1" applyAlignment="1">
      <alignment horizontal="center"/>
    </xf>
    <xf numFmtId="0" fontId="21" fillId="0" borderId="26" xfId="0" applyFont="1" applyBorder="1" applyAlignment="1">
      <alignment horizontal="center"/>
    </xf>
    <xf numFmtId="0" fontId="21" fillId="0" borderId="18" xfId="0" applyFont="1" applyBorder="1" applyAlignment="1">
      <alignment horizontal="center"/>
    </xf>
    <xf numFmtId="0" fontId="21" fillId="0" borderId="25" xfId="0" applyFont="1" applyBorder="1" applyAlignment="1">
      <alignment horizontal="center"/>
    </xf>
    <xf numFmtId="0" fontId="13" fillId="13" borderId="18" xfId="0" applyFont="1" applyFill="1" applyBorder="1" applyAlignment="1">
      <alignment horizontal="center"/>
    </xf>
    <xf numFmtId="0" fontId="13" fillId="11" borderId="18" xfId="0" applyFont="1" applyFill="1" applyBorder="1" applyAlignment="1">
      <alignment horizontal="center"/>
    </xf>
    <xf numFmtId="164" fontId="0" fillId="12" borderId="30" xfId="1" applyNumberFormat="1" applyFont="1" applyFill="1" applyBorder="1" applyAlignment="1">
      <alignment horizontal="center" wrapText="1"/>
    </xf>
    <xf numFmtId="164" fontId="0" fillId="12" borderId="32" xfId="1" applyNumberFormat="1" applyFont="1" applyFill="1" applyBorder="1" applyAlignment="1">
      <alignment horizontal="center" wrapText="1"/>
    </xf>
    <xf numFmtId="164" fontId="0" fillId="12" borderId="29" xfId="1" applyNumberFormat="1" applyFont="1" applyFill="1" applyBorder="1" applyAlignment="1">
      <alignment horizontal="center" wrapText="1"/>
    </xf>
    <xf numFmtId="0" fontId="6" fillId="0" borderId="24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/>
    </xf>
    <xf numFmtId="164" fontId="20" fillId="0" borderId="18" xfId="1" applyNumberFormat="1" applyFont="1" applyBorder="1"/>
  </cellXfs>
  <cellStyles count="5">
    <cellStyle name="Calcul" xfId="4" builtinId="22"/>
    <cellStyle name="Milliers" xfId="1" builtinId="3"/>
    <cellStyle name="Normal" xfId="0" builtinId="0"/>
    <cellStyle name="Note" xfId="3" builtinId="10"/>
    <cellStyle name="Sortie" xfId="2" builtinId="21"/>
  </cellStyles>
  <dxfs count="0"/>
  <tableStyles count="0" defaultTableStyle="TableStyleMedium9" defaultPivotStyle="PivotStyleLight16"/>
  <colors>
    <mruColors>
      <color rgb="FF66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W610"/>
  <sheetViews>
    <sheetView zoomScale="148" zoomScaleNormal="148" workbookViewId="0">
      <pane xSplit="8" ySplit="13" topLeftCell="Q17" activePane="bottomRight" state="frozen"/>
      <selection pane="topRight" activeCell="I1" sqref="I1"/>
      <selection pane="bottomLeft" activeCell="A14" sqref="A14"/>
      <selection pane="bottomRight" activeCell="S503" sqref="S503"/>
    </sheetView>
  </sheetViews>
  <sheetFormatPr baseColWidth="10" defaultRowHeight="15" x14ac:dyDescent="0.25"/>
  <cols>
    <col min="1" max="1" width="4.5703125" customWidth="1"/>
    <col min="2" max="2" width="26.140625" customWidth="1"/>
    <col min="3" max="3" width="9.42578125" customWidth="1"/>
    <col min="4" max="5" width="8.7109375" customWidth="1"/>
    <col min="6" max="6" width="9.42578125" customWidth="1"/>
    <col min="7" max="7" width="11.140625" customWidth="1"/>
    <col min="8" max="8" width="8.7109375" customWidth="1"/>
    <col min="9" max="9" width="10" customWidth="1"/>
    <col min="10" max="10" width="10.7109375" customWidth="1"/>
    <col min="11" max="11" width="9.5703125" customWidth="1"/>
    <col min="12" max="12" width="12.28515625" customWidth="1"/>
    <col min="13" max="13" width="10.7109375" customWidth="1"/>
    <col min="14" max="16" width="8.7109375" customWidth="1"/>
    <col min="17" max="17" width="10" customWidth="1"/>
    <col min="18" max="18" width="8.7109375" customWidth="1"/>
    <col min="19" max="19" width="10.5703125" customWidth="1"/>
    <col min="20" max="20" width="8.7109375" customWidth="1"/>
    <col min="21" max="21" width="11" customWidth="1"/>
  </cols>
  <sheetData>
    <row r="1" spans="1:23" s="16" customFormat="1" ht="26.25" hidden="1" customHeight="1" x14ac:dyDescent="0.35">
      <c r="B1" s="214" t="s">
        <v>188</v>
      </c>
      <c r="C1" s="214"/>
      <c r="D1" s="214"/>
      <c r="E1" s="214"/>
      <c r="F1" s="214"/>
      <c r="G1" s="214"/>
      <c r="H1" s="214"/>
      <c r="I1" s="214"/>
      <c r="J1" s="134"/>
      <c r="K1" s="134"/>
      <c r="L1" s="134"/>
      <c r="M1" s="134"/>
      <c r="N1" s="134"/>
      <c r="O1" s="134"/>
      <c r="P1" s="134"/>
      <c r="Q1" s="134"/>
      <c r="R1" s="134"/>
      <c r="S1" s="134"/>
      <c r="T1" s="134"/>
      <c r="U1" s="134"/>
    </row>
    <row r="2" spans="1:23" ht="26.25" hidden="1" customHeight="1" x14ac:dyDescent="0.25"/>
    <row r="3" spans="1:23" s="147" customFormat="1" ht="11.25" hidden="1" x14ac:dyDescent="0.2">
      <c r="A3" s="137"/>
      <c r="B3" s="137"/>
      <c r="C3" s="209" t="s">
        <v>75</v>
      </c>
      <c r="D3" s="209" t="s">
        <v>168</v>
      </c>
      <c r="E3" s="209" t="s">
        <v>169</v>
      </c>
      <c r="F3" s="209" t="s">
        <v>170</v>
      </c>
      <c r="G3" s="211" t="s">
        <v>171</v>
      </c>
      <c r="H3" s="213"/>
      <c r="I3" s="211" t="s">
        <v>172</v>
      </c>
      <c r="J3" s="213"/>
      <c r="K3" s="211" t="s">
        <v>173</v>
      </c>
      <c r="L3" s="213"/>
      <c r="M3" s="209" t="s">
        <v>174</v>
      </c>
      <c r="N3" s="209" t="s">
        <v>175</v>
      </c>
      <c r="O3" s="209" t="s">
        <v>176</v>
      </c>
      <c r="P3" s="209" t="s">
        <v>177</v>
      </c>
      <c r="Q3" s="209" t="s">
        <v>178</v>
      </c>
      <c r="R3" s="209" t="s">
        <v>225</v>
      </c>
      <c r="S3" s="211" t="s">
        <v>179</v>
      </c>
      <c r="T3" s="212"/>
      <c r="U3" s="213"/>
    </row>
    <row r="4" spans="1:23" s="147" customFormat="1" ht="11.25" hidden="1" x14ac:dyDescent="0.2">
      <c r="A4" s="137"/>
      <c r="B4" s="137"/>
      <c r="C4" s="210"/>
      <c r="D4" s="210"/>
      <c r="E4" s="210"/>
      <c r="F4" s="210"/>
      <c r="G4" s="137" t="s">
        <v>180</v>
      </c>
      <c r="H4" s="137" t="s">
        <v>181</v>
      </c>
      <c r="I4" s="137" t="s">
        <v>180</v>
      </c>
      <c r="J4" s="137" t="s">
        <v>181</v>
      </c>
      <c r="K4" s="137" t="s">
        <v>180</v>
      </c>
      <c r="L4" s="137" t="s">
        <v>181</v>
      </c>
      <c r="M4" s="210"/>
      <c r="N4" s="210"/>
      <c r="O4" s="210"/>
      <c r="P4" s="210"/>
      <c r="Q4" s="210"/>
      <c r="R4" s="210"/>
      <c r="S4" s="137" t="s">
        <v>74</v>
      </c>
      <c r="T4" s="137" t="s">
        <v>182</v>
      </c>
      <c r="U4" s="137" t="s">
        <v>183</v>
      </c>
    </row>
    <row r="5" spans="1:23" s="136" customFormat="1" ht="12.75" hidden="1" x14ac:dyDescent="0.3">
      <c r="A5" s="137">
        <v>0</v>
      </c>
      <c r="B5" s="138" t="s">
        <v>88</v>
      </c>
      <c r="C5" s="135"/>
      <c r="D5" s="135"/>
      <c r="E5" s="135"/>
      <c r="F5" s="135"/>
      <c r="G5" s="135"/>
      <c r="H5" s="135"/>
      <c r="I5" s="135"/>
      <c r="J5" s="135"/>
      <c r="K5" s="135">
        <v>100000</v>
      </c>
      <c r="L5" s="135"/>
      <c r="M5" s="135"/>
      <c r="N5" s="135"/>
      <c r="O5" s="135"/>
      <c r="P5" s="135"/>
      <c r="Q5" s="135"/>
      <c r="R5" s="135"/>
      <c r="S5" s="131">
        <f>+R5+Q5+P5+O5+N5+M5+L5+K5+J5+I5+H5+G5+F5+E5+D5+C5</f>
        <v>100000</v>
      </c>
      <c r="T5" s="131"/>
      <c r="U5" s="131">
        <f>+S5-T5</f>
        <v>100000</v>
      </c>
    </row>
    <row r="6" spans="1:23" s="136" customFormat="1" ht="12.75" hidden="1" x14ac:dyDescent="0.3">
      <c r="A6" s="137">
        <f>+A5+1</f>
        <v>1</v>
      </c>
      <c r="B6" s="138" t="s">
        <v>39</v>
      </c>
      <c r="C6" s="148">
        <v>9000</v>
      </c>
      <c r="D6" s="148">
        <v>1000</v>
      </c>
      <c r="E6" s="135">
        <v>1000</v>
      </c>
      <c r="F6" s="135">
        <v>4000</v>
      </c>
      <c r="G6" s="135">
        <v>25000</v>
      </c>
      <c r="H6" s="135"/>
      <c r="I6" s="135">
        <v>75000</v>
      </c>
      <c r="J6" s="135"/>
      <c r="K6" s="135"/>
      <c r="L6" s="135"/>
      <c r="M6" s="135"/>
      <c r="N6" s="135"/>
      <c r="O6" s="135"/>
      <c r="P6" s="135"/>
      <c r="Q6" s="135"/>
      <c r="R6" s="135"/>
      <c r="S6" s="131">
        <f t="shared" ref="S6:S46" si="0">+R6+Q6+P6+O6+N6+M6+L6+K6+J6+I6+H6+G6+F6+E6+D6+C6</f>
        <v>115000</v>
      </c>
      <c r="T6" s="131">
        <v>10000</v>
      </c>
      <c r="U6" s="131">
        <f t="shared" ref="U6:U46" si="1">+S6-T6</f>
        <v>105000</v>
      </c>
    </row>
    <row r="7" spans="1:23" s="136" customFormat="1" ht="12.75" hidden="1" x14ac:dyDescent="0.3">
      <c r="A7" s="137">
        <f t="shared" ref="A7:A46" si="2">+A6+1</f>
        <v>2</v>
      </c>
      <c r="B7" s="138" t="s">
        <v>43</v>
      </c>
      <c r="C7" s="135">
        <v>29000</v>
      </c>
      <c r="D7" s="135">
        <v>1000</v>
      </c>
      <c r="E7" s="135">
        <v>1000</v>
      </c>
      <c r="F7" s="135">
        <v>4000</v>
      </c>
      <c r="G7" s="135">
        <v>25000</v>
      </c>
      <c r="H7" s="135"/>
      <c r="I7" s="135"/>
      <c r="J7" s="135"/>
      <c r="K7" s="135">
        <v>100000</v>
      </c>
      <c r="L7" s="135"/>
      <c r="M7" s="135"/>
      <c r="N7" s="135"/>
      <c r="O7" s="135"/>
      <c r="P7" s="135"/>
      <c r="Q7" s="135">
        <v>140000</v>
      </c>
      <c r="R7" s="135"/>
      <c r="S7" s="131">
        <f t="shared" si="0"/>
        <v>300000</v>
      </c>
      <c r="T7" s="131"/>
      <c r="U7" s="131">
        <f t="shared" si="1"/>
        <v>300000</v>
      </c>
    </row>
    <row r="8" spans="1:23" s="136" customFormat="1" ht="12.75" hidden="1" x14ac:dyDescent="0.3">
      <c r="A8" s="137">
        <f t="shared" si="2"/>
        <v>3</v>
      </c>
      <c r="B8" s="138" t="s">
        <v>89</v>
      </c>
      <c r="C8" s="135">
        <v>9000</v>
      </c>
      <c r="D8" s="135">
        <v>1000</v>
      </c>
      <c r="E8" s="135">
        <v>1000</v>
      </c>
      <c r="F8" s="135">
        <v>4000</v>
      </c>
      <c r="G8" s="135">
        <v>25000</v>
      </c>
      <c r="H8" s="135"/>
      <c r="I8" s="135"/>
      <c r="J8" s="135"/>
      <c r="K8" s="135"/>
      <c r="L8" s="135"/>
      <c r="M8" s="135"/>
      <c r="N8" s="135"/>
      <c r="O8" s="135"/>
      <c r="P8" s="135"/>
      <c r="Q8" s="135"/>
      <c r="R8" s="135"/>
      <c r="S8" s="131">
        <f t="shared" si="0"/>
        <v>40000</v>
      </c>
      <c r="T8" s="131"/>
      <c r="U8" s="131">
        <f t="shared" si="1"/>
        <v>40000</v>
      </c>
    </row>
    <row r="9" spans="1:23" s="136" customFormat="1" ht="12.75" hidden="1" x14ac:dyDescent="0.3">
      <c r="A9" s="137">
        <f t="shared" si="2"/>
        <v>4</v>
      </c>
      <c r="B9" s="138" t="s">
        <v>90</v>
      </c>
      <c r="C9" s="135">
        <v>9000</v>
      </c>
      <c r="D9" s="135">
        <v>1000</v>
      </c>
      <c r="E9" s="135">
        <v>1000</v>
      </c>
      <c r="F9" s="135">
        <v>4000</v>
      </c>
      <c r="G9" s="135">
        <v>25000</v>
      </c>
      <c r="H9" s="135"/>
      <c r="I9" s="135">
        <v>75000</v>
      </c>
      <c r="J9" s="135"/>
      <c r="K9" s="135"/>
      <c r="L9" s="135"/>
      <c r="M9" s="135"/>
      <c r="N9" s="135"/>
      <c r="O9" s="135"/>
      <c r="P9" s="135"/>
      <c r="Q9" s="135"/>
      <c r="R9" s="135"/>
      <c r="S9" s="131">
        <f t="shared" si="0"/>
        <v>115000</v>
      </c>
      <c r="T9" s="131"/>
      <c r="U9" s="131">
        <f t="shared" si="1"/>
        <v>115000</v>
      </c>
    </row>
    <row r="10" spans="1:23" s="136" customFormat="1" ht="12.75" hidden="1" x14ac:dyDescent="0.3">
      <c r="A10" s="137">
        <f t="shared" si="2"/>
        <v>5</v>
      </c>
      <c r="B10" s="138" t="s">
        <v>91</v>
      </c>
      <c r="C10" s="135">
        <v>14000</v>
      </c>
      <c r="D10" s="135">
        <v>1000</v>
      </c>
      <c r="E10" s="135">
        <v>1000</v>
      </c>
      <c r="F10" s="135">
        <v>4000</v>
      </c>
      <c r="G10" s="135">
        <v>25000</v>
      </c>
      <c r="H10" s="135"/>
      <c r="I10" s="135">
        <v>75000</v>
      </c>
      <c r="J10" s="135"/>
      <c r="K10" s="135">
        <v>200000</v>
      </c>
      <c r="L10" s="135"/>
      <c r="M10" s="135"/>
      <c r="N10" s="135"/>
      <c r="O10" s="135"/>
      <c r="P10" s="135"/>
      <c r="Q10" s="135"/>
      <c r="R10" s="135"/>
      <c r="S10" s="131">
        <f t="shared" si="0"/>
        <v>320000</v>
      </c>
      <c r="T10" s="131"/>
      <c r="U10" s="131">
        <f t="shared" si="1"/>
        <v>320000</v>
      </c>
    </row>
    <row r="11" spans="1:23" s="136" customFormat="1" ht="12.75" hidden="1" x14ac:dyDescent="0.3">
      <c r="A11" s="137">
        <f t="shared" si="2"/>
        <v>6</v>
      </c>
      <c r="B11" s="138" t="s">
        <v>92</v>
      </c>
      <c r="C11" s="135">
        <v>9000</v>
      </c>
      <c r="D11" s="135">
        <v>1000</v>
      </c>
      <c r="E11" s="135">
        <v>1000</v>
      </c>
      <c r="F11" s="135">
        <v>4000</v>
      </c>
      <c r="G11" s="135">
        <v>25000</v>
      </c>
      <c r="H11" s="135"/>
      <c r="I11" s="135"/>
      <c r="J11" s="135"/>
      <c r="K11" s="135"/>
      <c r="L11" s="135"/>
      <c r="M11" s="135"/>
      <c r="N11" s="135"/>
      <c r="O11" s="135"/>
      <c r="P11" s="135"/>
      <c r="Q11" s="135"/>
      <c r="R11" s="135"/>
      <c r="S11" s="131">
        <f t="shared" si="0"/>
        <v>40000</v>
      </c>
      <c r="T11" s="131"/>
      <c r="U11" s="131">
        <f t="shared" si="1"/>
        <v>40000</v>
      </c>
      <c r="W11" s="136" t="s">
        <v>223</v>
      </c>
    </row>
    <row r="12" spans="1:23" s="136" customFormat="1" ht="12.75" hidden="1" x14ac:dyDescent="0.3">
      <c r="A12" s="137">
        <f t="shared" si="2"/>
        <v>7</v>
      </c>
      <c r="B12" s="138" t="s">
        <v>93</v>
      </c>
      <c r="C12" s="135">
        <v>9000</v>
      </c>
      <c r="D12" s="135">
        <v>1000</v>
      </c>
      <c r="E12" s="135">
        <v>1000</v>
      </c>
      <c r="F12" s="135">
        <v>4000</v>
      </c>
      <c r="G12" s="135">
        <v>25000</v>
      </c>
      <c r="H12" s="135"/>
      <c r="I12" s="135"/>
      <c r="J12" s="135"/>
      <c r="K12" s="135"/>
      <c r="L12" s="135"/>
      <c r="M12" s="135"/>
      <c r="N12" s="135"/>
      <c r="O12" s="135"/>
      <c r="P12" s="135"/>
      <c r="Q12" s="135"/>
      <c r="R12" s="135"/>
      <c r="S12" s="131">
        <f t="shared" si="0"/>
        <v>40000</v>
      </c>
      <c r="T12" s="131"/>
      <c r="U12" s="131">
        <f t="shared" si="1"/>
        <v>40000</v>
      </c>
    </row>
    <row r="13" spans="1:23" s="136" customFormat="1" ht="12.75" hidden="1" x14ac:dyDescent="0.3">
      <c r="A13" s="137">
        <f t="shared" si="2"/>
        <v>8</v>
      </c>
      <c r="B13" s="138" t="s">
        <v>114</v>
      </c>
      <c r="C13" s="135"/>
      <c r="D13" s="135"/>
      <c r="E13" s="135"/>
      <c r="F13" s="135"/>
      <c r="G13" s="135"/>
      <c r="H13" s="135"/>
      <c r="I13" s="135"/>
      <c r="J13" s="135"/>
      <c r="K13" s="135"/>
      <c r="L13" s="135"/>
      <c r="M13" s="135"/>
      <c r="N13" s="135"/>
      <c r="O13" s="135"/>
      <c r="P13" s="135"/>
      <c r="Q13" s="135"/>
      <c r="R13" s="135"/>
      <c r="S13" s="131">
        <f t="shared" si="0"/>
        <v>0</v>
      </c>
      <c r="T13" s="131"/>
      <c r="U13" s="131">
        <f t="shared" si="1"/>
        <v>0</v>
      </c>
    </row>
    <row r="14" spans="1:23" s="136" customFormat="1" ht="12.75" x14ac:dyDescent="0.3">
      <c r="A14" s="137">
        <f t="shared" si="2"/>
        <v>9</v>
      </c>
      <c r="B14" s="138" t="s">
        <v>42</v>
      </c>
      <c r="C14" s="135">
        <v>9000</v>
      </c>
      <c r="D14" s="135">
        <v>1000</v>
      </c>
      <c r="E14" s="135">
        <v>1000</v>
      </c>
      <c r="F14" s="135">
        <v>4000</v>
      </c>
      <c r="G14" s="135">
        <v>25000</v>
      </c>
      <c r="H14" s="135"/>
      <c r="I14" s="135">
        <v>75000</v>
      </c>
      <c r="J14" s="135"/>
      <c r="K14" s="135"/>
      <c r="L14" s="135"/>
      <c r="M14" s="135"/>
      <c r="N14" s="135"/>
      <c r="O14" s="135"/>
      <c r="P14" s="135"/>
      <c r="Q14" s="135"/>
      <c r="R14" s="135"/>
      <c r="S14" s="131">
        <f t="shared" si="0"/>
        <v>115000</v>
      </c>
      <c r="T14" s="131"/>
      <c r="U14" s="131">
        <f t="shared" si="1"/>
        <v>115000</v>
      </c>
    </row>
    <row r="15" spans="1:23" s="136" customFormat="1" ht="12.75" x14ac:dyDescent="0.3">
      <c r="A15" s="137">
        <f t="shared" si="2"/>
        <v>10</v>
      </c>
      <c r="B15" s="138" t="s">
        <v>37</v>
      </c>
      <c r="C15" s="135">
        <v>44000</v>
      </c>
      <c r="D15" s="135">
        <v>1000</v>
      </c>
      <c r="E15" s="135">
        <v>1000</v>
      </c>
      <c r="F15" s="135">
        <v>4000</v>
      </c>
      <c r="G15" s="135">
        <v>25000</v>
      </c>
      <c r="H15" s="135"/>
      <c r="I15" s="135">
        <v>75000</v>
      </c>
      <c r="J15" s="135"/>
      <c r="K15" s="135">
        <v>100000</v>
      </c>
      <c r="L15" s="135"/>
      <c r="M15" s="135"/>
      <c r="N15" s="135"/>
      <c r="O15" s="135"/>
      <c r="P15" s="135"/>
      <c r="Q15" s="135"/>
      <c r="R15" s="135"/>
      <c r="S15" s="131">
        <f t="shared" si="0"/>
        <v>250000</v>
      </c>
      <c r="T15" s="131"/>
      <c r="U15" s="131">
        <f t="shared" si="1"/>
        <v>250000</v>
      </c>
    </row>
    <row r="16" spans="1:23" s="136" customFormat="1" ht="12.75" x14ac:dyDescent="0.3">
      <c r="A16" s="137">
        <f t="shared" si="2"/>
        <v>11</v>
      </c>
      <c r="B16" s="138" t="s">
        <v>94</v>
      </c>
      <c r="C16" s="135">
        <v>9000</v>
      </c>
      <c r="D16" s="135">
        <v>1000</v>
      </c>
      <c r="E16" s="135">
        <v>1000</v>
      </c>
      <c r="F16" s="135">
        <v>4000</v>
      </c>
      <c r="G16" s="135">
        <v>25000</v>
      </c>
      <c r="H16" s="135"/>
      <c r="I16" s="135"/>
      <c r="J16" s="135"/>
      <c r="K16" s="135">
        <v>100000</v>
      </c>
      <c r="L16" s="135"/>
      <c r="M16" s="135"/>
      <c r="N16" s="135"/>
      <c r="O16" s="135"/>
      <c r="P16" s="135"/>
      <c r="Q16" s="135"/>
      <c r="R16" s="135"/>
      <c r="S16" s="131">
        <f t="shared" si="0"/>
        <v>140000</v>
      </c>
      <c r="T16" s="131"/>
      <c r="U16" s="131">
        <f t="shared" si="1"/>
        <v>140000</v>
      </c>
    </row>
    <row r="17" spans="1:21" s="136" customFormat="1" ht="12.75" x14ac:dyDescent="0.3">
      <c r="A17" s="137">
        <f t="shared" si="2"/>
        <v>12</v>
      </c>
      <c r="B17" s="138" t="s">
        <v>95</v>
      </c>
      <c r="C17" s="135">
        <v>9000</v>
      </c>
      <c r="D17" s="135">
        <v>1000</v>
      </c>
      <c r="E17" s="135">
        <v>1000</v>
      </c>
      <c r="F17" s="135">
        <v>4000</v>
      </c>
      <c r="G17" s="135">
        <v>25000</v>
      </c>
      <c r="H17" s="135"/>
      <c r="I17" s="135">
        <v>75000</v>
      </c>
      <c r="J17" s="135"/>
      <c r="K17" s="135">
        <v>100000</v>
      </c>
      <c r="L17" s="135"/>
      <c r="M17" s="135"/>
      <c r="N17" s="135"/>
      <c r="O17" s="135"/>
      <c r="P17" s="135"/>
      <c r="Q17" s="135">
        <v>70000</v>
      </c>
      <c r="R17" s="135"/>
      <c r="S17" s="131">
        <f t="shared" si="0"/>
        <v>285000</v>
      </c>
      <c r="T17" s="131">
        <v>35000</v>
      </c>
      <c r="U17" s="131">
        <f t="shared" si="1"/>
        <v>250000</v>
      </c>
    </row>
    <row r="18" spans="1:21" s="136" customFormat="1" ht="12.75" x14ac:dyDescent="0.3">
      <c r="A18" s="137">
        <f t="shared" si="2"/>
        <v>13</v>
      </c>
      <c r="B18" s="138" t="s">
        <v>96</v>
      </c>
      <c r="C18" s="135">
        <v>9000</v>
      </c>
      <c r="D18" s="135">
        <v>1000</v>
      </c>
      <c r="E18" s="135">
        <v>1000</v>
      </c>
      <c r="F18" s="135">
        <v>4000</v>
      </c>
      <c r="G18" s="135">
        <v>25000</v>
      </c>
      <c r="H18" s="135"/>
      <c r="I18" s="135"/>
      <c r="J18" s="135"/>
      <c r="K18" s="135"/>
      <c r="L18" s="135"/>
      <c r="M18" s="135"/>
      <c r="N18" s="135"/>
      <c r="O18" s="135"/>
      <c r="P18" s="135"/>
      <c r="Q18" s="135"/>
      <c r="R18" s="135"/>
      <c r="S18" s="131">
        <f t="shared" si="0"/>
        <v>40000</v>
      </c>
      <c r="T18" s="131"/>
      <c r="U18" s="131">
        <f t="shared" si="1"/>
        <v>40000</v>
      </c>
    </row>
    <row r="19" spans="1:21" s="136" customFormat="1" ht="12.75" x14ac:dyDescent="0.3">
      <c r="A19" s="137">
        <f t="shared" si="2"/>
        <v>14</v>
      </c>
      <c r="B19" s="138" t="s">
        <v>97</v>
      </c>
      <c r="C19" s="135">
        <v>9000</v>
      </c>
      <c r="D19" s="135">
        <v>1000</v>
      </c>
      <c r="E19" s="135">
        <v>1000</v>
      </c>
      <c r="F19" s="135">
        <v>4000</v>
      </c>
      <c r="G19" s="135">
        <v>25000</v>
      </c>
      <c r="H19" s="135"/>
      <c r="I19" s="135">
        <v>75000</v>
      </c>
      <c r="J19" s="135"/>
      <c r="K19" s="135">
        <v>100000</v>
      </c>
      <c r="L19" s="135"/>
      <c r="M19" s="135"/>
      <c r="N19" s="135"/>
      <c r="O19" s="135"/>
      <c r="P19" s="135"/>
      <c r="Q19" s="135"/>
      <c r="R19" s="135"/>
      <c r="S19" s="131">
        <f t="shared" si="0"/>
        <v>215000</v>
      </c>
      <c r="T19" s="131"/>
      <c r="U19" s="131">
        <f t="shared" si="1"/>
        <v>215000</v>
      </c>
    </row>
    <row r="20" spans="1:21" s="136" customFormat="1" ht="12.75" x14ac:dyDescent="0.3">
      <c r="A20" s="137">
        <f t="shared" si="2"/>
        <v>15</v>
      </c>
      <c r="B20" s="138" t="s">
        <v>98</v>
      </c>
      <c r="C20" s="135">
        <v>9000</v>
      </c>
      <c r="D20" s="135">
        <v>1000</v>
      </c>
      <c r="E20" s="135">
        <v>1000</v>
      </c>
      <c r="F20" s="135">
        <v>4000</v>
      </c>
      <c r="G20" s="135">
        <v>25000</v>
      </c>
      <c r="H20" s="135"/>
      <c r="I20" s="135"/>
      <c r="J20" s="135"/>
      <c r="K20" s="135"/>
      <c r="L20" s="135"/>
      <c r="M20" s="135"/>
      <c r="N20" s="135"/>
      <c r="O20" s="135"/>
      <c r="P20" s="135"/>
      <c r="Q20" s="135"/>
      <c r="R20" s="135"/>
      <c r="S20" s="131">
        <f t="shared" si="0"/>
        <v>40000</v>
      </c>
      <c r="T20" s="131"/>
      <c r="U20" s="131">
        <f t="shared" si="1"/>
        <v>40000</v>
      </c>
    </row>
    <row r="21" spans="1:21" s="136" customFormat="1" ht="12.75" x14ac:dyDescent="0.3">
      <c r="A21" s="137">
        <f t="shared" si="2"/>
        <v>16</v>
      </c>
      <c r="B21" s="138" t="s">
        <v>99</v>
      </c>
      <c r="C21" s="135">
        <v>9000</v>
      </c>
      <c r="D21" s="135">
        <v>1000</v>
      </c>
      <c r="E21" s="135">
        <v>1000</v>
      </c>
      <c r="F21" s="135">
        <v>4000</v>
      </c>
      <c r="G21" s="135">
        <v>25000</v>
      </c>
      <c r="H21" s="135"/>
      <c r="I21" s="135">
        <v>75000</v>
      </c>
      <c r="J21" s="135"/>
      <c r="K21" s="135"/>
      <c r="L21" s="135"/>
      <c r="M21" s="135"/>
      <c r="N21" s="135"/>
      <c r="O21" s="135"/>
      <c r="P21" s="135"/>
      <c r="Q21" s="135"/>
      <c r="R21" s="135"/>
      <c r="S21" s="131">
        <f t="shared" si="0"/>
        <v>115000</v>
      </c>
      <c r="T21" s="131"/>
      <c r="U21" s="131">
        <f t="shared" si="1"/>
        <v>115000</v>
      </c>
    </row>
    <row r="22" spans="1:21" s="136" customFormat="1" ht="12.75" x14ac:dyDescent="0.3">
      <c r="A22" s="137">
        <f t="shared" si="2"/>
        <v>17</v>
      </c>
      <c r="B22" s="138" t="s">
        <v>100</v>
      </c>
      <c r="C22" s="135">
        <v>19000</v>
      </c>
      <c r="D22" s="135">
        <v>1000</v>
      </c>
      <c r="E22" s="135">
        <v>1000</v>
      </c>
      <c r="F22" s="135">
        <v>4000</v>
      </c>
      <c r="G22" s="135">
        <v>25000</v>
      </c>
      <c r="H22" s="135"/>
      <c r="I22" s="135"/>
      <c r="J22" s="135"/>
      <c r="K22" s="135">
        <v>200000</v>
      </c>
      <c r="L22" s="135"/>
      <c r="M22" s="135"/>
      <c r="N22" s="135"/>
      <c r="O22" s="135"/>
      <c r="P22" s="135"/>
      <c r="Q22" s="135"/>
      <c r="R22" s="135"/>
      <c r="S22" s="131">
        <f t="shared" si="0"/>
        <v>250000</v>
      </c>
      <c r="T22" s="131"/>
      <c r="U22" s="131">
        <f t="shared" si="1"/>
        <v>250000</v>
      </c>
    </row>
    <row r="23" spans="1:21" s="136" customFormat="1" ht="12.75" x14ac:dyDescent="0.3">
      <c r="A23" s="137">
        <f t="shared" si="2"/>
        <v>18</v>
      </c>
      <c r="B23" s="138" t="s">
        <v>38</v>
      </c>
      <c r="C23" s="135">
        <v>9000</v>
      </c>
      <c r="D23" s="135">
        <v>1000</v>
      </c>
      <c r="E23" s="148">
        <v>1000</v>
      </c>
      <c r="F23" s="148">
        <v>4000</v>
      </c>
      <c r="G23" s="135">
        <v>25000</v>
      </c>
      <c r="H23" s="135"/>
      <c r="I23" s="135">
        <v>75000</v>
      </c>
      <c r="J23" s="135"/>
      <c r="K23" s="135">
        <v>100000</v>
      </c>
      <c r="L23" s="135"/>
      <c r="M23" s="135"/>
      <c r="N23" s="135"/>
      <c r="O23" s="135"/>
      <c r="P23" s="135"/>
      <c r="Q23" s="135"/>
      <c r="R23" s="135"/>
      <c r="S23" s="131">
        <f t="shared" si="0"/>
        <v>215000</v>
      </c>
      <c r="T23" s="131">
        <v>5000</v>
      </c>
      <c r="U23" s="131">
        <f t="shared" si="1"/>
        <v>210000</v>
      </c>
    </row>
    <row r="24" spans="1:21" s="136" customFormat="1" ht="12.75" x14ac:dyDescent="0.3">
      <c r="A24" s="137">
        <f t="shared" si="2"/>
        <v>19</v>
      </c>
      <c r="B24" s="138" t="s">
        <v>101</v>
      </c>
      <c r="C24" s="148">
        <v>9000</v>
      </c>
      <c r="D24" s="148">
        <v>1000</v>
      </c>
      <c r="E24" s="135">
        <v>1000</v>
      </c>
      <c r="F24" s="135">
        <v>4000</v>
      </c>
      <c r="G24" s="135">
        <v>25000</v>
      </c>
      <c r="H24" s="135"/>
      <c r="I24" s="135">
        <v>150000</v>
      </c>
      <c r="J24" s="135"/>
      <c r="K24" s="135">
        <v>100000</v>
      </c>
      <c r="L24" s="135"/>
      <c r="M24" s="135"/>
      <c r="N24" s="135"/>
      <c r="O24" s="135"/>
      <c r="P24" s="135"/>
      <c r="Q24" s="135"/>
      <c r="R24" s="135"/>
      <c r="S24" s="131">
        <f t="shared" si="0"/>
        <v>290000</v>
      </c>
      <c r="T24" s="131">
        <v>10000</v>
      </c>
      <c r="U24" s="131">
        <f t="shared" si="1"/>
        <v>280000</v>
      </c>
    </row>
    <row r="25" spans="1:21" s="136" customFormat="1" ht="12.75" x14ac:dyDescent="0.3">
      <c r="A25" s="137">
        <f t="shared" si="2"/>
        <v>20</v>
      </c>
      <c r="B25" s="138" t="s">
        <v>102</v>
      </c>
      <c r="C25" s="148">
        <v>9000</v>
      </c>
      <c r="D25" s="148">
        <v>1000</v>
      </c>
      <c r="E25" s="148">
        <v>1000</v>
      </c>
      <c r="F25" s="148">
        <v>4000</v>
      </c>
      <c r="G25" s="148">
        <v>25000</v>
      </c>
      <c r="H25" s="135"/>
      <c r="I25" s="135"/>
      <c r="J25" s="135"/>
      <c r="K25" s="135"/>
      <c r="L25" s="135"/>
      <c r="M25" s="135"/>
      <c r="N25" s="135"/>
      <c r="O25" s="135"/>
      <c r="P25" s="135"/>
      <c r="Q25" s="135"/>
      <c r="R25" s="135"/>
      <c r="S25" s="131">
        <f t="shared" si="0"/>
        <v>40000</v>
      </c>
      <c r="T25" s="131">
        <v>40000</v>
      </c>
      <c r="U25" s="131">
        <f t="shared" si="1"/>
        <v>0</v>
      </c>
    </row>
    <row r="26" spans="1:21" s="136" customFormat="1" ht="12.75" x14ac:dyDescent="0.3">
      <c r="A26" s="137">
        <f t="shared" si="2"/>
        <v>21</v>
      </c>
      <c r="B26" s="138" t="s">
        <v>109</v>
      </c>
      <c r="C26" s="135"/>
      <c r="D26" s="135"/>
      <c r="E26" s="135"/>
      <c r="F26" s="135"/>
      <c r="G26" s="135"/>
      <c r="H26" s="135"/>
      <c r="I26" s="135"/>
      <c r="J26" s="135"/>
      <c r="K26" s="135"/>
      <c r="L26" s="135"/>
      <c r="M26" s="135"/>
      <c r="N26" s="135"/>
      <c r="O26" s="135"/>
      <c r="P26" s="135"/>
      <c r="Q26" s="135"/>
      <c r="R26" s="135"/>
      <c r="S26" s="131">
        <f t="shared" si="0"/>
        <v>0</v>
      </c>
      <c r="T26" s="131"/>
      <c r="U26" s="131">
        <f t="shared" si="1"/>
        <v>0</v>
      </c>
    </row>
    <row r="27" spans="1:21" s="136" customFormat="1" ht="12.75" x14ac:dyDescent="0.3">
      <c r="A27" s="137">
        <f t="shared" si="2"/>
        <v>22</v>
      </c>
      <c r="B27" s="139" t="s">
        <v>166</v>
      </c>
      <c r="C27" s="148">
        <v>9000</v>
      </c>
      <c r="D27" s="148">
        <v>1000</v>
      </c>
      <c r="E27" s="148">
        <v>1000</v>
      </c>
      <c r="F27" s="148">
        <v>4000</v>
      </c>
      <c r="G27" s="148">
        <v>25000</v>
      </c>
      <c r="H27" s="135"/>
      <c r="I27" s="135"/>
      <c r="J27" s="135"/>
      <c r="K27" s="135"/>
      <c r="L27" s="135"/>
      <c r="M27" s="135"/>
      <c r="N27" s="148">
        <v>25000</v>
      </c>
      <c r="O27" s="135"/>
      <c r="P27" s="135"/>
      <c r="Q27" s="135"/>
      <c r="R27" s="135"/>
      <c r="S27" s="131">
        <f t="shared" si="0"/>
        <v>65000</v>
      </c>
      <c r="T27" s="131">
        <v>65000</v>
      </c>
      <c r="U27" s="131">
        <f t="shared" si="1"/>
        <v>0</v>
      </c>
    </row>
    <row r="28" spans="1:21" s="136" customFormat="1" ht="12.75" x14ac:dyDescent="0.3">
      <c r="A28" s="137">
        <f t="shared" si="2"/>
        <v>23</v>
      </c>
      <c r="B28" s="138" t="s">
        <v>41</v>
      </c>
      <c r="C28" s="135">
        <v>9000</v>
      </c>
      <c r="D28" s="135">
        <v>1000</v>
      </c>
      <c r="E28" s="135">
        <v>1000</v>
      </c>
      <c r="F28" s="135">
        <v>4000</v>
      </c>
      <c r="G28" s="135">
        <v>25000</v>
      </c>
      <c r="H28" s="135"/>
      <c r="I28" s="135">
        <v>75000</v>
      </c>
      <c r="J28" s="135"/>
      <c r="K28" s="135"/>
      <c r="L28" s="135"/>
      <c r="M28" s="135"/>
      <c r="N28" s="135"/>
      <c r="O28" s="135"/>
      <c r="P28" s="135"/>
      <c r="Q28" s="135"/>
      <c r="R28" s="135"/>
      <c r="S28" s="131">
        <f t="shared" si="0"/>
        <v>115000</v>
      </c>
      <c r="T28" s="131"/>
      <c r="U28" s="131">
        <f t="shared" si="1"/>
        <v>115000</v>
      </c>
    </row>
    <row r="29" spans="1:21" s="136" customFormat="1" ht="12.75" x14ac:dyDescent="0.3">
      <c r="A29" s="137">
        <f t="shared" si="2"/>
        <v>24</v>
      </c>
      <c r="B29" s="139" t="s">
        <v>165</v>
      </c>
      <c r="C29" s="148">
        <v>9000</v>
      </c>
      <c r="D29" s="148">
        <v>1000</v>
      </c>
      <c r="E29" s="148">
        <v>1000</v>
      </c>
      <c r="F29" s="148">
        <v>4000</v>
      </c>
      <c r="G29" s="148">
        <v>25000</v>
      </c>
      <c r="H29" s="135"/>
      <c r="I29" s="135"/>
      <c r="J29" s="135"/>
      <c r="K29" s="135"/>
      <c r="L29" s="135"/>
      <c r="M29" s="135"/>
      <c r="N29" s="148">
        <v>25000</v>
      </c>
      <c r="O29" s="135"/>
      <c r="P29" s="135"/>
      <c r="Q29" s="135"/>
      <c r="R29" s="135"/>
      <c r="S29" s="131">
        <f t="shared" si="0"/>
        <v>65000</v>
      </c>
      <c r="T29" s="131">
        <v>65000</v>
      </c>
      <c r="U29" s="131">
        <f t="shared" si="1"/>
        <v>0</v>
      </c>
    </row>
    <row r="30" spans="1:21" s="136" customFormat="1" ht="12.75" x14ac:dyDescent="0.3">
      <c r="A30" s="137">
        <f t="shared" si="2"/>
        <v>25</v>
      </c>
      <c r="B30" s="138" t="s">
        <v>46</v>
      </c>
      <c r="C30" s="148">
        <v>9000</v>
      </c>
      <c r="D30" s="148">
        <v>1000</v>
      </c>
      <c r="E30" s="148">
        <v>1000</v>
      </c>
      <c r="F30" s="148">
        <v>4000</v>
      </c>
      <c r="G30" s="148">
        <v>25000</v>
      </c>
      <c r="H30" s="135"/>
      <c r="I30" s="135">
        <v>75000</v>
      </c>
      <c r="J30" s="135"/>
      <c r="K30" s="135"/>
      <c r="L30" s="135"/>
      <c r="M30" s="135"/>
      <c r="N30" s="135"/>
      <c r="O30" s="135"/>
      <c r="P30" s="135"/>
      <c r="Q30" s="135"/>
      <c r="R30" s="135"/>
      <c r="S30" s="131">
        <f t="shared" si="0"/>
        <v>115000</v>
      </c>
      <c r="T30" s="131">
        <v>115000</v>
      </c>
      <c r="U30" s="131">
        <f t="shared" si="1"/>
        <v>0</v>
      </c>
    </row>
    <row r="31" spans="1:21" s="136" customFormat="1" ht="12.75" x14ac:dyDescent="0.3">
      <c r="A31" s="137">
        <f t="shared" si="2"/>
        <v>26</v>
      </c>
      <c r="B31" s="138" t="s">
        <v>104</v>
      </c>
      <c r="C31" s="135"/>
      <c r="D31" s="135"/>
      <c r="E31" s="135"/>
      <c r="F31" s="135"/>
      <c r="G31" s="135"/>
      <c r="H31" s="135"/>
      <c r="I31" s="135"/>
      <c r="J31" s="135"/>
      <c r="K31" s="135"/>
      <c r="L31" s="135"/>
      <c r="M31" s="135"/>
      <c r="N31" s="135"/>
      <c r="O31" s="135"/>
      <c r="P31" s="135"/>
      <c r="Q31" s="135"/>
      <c r="R31" s="135"/>
      <c r="S31" s="131">
        <f t="shared" si="0"/>
        <v>0</v>
      </c>
      <c r="T31" s="131"/>
      <c r="U31" s="131">
        <f t="shared" si="1"/>
        <v>0</v>
      </c>
    </row>
    <row r="32" spans="1:21" s="136" customFormat="1" ht="12.75" x14ac:dyDescent="0.3">
      <c r="A32" s="137">
        <f t="shared" si="2"/>
        <v>27</v>
      </c>
      <c r="B32" s="138" t="s">
        <v>40</v>
      </c>
      <c r="C32" s="135">
        <v>119000</v>
      </c>
      <c r="D32" s="135">
        <v>1000</v>
      </c>
      <c r="E32" s="135">
        <v>1000</v>
      </c>
      <c r="F32" s="135">
        <v>4000</v>
      </c>
      <c r="G32" s="135">
        <v>25000</v>
      </c>
      <c r="H32" s="135"/>
      <c r="I32" s="135"/>
      <c r="J32" s="135"/>
      <c r="K32" s="135">
        <v>100000</v>
      </c>
      <c r="L32" s="135"/>
      <c r="M32" s="135"/>
      <c r="N32" s="135"/>
      <c r="O32" s="135"/>
      <c r="P32" s="135"/>
      <c r="Q32" s="135"/>
      <c r="R32" s="135"/>
      <c r="S32" s="131">
        <f t="shared" si="0"/>
        <v>250000</v>
      </c>
      <c r="T32" s="131"/>
      <c r="U32" s="131">
        <f t="shared" si="1"/>
        <v>250000</v>
      </c>
    </row>
    <row r="33" spans="1:21" s="136" customFormat="1" ht="12.75" x14ac:dyDescent="0.3">
      <c r="A33" s="137">
        <f t="shared" si="2"/>
        <v>28</v>
      </c>
      <c r="B33" s="138" t="s">
        <v>105</v>
      </c>
      <c r="C33" s="135">
        <v>9000</v>
      </c>
      <c r="D33" s="135">
        <v>1000</v>
      </c>
      <c r="E33" s="135">
        <v>1000</v>
      </c>
      <c r="F33" s="135">
        <v>4000</v>
      </c>
      <c r="G33" s="135">
        <v>25000</v>
      </c>
      <c r="H33" s="135"/>
      <c r="I33" s="135">
        <v>75000</v>
      </c>
      <c r="J33" s="135"/>
      <c r="K33" s="135"/>
      <c r="L33" s="135"/>
      <c r="M33" s="135"/>
      <c r="N33" s="135"/>
      <c r="O33" s="135"/>
      <c r="P33" s="135"/>
      <c r="Q33" s="135"/>
      <c r="R33" s="135"/>
      <c r="S33" s="131">
        <f t="shared" si="0"/>
        <v>115000</v>
      </c>
      <c r="T33" s="131"/>
      <c r="U33" s="131">
        <f t="shared" si="1"/>
        <v>115000</v>
      </c>
    </row>
    <row r="34" spans="1:21" s="136" customFormat="1" ht="12.75" x14ac:dyDescent="0.3">
      <c r="A34" s="137">
        <f t="shared" si="2"/>
        <v>29</v>
      </c>
      <c r="B34" s="138" t="s">
        <v>187</v>
      </c>
      <c r="C34" s="148">
        <v>9000</v>
      </c>
      <c r="D34" s="148">
        <v>1000</v>
      </c>
      <c r="E34" s="148">
        <v>1000</v>
      </c>
      <c r="F34" s="148">
        <v>4000</v>
      </c>
      <c r="G34" s="148">
        <v>25000</v>
      </c>
      <c r="H34" s="135"/>
      <c r="I34" s="135"/>
      <c r="J34" s="135"/>
      <c r="K34" s="135"/>
      <c r="L34" s="135"/>
      <c r="M34" s="135"/>
      <c r="N34" s="135"/>
      <c r="O34" s="135"/>
      <c r="P34" s="135"/>
      <c r="Q34" s="135"/>
      <c r="R34" s="135"/>
      <c r="S34" s="131">
        <f t="shared" si="0"/>
        <v>40000</v>
      </c>
      <c r="T34" s="131">
        <v>40000</v>
      </c>
      <c r="U34" s="131">
        <f t="shared" si="1"/>
        <v>0</v>
      </c>
    </row>
    <row r="35" spans="1:21" s="136" customFormat="1" ht="12.75" x14ac:dyDescent="0.3">
      <c r="A35" s="137">
        <f t="shared" si="2"/>
        <v>30</v>
      </c>
      <c r="B35" s="138" t="s">
        <v>110</v>
      </c>
      <c r="C35" s="135"/>
      <c r="D35" s="135"/>
      <c r="E35" s="135"/>
      <c r="F35" s="135"/>
      <c r="G35" s="135"/>
      <c r="H35" s="135"/>
      <c r="I35" s="135"/>
      <c r="J35" s="135"/>
      <c r="K35" s="135"/>
      <c r="L35" s="135"/>
      <c r="M35" s="135"/>
      <c r="N35" s="135"/>
      <c r="O35" s="135"/>
      <c r="P35" s="135"/>
      <c r="Q35" s="135"/>
      <c r="R35" s="135"/>
      <c r="S35" s="131">
        <f t="shared" si="0"/>
        <v>0</v>
      </c>
      <c r="T35" s="131"/>
      <c r="U35" s="131">
        <f t="shared" si="1"/>
        <v>0</v>
      </c>
    </row>
    <row r="36" spans="1:21" s="136" customFormat="1" ht="12.75" x14ac:dyDescent="0.3">
      <c r="A36" s="137">
        <f t="shared" si="2"/>
        <v>31</v>
      </c>
      <c r="B36" s="138" t="s">
        <v>106</v>
      </c>
      <c r="C36" s="148">
        <v>9000</v>
      </c>
      <c r="D36" s="148">
        <v>1000</v>
      </c>
      <c r="E36" s="148">
        <v>1000</v>
      </c>
      <c r="F36" s="148">
        <v>4000</v>
      </c>
      <c r="G36" s="148">
        <v>25000</v>
      </c>
      <c r="H36" s="135"/>
      <c r="I36" s="135"/>
      <c r="J36" s="135"/>
      <c r="K36" s="135"/>
      <c r="L36" s="135"/>
      <c r="M36" s="135"/>
      <c r="N36" s="135"/>
      <c r="O36" s="135"/>
      <c r="P36" s="135"/>
      <c r="Q36" s="135"/>
      <c r="R36" s="135"/>
      <c r="S36" s="131">
        <f t="shared" si="0"/>
        <v>40000</v>
      </c>
      <c r="T36" s="131">
        <v>40000</v>
      </c>
      <c r="U36" s="131">
        <f t="shared" si="1"/>
        <v>0</v>
      </c>
    </row>
    <row r="37" spans="1:21" s="136" customFormat="1" ht="12.75" x14ac:dyDescent="0.3">
      <c r="A37" s="137">
        <f t="shared" si="2"/>
        <v>32</v>
      </c>
      <c r="B37" s="138" t="s">
        <v>107</v>
      </c>
      <c r="C37" s="135">
        <v>9000</v>
      </c>
      <c r="D37" s="135">
        <v>1000</v>
      </c>
      <c r="E37" s="135">
        <v>1000</v>
      </c>
      <c r="F37" s="135">
        <v>4000</v>
      </c>
      <c r="G37" s="135">
        <v>25000</v>
      </c>
      <c r="H37" s="135"/>
      <c r="I37" s="135">
        <v>150000</v>
      </c>
      <c r="J37" s="135"/>
      <c r="K37" s="135">
        <v>100000</v>
      </c>
      <c r="L37" s="135"/>
      <c r="M37" s="135"/>
      <c r="N37" s="135"/>
      <c r="O37" s="135"/>
      <c r="P37" s="135"/>
      <c r="Q37" s="135"/>
      <c r="R37" s="135"/>
      <c r="S37" s="131">
        <f t="shared" si="0"/>
        <v>290000</v>
      </c>
      <c r="T37" s="131"/>
      <c r="U37" s="131">
        <f t="shared" si="1"/>
        <v>290000</v>
      </c>
    </row>
    <row r="38" spans="1:21" s="136" customFormat="1" ht="12.75" x14ac:dyDescent="0.3">
      <c r="A38" s="137">
        <f t="shared" si="2"/>
        <v>33</v>
      </c>
      <c r="B38" s="138" t="s">
        <v>111</v>
      </c>
      <c r="C38" s="150">
        <v>73000</v>
      </c>
      <c r="D38" s="150">
        <v>1000</v>
      </c>
      <c r="E38" s="150">
        <v>1000</v>
      </c>
      <c r="F38" s="150">
        <v>4000</v>
      </c>
      <c r="G38" s="150">
        <v>25000</v>
      </c>
      <c r="H38" s="135"/>
      <c r="I38" s="135"/>
      <c r="J38" s="135"/>
      <c r="K38" s="135"/>
      <c r="L38" s="135"/>
      <c r="M38" s="135"/>
      <c r="N38" s="135"/>
      <c r="O38" s="135"/>
      <c r="P38" s="135"/>
      <c r="Q38" s="135"/>
      <c r="R38" s="135"/>
      <c r="S38" s="131">
        <f t="shared" si="0"/>
        <v>104000</v>
      </c>
      <c r="T38" s="131">
        <v>104000</v>
      </c>
      <c r="U38" s="131">
        <f t="shared" si="1"/>
        <v>0</v>
      </c>
    </row>
    <row r="39" spans="1:21" s="136" customFormat="1" ht="12.75" x14ac:dyDescent="0.3">
      <c r="A39" s="137">
        <f t="shared" si="2"/>
        <v>34</v>
      </c>
      <c r="B39" s="138" t="s">
        <v>224</v>
      </c>
      <c r="C39" s="150">
        <v>9000</v>
      </c>
      <c r="D39" s="150">
        <v>1000</v>
      </c>
      <c r="E39" s="150">
        <v>1000</v>
      </c>
      <c r="F39" s="150">
        <v>4000</v>
      </c>
      <c r="G39" s="150">
        <v>25000</v>
      </c>
      <c r="H39" s="135"/>
      <c r="I39" s="135"/>
      <c r="J39" s="135"/>
      <c r="K39" s="135"/>
      <c r="L39" s="135"/>
      <c r="M39" s="135"/>
      <c r="N39" s="149">
        <v>25000</v>
      </c>
      <c r="O39" s="135"/>
      <c r="P39" s="135"/>
      <c r="Q39" s="135"/>
      <c r="R39" s="150">
        <v>35000</v>
      </c>
      <c r="S39" s="131">
        <f t="shared" si="0"/>
        <v>100000</v>
      </c>
      <c r="T39" s="131">
        <v>100000</v>
      </c>
      <c r="U39" s="131">
        <f t="shared" si="1"/>
        <v>0</v>
      </c>
    </row>
    <row r="40" spans="1:21" s="136" customFormat="1" ht="12.75" x14ac:dyDescent="0.3">
      <c r="A40" s="137">
        <f t="shared" si="2"/>
        <v>35</v>
      </c>
      <c r="B40" s="138"/>
      <c r="C40" s="135"/>
      <c r="D40" s="135"/>
      <c r="E40" s="135"/>
      <c r="F40" s="135"/>
      <c r="G40" s="135"/>
      <c r="H40" s="135"/>
      <c r="I40" s="135"/>
      <c r="J40" s="135"/>
      <c r="K40" s="135"/>
      <c r="L40" s="135"/>
      <c r="M40" s="135"/>
      <c r="N40" s="135"/>
      <c r="O40" s="135"/>
      <c r="P40" s="135"/>
      <c r="Q40" s="135"/>
      <c r="R40" s="135"/>
      <c r="S40" s="131">
        <f t="shared" si="0"/>
        <v>0</v>
      </c>
      <c r="T40" s="131"/>
      <c r="U40" s="131">
        <f t="shared" si="1"/>
        <v>0</v>
      </c>
    </row>
    <row r="41" spans="1:21" s="136" customFormat="1" ht="12.75" x14ac:dyDescent="0.3">
      <c r="A41" s="137">
        <f t="shared" si="2"/>
        <v>36</v>
      </c>
      <c r="B41" s="138"/>
      <c r="C41" s="135"/>
      <c r="D41" s="135"/>
      <c r="E41" s="135"/>
      <c r="F41" s="135"/>
      <c r="G41" s="135"/>
      <c r="H41" s="135"/>
      <c r="I41" s="135"/>
      <c r="J41" s="135"/>
      <c r="K41" s="135"/>
      <c r="L41" s="135"/>
      <c r="M41" s="135"/>
      <c r="N41" s="135"/>
      <c r="O41" s="135"/>
      <c r="P41" s="135"/>
      <c r="Q41" s="135"/>
      <c r="R41" s="135"/>
      <c r="S41" s="131">
        <f t="shared" si="0"/>
        <v>0</v>
      </c>
      <c r="T41" s="131"/>
      <c r="U41" s="131">
        <f t="shared" si="1"/>
        <v>0</v>
      </c>
    </row>
    <row r="42" spans="1:21" s="136" customFormat="1" ht="12.75" x14ac:dyDescent="0.3">
      <c r="A42" s="137">
        <f t="shared" si="2"/>
        <v>37</v>
      </c>
      <c r="B42" s="139"/>
      <c r="C42" s="135"/>
      <c r="D42" s="135"/>
      <c r="E42" s="135"/>
      <c r="F42" s="135"/>
      <c r="G42" s="135"/>
      <c r="H42" s="135"/>
      <c r="I42" s="135"/>
      <c r="J42" s="135"/>
      <c r="K42" s="135"/>
      <c r="L42" s="135"/>
      <c r="M42" s="135"/>
      <c r="N42" s="135"/>
      <c r="O42" s="135"/>
      <c r="P42" s="135"/>
      <c r="Q42" s="135"/>
      <c r="R42" s="135"/>
      <c r="S42" s="131">
        <f t="shared" si="0"/>
        <v>0</v>
      </c>
      <c r="T42" s="131"/>
      <c r="U42" s="131">
        <f t="shared" si="1"/>
        <v>0</v>
      </c>
    </row>
    <row r="43" spans="1:21" s="136" customFormat="1" ht="12.75" x14ac:dyDescent="0.3">
      <c r="A43" s="137">
        <f t="shared" si="2"/>
        <v>38</v>
      </c>
      <c r="B43" s="139"/>
      <c r="C43" s="135"/>
      <c r="D43" s="135"/>
      <c r="E43" s="135"/>
      <c r="F43" s="135"/>
      <c r="G43" s="135"/>
      <c r="H43" s="135"/>
      <c r="I43" s="135"/>
      <c r="J43" s="135"/>
      <c r="K43" s="135"/>
      <c r="L43" s="135"/>
      <c r="M43" s="135"/>
      <c r="N43" s="135"/>
      <c r="O43" s="135"/>
      <c r="P43" s="135"/>
      <c r="Q43" s="135"/>
      <c r="R43" s="135"/>
      <c r="S43" s="131">
        <f t="shared" si="0"/>
        <v>0</v>
      </c>
      <c r="T43" s="131"/>
      <c r="U43" s="131">
        <f t="shared" si="1"/>
        <v>0</v>
      </c>
    </row>
    <row r="44" spans="1:21" s="136" customFormat="1" ht="12.75" x14ac:dyDescent="0.3">
      <c r="A44" s="137">
        <f t="shared" si="2"/>
        <v>39</v>
      </c>
      <c r="B44" s="139"/>
      <c r="C44" s="135"/>
      <c r="D44" s="135"/>
      <c r="E44" s="135"/>
      <c r="F44" s="135"/>
      <c r="G44" s="135"/>
      <c r="H44" s="135"/>
      <c r="I44" s="135"/>
      <c r="J44" s="135"/>
      <c r="K44" s="135"/>
      <c r="L44" s="135"/>
      <c r="M44" s="135"/>
      <c r="N44" s="135"/>
      <c r="O44" s="135"/>
      <c r="P44" s="135"/>
      <c r="Q44" s="135"/>
      <c r="R44" s="135"/>
      <c r="S44" s="131">
        <f t="shared" si="0"/>
        <v>0</v>
      </c>
      <c r="T44" s="131"/>
      <c r="U44" s="131">
        <f t="shared" si="1"/>
        <v>0</v>
      </c>
    </row>
    <row r="45" spans="1:21" s="136" customFormat="1" ht="12.75" x14ac:dyDescent="0.3">
      <c r="A45" s="137">
        <f t="shared" si="2"/>
        <v>40</v>
      </c>
      <c r="B45" s="139"/>
      <c r="C45" s="135"/>
      <c r="D45" s="135"/>
      <c r="E45" s="135"/>
      <c r="F45" s="135"/>
      <c r="G45" s="135"/>
      <c r="H45" s="135"/>
      <c r="I45" s="135"/>
      <c r="J45" s="135"/>
      <c r="K45" s="135"/>
      <c r="L45" s="135"/>
      <c r="M45" s="135"/>
      <c r="N45" s="135"/>
      <c r="O45" s="135"/>
      <c r="P45" s="135"/>
      <c r="Q45" s="135"/>
      <c r="R45" s="135"/>
      <c r="S45" s="131">
        <f t="shared" si="0"/>
        <v>0</v>
      </c>
      <c r="T45" s="131"/>
      <c r="U45" s="131">
        <f t="shared" si="1"/>
        <v>0</v>
      </c>
    </row>
    <row r="46" spans="1:21" s="136" customFormat="1" ht="12.75" x14ac:dyDescent="0.3">
      <c r="A46" s="137">
        <f t="shared" si="2"/>
        <v>41</v>
      </c>
      <c r="B46" s="139"/>
      <c r="C46" s="135"/>
      <c r="D46" s="135"/>
      <c r="E46" s="135"/>
      <c r="F46" s="135"/>
      <c r="G46" s="135"/>
      <c r="H46" s="135"/>
      <c r="I46" s="135"/>
      <c r="J46" s="135"/>
      <c r="K46" s="135"/>
      <c r="L46" s="135"/>
      <c r="M46" s="135"/>
      <c r="N46" s="135"/>
      <c r="O46" s="135"/>
      <c r="P46" s="135"/>
      <c r="Q46" s="135"/>
      <c r="R46" s="135"/>
      <c r="S46" s="131">
        <f t="shared" si="0"/>
        <v>0</v>
      </c>
      <c r="T46" s="131"/>
      <c r="U46" s="131">
        <f t="shared" si="1"/>
        <v>0</v>
      </c>
    </row>
    <row r="47" spans="1:21" s="136" customFormat="1" ht="11.25" x14ac:dyDescent="0.2">
      <c r="A47" s="130"/>
      <c r="B47" s="130"/>
      <c r="C47" s="132">
        <f>SUM(C5:C46)</f>
        <v>514000</v>
      </c>
      <c r="D47" s="132">
        <f t="shared" ref="D47:U47" si="3">SUM(D5:D46)</f>
        <v>30000</v>
      </c>
      <c r="E47" s="132">
        <f t="shared" si="3"/>
        <v>30000</v>
      </c>
      <c r="F47" s="132">
        <f t="shared" si="3"/>
        <v>120000</v>
      </c>
      <c r="G47" s="132">
        <f t="shared" si="3"/>
        <v>750000</v>
      </c>
      <c r="H47" s="132">
        <f t="shared" si="3"/>
        <v>0</v>
      </c>
      <c r="I47" s="132">
        <f>SUM(I6:I46)</f>
        <v>1200000</v>
      </c>
      <c r="J47" s="132">
        <f t="shared" si="3"/>
        <v>0</v>
      </c>
      <c r="K47" s="132">
        <f t="shared" si="3"/>
        <v>1400000</v>
      </c>
      <c r="L47" s="132">
        <f t="shared" si="3"/>
        <v>0</v>
      </c>
      <c r="M47" s="132">
        <f t="shared" si="3"/>
        <v>0</v>
      </c>
      <c r="N47" s="132">
        <f t="shared" si="3"/>
        <v>75000</v>
      </c>
      <c r="O47" s="132">
        <f t="shared" si="3"/>
        <v>0</v>
      </c>
      <c r="P47" s="132">
        <f t="shared" si="3"/>
        <v>0</v>
      </c>
      <c r="Q47" s="132">
        <f t="shared" si="3"/>
        <v>210000</v>
      </c>
      <c r="R47" s="132">
        <f t="shared" si="3"/>
        <v>35000</v>
      </c>
      <c r="S47" s="132">
        <f t="shared" si="3"/>
        <v>4364000</v>
      </c>
      <c r="T47" s="133">
        <f t="shared" si="3"/>
        <v>629000</v>
      </c>
      <c r="U47" s="133">
        <f t="shared" si="3"/>
        <v>3735000</v>
      </c>
    </row>
    <row r="48" spans="1:21" ht="21" x14ac:dyDescent="0.35">
      <c r="A48" s="16"/>
      <c r="B48" s="214" t="s">
        <v>263</v>
      </c>
      <c r="C48" s="214"/>
      <c r="D48" s="214"/>
      <c r="E48" s="214"/>
      <c r="F48" s="214"/>
      <c r="G48" s="214"/>
      <c r="H48" s="214"/>
      <c r="I48" s="214"/>
      <c r="J48" s="134"/>
      <c r="K48" s="134"/>
      <c r="L48" s="134"/>
      <c r="M48" s="134"/>
      <c r="N48" s="134"/>
      <c r="O48" s="134"/>
      <c r="P48" s="134"/>
      <c r="Q48" s="134"/>
      <c r="R48" s="134"/>
      <c r="S48" s="134"/>
      <c r="T48" s="134"/>
      <c r="U48" s="134"/>
    </row>
    <row r="49" spans="1:21" x14ac:dyDescent="0.25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</row>
    <row r="50" spans="1:21" s="128" customFormat="1" x14ac:dyDescent="0.25">
      <c r="A50" s="137"/>
      <c r="B50" s="137"/>
      <c r="C50" s="209" t="s">
        <v>75</v>
      </c>
      <c r="D50" s="209" t="s">
        <v>168</v>
      </c>
      <c r="E50" s="209" t="s">
        <v>169</v>
      </c>
      <c r="F50" s="209" t="s">
        <v>170</v>
      </c>
      <c r="G50" s="211" t="s">
        <v>171</v>
      </c>
      <c r="H50" s="213"/>
      <c r="I50" s="211" t="s">
        <v>200</v>
      </c>
      <c r="J50" s="213"/>
      <c r="K50" s="211" t="s">
        <v>201</v>
      </c>
      <c r="L50" s="213"/>
      <c r="M50" s="209" t="s">
        <v>174</v>
      </c>
      <c r="N50" s="209" t="s">
        <v>175</v>
      </c>
      <c r="O50" s="209" t="s">
        <v>176</v>
      </c>
      <c r="P50" s="209" t="s">
        <v>177</v>
      </c>
      <c r="Q50" s="209" t="s">
        <v>178</v>
      </c>
      <c r="R50" s="209"/>
      <c r="S50" s="211" t="s">
        <v>179</v>
      </c>
      <c r="T50" s="212"/>
      <c r="U50" s="213"/>
    </row>
    <row r="51" spans="1:21" s="128" customFormat="1" x14ac:dyDescent="0.25">
      <c r="A51" s="137"/>
      <c r="B51" s="137"/>
      <c r="C51" s="210"/>
      <c r="D51" s="210"/>
      <c r="E51" s="210"/>
      <c r="F51" s="210"/>
      <c r="G51" s="137" t="s">
        <v>180</v>
      </c>
      <c r="H51" s="137" t="s">
        <v>181</v>
      </c>
      <c r="I51" s="137" t="s">
        <v>180</v>
      </c>
      <c r="J51" s="137" t="s">
        <v>181</v>
      </c>
      <c r="K51" s="137" t="s">
        <v>180</v>
      </c>
      <c r="L51" s="137" t="s">
        <v>181</v>
      </c>
      <c r="M51" s="210"/>
      <c r="N51" s="210"/>
      <c r="O51" s="210"/>
      <c r="P51" s="210"/>
      <c r="Q51" s="210"/>
      <c r="R51" s="210"/>
      <c r="S51" s="137" t="s">
        <v>74</v>
      </c>
      <c r="T51" s="137" t="s">
        <v>182</v>
      </c>
      <c r="U51" s="137" t="s">
        <v>183</v>
      </c>
    </row>
    <row r="52" spans="1:21" ht="15.75" x14ac:dyDescent="0.3">
      <c r="A52" s="137">
        <v>0</v>
      </c>
      <c r="B52" s="138" t="s">
        <v>88</v>
      </c>
      <c r="C52" s="135"/>
      <c r="D52" s="135"/>
      <c r="E52" s="135"/>
      <c r="F52" s="135"/>
      <c r="G52" s="135"/>
      <c r="H52" s="135"/>
      <c r="I52" s="135"/>
      <c r="J52" s="135"/>
      <c r="K52" s="135">
        <v>100000</v>
      </c>
      <c r="L52" s="135"/>
      <c r="M52" s="135"/>
      <c r="N52" s="135"/>
      <c r="O52" s="135"/>
      <c r="P52" s="135"/>
      <c r="Q52" s="135"/>
      <c r="R52" s="135"/>
      <c r="S52" s="131">
        <f>+R52+Q52+P52+O52+N52+M52+L52+K52+J52+I52+H52+G52+F52+E52+D52+C52</f>
        <v>100000</v>
      </c>
      <c r="T52" s="131"/>
      <c r="U52" s="131">
        <f>+S52-T52</f>
        <v>100000</v>
      </c>
    </row>
    <row r="53" spans="1:21" ht="15.75" x14ac:dyDescent="0.3">
      <c r="A53" s="161">
        <f>+A52+1</f>
        <v>1</v>
      </c>
      <c r="B53" s="162" t="s">
        <v>39</v>
      </c>
      <c r="C53" s="135">
        <v>9000</v>
      </c>
      <c r="D53" s="135">
        <v>1000</v>
      </c>
      <c r="E53" s="135">
        <v>1000</v>
      </c>
      <c r="F53" s="135">
        <v>4000</v>
      </c>
      <c r="G53" s="135">
        <v>25000</v>
      </c>
      <c r="H53" s="135"/>
      <c r="I53" s="135">
        <v>75000</v>
      </c>
      <c r="J53" s="135"/>
      <c r="K53" s="135"/>
      <c r="L53" s="135"/>
      <c r="M53" s="135">
        <v>500000</v>
      </c>
      <c r="N53" s="135"/>
      <c r="O53" s="135"/>
      <c r="P53" s="135"/>
      <c r="Q53" s="135"/>
      <c r="R53" s="135"/>
      <c r="S53" s="135">
        <f t="shared" ref="S53:S93" si="4">+R53+Q53+P53+O53+N53+M53+L53+K53+J53+I53+H53+G53+F53+E53+D53+C53</f>
        <v>615000</v>
      </c>
      <c r="T53" s="131"/>
      <c r="U53" s="131">
        <f t="shared" ref="U53:U93" si="5">+S53-T53</f>
        <v>615000</v>
      </c>
    </row>
    <row r="54" spans="1:21" ht="15.75" x14ac:dyDescent="0.3">
      <c r="A54" s="161">
        <f t="shared" ref="A54:A93" si="6">+A53+1</f>
        <v>2</v>
      </c>
      <c r="B54" s="162" t="s">
        <v>43</v>
      </c>
      <c r="C54" s="135">
        <v>17000</v>
      </c>
      <c r="D54" s="135">
        <v>1000</v>
      </c>
      <c r="E54" s="135">
        <v>1000</v>
      </c>
      <c r="F54" s="135">
        <v>4000</v>
      </c>
      <c r="G54" s="135">
        <v>25000</v>
      </c>
      <c r="H54" s="135"/>
      <c r="I54" s="135"/>
      <c r="J54" s="135"/>
      <c r="K54" s="135">
        <v>100000</v>
      </c>
      <c r="L54" s="135">
        <v>52000</v>
      </c>
      <c r="M54" s="135"/>
      <c r="N54" s="135"/>
      <c r="O54" s="135"/>
      <c r="P54" s="135"/>
      <c r="Q54" s="135"/>
      <c r="R54" s="135"/>
      <c r="S54" s="135">
        <f t="shared" si="4"/>
        <v>200000</v>
      </c>
      <c r="T54" s="131">
        <v>80000</v>
      </c>
      <c r="U54" s="131">
        <f t="shared" si="5"/>
        <v>120000</v>
      </c>
    </row>
    <row r="55" spans="1:21" ht="15.75" x14ac:dyDescent="0.3">
      <c r="A55" s="161">
        <f t="shared" si="6"/>
        <v>3</v>
      </c>
      <c r="B55" s="162" t="s">
        <v>89</v>
      </c>
      <c r="C55" s="135">
        <v>9000</v>
      </c>
      <c r="D55" s="135">
        <v>1000</v>
      </c>
      <c r="E55" s="135">
        <v>1000</v>
      </c>
      <c r="F55" s="135">
        <v>4000</v>
      </c>
      <c r="G55" s="135">
        <v>25000</v>
      </c>
      <c r="H55" s="135">
        <v>63000</v>
      </c>
      <c r="I55" s="135"/>
      <c r="J55" s="135"/>
      <c r="K55" s="135"/>
      <c r="L55" s="135"/>
      <c r="M55" s="135"/>
      <c r="N55" s="135"/>
      <c r="O55" s="135"/>
      <c r="P55" s="135"/>
      <c r="Q55" s="135"/>
      <c r="R55" s="135"/>
      <c r="S55" s="135">
        <f t="shared" si="4"/>
        <v>103000</v>
      </c>
      <c r="T55" s="131"/>
      <c r="U55" s="131">
        <f t="shared" si="5"/>
        <v>103000</v>
      </c>
    </row>
    <row r="56" spans="1:21" ht="15.75" x14ac:dyDescent="0.3">
      <c r="A56" s="161">
        <f t="shared" si="6"/>
        <v>4</v>
      </c>
      <c r="B56" s="162" t="s">
        <v>90</v>
      </c>
      <c r="C56" s="135">
        <v>9000</v>
      </c>
      <c r="D56" s="135">
        <v>1000</v>
      </c>
      <c r="E56" s="135">
        <v>1000</v>
      </c>
      <c r="F56" s="135">
        <v>4000</v>
      </c>
      <c r="G56" s="135">
        <v>25000</v>
      </c>
      <c r="H56" s="135">
        <v>62000</v>
      </c>
      <c r="I56" s="135">
        <v>75000</v>
      </c>
      <c r="J56" s="135"/>
      <c r="K56" s="135"/>
      <c r="L56" s="135"/>
      <c r="M56" s="135"/>
      <c r="N56" s="135"/>
      <c r="O56" s="135"/>
      <c r="P56" s="135"/>
      <c r="Q56" s="135"/>
      <c r="R56" s="135"/>
      <c r="S56" s="135">
        <f t="shared" si="4"/>
        <v>177000</v>
      </c>
      <c r="T56" s="131"/>
      <c r="U56" s="131">
        <f t="shared" si="5"/>
        <v>177000</v>
      </c>
    </row>
    <row r="57" spans="1:21" ht="15.75" x14ac:dyDescent="0.3">
      <c r="A57" s="161">
        <f t="shared" si="6"/>
        <v>5</v>
      </c>
      <c r="B57" s="162" t="s">
        <v>91</v>
      </c>
      <c r="C57" s="135">
        <v>14000</v>
      </c>
      <c r="D57" s="135">
        <v>1000</v>
      </c>
      <c r="E57" s="135">
        <v>1000</v>
      </c>
      <c r="F57" s="135">
        <v>4000</v>
      </c>
      <c r="G57" s="135">
        <v>25000</v>
      </c>
      <c r="H57" s="135"/>
      <c r="I57" s="135">
        <v>75000</v>
      </c>
      <c r="J57" s="135"/>
      <c r="K57" s="135">
        <v>200000</v>
      </c>
      <c r="L57" s="135"/>
      <c r="M57" s="135"/>
      <c r="N57" s="135"/>
      <c r="O57" s="135"/>
      <c r="P57" s="135"/>
      <c r="Q57" s="135"/>
      <c r="R57" s="135"/>
      <c r="S57" s="135">
        <f t="shared" si="4"/>
        <v>320000</v>
      </c>
      <c r="T57" s="131"/>
      <c r="U57" s="131">
        <f t="shared" si="5"/>
        <v>320000</v>
      </c>
    </row>
    <row r="58" spans="1:21" ht="15.75" x14ac:dyDescent="0.3">
      <c r="A58" s="156">
        <f t="shared" si="6"/>
        <v>6</v>
      </c>
      <c r="B58" s="157" t="s">
        <v>92</v>
      </c>
      <c r="C58" s="158">
        <v>9000</v>
      </c>
      <c r="D58" s="158">
        <v>1000</v>
      </c>
      <c r="E58" s="158">
        <v>1000</v>
      </c>
      <c r="F58" s="158">
        <v>4000</v>
      </c>
      <c r="G58" s="158">
        <v>25000</v>
      </c>
      <c r="H58" s="158"/>
      <c r="I58" s="158"/>
      <c r="J58" s="158"/>
      <c r="K58" s="158"/>
      <c r="L58" s="158"/>
      <c r="M58" s="158"/>
      <c r="N58" s="158"/>
      <c r="O58" s="158"/>
      <c r="P58" s="158"/>
      <c r="Q58" s="158"/>
      <c r="R58" s="158"/>
      <c r="S58" s="158">
        <f t="shared" si="4"/>
        <v>40000</v>
      </c>
      <c r="T58" s="131">
        <v>40000</v>
      </c>
      <c r="U58" s="131">
        <f t="shared" si="5"/>
        <v>0</v>
      </c>
    </row>
    <row r="59" spans="1:21" ht="15.75" x14ac:dyDescent="0.3">
      <c r="A59" s="161">
        <f t="shared" si="6"/>
        <v>7</v>
      </c>
      <c r="B59" s="162" t="s">
        <v>93</v>
      </c>
      <c r="C59" s="135">
        <v>9000</v>
      </c>
      <c r="D59" s="135">
        <v>1000</v>
      </c>
      <c r="E59" s="135">
        <v>1000</v>
      </c>
      <c r="F59" s="135">
        <v>4000</v>
      </c>
      <c r="G59" s="135">
        <v>25000</v>
      </c>
      <c r="H59" s="135"/>
      <c r="I59" s="135"/>
      <c r="J59" s="135"/>
      <c r="K59" s="135"/>
      <c r="L59" s="135"/>
      <c r="M59" s="135"/>
      <c r="N59" s="135"/>
      <c r="O59" s="135"/>
      <c r="P59" s="135"/>
      <c r="Q59" s="135"/>
      <c r="R59" s="135"/>
      <c r="S59" s="135">
        <f t="shared" si="4"/>
        <v>40000</v>
      </c>
      <c r="T59" s="131"/>
      <c r="U59" s="131">
        <f t="shared" si="5"/>
        <v>40000</v>
      </c>
    </row>
    <row r="60" spans="1:21" ht="15.75" x14ac:dyDescent="0.3">
      <c r="A60" s="137">
        <f t="shared" si="6"/>
        <v>8</v>
      </c>
      <c r="B60" s="138" t="s">
        <v>114</v>
      </c>
      <c r="C60" s="135"/>
      <c r="D60" s="135"/>
      <c r="E60" s="135"/>
      <c r="F60" s="135"/>
      <c r="G60" s="135"/>
      <c r="H60" s="135"/>
      <c r="I60" s="135"/>
      <c r="J60" s="135"/>
      <c r="K60" s="135"/>
      <c r="L60" s="135"/>
      <c r="M60" s="135"/>
      <c r="N60" s="135"/>
      <c r="O60" s="135"/>
      <c r="P60" s="135"/>
      <c r="Q60" s="135"/>
      <c r="R60" s="135"/>
      <c r="S60" s="131">
        <f t="shared" si="4"/>
        <v>0</v>
      </c>
      <c r="T60" s="131"/>
      <c r="U60" s="131">
        <f t="shared" si="5"/>
        <v>0</v>
      </c>
    </row>
    <row r="61" spans="1:21" ht="15.75" x14ac:dyDescent="0.3">
      <c r="A61" s="156">
        <f t="shared" si="6"/>
        <v>9</v>
      </c>
      <c r="B61" s="157" t="s">
        <v>42</v>
      </c>
      <c r="C61" s="158">
        <v>9000</v>
      </c>
      <c r="D61" s="158">
        <v>1000</v>
      </c>
      <c r="E61" s="158">
        <v>1000</v>
      </c>
      <c r="F61" s="158">
        <v>4000</v>
      </c>
      <c r="G61" s="158">
        <v>25000</v>
      </c>
      <c r="H61" s="158"/>
      <c r="I61" s="158">
        <v>75000</v>
      </c>
      <c r="J61" s="158"/>
      <c r="K61" s="158"/>
      <c r="L61" s="158"/>
      <c r="M61" s="158"/>
      <c r="N61" s="158"/>
      <c r="O61" s="158"/>
      <c r="P61" s="158"/>
      <c r="Q61" s="158"/>
      <c r="R61" s="158"/>
      <c r="S61" s="158">
        <f t="shared" si="4"/>
        <v>115000</v>
      </c>
      <c r="T61" s="131"/>
      <c r="U61" s="131">
        <f t="shared" si="5"/>
        <v>115000</v>
      </c>
    </row>
    <row r="62" spans="1:21" ht="15.75" x14ac:dyDescent="0.3">
      <c r="A62" s="156">
        <f t="shared" si="6"/>
        <v>10</v>
      </c>
      <c r="B62" s="157" t="s">
        <v>37</v>
      </c>
      <c r="C62" s="158">
        <v>44000</v>
      </c>
      <c r="D62" s="158">
        <v>1000</v>
      </c>
      <c r="E62" s="158">
        <v>1000</v>
      </c>
      <c r="F62" s="158">
        <v>4000</v>
      </c>
      <c r="G62" s="158">
        <v>25000</v>
      </c>
      <c r="H62" s="158"/>
      <c r="I62" s="158">
        <v>75000</v>
      </c>
      <c r="J62" s="158"/>
      <c r="K62" s="158">
        <v>100000</v>
      </c>
      <c r="L62" s="158"/>
      <c r="M62" s="158">
        <v>1000000</v>
      </c>
      <c r="N62" s="158"/>
      <c r="O62" s="158"/>
      <c r="P62" s="158"/>
      <c r="Q62" s="158"/>
      <c r="R62" s="158"/>
      <c r="S62" s="158">
        <f t="shared" si="4"/>
        <v>1250000</v>
      </c>
      <c r="T62" s="131"/>
      <c r="U62" s="131">
        <f t="shared" si="5"/>
        <v>1250000</v>
      </c>
    </row>
    <row r="63" spans="1:21" ht="15.75" x14ac:dyDescent="0.3">
      <c r="A63" s="156">
        <f t="shared" si="6"/>
        <v>11</v>
      </c>
      <c r="B63" s="157" t="s">
        <v>94</v>
      </c>
      <c r="C63" s="158">
        <v>9000</v>
      </c>
      <c r="D63" s="158">
        <v>1000</v>
      </c>
      <c r="E63" s="158">
        <v>1000</v>
      </c>
      <c r="F63" s="158">
        <v>4000</v>
      </c>
      <c r="G63" s="158">
        <v>25000</v>
      </c>
      <c r="H63" s="158"/>
      <c r="I63" s="158"/>
      <c r="J63" s="158"/>
      <c r="K63" s="158">
        <v>100000</v>
      </c>
      <c r="L63" s="158"/>
      <c r="M63" s="158"/>
      <c r="N63" s="158"/>
      <c r="O63" s="158"/>
      <c r="P63" s="158"/>
      <c r="Q63" s="158">
        <v>70000</v>
      </c>
      <c r="R63" s="158"/>
      <c r="S63" s="158">
        <f t="shared" si="4"/>
        <v>210000</v>
      </c>
      <c r="T63" s="131"/>
      <c r="U63" s="131">
        <f t="shared" si="5"/>
        <v>210000</v>
      </c>
    </row>
    <row r="64" spans="1:21" ht="15.75" x14ac:dyDescent="0.3">
      <c r="A64" s="161">
        <f t="shared" si="6"/>
        <v>12</v>
      </c>
      <c r="B64" s="162" t="s">
        <v>95</v>
      </c>
      <c r="C64" s="135">
        <v>9000</v>
      </c>
      <c r="D64" s="135">
        <v>1000</v>
      </c>
      <c r="E64" s="135">
        <v>1000</v>
      </c>
      <c r="F64" s="135">
        <v>4000</v>
      </c>
      <c r="G64" s="135">
        <v>25000</v>
      </c>
      <c r="H64" s="135"/>
      <c r="I64" s="135">
        <v>75000</v>
      </c>
      <c r="J64" s="135">
        <v>51000</v>
      </c>
      <c r="K64" s="135">
        <v>100000</v>
      </c>
      <c r="L64" s="135"/>
      <c r="M64" s="135"/>
      <c r="N64" s="135"/>
      <c r="O64" s="135"/>
      <c r="P64" s="135"/>
      <c r="Q64" s="135"/>
      <c r="R64" s="135"/>
      <c r="S64" s="135">
        <f t="shared" si="4"/>
        <v>266000</v>
      </c>
      <c r="T64" s="131">
        <v>266000</v>
      </c>
      <c r="U64" s="131">
        <f t="shared" si="5"/>
        <v>0</v>
      </c>
    </row>
    <row r="65" spans="1:21" ht="15.75" x14ac:dyDescent="0.3">
      <c r="A65" s="161">
        <f t="shared" si="6"/>
        <v>13</v>
      </c>
      <c r="B65" s="162" t="s">
        <v>96</v>
      </c>
      <c r="C65" s="135">
        <v>9000</v>
      </c>
      <c r="D65" s="135">
        <v>1000</v>
      </c>
      <c r="E65" s="135">
        <v>1000</v>
      </c>
      <c r="F65" s="135">
        <v>4000</v>
      </c>
      <c r="G65" s="135">
        <v>25000</v>
      </c>
      <c r="H65" s="135"/>
      <c r="I65" s="135"/>
      <c r="J65" s="135"/>
      <c r="K65" s="135"/>
      <c r="L65" s="135"/>
      <c r="M65" s="135"/>
      <c r="N65" s="135"/>
      <c r="O65" s="135"/>
      <c r="P65" s="135"/>
      <c r="Q65" s="135"/>
      <c r="R65" s="135"/>
      <c r="S65" s="135">
        <f t="shared" si="4"/>
        <v>40000</v>
      </c>
      <c r="T65" s="131">
        <v>40000</v>
      </c>
      <c r="U65" s="131">
        <f t="shared" si="5"/>
        <v>0</v>
      </c>
    </row>
    <row r="66" spans="1:21" ht="15.75" x14ac:dyDescent="0.3">
      <c r="A66" s="161">
        <f t="shared" si="6"/>
        <v>14</v>
      </c>
      <c r="B66" s="162" t="s">
        <v>97</v>
      </c>
      <c r="C66" s="135">
        <v>9000</v>
      </c>
      <c r="D66" s="135">
        <v>1000</v>
      </c>
      <c r="E66" s="135">
        <v>1000</v>
      </c>
      <c r="F66" s="135">
        <v>4000</v>
      </c>
      <c r="G66" s="135">
        <v>25000</v>
      </c>
      <c r="H66" s="135"/>
      <c r="I66" s="135">
        <v>75000</v>
      </c>
      <c r="J66" s="135">
        <v>0</v>
      </c>
      <c r="K66" s="135">
        <v>100000</v>
      </c>
      <c r="L66" s="135"/>
      <c r="M66" s="135"/>
      <c r="N66" s="135"/>
      <c r="O66" s="135"/>
      <c r="P66" s="135"/>
      <c r="Q66" s="135"/>
      <c r="R66" s="135"/>
      <c r="S66" s="135">
        <f t="shared" si="4"/>
        <v>215000</v>
      </c>
      <c r="T66" s="131">
        <v>215000</v>
      </c>
      <c r="U66" s="131">
        <f t="shared" si="5"/>
        <v>0</v>
      </c>
    </row>
    <row r="67" spans="1:21" ht="15.75" x14ac:dyDescent="0.3">
      <c r="A67" s="161">
        <f t="shared" si="6"/>
        <v>15</v>
      </c>
      <c r="B67" s="162" t="s">
        <v>98</v>
      </c>
      <c r="C67" s="135">
        <v>9000</v>
      </c>
      <c r="D67" s="135">
        <v>1000</v>
      </c>
      <c r="E67" s="135">
        <v>1000</v>
      </c>
      <c r="F67" s="135">
        <v>4000</v>
      </c>
      <c r="G67" s="135">
        <v>25000</v>
      </c>
      <c r="H67" s="135"/>
      <c r="I67" s="135"/>
      <c r="J67" s="135"/>
      <c r="K67" s="135"/>
      <c r="L67" s="135"/>
      <c r="M67" s="135"/>
      <c r="N67" s="135"/>
      <c r="O67" s="135"/>
      <c r="P67" s="135"/>
      <c r="Q67" s="135"/>
      <c r="R67" s="135"/>
      <c r="S67" s="135">
        <f t="shared" si="4"/>
        <v>40000</v>
      </c>
      <c r="T67" s="131"/>
      <c r="U67" s="131">
        <f t="shared" si="5"/>
        <v>40000</v>
      </c>
    </row>
    <row r="68" spans="1:21" ht="15.75" x14ac:dyDescent="0.3">
      <c r="A68" s="161">
        <f t="shared" si="6"/>
        <v>16</v>
      </c>
      <c r="B68" s="162" t="s">
        <v>99</v>
      </c>
      <c r="C68" s="135">
        <v>9000</v>
      </c>
      <c r="D68" s="135">
        <v>1000</v>
      </c>
      <c r="E68" s="135">
        <v>1000</v>
      </c>
      <c r="F68" s="135">
        <v>4000</v>
      </c>
      <c r="G68" s="135">
        <v>25000</v>
      </c>
      <c r="H68" s="135"/>
      <c r="I68" s="135">
        <v>75000</v>
      </c>
      <c r="J68" s="135"/>
      <c r="K68" s="135"/>
      <c r="L68" s="135"/>
      <c r="M68" s="135"/>
      <c r="N68" s="135"/>
      <c r="O68" s="135"/>
      <c r="P68" s="135"/>
      <c r="Q68" s="135"/>
      <c r="R68" s="135"/>
      <c r="S68" s="135">
        <f t="shared" si="4"/>
        <v>115000</v>
      </c>
      <c r="T68" s="131"/>
      <c r="U68" s="131">
        <f t="shared" si="5"/>
        <v>115000</v>
      </c>
    </row>
    <row r="69" spans="1:21" ht="15.75" x14ac:dyDescent="0.3">
      <c r="A69" s="161">
        <f t="shared" si="6"/>
        <v>17</v>
      </c>
      <c r="B69" s="162" t="s">
        <v>100</v>
      </c>
      <c r="C69" s="135">
        <v>19000</v>
      </c>
      <c r="D69" s="135">
        <v>1000</v>
      </c>
      <c r="E69" s="135">
        <v>1000</v>
      </c>
      <c r="F69" s="135">
        <v>4000</v>
      </c>
      <c r="G69" s="135">
        <v>25000</v>
      </c>
      <c r="H69" s="135"/>
      <c r="I69" s="135"/>
      <c r="J69" s="135"/>
      <c r="K69" s="135">
        <v>200000</v>
      </c>
      <c r="L69" s="135"/>
      <c r="M69" s="135"/>
      <c r="N69" s="135"/>
      <c r="O69" s="135"/>
      <c r="P69" s="135"/>
      <c r="Q69" s="135"/>
      <c r="R69" s="135"/>
      <c r="S69" s="135">
        <f t="shared" si="4"/>
        <v>250000</v>
      </c>
      <c r="T69" s="131"/>
      <c r="U69" s="131">
        <f t="shared" si="5"/>
        <v>250000</v>
      </c>
    </row>
    <row r="70" spans="1:21" ht="15.75" x14ac:dyDescent="0.3">
      <c r="A70" s="161">
        <f t="shared" si="6"/>
        <v>18</v>
      </c>
      <c r="B70" s="162" t="s">
        <v>38</v>
      </c>
      <c r="C70" s="135">
        <v>9000</v>
      </c>
      <c r="D70" s="135">
        <v>1000</v>
      </c>
      <c r="E70" s="135">
        <v>1000</v>
      </c>
      <c r="F70" s="135">
        <v>4000</v>
      </c>
      <c r="G70" s="135">
        <v>25000</v>
      </c>
      <c r="H70" s="135">
        <v>26000</v>
      </c>
      <c r="I70" s="135">
        <v>75000</v>
      </c>
      <c r="J70" s="135">
        <v>102000</v>
      </c>
      <c r="K70" s="135">
        <v>100000</v>
      </c>
      <c r="L70" s="135">
        <f>156000-134000</f>
        <v>22000</v>
      </c>
      <c r="M70" s="135"/>
      <c r="N70" s="135"/>
      <c r="O70" s="135"/>
      <c r="P70" s="135"/>
      <c r="Q70" s="135"/>
      <c r="R70" s="135"/>
      <c r="S70" s="135">
        <f t="shared" si="4"/>
        <v>365000</v>
      </c>
      <c r="T70" s="131"/>
      <c r="U70" s="131">
        <f t="shared" si="5"/>
        <v>365000</v>
      </c>
    </row>
    <row r="71" spans="1:21" ht="15.75" x14ac:dyDescent="0.3">
      <c r="A71" s="156">
        <f t="shared" si="6"/>
        <v>19</v>
      </c>
      <c r="B71" s="157" t="s">
        <v>101</v>
      </c>
      <c r="C71" s="158">
        <v>9000</v>
      </c>
      <c r="D71" s="158">
        <v>1000</v>
      </c>
      <c r="E71" s="158">
        <v>1000</v>
      </c>
      <c r="F71" s="158">
        <v>4000</v>
      </c>
      <c r="G71" s="158">
        <v>25000</v>
      </c>
      <c r="H71" s="158">
        <v>10000</v>
      </c>
      <c r="I71" s="158">
        <v>150000</v>
      </c>
      <c r="J71" s="158">
        <v>102000</v>
      </c>
      <c r="K71" s="158">
        <v>100000</v>
      </c>
      <c r="L71" s="158">
        <v>78000</v>
      </c>
      <c r="M71" s="158"/>
      <c r="N71" s="158"/>
      <c r="O71" s="158"/>
      <c r="P71" s="158"/>
      <c r="Q71" s="158">
        <v>70000</v>
      </c>
      <c r="R71" s="158"/>
      <c r="S71" s="158">
        <f t="shared" si="4"/>
        <v>550000</v>
      </c>
      <c r="T71" s="131">
        <v>50000</v>
      </c>
      <c r="U71" s="131">
        <f t="shared" si="5"/>
        <v>500000</v>
      </c>
    </row>
    <row r="72" spans="1:21" ht="15.75" x14ac:dyDescent="0.3">
      <c r="A72" s="156">
        <f t="shared" si="6"/>
        <v>20</v>
      </c>
      <c r="B72" s="157" t="s">
        <v>102</v>
      </c>
      <c r="C72" s="158">
        <v>9000</v>
      </c>
      <c r="D72" s="158">
        <v>1000</v>
      </c>
      <c r="E72" s="158">
        <v>1000</v>
      </c>
      <c r="F72" s="158">
        <v>4000</v>
      </c>
      <c r="G72" s="158">
        <v>25000</v>
      </c>
      <c r="H72" s="158">
        <v>62000</v>
      </c>
      <c r="I72" s="158"/>
      <c r="J72" s="158"/>
      <c r="K72" s="158"/>
      <c r="L72" s="158"/>
      <c r="M72" s="158">
        <v>1000000</v>
      </c>
      <c r="N72" s="158"/>
      <c r="O72" s="158"/>
      <c r="P72" s="158">
        <v>30000</v>
      </c>
      <c r="Q72" s="158">
        <v>70000</v>
      </c>
      <c r="R72" s="158"/>
      <c r="S72" s="158">
        <f t="shared" si="4"/>
        <v>1202000</v>
      </c>
      <c r="T72" s="131">
        <v>102000</v>
      </c>
      <c r="U72" s="131">
        <f t="shared" si="5"/>
        <v>1100000</v>
      </c>
    </row>
    <row r="73" spans="1:21" ht="15.75" x14ac:dyDescent="0.3">
      <c r="A73" s="137">
        <f t="shared" si="6"/>
        <v>21</v>
      </c>
      <c r="B73" s="138" t="s">
        <v>109</v>
      </c>
      <c r="C73" s="135"/>
      <c r="D73" s="135"/>
      <c r="E73" s="135"/>
      <c r="F73" s="135"/>
      <c r="G73" s="135"/>
      <c r="H73" s="135"/>
      <c r="I73" s="135"/>
      <c r="J73" s="135"/>
      <c r="K73" s="135"/>
      <c r="L73" s="135"/>
      <c r="M73" s="135"/>
      <c r="N73" s="135"/>
      <c r="O73" s="135"/>
      <c r="P73" s="135"/>
      <c r="Q73" s="135"/>
      <c r="R73" s="135"/>
      <c r="S73" s="131">
        <f t="shared" si="4"/>
        <v>0</v>
      </c>
      <c r="T73" s="131"/>
      <c r="U73" s="131">
        <f t="shared" si="5"/>
        <v>0</v>
      </c>
    </row>
    <row r="74" spans="1:21" ht="15.75" x14ac:dyDescent="0.3">
      <c r="A74" s="156">
        <f t="shared" si="6"/>
        <v>22</v>
      </c>
      <c r="B74" s="157" t="s">
        <v>166</v>
      </c>
      <c r="C74" s="158">
        <v>9000</v>
      </c>
      <c r="D74" s="158">
        <v>1000</v>
      </c>
      <c r="E74" s="158">
        <v>1000</v>
      </c>
      <c r="F74" s="158">
        <v>4000</v>
      </c>
      <c r="G74" s="158">
        <v>25000</v>
      </c>
      <c r="H74" s="158"/>
      <c r="I74" s="158"/>
      <c r="J74" s="158"/>
      <c r="K74" s="158"/>
      <c r="L74" s="158"/>
      <c r="M74" s="158"/>
      <c r="N74" s="158"/>
      <c r="O74" s="158"/>
      <c r="P74" s="158"/>
      <c r="Q74" s="158"/>
      <c r="R74" s="158"/>
      <c r="S74" s="158">
        <f t="shared" si="4"/>
        <v>40000</v>
      </c>
      <c r="T74" s="131"/>
      <c r="U74" s="131">
        <f t="shared" si="5"/>
        <v>40000</v>
      </c>
    </row>
    <row r="75" spans="1:21" ht="15.75" x14ac:dyDescent="0.3">
      <c r="A75" s="156">
        <f t="shared" si="6"/>
        <v>23</v>
      </c>
      <c r="B75" s="157" t="s">
        <v>41</v>
      </c>
      <c r="C75" s="158">
        <v>9000</v>
      </c>
      <c r="D75" s="158">
        <v>1000</v>
      </c>
      <c r="E75" s="158">
        <v>1000</v>
      </c>
      <c r="F75" s="158">
        <v>4000</v>
      </c>
      <c r="G75" s="158">
        <v>25000</v>
      </c>
      <c r="H75" s="158"/>
      <c r="I75" s="158">
        <v>75000</v>
      </c>
      <c r="J75" s="158"/>
      <c r="K75" s="158"/>
      <c r="L75" s="158"/>
      <c r="M75" s="158"/>
      <c r="N75" s="158"/>
      <c r="O75" s="158"/>
      <c r="P75" s="158"/>
      <c r="Q75" s="158"/>
      <c r="R75" s="158"/>
      <c r="S75" s="158">
        <f t="shared" si="4"/>
        <v>115000</v>
      </c>
      <c r="T75" s="131"/>
      <c r="U75" s="131">
        <f t="shared" si="5"/>
        <v>115000</v>
      </c>
    </row>
    <row r="76" spans="1:21" ht="15.75" x14ac:dyDescent="0.3">
      <c r="A76" s="137">
        <f t="shared" si="6"/>
        <v>24</v>
      </c>
      <c r="B76" s="139" t="s">
        <v>165</v>
      </c>
      <c r="C76" s="135">
        <v>9000</v>
      </c>
      <c r="D76" s="135">
        <v>1000</v>
      </c>
      <c r="E76" s="135">
        <v>1000</v>
      </c>
      <c r="F76" s="135">
        <v>4000</v>
      </c>
      <c r="G76" s="135">
        <v>25000</v>
      </c>
      <c r="H76" s="135"/>
      <c r="I76" s="135"/>
      <c r="J76" s="135"/>
      <c r="K76" s="135"/>
      <c r="L76" s="135"/>
      <c r="M76" s="135"/>
      <c r="N76" s="135"/>
      <c r="O76" s="135"/>
      <c r="P76" s="135"/>
      <c r="Q76" s="135"/>
      <c r="R76" s="135"/>
      <c r="S76" s="131">
        <f t="shared" si="4"/>
        <v>40000</v>
      </c>
      <c r="T76" s="131"/>
      <c r="U76" s="131">
        <f t="shared" si="5"/>
        <v>40000</v>
      </c>
    </row>
    <row r="77" spans="1:21" ht="15.75" x14ac:dyDescent="0.3">
      <c r="A77" s="161">
        <f t="shared" si="6"/>
        <v>25</v>
      </c>
      <c r="B77" s="162" t="s">
        <v>46</v>
      </c>
      <c r="C77" s="135">
        <v>9000</v>
      </c>
      <c r="D77" s="135">
        <v>1000</v>
      </c>
      <c r="E77" s="135">
        <v>1000</v>
      </c>
      <c r="F77" s="135">
        <v>4000</v>
      </c>
      <c r="G77" s="135">
        <v>25000</v>
      </c>
      <c r="H77" s="135"/>
      <c r="I77" s="135">
        <v>75000</v>
      </c>
      <c r="J77" s="135"/>
      <c r="K77" s="135"/>
      <c r="L77" s="135"/>
      <c r="M77" s="135"/>
      <c r="N77" s="135"/>
      <c r="O77" s="135"/>
      <c r="P77" s="135"/>
      <c r="Q77" s="135"/>
      <c r="R77" s="135"/>
      <c r="S77" s="135">
        <f t="shared" si="4"/>
        <v>115000</v>
      </c>
      <c r="T77" s="131"/>
      <c r="U77" s="131">
        <f t="shared" si="5"/>
        <v>115000</v>
      </c>
    </row>
    <row r="78" spans="1:21" ht="15.75" x14ac:dyDescent="0.3">
      <c r="A78" s="137">
        <f t="shared" si="6"/>
        <v>26</v>
      </c>
      <c r="B78" s="138" t="s">
        <v>104</v>
      </c>
      <c r="C78" s="135"/>
      <c r="D78" s="135"/>
      <c r="E78" s="135"/>
      <c r="F78" s="135"/>
      <c r="G78" s="135"/>
      <c r="H78" s="135"/>
      <c r="I78" s="135"/>
      <c r="J78" s="135"/>
      <c r="K78" s="135"/>
      <c r="L78" s="135"/>
      <c r="M78" s="135"/>
      <c r="N78" s="135"/>
      <c r="O78" s="135"/>
      <c r="P78" s="135"/>
      <c r="Q78" s="135"/>
      <c r="R78" s="135"/>
      <c r="S78" s="131">
        <f t="shared" si="4"/>
        <v>0</v>
      </c>
      <c r="T78" s="131"/>
      <c r="U78" s="131">
        <f t="shared" si="5"/>
        <v>0</v>
      </c>
    </row>
    <row r="79" spans="1:21" ht="15.75" x14ac:dyDescent="0.3">
      <c r="A79" s="156">
        <f t="shared" si="6"/>
        <v>27</v>
      </c>
      <c r="B79" s="157" t="s">
        <v>40</v>
      </c>
      <c r="C79" s="158">
        <v>9000</v>
      </c>
      <c r="D79" s="158">
        <v>1000</v>
      </c>
      <c r="E79" s="158">
        <v>1000</v>
      </c>
      <c r="F79" s="158">
        <v>4000</v>
      </c>
      <c r="G79" s="158">
        <v>25000</v>
      </c>
      <c r="H79" s="158"/>
      <c r="I79" s="158"/>
      <c r="J79" s="158"/>
      <c r="K79" s="158">
        <v>100000</v>
      </c>
      <c r="L79" s="158"/>
      <c r="M79" s="158"/>
      <c r="N79" s="158"/>
      <c r="O79" s="158"/>
      <c r="P79" s="158"/>
      <c r="Q79" s="158"/>
      <c r="R79" s="158"/>
      <c r="S79" s="158">
        <f t="shared" si="4"/>
        <v>140000</v>
      </c>
      <c r="T79" s="131">
        <v>140000</v>
      </c>
      <c r="U79" s="131">
        <f t="shared" si="5"/>
        <v>0</v>
      </c>
    </row>
    <row r="80" spans="1:21" ht="15.75" x14ac:dyDescent="0.3">
      <c r="A80" s="161">
        <f t="shared" si="6"/>
        <v>28</v>
      </c>
      <c r="B80" s="162" t="s">
        <v>105</v>
      </c>
      <c r="C80" s="135">
        <v>9000</v>
      </c>
      <c r="D80" s="135">
        <v>1000</v>
      </c>
      <c r="E80" s="135">
        <v>1000</v>
      </c>
      <c r="F80" s="135">
        <v>4000</v>
      </c>
      <c r="G80" s="135">
        <v>25000</v>
      </c>
      <c r="H80" s="135"/>
      <c r="I80" s="135">
        <v>75000</v>
      </c>
      <c r="J80" s="135"/>
      <c r="K80" s="135"/>
      <c r="L80" s="135"/>
      <c r="M80" s="135"/>
      <c r="N80" s="135"/>
      <c r="O80" s="135"/>
      <c r="P80" s="135"/>
      <c r="Q80" s="135"/>
      <c r="R80" s="135"/>
      <c r="S80" s="135">
        <f t="shared" si="4"/>
        <v>115000</v>
      </c>
      <c r="T80" s="131"/>
      <c r="U80" s="131">
        <f t="shared" si="5"/>
        <v>115000</v>
      </c>
    </row>
    <row r="81" spans="1:21" ht="15.75" x14ac:dyDescent="0.3">
      <c r="A81" s="156">
        <f t="shared" si="6"/>
        <v>29</v>
      </c>
      <c r="B81" s="157" t="s">
        <v>187</v>
      </c>
      <c r="C81" s="158">
        <v>9000</v>
      </c>
      <c r="D81" s="158">
        <v>1000</v>
      </c>
      <c r="E81" s="158">
        <v>1000</v>
      </c>
      <c r="F81" s="158">
        <v>4000</v>
      </c>
      <c r="G81" s="158">
        <v>25000</v>
      </c>
      <c r="H81" s="158"/>
      <c r="I81" s="158"/>
      <c r="J81" s="158"/>
      <c r="K81" s="158"/>
      <c r="L81" s="158"/>
      <c r="M81" s="158"/>
      <c r="N81" s="158"/>
      <c r="O81" s="158"/>
      <c r="P81" s="158"/>
      <c r="Q81" s="158"/>
      <c r="R81" s="158"/>
      <c r="S81" s="158">
        <f t="shared" si="4"/>
        <v>40000</v>
      </c>
      <c r="T81" s="131">
        <v>40000</v>
      </c>
      <c r="U81" s="131">
        <f t="shared" si="5"/>
        <v>0</v>
      </c>
    </row>
    <row r="82" spans="1:21" ht="15.75" x14ac:dyDescent="0.3">
      <c r="A82" s="137">
        <f t="shared" si="6"/>
        <v>30</v>
      </c>
      <c r="B82" s="138" t="s">
        <v>110</v>
      </c>
      <c r="C82" s="135"/>
      <c r="D82" s="135"/>
      <c r="E82" s="135"/>
      <c r="F82" s="135"/>
      <c r="G82" s="135"/>
      <c r="H82" s="135"/>
      <c r="I82" s="135"/>
      <c r="J82" s="135"/>
      <c r="K82" s="135"/>
      <c r="L82" s="135"/>
      <c r="M82" s="135"/>
      <c r="N82" s="135"/>
      <c r="O82" s="135"/>
      <c r="P82" s="135"/>
      <c r="Q82" s="135"/>
      <c r="R82" s="135"/>
      <c r="S82" s="131">
        <f t="shared" si="4"/>
        <v>0</v>
      </c>
      <c r="T82" s="131"/>
      <c r="U82" s="131">
        <f t="shared" si="5"/>
        <v>0</v>
      </c>
    </row>
    <row r="83" spans="1:21" ht="15.75" x14ac:dyDescent="0.3">
      <c r="A83" s="161">
        <f t="shared" si="6"/>
        <v>31</v>
      </c>
      <c r="B83" s="162" t="s">
        <v>106</v>
      </c>
      <c r="C83" s="135">
        <v>9000</v>
      </c>
      <c r="D83" s="135">
        <v>1000</v>
      </c>
      <c r="E83" s="135">
        <v>1000</v>
      </c>
      <c r="F83" s="135">
        <v>4000</v>
      </c>
      <c r="G83" s="135">
        <v>25000</v>
      </c>
      <c r="H83" s="135"/>
      <c r="I83" s="135"/>
      <c r="J83" s="135"/>
      <c r="K83" s="135"/>
      <c r="L83" s="135"/>
      <c r="M83" s="135"/>
      <c r="N83" s="135"/>
      <c r="O83" s="135"/>
      <c r="P83" s="135"/>
      <c r="Q83" s="135"/>
      <c r="R83" s="135"/>
      <c r="S83" s="135">
        <f t="shared" si="4"/>
        <v>40000</v>
      </c>
      <c r="T83" s="131">
        <v>40000</v>
      </c>
      <c r="U83" s="131">
        <f t="shared" si="5"/>
        <v>0</v>
      </c>
    </row>
    <row r="84" spans="1:21" ht="15.75" x14ac:dyDescent="0.3">
      <c r="A84" s="161">
        <f t="shared" si="6"/>
        <v>32</v>
      </c>
      <c r="B84" s="162" t="s">
        <v>107</v>
      </c>
      <c r="C84" s="135">
        <v>9000</v>
      </c>
      <c r="D84" s="135">
        <v>1000</v>
      </c>
      <c r="E84" s="135">
        <v>1000</v>
      </c>
      <c r="F84" s="135">
        <v>4000</v>
      </c>
      <c r="G84" s="135">
        <v>25000</v>
      </c>
      <c r="H84" s="135"/>
      <c r="I84" s="135">
        <v>150000</v>
      </c>
      <c r="J84" s="135"/>
      <c r="K84" s="135">
        <v>100000</v>
      </c>
      <c r="L84" s="135"/>
      <c r="M84" s="135"/>
      <c r="N84" s="135"/>
      <c r="O84" s="135"/>
      <c r="P84" s="135"/>
      <c r="Q84" s="135"/>
      <c r="R84" s="135"/>
      <c r="S84" s="135">
        <f t="shared" si="4"/>
        <v>290000</v>
      </c>
      <c r="T84" s="131"/>
      <c r="U84" s="131">
        <f t="shared" si="5"/>
        <v>290000</v>
      </c>
    </row>
    <row r="85" spans="1:21" ht="15.75" x14ac:dyDescent="0.3">
      <c r="A85" s="156">
        <f t="shared" si="6"/>
        <v>33</v>
      </c>
      <c r="B85" s="157" t="s">
        <v>111</v>
      </c>
      <c r="C85" s="159">
        <v>9000</v>
      </c>
      <c r="D85" s="159">
        <v>1000</v>
      </c>
      <c r="E85" s="159">
        <v>1000</v>
      </c>
      <c r="F85" s="159">
        <v>4000</v>
      </c>
      <c r="G85" s="159">
        <v>25000</v>
      </c>
      <c r="H85" s="158"/>
      <c r="I85" s="158"/>
      <c r="J85" s="158"/>
      <c r="K85" s="158"/>
      <c r="L85" s="158"/>
      <c r="M85" s="158"/>
      <c r="N85" s="158"/>
      <c r="O85" s="158"/>
      <c r="P85" s="158"/>
      <c r="Q85" s="158"/>
      <c r="R85" s="158"/>
      <c r="S85" s="158">
        <f t="shared" si="4"/>
        <v>40000</v>
      </c>
      <c r="T85" s="131">
        <v>40000</v>
      </c>
      <c r="U85" s="131">
        <f t="shared" si="5"/>
        <v>0</v>
      </c>
    </row>
    <row r="86" spans="1:21" ht="15.75" x14ac:dyDescent="0.3">
      <c r="A86" s="161">
        <f t="shared" si="6"/>
        <v>34</v>
      </c>
      <c r="B86" s="162" t="s">
        <v>224</v>
      </c>
      <c r="C86" s="163">
        <v>9000</v>
      </c>
      <c r="D86" s="163">
        <v>1000</v>
      </c>
      <c r="E86" s="163">
        <v>1000</v>
      </c>
      <c r="F86" s="163">
        <v>4000</v>
      </c>
      <c r="G86" s="163">
        <v>25000</v>
      </c>
      <c r="H86" s="135"/>
      <c r="I86" s="135"/>
      <c r="J86" s="135"/>
      <c r="K86" s="135"/>
      <c r="L86" s="135"/>
      <c r="M86" s="135"/>
      <c r="N86" s="149"/>
      <c r="O86" s="135"/>
      <c r="P86" s="135"/>
      <c r="Q86" s="135"/>
      <c r="R86" s="163">
        <v>60000</v>
      </c>
      <c r="S86" s="135">
        <f t="shared" si="4"/>
        <v>100000</v>
      </c>
      <c r="T86" s="131"/>
      <c r="U86" s="131">
        <f t="shared" si="5"/>
        <v>100000</v>
      </c>
    </row>
    <row r="87" spans="1:21" ht="15.75" x14ac:dyDescent="0.3">
      <c r="A87" s="137">
        <f t="shared" si="6"/>
        <v>35</v>
      </c>
      <c r="B87" s="138"/>
      <c r="C87" s="135"/>
      <c r="D87" s="135"/>
      <c r="E87" s="135"/>
      <c r="F87" s="135"/>
      <c r="G87" s="135"/>
      <c r="H87" s="135"/>
      <c r="I87" s="135"/>
      <c r="J87" s="135"/>
      <c r="K87" s="135"/>
      <c r="L87" s="135"/>
      <c r="M87" s="135"/>
      <c r="N87" s="135"/>
      <c r="O87" s="135"/>
      <c r="P87" s="135"/>
      <c r="Q87" s="135"/>
      <c r="R87" s="135"/>
      <c r="S87" s="131">
        <f t="shared" si="4"/>
        <v>0</v>
      </c>
      <c r="T87" s="131"/>
      <c r="U87" s="131">
        <f t="shared" si="5"/>
        <v>0</v>
      </c>
    </row>
    <row r="88" spans="1:21" ht="15.75" x14ac:dyDescent="0.3">
      <c r="A88" s="137">
        <f t="shared" si="6"/>
        <v>36</v>
      </c>
      <c r="B88" s="138"/>
      <c r="C88" s="135"/>
      <c r="D88" s="135"/>
      <c r="E88" s="135"/>
      <c r="F88" s="135"/>
      <c r="G88" s="135"/>
      <c r="H88" s="135"/>
      <c r="I88" s="135"/>
      <c r="J88" s="135"/>
      <c r="K88" s="135"/>
      <c r="L88" s="135"/>
      <c r="M88" s="135"/>
      <c r="N88" s="135"/>
      <c r="O88" s="135"/>
      <c r="P88" s="135"/>
      <c r="Q88" s="135"/>
      <c r="R88" s="135"/>
      <c r="S88" s="131">
        <f t="shared" si="4"/>
        <v>0</v>
      </c>
      <c r="T88" s="131"/>
      <c r="U88" s="131">
        <f t="shared" si="5"/>
        <v>0</v>
      </c>
    </row>
    <row r="89" spans="1:21" ht="15.75" x14ac:dyDescent="0.3">
      <c r="A89" s="137">
        <f t="shared" si="6"/>
        <v>37</v>
      </c>
      <c r="B89" s="139"/>
      <c r="C89" s="135"/>
      <c r="D89" s="135"/>
      <c r="E89" s="135"/>
      <c r="F89" s="135"/>
      <c r="G89" s="135"/>
      <c r="H89" s="135"/>
      <c r="I89" s="135"/>
      <c r="J89" s="135"/>
      <c r="K89" s="135"/>
      <c r="L89" s="135"/>
      <c r="M89" s="135"/>
      <c r="N89" s="135"/>
      <c r="O89" s="135"/>
      <c r="P89" s="135"/>
      <c r="Q89" s="135"/>
      <c r="R89" s="135"/>
      <c r="S89" s="131">
        <f t="shared" si="4"/>
        <v>0</v>
      </c>
      <c r="T89" s="131"/>
      <c r="U89" s="131">
        <f t="shared" si="5"/>
        <v>0</v>
      </c>
    </row>
    <row r="90" spans="1:21" ht="15.75" x14ac:dyDescent="0.3">
      <c r="A90" s="137">
        <f t="shared" si="6"/>
        <v>38</v>
      </c>
      <c r="B90" s="139"/>
      <c r="C90" s="135"/>
      <c r="D90" s="135"/>
      <c r="E90" s="135"/>
      <c r="F90" s="135"/>
      <c r="G90" s="135"/>
      <c r="H90" s="135"/>
      <c r="I90" s="135"/>
      <c r="J90" s="135"/>
      <c r="K90" s="135"/>
      <c r="L90" s="135"/>
      <c r="M90" s="135"/>
      <c r="N90" s="135"/>
      <c r="O90" s="135"/>
      <c r="P90" s="135"/>
      <c r="Q90" s="135"/>
      <c r="R90" s="135"/>
      <c r="S90" s="131">
        <f t="shared" si="4"/>
        <v>0</v>
      </c>
      <c r="T90" s="131"/>
      <c r="U90" s="131">
        <f t="shared" si="5"/>
        <v>0</v>
      </c>
    </row>
    <row r="91" spans="1:21" ht="15.75" x14ac:dyDescent="0.3">
      <c r="A91" s="137">
        <f t="shared" si="6"/>
        <v>39</v>
      </c>
      <c r="B91" s="139"/>
      <c r="C91" s="135"/>
      <c r="D91" s="135"/>
      <c r="E91" s="135"/>
      <c r="F91" s="135"/>
      <c r="G91" s="135"/>
      <c r="H91" s="135"/>
      <c r="I91" s="135"/>
      <c r="J91" s="135"/>
      <c r="K91" s="135"/>
      <c r="L91" s="135"/>
      <c r="M91" s="135"/>
      <c r="N91" s="135"/>
      <c r="O91" s="135"/>
      <c r="P91" s="135"/>
      <c r="Q91" s="135"/>
      <c r="R91" s="135"/>
      <c r="S91" s="131">
        <f t="shared" si="4"/>
        <v>0</v>
      </c>
      <c r="T91" s="131"/>
      <c r="U91" s="131">
        <f t="shared" si="5"/>
        <v>0</v>
      </c>
    </row>
    <row r="92" spans="1:21" ht="15.75" x14ac:dyDescent="0.3">
      <c r="A92" s="137">
        <f t="shared" si="6"/>
        <v>40</v>
      </c>
      <c r="B92" s="139"/>
      <c r="C92" s="135"/>
      <c r="D92" s="135"/>
      <c r="E92" s="135"/>
      <c r="F92" s="135"/>
      <c r="G92" s="135"/>
      <c r="H92" s="135"/>
      <c r="I92" s="135"/>
      <c r="J92" s="135"/>
      <c r="K92" s="135"/>
      <c r="L92" s="135"/>
      <c r="M92" s="135"/>
      <c r="N92" s="135"/>
      <c r="O92" s="135"/>
      <c r="P92" s="135"/>
      <c r="Q92" s="135"/>
      <c r="R92" s="135"/>
      <c r="S92" s="131">
        <f t="shared" si="4"/>
        <v>0</v>
      </c>
      <c r="T92" s="131"/>
      <c r="U92" s="131">
        <f t="shared" si="5"/>
        <v>0</v>
      </c>
    </row>
    <row r="93" spans="1:21" ht="15.75" x14ac:dyDescent="0.3">
      <c r="A93" s="137">
        <f t="shared" si="6"/>
        <v>41</v>
      </c>
      <c r="B93" s="139"/>
      <c r="C93" s="135"/>
      <c r="D93" s="135"/>
      <c r="E93" s="135"/>
      <c r="F93" s="135"/>
      <c r="G93" s="135"/>
      <c r="H93" s="135"/>
      <c r="I93" s="135"/>
      <c r="J93" s="135"/>
      <c r="K93" s="135"/>
      <c r="L93" s="135"/>
      <c r="M93" s="135"/>
      <c r="N93" s="135"/>
      <c r="O93" s="135"/>
      <c r="P93" s="135"/>
      <c r="Q93" s="135"/>
      <c r="R93" s="135"/>
      <c r="S93" s="131">
        <f t="shared" si="4"/>
        <v>0</v>
      </c>
      <c r="T93" s="131"/>
      <c r="U93" s="131">
        <f t="shared" si="5"/>
        <v>0</v>
      </c>
    </row>
    <row r="94" spans="1:21" x14ac:dyDescent="0.25">
      <c r="A94" s="130"/>
      <c r="B94" s="130"/>
      <c r="C94" s="132">
        <f>SUM(C52:C93)</f>
        <v>328000</v>
      </c>
      <c r="D94" s="132">
        <f t="shared" ref="D94:H94" si="7">SUM(D52:D93)</f>
        <v>30000</v>
      </c>
      <c r="E94" s="132">
        <f t="shared" si="7"/>
        <v>30000</v>
      </c>
      <c r="F94" s="132">
        <f t="shared" si="7"/>
        <v>120000</v>
      </c>
      <c r="G94" s="132">
        <f t="shared" si="7"/>
        <v>750000</v>
      </c>
      <c r="H94" s="132">
        <f t="shared" si="7"/>
        <v>223000</v>
      </c>
      <c r="I94" s="132">
        <f>SUM(I53:I93)</f>
        <v>1200000</v>
      </c>
      <c r="J94" s="132">
        <f t="shared" ref="J94:U94" si="8">SUM(J52:J93)</f>
        <v>255000</v>
      </c>
      <c r="K94" s="132">
        <f t="shared" si="8"/>
        <v>1400000</v>
      </c>
      <c r="L94" s="132">
        <f t="shared" si="8"/>
        <v>152000</v>
      </c>
      <c r="M94" s="132">
        <f t="shared" si="8"/>
        <v>2500000</v>
      </c>
      <c r="N94" s="132">
        <f t="shared" si="8"/>
        <v>0</v>
      </c>
      <c r="O94" s="132">
        <f t="shared" si="8"/>
        <v>0</v>
      </c>
      <c r="P94" s="132">
        <f t="shared" si="8"/>
        <v>30000</v>
      </c>
      <c r="Q94" s="132">
        <f t="shared" si="8"/>
        <v>210000</v>
      </c>
      <c r="R94" s="132">
        <f t="shared" si="8"/>
        <v>60000</v>
      </c>
      <c r="S94" s="132">
        <f t="shared" si="8"/>
        <v>7288000</v>
      </c>
      <c r="T94" s="133">
        <f>SUM(T52:T93)-40000</f>
        <v>1013000</v>
      </c>
      <c r="U94" s="133">
        <f t="shared" si="8"/>
        <v>6235000</v>
      </c>
    </row>
    <row r="95" spans="1:21" ht="21" x14ac:dyDescent="0.35">
      <c r="A95" s="16"/>
      <c r="B95" s="214" t="s">
        <v>189</v>
      </c>
      <c r="C95" s="214"/>
      <c r="D95" s="214"/>
      <c r="E95" s="214"/>
      <c r="F95" s="214"/>
      <c r="G95" s="214"/>
      <c r="H95" s="214"/>
      <c r="I95" s="214"/>
      <c r="J95" s="134"/>
      <c r="K95" s="134"/>
      <c r="L95" s="134"/>
      <c r="M95" s="134"/>
      <c r="N95" s="134"/>
      <c r="O95" s="134"/>
      <c r="P95" s="134"/>
      <c r="Q95" s="134"/>
      <c r="R95" s="134"/>
      <c r="S95" s="134"/>
      <c r="T95" s="134"/>
      <c r="U95" s="134"/>
    </row>
    <row r="96" spans="1:21" x14ac:dyDescent="0.25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</row>
    <row r="97" spans="1:21" s="128" customFormat="1" x14ac:dyDescent="0.25">
      <c r="A97" s="137"/>
      <c r="B97" s="137"/>
      <c r="C97" s="209" t="s">
        <v>75</v>
      </c>
      <c r="D97" s="209" t="s">
        <v>168</v>
      </c>
      <c r="E97" s="209" t="s">
        <v>169</v>
      </c>
      <c r="F97" s="209" t="s">
        <v>170</v>
      </c>
      <c r="G97" s="211" t="s">
        <v>171</v>
      </c>
      <c r="H97" s="213"/>
      <c r="I97" s="211" t="s">
        <v>200</v>
      </c>
      <c r="J97" s="213"/>
      <c r="K97" s="211" t="s">
        <v>201</v>
      </c>
      <c r="L97" s="213"/>
      <c r="M97" s="209" t="s">
        <v>174</v>
      </c>
      <c r="N97" s="209" t="s">
        <v>175</v>
      </c>
      <c r="O97" s="209" t="s">
        <v>176</v>
      </c>
      <c r="P97" s="209" t="s">
        <v>177</v>
      </c>
      <c r="Q97" s="209" t="s">
        <v>178</v>
      </c>
      <c r="R97" s="209"/>
      <c r="S97" s="211" t="s">
        <v>179</v>
      </c>
      <c r="T97" s="212"/>
      <c r="U97" s="213"/>
    </row>
    <row r="98" spans="1:21" s="128" customFormat="1" x14ac:dyDescent="0.25">
      <c r="A98" s="137"/>
      <c r="B98" s="137"/>
      <c r="C98" s="210"/>
      <c r="D98" s="210"/>
      <c r="E98" s="210"/>
      <c r="F98" s="210"/>
      <c r="G98" s="137" t="s">
        <v>180</v>
      </c>
      <c r="H98" s="137" t="s">
        <v>181</v>
      </c>
      <c r="I98" s="137" t="s">
        <v>180</v>
      </c>
      <c r="J98" s="137" t="s">
        <v>181</v>
      </c>
      <c r="K98" s="137" t="s">
        <v>180</v>
      </c>
      <c r="L98" s="137" t="s">
        <v>181</v>
      </c>
      <c r="M98" s="210"/>
      <c r="N98" s="210"/>
      <c r="O98" s="210"/>
      <c r="P98" s="210"/>
      <c r="Q98" s="210"/>
      <c r="R98" s="210"/>
      <c r="S98" s="137" t="s">
        <v>74</v>
      </c>
      <c r="T98" s="137" t="s">
        <v>182</v>
      </c>
      <c r="U98" s="137" t="s">
        <v>183</v>
      </c>
    </row>
    <row r="99" spans="1:21" ht="15.75" x14ac:dyDescent="0.3">
      <c r="A99" s="137">
        <v>0</v>
      </c>
      <c r="B99" s="138" t="s">
        <v>88</v>
      </c>
      <c r="C99" s="135"/>
      <c r="D99" s="135"/>
      <c r="E99" s="135"/>
      <c r="F99" s="135"/>
      <c r="G99" s="135"/>
      <c r="H99" s="135"/>
      <c r="I99" s="135"/>
      <c r="J99" s="135"/>
      <c r="K99" s="135">
        <v>100000</v>
      </c>
      <c r="L99" s="135"/>
      <c r="M99" s="135"/>
      <c r="N99" s="135"/>
      <c r="O99" s="135"/>
      <c r="P99" s="135"/>
      <c r="Q99" s="135">
        <v>-1750000</v>
      </c>
      <c r="R99" s="135"/>
      <c r="S99" s="131">
        <f>+R99+Q99+P99+O99+N99+M99+L99+K99+J99+I99+H99+G99+F99+E99+D99+C99</f>
        <v>-1650000</v>
      </c>
      <c r="T99" s="131"/>
      <c r="U99" s="131">
        <f>+S99-T99</f>
        <v>-1650000</v>
      </c>
    </row>
    <row r="100" spans="1:21" ht="15.75" x14ac:dyDescent="0.3">
      <c r="A100" s="137">
        <f>+A99+1</f>
        <v>1</v>
      </c>
      <c r="B100" s="162" t="s">
        <v>39</v>
      </c>
      <c r="C100" s="135">
        <v>9000</v>
      </c>
      <c r="D100" s="135">
        <v>1000</v>
      </c>
      <c r="E100" s="135">
        <v>1000</v>
      </c>
      <c r="F100" s="135">
        <v>4000</v>
      </c>
      <c r="G100" s="135">
        <v>25000</v>
      </c>
      <c r="H100" s="135"/>
      <c r="I100" s="135">
        <v>75000</v>
      </c>
      <c r="J100" s="135"/>
      <c r="K100" s="135"/>
      <c r="L100" s="135"/>
      <c r="M100" s="135"/>
      <c r="N100" s="135"/>
      <c r="O100" s="135"/>
      <c r="P100" s="135"/>
      <c r="Q100" s="135"/>
      <c r="R100" s="135"/>
      <c r="S100" s="131">
        <f t="shared" ref="S100:S140" si="9">+R100+Q100+P100+O100+N100+M100+L100+K100+J100+I100+H100+G100+F100+E100+D100+C100</f>
        <v>115000</v>
      </c>
      <c r="T100" s="131"/>
      <c r="U100" s="131">
        <f t="shared" ref="U100:U140" si="10">+S100-T100</f>
        <v>115000</v>
      </c>
    </row>
    <row r="101" spans="1:21" ht="15.75" x14ac:dyDescent="0.3">
      <c r="A101" s="137">
        <f t="shared" ref="A101:A140" si="11">+A100+1</f>
        <v>2</v>
      </c>
      <c r="B101" s="162" t="s">
        <v>43</v>
      </c>
      <c r="C101" s="135">
        <v>9000</v>
      </c>
      <c r="D101" s="135">
        <v>1000</v>
      </c>
      <c r="E101" s="135">
        <v>1000</v>
      </c>
      <c r="F101" s="135">
        <v>4000</v>
      </c>
      <c r="G101" s="135">
        <v>25000</v>
      </c>
      <c r="H101" s="135"/>
      <c r="I101" s="135"/>
      <c r="J101" s="135"/>
      <c r="K101" s="135">
        <v>100000</v>
      </c>
      <c r="L101" s="135"/>
      <c r="M101" s="135"/>
      <c r="N101" s="135"/>
      <c r="O101" s="135"/>
      <c r="P101" s="135"/>
      <c r="Q101" s="135"/>
      <c r="R101" s="135"/>
      <c r="S101" s="131">
        <f t="shared" si="9"/>
        <v>140000</v>
      </c>
      <c r="T101" s="131"/>
      <c r="U101" s="131">
        <f t="shared" si="10"/>
        <v>140000</v>
      </c>
    </row>
    <row r="102" spans="1:21" ht="15.75" x14ac:dyDescent="0.3">
      <c r="A102" s="137">
        <f t="shared" si="11"/>
        <v>3</v>
      </c>
      <c r="B102" s="162" t="s">
        <v>89</v>
      </c>
      <c r="C102" s="135">
        <v>10000</v>
      </c>
      <c r="D102" s="135">
        <v>1000</v>
      </c>
      <c r="E102" s="135">
        <v>1000</v>
      </c>
      <c r="F102" s="135">
        <v>4000</v>
      </c>
      <c r="G102" s="135">
        <v>25000</v>
      </c>
      <c r="H102" s="135">
        <v>41000</v>
      </c>
      <c r="I102" s="135"/>
      <c r="J102" s="135"/>
      <c r="K102" s="135"/>
      <c r="L102" s="135"/>
      <c r="M102" s="135"/>
      <c r="N102" s="135"/>
      <c r="O102" s="135"/>
      <c r="P102" s="135"/>
      <c r="Q102" s="135"/>
      <c r="R102" s="135"/>
      <c r="S102" s="131">
        <f t="shared" si="9"/>
        <v>82000</v>
      </c>
      <c r="T102" s="131"/>
      <c r="U102" s="131">
        <f t="shared" si="10"/>
        <v>82000</v>
      </c>
    </row>
    <row r="103" spans="1:21" ht="15.75" x14ac:dyDescent="0.3">
      <c r="A103" s="137">
        <f t="shared" si="11"/>
        <v>4</v>
      </c>
      <c r="B103" s="162" t="s">
        <v>90</v>
      </c>
      <c r="C103" s="135">
        <v>14000</v>
      </c>
      <c r="D103" s="135">
        <v>1000</v>
      </c>
      <c r="E103" s="135">
        <v>1000</v>
      </c>
      <c r="F103" s="135">
        <v>4000</v>
      </c>
      <c r="G103" s="135">
        <v>25000</v>
      </c>
      <c r="H103" s="135"/>
      <c r="I103" s="135">
        <v>75000</v>
      </c>
      <c r="J103" s="135"/>
      <c r="K103" s="135"/>
      <c r="L103" s="135"/>
      <c r="M103" s="135"/>
      <c r="N103" s="135"/>
      <c r="O103" s="135"/>
      <c r="P103" s="135"/>
      <c r="Q103" s="135"/>
      <c r="R103" s="135"/>
      <c r="S103" s="131">
        <f t="shared" si="9"/>
        <v>120000</v>
      </c>
      <c r="T103" s="131"/>
      <c r="U103" s="131">
        <f t="shared" si="10"/>
        <v>120000</v>
      </c>
    </row>
    <row r="104" spans="1:21" ht="15.75" x14ac:dyDescent="0.3">
      <c r="A104" s="137">
        <f t="shared" si="11"/>
        <v>5</v>
      </c>
      <c r="B104" s="162" t="s">
        <v>91</v>
      </c>
      <c r="C104" s="135">
        <v>14000</v>
      </c>
      <c r="D104" s="135">
        <v>1000</v>
      </c>
      <c r="E104" s="135">
        <v>1000</v>
      </c>
      <c r="F104" s="135">
        <v>4000</v>
      </c>
      <c r="G104" s="135">
        <v>25000</v>
      </c>
      <c r="H104" s="135"/>
      <c r="I104" s="135">
        <v>75000</v>
      </c>
      <c r="J104" s="135"/>
      <c r="K104" s="135">
        <v>200000</v>
      </c>
      <c r="L104" s="135"/>
      <c r="M104" s="135"/>
      <c r="N104" s="135"/>
      <c r="O104" s="135"/>
      <c r="P104" s="135"/>
      <c r="Q104" s="135"/>
      <c r="R104" s="135"/>
      <c r="S104" s="131">
        <f t="shared" si="9"/>
        <v>320000</v>
      </c>
      <c r="T104" s="131"/>
      <c r="U104" s="131">
        <f t="shared" si="10"/>
        <v>320000</v>
      </c>
    </row>
    <row r="105" spans="1:21" ht="15.75" x14ac:dyDescent="0.3">
      <c r="A105" s="137">
        <f t="shared" si="11"/>
        <v>6</v>
      </c>
      <c r="B105" s="157" t="s">
        <v>92</v>
      </c>
      <c r="C105" s="135">
        <v>9000</v>
      </c>
      <c r="D105" s="135">
        <v>1000</v>
      </c>
      <c r="E105" s="135">
        <v>1000</v>
      </c>
      <c r="F105" s="135">
        <v>4000</v>
      </c>
      <c r="G105" s="135">
        <v>25000</v>
      </c>
      <c r="H105" s="135"/>
      <c r="I105" s="135"/>
      <c r="J105" s="135"/>
      <c r="K105" s="135"/>
      <c r="L105" s="135"/>
      <c r="M105" s="135"/>
      <c r="N105" s="135"/>
      <c r="O105" s="135"/>
      <c r="P105" s="135"/>
      <c r="Q105" s="135">
        <v>70000</v>
      </c>
      <c r="R105" s="135"/>
      <c r="S105" s="131">
        <f t="shared" si="9"/>
        <v>110000</v>
      </c>
      <c r="T105" s="131"/>
      <c r="U105" s="131">
        <f t="shared" si="10"/>
        <v>110000</v>
      </c>
    </row>
    <row r="106" spans="1:21" ht="15.75" x14ac:dyDescent="0.3">
      <c r="A106" s="137">
        <f t="shared" si="11"/>
        <v>7</v>
      </c>
      <c r="B106" s="162" t="s">
        <v>93</v>
      </c>
      <c r="C106" s="135">
        <v>9000</v>
      </c>
      <c r="D106" s="135">
        <v>1000</v>
      </c>
      <c r="E106" s="135">
        <v>1000</v>
      </c>
      <c r="F106" s="135">
        <v>4000</v>
      </c>
      <c r="G106" s="135">
        <v>25000</v>
      </c>
      <c r="H106" s="135"/>
      <c r="I106" s="135"/>
      <c r="J106" s="135"/>
      <c r="K106" s="135"/>
      <c r="L106" s="135"/>
      <c r="M106" s="135"/>
      <c r="N106" s="135"/>
      <c r="O106" s="135"/>
      <c r="P106" s="135"/>
      <c r="Q106" s="135"/>
      <c r="R106" s="135"/>
      <c r="S106" s="131">
        <f t="shared" si="9"/>
        <v>40000</v>
      </c>
      <c r="T106" s="131"/>
      <c r="U106" s="131">
        <f t="shared" si="10"/>
        <v>40000</v>
      </c>
    </row>
    <row r="107" spans="1:21" ht="15.75" x14ac:dyDescent="0.3">
      <c r="A107" s="137">
        <f t="shared" si="11"/>
        <v>8</v>
      </c>
      <c r="B107" s="138" t="s">
        <v>114</v>
      </c>
      <c r="C107" s="135"/>
      <c r="D107" s="135"/>
      <c r="E107" s="135"/>
      <c r="F107" s="135"/>
      <c r="G107" s="135"/>
      <c r="H107" s="135"/>
      <c r="I107" s="135"/>
      <c r="J107" s="135"/>
      <c r="K107" s="135"/>
      <c r="L107" s="135"/>
      <c r="M107" s="135"/>
      <c r="N107" s="135"/>
      <c r="O107" s="135"/>
      <c r="P107" s="135"/>
      <c r="Q107" s="135"/>
      <c r="R107" s="135"/>
      <c r="S107" s="131">
        <f t="shared" si="9"/>
        <v>0</v>
      </c>
      <c r="T107" s="131"/>
      <c r="U107" s="131">
        <f t="shared" si="10"/>
        <v>0</v>
      </c>
    </row>
    <row r="108" spans="1:21" ht="15.75" x14ac:dyDescent="0.3">
      <c r="A108" s="137">
        <f t="shared" si="11"/>
        <v>9</v>
      </c>
      <c r="B108" s="157" t="s">
        <v>42</v>
      </c>
      <c r="C108" s="135">
        <v>9000</v>
      </c>
      <c r="D108" s="135">
        <v>1000</v>
      </c>
      <c r="E108" s="135">
        <v>1000</v>
      </c>
      <c r="F108" s="135">
        <v>4000</v>
      </c>
      <c r="G108" s="135">
        <v>25000</v>
      </c>
      <c r="H108" s="135"/>
      <c r="I108" s="135">
        <v>75000</v>
      </c>
      <c r="J108" s="135"/>
      <c r="K108" s="135"/>
      <c r="L108" s="135"/>
      <c r="M108" s="135"/>
      <c r="N108" s="135"/>
      <c r="O108" s="135"/>
      <c r="P108" s="135"/>
      <c r="Q108" s="135"/>
      <c r="R108" s="135"/>
      <c r="S108" s="131">
        <f t="shared" si="9"/>
        <v>115000</v>
      </c>
      <c r="T108" s="131"/>
      <c r="U108" s="131">
        <f t="shared" si="10"/>
        <v>115000</v>
      </c>
    </row>
    <row r="109" spans="1:21" ht="15.75" x14ac:dyDescent="0.3">
      <c r="A109" s="137">
        <f t="shared" si="11"/>
        <v>10</v>
      </c>
      <c r="B109" s="157" t="s">
        <v>37</v>
      </c>
      <c r="C109" s="135">
        <v>44000</v>
      </c>
      <c r="D109" s="135">
        <v>1000</v>
      </c>
      <c r="E109" s="135">
        <v>1000</v>
      </c>
      <c r="F109" s="135">
        <v>4000</v>
      </c>
      <c r="G109" s="135">
        <v>25000</v>
      </c>
      <c r="H109" s="135"/>
      <c r="I109" s="135">
        <v>75000</v>
      </c>
      <c r="J109" s="135"/>
      <c r="K109" s="135">
        <v>100000</v>
      </c>
      <c r="L109" s="135"/>
      <c r="M109" s="135"/>
      <c r="N109" s="135"/>
      <c r="O109" s="135"/>
      <c r="P109" s="135"/>
      <c r="Q109" s="135"/>
      <c r="R109" s="135"/>
      <c r="S109" s="131">
        <f t="shared" si="9"/>
        <v>250000</v>
      </c>
      <c r="T109" s="131"/>
      <c r="U109" s="131">
        <f t="shared" si="10"/>
        <v>250000</v>
      </c>
    </row>
    <row r="110" spans="1:21" ht="15.75" x14ac:dyDescent="0.3">
      <c r="A110" s="137">
        <f t="shared" si="11"/>
        <v>11</v>
      </c>
      <c r="B110" s="157" t="s">
        <v>94</v>
      </c>
      <c r="C110" s="135">
        <v>9000</v>
      </c>
      <c r="D110" s="135">
        <v>1000</v>
      </c>
      <c r="E110" s="135">
        <v>1000</v>
      </c>
      <c r="F110" s="135">
        <v>4000</v>
      </c>
      <c r="G110" s="135">
        <v>25000</v>
      </c>
      <c r="H110" s="135"/>
      <c r="I110" s="135"/>
      <c r="J110" s="135"/>
      <c r="K110" s="135">
        <v>100000</v>
      </c>
      <c r="L110" s="135"/>
      <c r="M110" s="135"/>
      <c r="N110" s="135"/>
      <c r="O110" s="135"/>
      <c r="P110" s="135"/>
      <c r="Q110" s="135"/>
      <c r="R110" s="135"/>
      <c r="S110" s="131">
        <f t="shared" si="9"/>
        <v>140000</v>
      </c>
      <c r="T110" s="131"/>
      <c r="U110" s="131">
        <f t="shared" si="10"/>
        <v>140000</v>
      </c>
    </row>
    <row r="111" spans="1:21" ht="15.75" x14ac:dyDescent="0.3">
      <c r="A111" s="137">
        <f t="shared" si="11"/>
        <v>12</v>
      </c>
      <c r="B111" s="162" t="s">
        <v>95</v>
      </c>
      <c r="C111" s="135">
        <v>8000</v>
      </c>
      <c r="D111" s="135">
        <v>1000</v>
      </c>
      <c r="E111" s="135">
        <v>1000</v>
      </c>
      <c r="F111" s="135">
        <v>4000</v>
      </c>
      <c r="G111" s="135">
        <v>25000</v>
      </c>
      <c r="H111" s="135"/>
      <c r="I111" s="135">
        <v>75000</v>
      </c>
      <c r="J111" s="135">
        <v>53000</v>
      </c>
      <c r="K111" s="135">
        <v>100000</v>
      </c>
      <c r="L111" s="135"/>
      <c r="M111" s="135"/>
      <c r="N111" s="135"/>
      <c r="O111" s="135"/>
      <c r="P111" s="135"/>
      <c r="Q111" s="135"/>
      <c r="R111" s="135"/>
      <c r="S111" s="131">
        <f t="shared" si="9"/>
        <v>267000</v>
      </c>
      <c r="T111" s="131"/>
      <c r="U111" s="131">
        <f t="shared" si="10"/>
        <v>267000</v>
      </c>
    </row>
    <row r="112" spans="1:21" ht="15.75" x14ac:dyDescent="0.3">
      <c r="A112" s="137">
        <f t="shared" si="11"/>
        <v>13</v>
      </c>
      <c r="B112" s="162" t="s">
        <v>96</v>
      </c>
      <c r="C112" s="135">
        <v>9000</v>
      </c>
      <c r="D112" s="135">
        <v>1000</v>
      </c>
      <c r="E112" s="135">
        <v>1000</v>
      </c>
      <c r="F112" s="135">
        <v>4000</v>
      </c>
      <c r="G112" s="135">
        <v>25000</v>
      </c>
      <c r="H112" s="135"/>
      <c r="I112" s="135"/>
      <c r="J112" s="135"/>
      <c r="K112" s="135"/>
      <c r="L112" s="135"/>
      <c r="M112" s="135"/>
      <c r="N112" s="135"/>
      <c r="O112" s="135"/>
      <c r="P112" s="135"/>
      <c r="Q112" s="135"/>
      <c r="R112" s="135"/>
      <c r="S112" s="131">
        <f t="shared" si="9"/>
        <v>40000</v>
      </c>
      <c r="T112" s="131"/>
      <c r="U112" s="131">
        <f t="shared" si="10"/>
        <v>40000</v>
      </c>
    </row>
    <row r="113" spans="1:21" ht="15.75" x14ac:dyDescent="0.3">
      <c r="A113" s="137">
        <f t="shared" si="11"/>
        <v>14</v>
      </c>
      <c r="B113" s="162" t="s">
        <v>97</v>
      </c>
      <c r="C113" s="135">
        <v>2000</v>
      </c>
      <c r="D113" s="135">
        <v>1000</v>
      </c>
      <c r="E113" s="135">
        <v>1000</v>
      </c>
      <c r="F113" s="135">
        <v>4000</v>
      </c>
      <c r="G113" s="135">
        <v>25000</v>
      </c>
      <c r="H113" s="135"/>
      <c r="I113" s="135">
        <v>75000</v>
      </c>
      <c r="J113" s="135">
        <v>109000</v>
      </c>
      <c r="K113" s="135">
        <v>100000</v>
      </c>
      <c r="L113" s="135"/>
      <c r="M113" s="135"/>
      <c r="N113" s="135"/>
      <c r="O113" s="135"/>
      <c r="P113" s="135"/>
      <c r="Q113" s="135">
        <v>70000</v>
      </c>
      <c r="R113" s="135"/>
      <c r="S113" s="131">
        <f t="shared" si="9"/>
        <v>387000</v>
      </c>
      <c r="T113" s="131"/>
      <c r="U113" s="131">
        <f t="shared" si="10"/>
        <v>387000</v>
      </c>
    </row>
    <row r="114" spans="1:21" ht="15.75" x14ac:dyDescent="0.3">
      <c r="A114" s="137">
        <f t="shared" si="11"/>
        <v>15</v>
      </c>
      <c r="B114" s="162" t="s">
        <v>98</v>
      </c>
      <c r="C114" s="135">
        <v>9000</v>
      </c>
      <c r="D114" s="135">
        <v>1000</v>
      </c>
      <c r="E114" s="135">
        <v>1000</v>
      </c>
      <c r="F114" s="135">
        <v>4000</v>
      </c>
      <c r="G114" s="135">
        <v>25000</v>
      </c>
      <c r="H114" s="135"/>
      <c r="I114" s="135"/>
      <c r="J114" s="135"/>
      <c r="K114" s="135"/>
      <c r="L114" s="135"/>
      <c r="M114" s="135"/>
      <c r="N114" s="135"/>
      <c r="O114" s="135"/>
      <c r="P114" s="135"/>
      <c r="Q114" s="135"/>
      <c r="R114" s="135"/>
      <c r="S114" s="131">
        <f t="shared" si="9"/>
        <v>40000</v>
      </c>
      <c r="T114" s="131"/>
      <c r="U114" s="131">
        <f t="shared" si="10"/>
        <v>40000</v>
      </c>
    </row>
    <row r="115" spans="1:21" ht="15.75" x14ac:dyDescent="0.3">
      <c r="A115" s="137">
        <f t="shared" si="11"/>
        <v>16</v>
      </c>
      <c r="B115" s="162" t="s">
        <v>99</v>
      </c>
      <c r="C115" s="135">
        <v>9000</v>
      </c>
      <c r="D115" s="135">
        <v>1000</v>
      </c>
      <c r="E115" s="135">
        <v>1000</v>
      </c>
      <c r="F115" s="135">
        <v>4000</v>
      </c>
      <c r="G115" s="135">
        <v>25000</v>
      </c>
      <c r="H115" s="135"/>
      <c r="I115" s="135">
        <v>75000</v>
      </c>
      <c r="J115" s="135"/>
      <c r="K115" s="135"/>
      <c r="L115" s="135"/>
      <c r="M115" s="135"/>
      <c r="N115" s="135"/>
      <c r="O115" s="135"/>
      <c r="P115" s="135"/>
      <c r="Q115" s="135"/>
      <c r="R115" s="135"/>
      <c r="S115" s="131">
        <f t="shared" si="9"/>
        <v>115000</v>
      </c>
      <c r="T115" s="131"/>
      <c r="U115" s="131">
        <f t="shared" si="10"/>
        <v>115000</v>
      </c>
    </row>
    <row r="116" spans="1:21" ht="15.75" x14ac:dyDescent="0.3">
      <c r="A116" s="137">
        <f t="shared" si="11"/>
        <v>17</v>
      </c>
      <c r="B116" s="162" t="s">
        <v>100</v>
      </c>
      <c r="C116" s="135">
        <v>19000</v>
      </c>
      <c r="D116" s="135">
        <v>1000</v>
      </c>
      <c r="E116" s="135">
        <v>1000</v>
      </c>
      <c r="F116" s="135">
        <v>4000</v>
      </c>
      <c r="G116" s="135">
        <v>25000</v>
      </c>
      <c r="H116" s="135"/>
      <c r="I116" s="135"/>
      <c r="J116" s="135"/>
      <c r="K116" s="135">
        <v>200000</v>
      </c>
      <c r="L116" s="135"/>
      <c r="M116" s="135"/>
      <c r="N116" s="135"/>
      <c r="O116" s="135"/>
      <c r="P116" s="135"/>
      <c r="Q116" s="135"/>
      <c r="R116" s="135"/>
      <c r="S116" s="131">
        <f t="shared" si="9"/>
        <v>250000</v>
      </c>
      <c r="T116" s="131"/>
      <c r="U116" s="131">
        <f t="shared" si="10"/>
        <v>250000</v>
      </c>
    </row>
    <row r="117" spans="1:21" ht="15.75" x14ac:dyDescent="0.3">
      <c r="A117" s="137">
        <f t="shared" si="11"/>
        <v>18</v>
      </c>
      <c r="B117" s="162" t="s">
        <v>38</v>
      </c>
      <c r="C117" s="135">
        <v>6000</v>
      </c>
      <c r="D117" s="135">
        <v>1000</v>
      </c>
      <c r="E117" s="135">
        <v>1000</v>
      </c>
      <c r="F117" s="135">
        <v>4000</v>
      </c>
      <c r="G117" s="135">
        <v>25000</v>
      </c>
      <c r="H117" s="135"/>
      <c r="I117" s="135">
        <v>75000</v>
      </c>
      <c r="J117" s="135"/>
      <c r="K117" s="135">
        <v>100000</v>
      </c>
      <c r="L117" s="135"/>
      <c r="M117" s="135"/>
      <c r="N117" s="135"/>
      <c r="O117" s="135">
        <v>3000</v>
      </c>
      <c r="P117" s="135"/>
      <c r="Q117" s="135"/>
      <c r="R117" s="135"/>
      <c r="S117" s="131">
        <f t="shared" si="9"/>
        <v>215000</v>
      </c>
      <c r="T117" s="131">
        <v>215000</v>
      </c>
      <c r="U117" s="131">
        <f t="shared" si="10"/>
        <v>0</v>
      </c>
    </row>
    <row r="118" spans="1:21" ht="15.75" x14ac:dyDescent="0.3">
      <c r="A118" s="137">
        <f t="shared" si="11"/>
        <v>19</v>
      </c>
      <c r="B118" s="157" t="s">
        <v>101</v>
      </c>
      <c r="C118" s="165">
        <v>0</v>
      </c>
      <c r="D118" s="165">
        <v>0</v>
      </c>
      <c r="E118" s="135">
        <v>1000</v>
      </c>
      <c r="F118" s="135">
        <v>4000</v>
      </c>
      <c r="G118" s="135">
        <v>25000</v>
      </c>
      <c r="H118" s="135"/>
      <c r="I118" s="135">
        <v>150000</v>
      </c>
      <c r="J118" s="135"/>
      <c r="K118" s="135">
        <v>100000</v>
      </c>
      <c r="L118" s="135"/>
      <c r="M118" s="135"/>
      <c r="N118" s="135"/>
      <c r="O118" s="135"/>
      <c r="P118" s="135"/>
      <c r="Q118" s="135"/>
      <c r="R118" s="135"/>
      <c r="S118" s="131">
        <f t="shared" si="9"/>
        <v>280000</v>
      </c>
      <c r="T118" s="131"/>
      <c r="U118" s="131">
        <f t="shared" si="10"/>
        <v>280000</v>
      </c>
    </row>
    <row r="119" spans="1:21" ht="15.75" x14ac:dyDescent="0.3">
      <c r="A119" s="137">
        <f t="shared" si="11"/>
        <v>20</v>
      </c>
      <c r="B119" s="157" t="s">
        <v>102</v>
      </c>
      <c r="C119" s="135">
        <v>9000</v>
      </c>
      <c r="D119" s="135">
        <v>1000</v>
      </c>
      <c r="E119" s="135">
        <v>1000</v>
      </c>
      <c r="F119" s="135">
        <v>4000</v>
      </c>
      <c r="G119" s="135">
        <v>25000</v>
      </c>
      <c r="H119" s="135">
        <v>41000</v>
      </c>
      <c r="I119" s="135"/>
      <c r="J119" s="135"/>
      <c r="K119" s="135"/>
      <c r="L119" s="135"/>
      <c r="M119" s="135"/>
      <c r="N119" s="135"/>
      <c r="O119" s="135">
        <v>3000</v>
      </c>
      <c r="P119" s="135"/>
      <c r="Q119" s="135"/>
      <c r="R119" s="135"/>
      <c r="S119" s="131">
        <f t="shared" si="9"/>
        <v>84000</v>
      </c>
      <c r="T119" s="131">
        <v>84000</v>
      </c>
      <c r="U119" s="131">
        <f t="shared" si="10"/>
        <v>0</v>
      </c>
    </row>
    <row r="120" spans="1:21" ht="15.75" x14ac:dyDescent="0.3">
      <c r="A120" s="137">
        <f t="shared" si="11"/>
        <v>21</v>
      </c>
      <c r="B120" s="138" t="s">
        <v>109</v>
      </c>
      <c r="C120" s="135"/>
      <c r="D120" s="135"/>
      <c r="E120" s="135"/>
      <c r="F120" s="135"/>
      <c r="G120" s="135"/>
      <c r="H120" s="135"/>
      <c r="I120" s="135"/>
      <c r="J120" s="135"/>
      <c r="K120" s="135"/>
      <c r="L120" s="135"/>
      <c r="M120" s="135"/>
      <c r="N120" s="135"/>
      <c r="O120" s="135"/>
      <c r="P120" s="135"/>
      <c r="Q120" s="135"/>
      <c r="R120" s="135"/>
      <c r="S120" s="131">
        <f t="shared" si="9"/>
        <v>0</v>
      </c>
      <c r="T120" s="131"/>
      <c r="U120" s="131">
        <f t="shared" si="10"/>
        <v>0</v>
      </c>
    </row>
    <row r="121" spans="1:21" ht="15.75" x14ac:dyDescent="0.3">
      <c r="A121" s="137">
        <f t="shared" si="11"/>
        <v>22</v>
      </c>
      <c r="B121" s="157" t="s">
        <v>166</v>
      </c>
      <c r="C121" s="135">
        <v>19000</v>
      </c>
      <c r="D121" s="135">
        <v>1000</v>
      </c>
      <c r="E121" s="135">
        <v>1000</v>
      </c>
      <c r="F121" s="135">
        <v>4000</v>
      </c>
      <c r="G121" s="135">
        <v>25000</v>
      </c>
      <c r="H121" s="135"/>
      <c r="I121" s="135"/>
      <c r="J121" s="135"/>
      <c r="K121" s="135"/>
      <c r="L121" s="135"/>
      <c r="M121" s="135"/>
      <c r="N121" s="135"/>
      <c r="O121" s="135"/>
      <c r="P121" s="135"/>
      <c r="Q121" s="135"/>
      <c r="R121" s="135"/>
      <c r="S121" s="131">
        <f t="shared" si="9"/>
        <v>50000</v>
      </c>
      <c r="T121" s="131"/>
      <c r="U121" s="131">
        <f t="shared" si="10"/>
        <v>50000</v>
      </c>
    </row>
    <row r="122" spans="1:21" ht="15.75" x14ac:dyDescent="0.3">
      <c r="A122" s="137">
        <f t="shared" si="11"/>
        <v>23</v>
      </c>
      <c r="B122" s="157" t="s">
        <v>41</v>
      </c>
      <c r="C122" s="135">
        <v>9000</v>
      </c>
      <c r="D122" s="135">
        <v>1000</v>
      </c>
      <c r="E122" s="135">
        <v>1000</v>
      </c>
      <c r="F122" s="135">
        <v>4000</v>
      </c>
      <c r="G122" s="135">
        <v>25000</v>
      </c>
      <c r="H122" s="135"/>
      <c r="I122" s="135">
        <v>75000</v>
      </c>
      <c r="J122" s="135"/>
      <c r="K122" s="135"/>
      <c r="L122" s="135"/>
      <c r="M122" s="135"/>
      <c r="N122" s="135"/>
      <c r="O122" s="135"/>
      <c r="P122" s="135"/>
      <c r="Q122" s="135"/>
      <c r="R122" s="135"/>
      <c r="S122" s="131">
        <f t="shared" si="9"/>
        <v>115000</v>
      </c>
      <c r="T122" s="131"/>
      <c r="U122" s="131">
        <f t="shared" si="10"/>
        <v>115000</v>
      </c>
    </row>
    <row r="123" spans="1:21" ht="15.75" x14ac:dyDescent="0.3">
      <c r="A123" s="137">
        <f t="shared" si="11"/>
        <v>24</v>
      </c>
      <c r="B123" s="164" t="s">
        <v>165</v>
      </c>
      <c r="C123" s="135">
        <v>9000</v>
      </c>
      <c r="D123" s="135">
        <v>1000</v>
      </c>
      <c r="E123" s="135">
        <v>1000</v>
      </c>
      <c r="F123" s="135">
        <v>4000</v>
      </c>
      <c r="G123" s="135">
        <v>25000</v>
      </c>
      <c r="H123" s="135">
        <v>32500</v>
      </c>
      <c r="I123" s="135"/>
      <c r="J123" s="135"/>
      <c r="K123" s="135"/>
      <c r="L123" s="135"/>
      <c r="M123" s="135"/>
      <c r="N123" s="135"/>
      <c r="O123" s="135"/>
      <c r="P123" s="135"/>
      <c r="Q123" s="135"/>
      <c r="R123" s="135"/>
      <c r="S123" s="131">
        <f t="shared" si="9"/>
        <v>72500</v>
      </c>
      <c r="T123" s="131"/>
      <c r="U123" s="131">
        <f t="shared" si="10"/>
        <v>72500</v>
      </c>
    </row>
    <row r="124" spans="1:21" ht="15.75" x14ac:dyDescent="0.3">
      <c r="A124" s="137">
        <f t="shared" si="11"/>
        <v>25</v>
      </c>
      <c r="B124" s="164" t="s">
        <v>46</v>
      </c>
      <c r="C124" s="135">
        <v>9000</v>
      </c>
      <c r="D124" s="135">
        <v>1000</v>
      </c>
      <c r="E124" s="135">
        <v>1000</v>
      </c>
      <c r="F124" s="135">
        <v>4000</v>
      </c>
      <c r="G124" s="135">
        <v>25000</v>
      </c>
      <c r="H124" s="135"/>
      <c r="I124" s="135">
        <v>75000</v>
      </c>
      <c r="J124" s="135"/>
      <c r="K124" s="135"/>
      <c r="L124" s="135"/>
      <c r="M124" s="135"/>
      <c r="N124" s="135"/>
      <c r="O124" s="135"/>
      <c r="P124" s="135"/>
      <c r="Q124" s="135"/>
      <c r="R124" s="135"/>
      <c r="S124" s="131">
        <f t="shared" si="9"/>
        <v>115000</v>
      </c>
      <c r="T124" s="131"/>
      <c r="U124" s="131">
        <f t="shared" si="10"/>
        <v>115000</v>
      </c>
    </row>
    <row r="125" spans="1:21" ht="15.75" x14ac:dyDescent="0.3">
      <c r="A125" s="137">
        <f t="shared" si="11"/>
        <v>26</v>
      </c>
      <c r="B125" s="138" t="s">
        <v>104</v>
      </c>
      <c r="C125" s="135"/>
      <c r="D125" s="135"/>
      <c r="E125" s="135"/>
      <c r="F125" s="135"/>
      <c r="G125" s="135"/>
      <c r="H125" s="135"/>
      <c r="I125" s="135"/>
      <c r="J125" s="135"/>
      <c r="K125" s="135"/>
      <c r="L125" s="135"/>
      <c r="M125" s="135"/>
      <c r="N125" s="135"/>
      <c r="O125" s="135"/>
      <c r="P125" s="135"/>
      <c r="Q125" s="135"/>
      <c r="R125" s="135"/>
      <c r="S125" s="131">
        <f t="shared" si="9"/>
        <v>0</v>
      </c>
      <c r="T125" s="131"/>
      <c r="U125" s="131">
        <f t="shared" si="10"/>
        <v>0</v>
      </c>
    </row>
    <row r="126" spans="1:21" ht="15.75" x14ac:dyDescent="0.3">
      <c r="A126" s="137">
        <f t="shared" si="11"/>
        <v>27</v>
      </c>
      <c r="B126" s="164" t="s">
        <v>40</v>
      </c>
      <c r="C126" s="135">
        <v>9000</v>
      </c>
      <c r="D126" s="135">
        <v>1000</v>
      </c>
      <c r="E126" s="135">
        <v>1000</v>
      </c>
      <c r="F126" s="135">
        <v>4000</v>
      </c>
      <c r="G126" s="135">
        <v>25000</v>
      </c>
      <c r="H126" s="135"/>
      <c r="I126" s="135"/>
      <c r="J126" s="135"/>
      <c r="K126" s="135">
        <v>100000</v>
      </c>
      <c r="L126" s="135"/>
      <c r="M126" s="135"/>
      <c r="N126" s="135"/>
      <c r="O126" s="135"/>
      <c r="P126" s="135"/>
      <c r="Q126" s="135">
        <v>70000</v>
      </c>
      <c r="R126" s="135"/>
      <c r="S126" s="131">
        <f t="shared" si="9"/>
        <v>210000</v>
      </c>
      <c r="T126" s="131"/>
      <c r="U126" s="131">
        <f t="shared" si="10"/>
        <v>210000</v>
      </c>
    </row>
    <row r="127" spans="1:21" ht="15.75" x14ac:dyDescent="0.3">
      <c r="A127" s="137">
        <f t="shared" si="11"/>
        <v>28</v>
      </c>
      <c r="B127" s="164" t="s">
        <v>105</v>
      </c>
      <c r="C127" s="135">
        <v>9000</v>
      </c>
      <c r="D127" s="135">
        <v>1000</v>
      </c>
      <c r="E127" s="135">
        <v>1000</v>
      </c>
      <c r="F127" s="135">
        <v>4000</v>
      </c>
      <c r="G127" s="135">
        <v>25000</v>
      </c>
      <c r="H127" s="135"/>
      <c r="I127" s="135">
        <v>75000</v>
      </c>
      <c r="J127" s="135"/>
      <c r="K127" s="135"/>
      <c r="L127" s="135"/>
      <c r="M127" s="135">
        <v>1000000</v>
      </c>
      <c r="N127" s="135"/>
      <c r="O127" s="135"/>
      <c r="P127" s="135">
        <v>6000</v>
      </c>
      <c r="Q127" s="135"/>
      <c r="R127" s="135"/>
      <c r="S127" s="131">
        <f t="shared" si="9"/>
        <v>1121000</v>
      </c>
      <c r="T127" s="131"/>
      <c r="U127" s="131">
        <f t="shared" si="10"/>
        <v>1121000</v>
      </c>
    </row>
    <row r="128" spans="1:21" ht="15.75" x14ac:dyDescent="0.3">
      <c r="A128" s="137">
        <f t="shared" si="11"/>
        <v>29</v>
      </c>
      <c r="B128" s="164" t="s">
        <v>187</v>
      </c>
      <c r="C128" s="135">
        <v>9000</v>
      </c>
      <c r="D128" s="135">
        <v>1000</v>
      </c>
      <c r="E128" s="135">
        <v>1000</v>
      </c>
      <c r="F128" s="135">
        <v>4000</v>
      </c>
      <c r="G128" s="135">
        <v>25000</v>
      </c>
      <c r="H128" s="135"/>
      <c r="I128" s="135"/>
      <c r="J128" s="135"/>
      <c r="K128" s="135"/>
      <c r="L128" s="135"/>
      <c r="M128" s="135"/>
      <c r="N128" s="135"/>
      <c r="O128" s="135"/>
      <c r="P128" s="135"/>
      <c r="Q128" s="135"/>
      <c r="R128" s="135"/>
      <c r="S128" s="131">
        <f t="shared" si="9"/>
        <v>40000</v>
      </c>
      <c r="T128" s="131"/>
      <c r="U128" s="131">
        <f t="shared" si="10"/>
        <v>40000</v>
      </c>
    </row>
    <row r="129" spans="1:21" ht="15.75" x14ac:dyDescent="0.3">
      <c r="A129" s="137">
        <f t="shared" si="11"/>
        <v>30</v>
      </c>
      <c r="B129" s="138" t="s">
        <v>110</v>
      </c>
      <c r="C129" s="135"/>
      <c r="D129" s="135"/>
      <c r="E129" s="135"/>
      <c r="F129" s="135"/>
      <c r="G129" s="135"/>
      <c r="H129" s="135"/>
      <c r="I129" s="135"/>
      <c r="J129" s="135"/>
      <c r="K129" s="135"/>
      <c r="L129" s="135"/>
      <c r="M129" s="135"/>
      <c r="N129" s="135"/>
      <c r="O129" s="135"/>
      <c r="P129" s="135"/>
      <c r="Q129" s="135"/>
      <c r="R129" s="135"/>
      <c r="S129" s="131">
        <f t="shared" si="9"/>
        <v>0</v>
      </c>
      <c r="T129" s="131"/>
      <c r="U129" s="131">
        <f t="shared" si="10"/>
        <v>0</v>
      </c>
    </row>
    <row r="130" spans="1:21" ht="15.75" x14ac:dyDescent="0.3">
      <c r="A130" s="137">
        <f t="shared" si="11"/>
        <v>31</v>
      </c>
      <c r="B130" s="164" t="s">
        <v>106</v>
      </c>
      <c r="C130" s="135">
        <v>3000</v>
      </c>
      <c r="D130" s="135">
        <v>1000</v>
      </c>
      <c r="E130" s="135">
        <v>1000</v>
      </c>
      <c r="F130" s="135">
        <v>4000</v>
      </c>
      <c r="G130" s="135">
        <v>25000</v>
      </c>
      <c r="H130" s="135"/>
      <c r="I130" s="135"/>
      <c r="J130" s="135"/>
      <c r="K130" s="135"/>
      <c r="L130" s="135"/>
      <c r="M130" s="135"/>
      <c r="N130" s="135"/>
      <c r="O130" s="135"/>
      <c r="P130" s="135"/>
      <c r="Q130" s="135"/>
      <c r="R130" s="135"/>
      <c r="S130" s="131">
        <f t="shared" si="9"/>
        <v>34000</v>
      </c>
      <c r="T130" s="131"/>
      <c r="U130" s="131">
        <f t="shared" si="10"/>
        <v>34000</v>
      </c>
    </row>
    <row r="131" spans="1:21" ht="15.75" x14ac:dyDescent="0.3">
      <c r="A131" s="137">
        <f t="shared" si="11"/>
        <v>32</v>
      </c>
      <c r="B131" s="164" t="s">
        <v>107</v>
      </c>
      <c r="C131" s="135">
        <v>9000</v>
      </c>
      <c r="D131" s="135">
        <v>1000</v>
      </c>
      <c r="E131" s="135">
        <v>1000</v>
      </c>
      <c r="F131" s="135">
        <v>4000</v>
      </c>
      <c r="G131" s="135">
        <v>25000</v>
      </c>
      <c r="H131" s="135"/>
      <c r="I131" s="135">
        <v>150000</v>
      </c>
      <c r="J131" s="135"/>
      <c r="K131" s="135">
        <v>100000</v>
      </c>
      <c r="L131" s="135"/>
      <c r="M131" s="135"/>
      <c r="N131" s="135"/>
      <c r="O131" s="135"/>
      <c r="P131" s="135"/>
      <c r="Q131" s="135"/>
      <c r="R131" s="135"/>
      <c r="S131" s="131">
        <f t="shared" si="9"/>
        <v>290000</v>
      </c>
      <c r="T131" s="131"/>
      <c r="U131" s="131">
        <f t="shared" si="10"/>
        <v>290000</v>
      </c>
    </row>
    <row r="132" spans="1:21" ht="15.75" x14ac:dyDescent="0.3">
      <c r="A132" s="137">
        <f t="shared" si="11"/>
        <v>33</v>
      </c>
      <c r="B132" s="157" t="s">
        <v>111</v>
      </c>
      <c r="C132" s="163">
        <v>9000</v>
      </c>
      <c r="D132" s="163">
        <v>1000</v>
      </c>
      <c r="E132" s="163">
        <v>1000</v>
      </c>
      <c r="F132" s="163">
        <v>4000</v>
      </c>
      <c r="G132" s="163">
        <v>25000</v>
      </c>
      <c r="H132" s="135"/>
      <c r="I132" s="135"/>
      <c r="J132" s="135"/>
      <c r="K132" s="135"/>
      <c r="L132" s="135"/>
      <c r="M132" s="135"/>
      <c r="N132" s="135"/>
      <c r="O132" s="135"/>
      <c r="P132" s="135"/>
      <c r="Q132" s="135"/>
      <c r="R132" s="135"/>
      <c r="S132" s="131">
        <f t="shared" si="9"/>
        <v>40000</v>
      </c>
      <c r="T132" s="131"/>
      <c r="U132" s="131">
        <f t="shared" si="10"/>
        <v>40000</v>
      </c>
    </row>
    <row r="133" spans="1:21" ht="15.75" x14ac:dyDescent="0.3">
      <c r="A133" s="137">
        <f t="shared" si="11"/>
        <v>34</v>
      </c>
      <c r="B133" s="162" t="s">
        <v>224</v>
      </c>
      <c r="C133" s="163">
        <v>44000</v>
      </c>
      <c r="D133" s="163">
        <v>1000</v>
      </c>
      <c r="E133" s="163">
        <v>1000</v>
      </c>
      <c r="F133" s="163">
        <v>4000</v>
      </c>
      <c r="G133" s="163">
        <v>25000</v>
      </c>
      <c r="H133" s="135"/>
      <c r="I133" s="135"/>
      <c r="J133" s="135"/>
      <c r="K133" s="135"/>
      <c r="L133" s="135"/>
      <c r="M133" s="135"/>
      <c r="N133" s="135"/>
      <c r="O133" s="135"/>
      <c r="P133" s="135"/>
      <c r="Q133" s="135"/>
      <c r="R133" s="135">
        <v>25000</v>
      </c>
      <c r="S133" s="131">
        <f t="shared" si="9"/>
        <v>100000</v>
      </c>
      <c r="T133" s="131"/>
      <c r="U133" s="131">
        <f t="shared" si="10"/>
        <v>100000</v>
      </c>
    </row>
    <row r="134" spans="1:21" ht="15.75" x14ac:dyDescent="0.3">
      <c r="A134" s="137">
        <f t="shared" si="11"/>
        <v>35</v>
      </c>
      <c r="B134" s="138" t="s">
        <v>112</v>
      </c>
      <c r="C134" s="135"/>
      <c r="D134" s="135"/>
      <c r="E134" s="135"/>
      <c r="F134" s="135"/>
      <c r="G134" s="135"/>
      <c r="H134" s="135"/>
      <c r="I134" s="135"/>
      <c r="J134" s="135"/>
      <c r="K134" s="135"/>
      <c r="L134" s="135"/>
      <c r="M134" s="135"/>
      <c r="N134" s="135"/>
      <c r="O134" s="135"/>
      <c r="P134" s="135"/>
      <c r="Q134" s="135"/>
      <c r="R134" s="135"/>
      <c r="S134" s="131">
        <f t="shared" si="9"/>
        <v>0</v>
      </c>
      <c r="T134" s="131"/>
      <c r="U134" s="131">
        <f t="shared" si="10"/>
        <v>0</v>
      </c>
    </row>
    <row r="135" spans="1:21" ht="15.75" x14ac:dyDescent="0.3">
      <c r="A135" s="137">
        <f t="shared" si="11"/>
        <v>36</v>
      </c>
      <c r="B135" s="138" t="s">
        <v>184</v>
      </c>
      <c r="C135" s="135"/>
      <c r="D135" s="135"/>
      <c r="E135" s="135"/>
      <c r="F135" s="135"/>
      <c r="G135" s="135"/>
      <c r="H135" s="135"/>
      <c r="I135" s="135"/>
      <c r="J135" s="135"/>
      <c r="K135" s="135"/>
      <c r="L135" s="135"/>
      <c r="M135" s="135"/>
      <c r="N135" s="135"/>
      <c r="O135" s="135"/>
      <c r="P135" s="135"/>
      <c r="Q135" s="135"/>
      <c r="R135" s="135"/>
      <c r="S135" s="131">
        <f t="shared" si="9"/>
        <v>0</v>
      </c>
      <c r="T135" s="131"/>
      <c r="U135" s="131">
        <f t="shared" si="10"/>
        <v>0</v>
      </c>
    </row>
    <row r="136" spans="1:21" ht="15.75" x14ac:dyDescent="0.3">
      <c r="A136" s="137">
        <f t="shared" si="11"/>
        <v>37</v>
      </c>
      <c r="B136" s="139" t="s">
        <v>185</v>
      </c>
      <c r="C136" s="135"/>
      <c r="D136" s="135"/>
      <c r="E136" s="135"/>
      <c r="F136" s="135"/>
      <c r="G136" s="135"/>
      <c r="H136" s="135"/>
      <c r="I136" s="135"/>
      <c r="J136" s="135"/>
      <c r="K136" s="135"/>
      <c r="L136" s="135"/>
      <c r="M136" s="135"/>
      <c r="N136" s="135"/>
      <c r="O136" s="135"/>
      <c r="P136" s="135"/>
      <c r="Q136" s="135"/>
      <c r="R136" s="135"/>
      <c r="S136" s="131">
        <f t="shared" si="9"/>
        <v>0</v>
      </c>
      <c r="T136" s="131"/>
      <c r="U136" s="131">
        <f t="shared" si="10"/>
        <v>0</v>
      </c>
    </row>
    <row r="137" spans="1:21" ht="15.75" x14ac:dyDescent="0.3">
      <c r="A137" s="137">
        <f t="shared" si="11"/>
        <v>38</v>
      </c>
      <c r="B137" s="139" t="s">
        <v>186</v>
      </c>
      <c r="C137" s="135"/>
      <c r="D137" s="135"/>
      <c r="E137" s="135"/>
      <c r="F137" s="135"/>
      <c r="G137" s="135"/>
      <c r="H137" s="135"/>
      <c r="I137" s="135"/>
      <c r="J137" s="135"/>
      <c r="K137" s="135"/>
      <c r="L137" s="135"/>
      <c r="M137" s="135"/>
      <c r="N137" s="135"/>
      <c r="O137" s="135"/>
      <c r="P137" s="135"/>
      <c r="Q137" s="135"/>
      <c r="R137" s="135"/>
      <c r="S137" s="131">
        <f t="shared" si="9"/>
        <v>0</v>
      </c>
      <c r="T137" s="131"/>
      <c r="U137" s="131">
        <f t="shared" si="10"/>
        <v>0</v>
      </c>
    </row>
    <row r="138" spans="1:21" ht="15.75" x14ac:dyDescent="0.3">
      <c r="A138" s="137">
        <f t="shared" si="11"/>
        <v>39</v>
      </c>
      <c r="B138" s="139" t="s">
        <v>129</v>
      </c>
      <c r="C138" s="135"/>
      <c r="D138" s="135"/>
      <c r="E138" s="135"/>
      <c r="F138" s="135"/>
      <c r="G138" s="135"/>
      <c r="H138" s="135"/>
      <c r="I138" s="135"/>
      <c r="J138" s="135"/>
      <c r="K138" s="135"/>
      <c r="L138" s="135"/>
      <c r="M138" s="135"/>
      <c r="N138" s="135"/>
      <c r="O138" s="135"/>
      <c r="P138" s="135"/>
      <c r="Q138" s="135"/>
      <c r="R138" s="135"/>
      <c r="S138" s="131">
        <f t="shared" si="9"/>
        <v>0</v>
      </c>
      <c r="T138" s="131"/>
      <c r="U138" s="131">
        <f t="shared" si="10"/>
        <v>0</v>
      </c>
    </row>
    <row r="139" spans="1:21" ht="15.75" x14ac:dyDescent="0.3">
      <c r="A139" s="137">
        <f t="shared" si="11"/>
        <v>40</v>
      </c>
      <c r="B139" s="139" t="s">
        <v>128</v>
      </c>
      <c r="C139" s="135"/>
      <c r="D139" s="135"/>
      <c r="E139" s="135"/>
      <c r="F139" s="135"/>
      <c r="G139" s="135"/>
      <c r="H139" s="135"/>
      <c r="I139" s="135"/>
      <c r="J139" s="135"/>
      <c r="K139" s="135"/>
      <c r="L139" s="135"/>
      <c r="M139" s="135"/>
      <c r="N139" s="135"/>
      <c r="O139" s="135"/>
      <c r="P139" s="135"/>
      <c r="Q139" s="135"/>
      <c r="R139" s="135"/>
      <c r="S139" s="131">
        <f t="shared" si="9"/>
        <v>0</v>
      </c>
      <c r="T139" s="131"/>
      <c r="U139" s="131">
        <f t="shared" si="10"/>
        <v>0</v>
      </c>
    </row>
    <row r="140" spans="1:21" ht="15.75" x14ac:dyDescent="0.3">
      <c r="A140" s="137">
        <f t="shared" si="11"/>
        <v>41</v>
      </c>
      <c r="B140" s="139" t="s">
        <v>187</v>
      </c>
      <c r="C140" s="135"/>
      <c r="D140" s="135"/>
      <c r="E140" s="135"/>
      <c r="F140" s="135"/>
      <c r="G140" s="135"/>
      <c r="H140" s="135"/>
      <c r="I140" s="135"/>
      <c r="J140" s="135"/>
      <c r="K140" s="135"/>
      <c r="L140" s="135"/>
      <c r="M140" s="135"/>
      <c r="N140" s="135"/>
      <c r="O140" s="135"/>
      <c r="P140" s="135"/>
      <c r="Q140" s="135"/>
      <c r="R140" s="135"/>
      <c r="S140" s="131">
        <f t="shared" si="9"/>
        <v>0</v>
      </c>
      <c r="T140" s="131"/>
      <c r="U140" s="131">
        <f t="shared" si="10"/>
        <v>0</v>
      </c>
    </row>
    <row r="141" spans="1:21" x14ac:dyDescent="0.25">
      <c r="A141" s="130"/>
      <c r="B141" s="130"/>
      <c r="C141" s="132">
        <f>SUM(C99:C140)</f>
        <v>345000</v>
      </c>
      <c r="D141" s="132">
        <f t="shared" ref="D141:H141" si="12">SUM(D99:D140)</f>
        <v>29000</v>
      </c>
      <c r="E141" s="132">
        <f t="shared" si="12"/>
        <v>30000</v>
      </c>
      <c r="F141" s="132">
        <f t="shared" si="12"/>
        <v>120000</v>
      </c>
      <c r="G141" s="132">
        <f t="shared" si="12"/>
        <v>750000</v>
      </c>
      <c r="H141" s="132">
        <f t="shared" si="12"/>
        <v>114500</v>
      </c>
      <c r="I141" s="132">
        <f>SUM(I100:I140)</f>
        <v>1200000</v>
      </c>
      <c r="J141" s="132">
        <f t="shared" ref="J141:U141" si="13">SUM(J99:J140)</f>
        <v>162000</v>
      </c>
      <c r="K141" s="132">
        <f t="shared" si="13"/>
        <v>1400000</v>
      </c>
      <c r="L141" s="132">
        <f t="shared" si="13"/>
        <v>0</v>
      </c>
      <c r="M141" s="132">
        <f t="shared" si="13"/>
        <v>1000000</v>
      </c>
      <c r="N141" s="132">
        <f t="shared" si="13"/>
        <v>0</v>
      </c>
      <c r="O141" s="132">
        <f t="shared" si="13"/>
        <v>6000</v>
      </c>
      <c r="P141" s="132">
        <f t="shared" si="13"/>
        <v>6000</v>
      </c>
      <c r="Q141" s="132">
        <f t="shared" si="13"/>
        <v>-1540000</v>
      </c>
      <c r="R141" s="132">
        <f t="shared" si="13"/>
        <v>25000</v>
      </c>
      <c r="S141" s="132">
        <f t="shared" si="13"/>
        <v>3647500</v>
      </c>
      <c r="T141" s="133">
        <f t="shared" si="13"/>
        <v>299000</v>
      </c>
      <c r="U141" s="133">
        <f t="shared" si="13"/>
        <v>3348500</v>
      </c>
    </row>
    <row r="142" spans="1:21" ht="21" x14ac:dyDescent="0.35">
      <c r="A142" s="16"/>
      <c r="B142" s="214" t="s">
        <v>190</v>
      </c>
      <c r="C142" s="214"/>
      <c r="D142" s="214"/>
      <c r="E142" s="214"/>
      <c r="F142" s="214"/>
      <c r="G142" s="214"/>
      <c r="H142" s="214"/>
      <c r="I142" s="214"/>
      <c r="J142" s="134"/>
      <c r="K142" s="134"/>
      <c r="L142" s="134"/>
      <c r="M142" s="134"/>
      <c r="N142" s="134"/>
      <c r="O142" s="134"/>
      <c r="P142" s="134"/>
      <c r="Q142" s="134"/>
      <c r="R142" s="134"/>
      <c r="S142" s="134"/>
      <c r="T142" s="134"/>
      <c r="U142" s="134"/>
    </row>
    <row r="143" spans="1:21" x14ac:dyDescent="0.25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</row>
    <row r="144" spans="1:21" s="128" customFormat="1" x14ac:dyDescent="0.25">
      <c r="A144" s="137"/>
      <c r="B144" s="137"/>
      <c r="C144" s="209" t="s">
        <v>75</v>
      </c>
      <c r="D144" s="209" t="s">
        <v>168</v>
      </c>
      <c r="E144" s="209" t="s">
        <v>169</v>
      </c>
      <c r="F144" s="209" t="s">
        <v>170</v>
      </c>
      <c r="G144" s="211" t="s">
        <v>171</v>
      </c>
      <c r="H144" s="213"/>
      <c r="I144" s="211" t="s">
        <v>200</v>
      </c>
      <c r="J144" s="213"/>
      <c r="K144" s="211" t="s">
        <v>201</v>
      </c>
      <c r="L144" s="213"/>
      <c r="M144" s="209" t="s">
        <v>174</v>
      </c>
      <c r="N144" s="209" t="s">
        <v>175</v>
      </c>
      <c r="O144" s="209" t="s">
        <v>176</v>
      </c>
      <c r="P144" s="209" t="s">
        <v>177</v>
      </c>
      <c r="Q144" s="209" t="s">
        <v>178</v>
      </c>
      <c r="R144" s="209"/>
      <c r="S144" s="211" t="s">
        <v>179</v>
      </c>
      <c r="T144" s="212"/>
      <c r="U144" s="213"/>
    </row>
    <row r="145" spans="1:21" s="128" customFormat="1" x14ac:dyDescent="0.25">
      <c r="A145" s="137"/>
      <c r="B145" s="137"/>
      <c r="C145" s="210"/>
      <c r="D145" s="210"/>
      <c r="E145" s="210"/>
      <c r="F145" s="210"/>
      <c r="G145" s="137" t="s">
        <v>180</v>
      </c>
      <c r="H145" s="137" t="s">
        <v>181</v>
      </c>
      <c r="I145" s="137" t="s">
        <v>180</v>
      </c>
      <c r="J145" s="137" t="s">
        <v>181</v>
      </c>
      <c r="K145" s="137" t="s">
        <v>180</v>
      </c>
      <c r="L145" s="137" t="s">
        <v>181</v>
      </c>
      <c r="M145" s="210"/>
      <c r="N145" s="210"/>
      <c r="O145" s="210"/>
      <c r="P145" s="210"/>
      <c r="Q145" s="210"/>
      <c r="R145" s="210"/>
      <c r="S145" s="137" t="s">
        <v>74</v>
      </c>
      <c r="T145" s="137" t="s">
        <v>182</v>
      </c>
      <c r="U145" s="137" t="s">
        <v>183</v>
      </c>
    </row>
    <row r="146" spans="1:21" ht="15.75" x14ac:dyDescent="0.3">
      <c r="A146" s="137">
        <v>0</v>
      </c>
      <c r="B146" s="138" t="s">
        <v>88</v>
      </c>
      <c r="C146" s="135"/>
      <c r="D146" s="135"/>
      <c r="E146" s="135"/>
      <c r="F146" s="135"/>
      <c r="G146" s="135"/>
      <c r="H146" s="135"/>
      <c r="I146" s="135"/>
      <c r="J146" s="135"/>
      <c r="K146" s="135">
        <v>100000</v>
      </c>
      <c r="L146" s="135"/>
      <c r="M146" s="135"/>
      <c r="N146" s="135"/>
      <c r="O146" s="135"/>
      <c r="P146" s="135"/>
      <c r="Q146" s="135"/>
      <c r="R146" s="135"/>
      <c r="S146" s="131">
        <f>+R146+Q146+P146+O146+N146+M146+L146+K146+J146+I146+H146+G146+F146+E146+D146+C146</f>
        <v>100000</v>
      </c>
      <c r="T146" s="131"/>
      <c r="U146" s="131">
        <f>+S146-T146</f>
        <v>100000</v>
      </c>
    </row>
    <row r="147" spans="1:21" ht="15.75" x14ac:dyDescent="0.3">
      <c r="A147" s="137">
        <f>+A146+1</f>
        <v>1</v>
      </c>
      <c r="B147" s="168" t="s">
        <v>39</v>
      </c>
      <c r="C147" s="135">
        <v>9000</v>
      </c>
      <c r="D147" s="135">
        <v>1000</v>
      </c>
      <c r="E147" s="135">
        <v>1000</v>
      </c>
      <c r="F147" s="135">
        <v>4000</v>
      </c>
      <c r="G147" s="135">
        <v>25000</v>
      </c>
      <c r="H147" s="135"/>
      <c r="I147" s="135">
        <v>75000</v>
      </c>
      <c r="J147" s="135"/>
      <c r="K147" s="135"/>
      <c r="L147" s="135"/>
      <c r="M147" s="135"/>
      <c r="N147" s="135"/>
      <c r="O147" s="135"/>
      <c r="P147" s="135">
        <v>10000</v>
      </c>
      <c r="Q147" s="135"/>
      <c r="R147" s="135"/>
      <c r="S147" s="131">
        <f t="shared" ref="S147:S187" si="14">+R147+Q147+P147+O147+N147+M147+L147+K147+J147+I147+H147+G147+F147+E147+D147+C147</f>
        <v>125000</v>
      </c>
      <c r="T147" s="131"/>
      <c r="U147" s="131">
        <f t="shared" ref="U147:U187" si="15">+S147-T147</f>
        <v>125000</v>
      </c>
    </row>
    <row r="148" spans="1:21" ht="15.75" x14ac:dyDescent="0.3">
      <c r="A148" s="137">
        <f t="shared" ref="A148:A187" si="16">+A147+1</f>
        <v>2</v>
      </c>
      <c r="B148" s="168" t="s">
        <v>43</v>
      </c>
      <c r="C148" s="135">
        <v>14000</v>
      </c>
      <c r="D148" s="135">
        <v>1000</v>
      </c>
      <c r="E148" s="135">
        <v>1000</v>
      </c>
      <c r="F148" s="135">
        <v>4000</v>
      </c>
      <c r="G148" s="135">
        <v>25000</v>
      </c>
      <c r="H148" s="135"/>
      <c r="I148" s="135"/>
      <c r="J148" s="135"/>
      <c r="K148" s="135">
        <v>100000</v>
      </c>
      <c r="L148" s="135"/>
      <c r="M148" s="135"/>
      <c r="N148" s="135"/>
      <c r="O148" s="135"/>
      <c r="P148" s="135"/>
      <c r="Q148" s="135"/>
      <c r="R148" s="135"/>
      <c r="S148" s="131">
        <f t="shared" si="14"/>
        <v>145000</v>
      </c>
      <c r="T148" s="131"/>
      <c r="U148" s="131">
        <f t="shared" si="15"/>
        <v>145000</v>
      </c>
    </row>
    <row r="149" spans="1:21" ht="15.75" x14ac:dyDescent="0.3">
      <c r="A149" s="137">
        <f t="shared" si="16"/>
        <v>3</v>
      </c>
      <c r="B149" s="168" t="s">
        <v>89</v>
      </c>
      <c r="C149" s="135">
        <v>9000</v>
      </c>
      <c r="D149" s="135">
        <v>1000</v>
      </c>
      <c r="E149" s="135">
        <v>1000</v>
      </c>
      <c r="F149" s="135">
        <v>4000</v>
      </c>
      <c r="G149" s="135">
        <v>25000</v>
      </c>
      <c r="H149" s="135"/>
      <c r="I149" s="135"/>
      <c r="J149" s="135"/>
      <c r="K149" s="135"/>
      <c r="L149" s="135"/>
      <c r="M149" s="135"/>
      <c r="N149" s="135"/>
      <c r="O149" s="135">
        <v>3000</v>
      </c>
      <c r="P149" s="135"/>
      <c r="Q149" s="135">
        <v>70000</v>
      </c>
      <c r="R149" s="135"/>
      <c r="S149" s="131">
        <f t="shared" si="14"/>
        <v>113000</v>
      </c>
      <c r="T149" s="131">
        <v>43000</v>
      </c>
      <c r="U149" s="131">
        <f t="shared" si="15"/>
        <v>70000</v>
      </c>
    </row>
    <row r="150" spans="1:21" ht="15.75" x14ac:dyDescent="0.3">
      <c r="A150" s="137">
        <f t="shared" si="16"/>
        <v>4</v>
      </c>
      <c r="B150" s="168" t="s">
        <v>90</v>
      </c>
      <c r="C150" s="135">
        <v>9000</v>
      </c>
      <c r="D150" s="135">
        <v>1000</v>
      </c>
      <c r="E150" s="135">
        <v>1000</v>
      </c>
      <c r="F150" s="135">
        <v>4000</v>
      </c>
      <c r="G150" s="135">
        <v>25000</v>
      </c>
      <c r="H150" s="135"/>
      <c r="I150" s="135">
        <v>75000</v>
      </c>
      <c r="J150" s="135"/>
      <c r="K150" s="135"/>
      <c r="L150" s="135"/>
      <c r="M150" s="135"/>
      <c r="N150" s="135"/>
      <c r="O150" s="135"/>
      <c r="P150" s="135">
        <v>80000</v>
      </c>
      <c r="Q150" s="135">
        <v>70000</v>
      </c>
      <c r="R150" s="135"/>
      <c r="S150" s="131">
        <f t="shared" si="14"/>
        <v>265000</v>
      </c>
      <c r="T150" s="131"/>
      <c r="U150" s="131">
        <f t="shared" si="15"/>
        <v>265000</v>
      </c>
    </row>
    <row r="151" spans="1:21" ht="15.75" x14ac:dyDescent="0.3">
      <c r="A151" s="137">
        <f t="shared" si="16"/>
        <v>5</v>
      </c>
      <c r="B151" s="168" t="s">
        <v>91</v>
      </c>
      <c r="C151" s="135">
        <v>14000</v>
      </c>
      <c r="D151" s="135">
        <v>1000</v>
      </c>
      <c r="E151" s="135">
        <v>1000</v>
      </c>
      <c r="F151" s="135">
        <v>4000</v>
      </c>
      <c r="G151" s="135">
        <v>25000</v>
      </c>
      <c r="H151" s="135"/>
      <c r="I151" s="135">
        <v>75000</v>
      </c>
      <c r="J151" s="135"/>
      <c r="K151" s="135">
        <v>200000</v>
      </c>
      <c r="L151" s="135"/>
      <c r="M151" s="135"/>
      <c r="N151" s="135"/>
      <c r="O151" s="135"/>
      <c r="P151" s="135"/>
      <c r="Q151" s="135"/>
      <c r="R151" s="135"/>
      <c r="S151" s="131">
        <f t="shared" si="14"/>
        <v>320000</v>
      </c>
      <c r="T151" s="131"/>
      <c r="U151" s="131">
        <f t="shared" si="15"/>
        <v>320000</v>
      </c>
    </row>
    <row r="152" spans="1:21" ht="15.75" x14ac:dyDescent="0.3">
      <c r="A152" s="137">
        <f t="shared" si="16"/>
        <v>6</v>
      </c>
      <c r="B152" s="168" t="s">
        <v>92</v>
      </c>
      <c r="C152" s="135">
        <v>9000</v>
      </c>
      <c r="D152" s="135">
        <v>1000</v>
      </c>
      <c r="E152" s="135">
        <v>1000</v>
      </c>
      <c r="F152" s="135">
        <v>4000</v>
      </c>
      <c r="G152" s="135">
        <v>25000</v>
      </c>
      <c r="H152" s="135"/>
      <c r="I152" s="135"/>
      <c r="J152" s="135"/>
      <c r="K152" s="135"/>
      <c r="L152" s="135"/>
      <c r="M152" s="135"/>
      <c r="N152" s="135"/>
      <c r="O152" s="135"/>
      <c r="P152" s="135"/>
      <c r="Q152" s="135"/>
      <c r="R152" s="135"/>
      <c r="S152" s="131">
        <f t="shared" si="14"/>
        <v>40000</v>
      </c>
      <c r="T152" s="131"/>
      <c r="U152" s="131">
        <f t="shared" si="15"/>
        <v>40000</v>
      </c>
    </row>
    <row r="153" spans="1:21" ht="15.75" x14ac:dyDescent="0.3">
      <c r="A153" s="137">
        <f t="shared" si="16"/>
        <v>7</v>
      </c>
      <c r="B153" s="168" t="s">
        <v>93</v>
      </c>
      <c r="C153" s="135">
        <v>9000</v>
      </c>
      <c r="D153" s="135">
        <v>1000</v>
      </c>
      <c r="E153" s="135">
        <v>1000</v>
      </c>
      <c r="F153" s="135">
        <v>4000</v>
      </c>
      <c r="G153" s="135">
        <v>25000</v>
      </c>
      <c r="H153" s="135"/>
      <c r="I153" s="135"/>
      <c r="J153" s="135"/>
      <c r="K153" s="135"/>
      <c r="L153" s="135"/>
      <c r="M153" s="135"/>
      <c r="N153" s="135"/>
      <c r="O153" s="135"/>
      <c r="P153" s="135"/>
      <c r="Q153" s="135"/>
      <c r="R153" s="135"/>
      <c r="S153" s="131">
        <f t="shared" si="14"/>
        <v>40000</v>
      </c>
      <c r="T153" s="131"/>
      <c r="U153" s="131">
        <f t="shared" si="15"/>
        <v>40000</v>
      </c>
    </row>
    <row r="154" spans="1:21" ht="15.75" x14ac:dyDescent="0.3">
      <c r="A154" s="137">
        <f t="shared" si="16"/>
        <v>8</v>
      </c>
      <c r="B154" s="138" t="s">
        <v>114</v>
      </c>
      <c r="C154" s="135"/>
      <c r="D154" s="135"/>
      <c r="E154" s="135"/>
      <c r="F154" s="135"/>
      <c r="G154" s="135"/>
      <c r="H154" s="135"/>
      <c r="I154" s="135"/>
      <c r="J154" s="135"/>
      <c r="K154" s="135"/>
      <c r="L154" s="135"/>
      <c r="M154" s="135"/>
      <c r="N154" s="135"/>
      <c r="O154" s="135"/>
      <c r="P154" s="135"/>
      <c r="Q154" s="135"/>
      <c r="R154" s="135"/>
      <c r="S154" s="131">
        <f t="shared" si="14"/>
        <v>0</v>
      </c>
      <c r="T154" s="131"/>
      <c r="U154" s="131">
        <f t="shared" si="15"/>
        <v>0</v>
      </c>
    </row>
    <row r="155" spans="1:21" ht="15.75" x14ac:dyDescent="0.3">
      <c r="A155" s="137">
        <f t="shared" si="16"/>
        <v>9</v>
      </c>
      <c r="B155" s="168" t="s">
        <v>42</v>
      </c>
      <c r="C155" s="135">
        <v>9000</v>
      </c>
      <c r="D155" s="135">
        <v>1000</v>
      </c>
      <c r="E155" s="135">
        <v>1000</v>
      </c>
      <c r="F155" s="135">
        <v>4000</v>
      </c>
      <c r="G155" s="135">
        <v>25000</v>
      </c>
      <c r="H155" s="135"/>
      <c r="I155" s="135">
        <v>75000</v>
      </c>
      <c r="J155" s="135"/>
      <c r="K155" s="135"/>
      <c r="L155" s="135"/>
      <c r="M155" s="135"/>
      <c r="N155" s="135"/>
      <c r="O155" s="135"/>
      <c r="P155" s="135"/>
      <c r="Q155" s="135"/>
      <c r="R155" s="135"/>
      <c r="S155" s="131">
        <f t="shared" si="14"/>
        <v>115000</v>
      </c>
      <c r="T155" s="131"/>
      <c r="U155" s="131">
        <f t="shared" si="15"/>
        <v>115000</v>
      </c>
    </row>
    <row r="156" spans="1:21" ht="15.75" x14ac:dyDescent="0.3">
      <c r="A156" s="137">
        <f t="shared" si="16"/>
        <v>10</v>
      </c>
      <c r="B156" s="168" t="s">
        <v>37</v>
      </c>
      <c r="C156" s="135">
        <v>44000</v>
      </c>
      <c r="D156" s="135">
        <v>1000</v>
      </c>
      <c r="E156" s="135">
        <v>1000</v>
      </c>
      <c r="F156" s="135">
        <v>4000</v>
      </c>
      <c r="G156" s="135">
        <v>25000</v>
      </c>
      <c r="H156" s="135"/>
      <c r="I156" s="135">
        <v>75000</v>
      </c>
      <c r="J156" s="135"/>
      <c r="K156" s="135">
        <v>100000</v>
      </c>
      <c r="L156" s="135">
        <v>266000</v>
      </c>
      <c r="M156" s="135"/>
      <c r="N156" s="135"/>
      <c r="O156" s="135"/>
      <c r="P156" s="135"/>
      <c r="Q156" s="135"/>
      <c r="R156" s="135"/>
      <c r="S156" s="131">
        <f t="shared" si="14"/>
        <v>516000</v>
      </c>
      <c r="T156" s="131"/>
      <c r="U156" s="131">
        <f t="shared" si="15"/>
        <v>516000</v>
      </c>
    </row>
    <row r="157" spans="1:21" ht="15.75" x14ac:dyDescent="0.3">
      <c r="A157" s="137">
        <f t="shared" si="16"/>
        <v>11</v>
      </c>
      <c r="B157" s="168" t="s">
        <v>94</v>
      </c>
      <c r="C157" s="135">
        <v>9000</v>
      </c>
      <c r="D157" s="135">
        <v>1000</v>
      </c>
      <c r="E157" s="135">
        <v>1000</v>
      </c>
      <c r="F157" s="135">
        <v>4000</v>
      </c>
      <c r="G157" s="135">
        <v>25000</v>
      </c>
      <c r="H157" s="135"/>
      <c r="I157" s="135"/>
      <c r="J157" s="135"/>
      <c r="K157" s="135">
        <v>100000</v>
      </c>
      <c r="L157" s="135">
        <v>101000</v>
      </c>
      <c r="M157" s="135"/>
      <c r="N157" s="135"/>
      <c r="O157" s="135"/>
      <c r="P157" s="135"/>
      <c r="Q157" s="135"/>
      <c r="R157" s="135"/>
      <c r="S157" s="131">
        <f t="shared" si="14"/>
        <v>241000</v>
      </c>
      <c r="T157" s="131"/>
      <c r="U157" s="131">
        <f t="shared" si="15"/>
        <v>241000</v>
      </c>
    </row>
    <row r="158" spans="1:21" ht="15.75" x14ac:dyDescent="0.3">
      <c r="A158" s="137">
        <f t="shared" si="16"/>
        <v>12</v>
      </c>
      <c r="B158" s="168" t="s">
        <v>95</v>
      </c>
      <c r="C158" s="135">
        <v>11000</v>
      </c>
      <c r="D158" s="135">
        <v>1000</v>
      </c>
      <c r="E158" s="135">
        <v>1000</v>
      </c>
      <c r="F158" s="135">
        <v>4000</v>
      </c>
      <c r="G158" s="135">
        <v>25000</v>
      </c>
      <c r="H158" s="135"/>
      <c r="I158" s="135">
        <v>75000</v>
      </c>
      <c r="J158" s="135"/>
      <c r="K158" s="135">
        <v>100000</v>
      </c>
      <c r="L158" s="135">
        <v>202000</v>
      </c>
      <c r="M158" s="135"/>
      <c r="N158" s="135"/>
      <c r="O158" s="135"/>
      <c r="P158" s="135"/>
      <c r="Q158" s="135"/>
      <c r="R158" s="135"/>
      <c r="S158" s="131">
        <f t="shared" si="14"/>
        <v>419000</v>
      </c>
      <c r="T158" s="131"/>
      <c r="U158" s="131">
        <f t="shared" si="15"/>
        <v>419000</v>
      </c>
    </row>
    <row r="159" spans="1:21" ht="15.75" x14ac:dyDescent="0.3">
      <c r="A159" s="137">
        <f t="shared" si="16"/>
        <v>13</v>
      </c>
      <c r="B159" s="168" t="s">
        <v>96</v>
      </c>
      <c r="C159" s="135">
        <v>9000</v>
      </c>
      <c r="D159" s="135">
        <v>1000</v>
      </c>
      <c r="E159" s="135">
        <v>1000</v>
      </c>
      <c r="F159" s="135">
        <v>4000</v>
      </c>
      <c r="G159" s="135">
        <v>25000</v>
      </c>
      <c r="H159" s="135"/>
      <c r="I159" s="135"/>
      <c r="J159" s="135"/>
      <c r="K159" s="135"/>
      <c r="L159" s="135"/>
      <c r="M159" s="135">
        <v>1000000</v>
      </c>
      <c r="N159" s="135"/>
      <c r="O159" s="135"/>
      <c r="P159" s="135">
        <v>12000</v>
      </c>
      <c r="Q159" s="135"/>
      <c r="R159" s="135"/>
      <c r="S159" s="131">
        <f t="shared" si="14"/>
        <v>1052000</v>
      </c>
      <c r="T159" s="131"/>
      <c r="U159" s="131">
        <f t="shared" si="15"/>
        <v>1052000</v>
      </c>
    </row>
    <row r="160" spans="1:21" ht="15.75" x14ac:dyDescent="0.3">
      <c r="A160" s="137">
        <f t="shared" si="16"/>
        <v>14</v>
      </c>
      <c r="B160" s="168" t="s">
        <v>97</v>
      </c>
      <c r="C160" s="135">
        <v>14000</v>
      </c>
      <c r="D160" s="135">
        <v>1000</v>
      </c>
      <c r="E160" s="135">
        <v>1000</v>
      </c>
      <c r="F160" s="135">
        <v>4000</v>
      </c>
      <c r="G160" s="135">
        <v>25000</v>
      </c>
      <c r="H160" s="135"/>
      <c r="I160" s="135">
        <v>75000</v>
      </c>
      <c r="J160" s="135"/>
      <c r="K160" s="135">
        <v>100000</v>
      </c>
      <c r="L160" s="135">
        <v>202000</v>
      </c>
      <c r="M160" s="135"/>
      <c r="N160" s="135"/>
      <c r="O160" s="135"/>
      <c r="P160" s="135"/>
      <c r="Q160" s="135"/>
      <c r="R160" s="135"/>
      <c r="S160" s="131">
        <f t="shared" si="14"/>
        <v>422000</v>
      </c>
      <c r="T160" s="131"/>
      <c r="U160" s="131">
        <f t="shared" si="15"/>
        <v>422000</v>
      </c>
    </row>
    <row r="161" spans="1:21" ht="15.75" x14ac:dyDescent="0.3">
      <c r="A161" s="137">
        <f t="shared" si="16"/>
        <v>15</v>
      </c>
      <c r="B161" s="168" t="s">
        <v>98</v>
      </c>
      <c r="C161" s="135">
        <v>9000</v>
      </c>
      <c r="D161" s="135">
        <v>1000</v>
      </c>
      <c r="E161" s="135">
        <v>1000</v>
      </c>
      <c r="F161" s="135">
        <v>4000</v>
      </c>
      <c r="G161" s="135">
        <v>25000</v>
      </c>
      <c r="H161" s="135"/>
      <c r="I161" s="135"/>
      <c r="J161" s="135"/>
      <c r="K161" s="135"/>
      <c r="L161" s="135"/>
      <c r="M161" s="135"/>
      <c r="N161" s="135"/>
      <c r="O161" s="135"/>
      <c r="P161" s="135"/>
      <c r="Q161" s="135"/>
      <c r="R161" s="135"/>
      <c r="S161" s="131">
        <f t="shared" si="14"/>
        <v>40000</v>
      </c>
      <c r="T161" s="131"/>
      <c r="U161" s="131">
        <f t="shared" si="15"/>
        <v>40000</v>
      </c>
    </row>
    <row r="162" spans="1:21" ht="15.75" x14ac:dyDescent="0.3">
      <c r="A162" s="137">
        <f t="shared" si="16"/>
        <v>16</v>
      </c>
      <c r="B162" s="168" t="s">
        <v>99</v>
      </c>
      <c r="C162" s="135">
        <v>9000</v>
      </c>
      <c r="D162" s="135">
        <v>1000</v>
      </c>
      <c r="E162" s="135">
        <v>1000</v>
      </c>
      <c r="F162" s="135">
        <v>4000</v>
      </c>
      <c r="G162" s="135">
        <v>25000</v>
      </c>
      <c r="H162" s="135"/>
      <c r="I162" s="135">
        <v>75000</v>
      </c>
      <c r="J162" s="135"/>
      <c r="K162" s="135"/>
      <c r="L162" s="135"/>
      <c r="M162" s="135"/>
      <c r="N162" s="135"/>
      <c r="O162" s="135"/>
      <c r="P162" s="135"/>
      <c r="Q162" s="135"/>
      <c r="R162" s="135"/>
      <c r="S162" s="131">
        <f t="shared" si="14"/>
        <v>115000</v>
      </c>
      <c r="T162" s="131"/>
      <c r="U162" s="131">
        <f t="shared" si="15"/>
        <v>115000</v>
      </c>
    </row>
    <row r="163" spans="1:21" ht="15.75" x14ac:dyDescent="0.3">
      <c r="A163" s="137">
        <f t="shared" si="16"/>
        <v>17</v>
      </c>
      <c r="B163" s="168" t="s">
        <v>100</v>
      </c>
      <c r="C163" s="135">
        <v>19000</v>
      </c>
      <c r="D163" s="135">
        <v>1000</v>
      </c>
      <c r="E163" s="135">
        <v>1000</v>
      </c>
      <c r="F163" s="135">
        <v>4000</v>
      </c>
      <c r="G163" s="135">
        <v>25000</v>
      </c>
      <c r="H163" s="135"/>
      <c r="I163" s="135"/>
      <c r="J163" s="135"/>
      <c r="K163" s="135">
        <v>200000</v>
      </c>
      <c r="L163" s="135">
        <v>202000</v>
      </c>
      <c r="M163" s="135"/>
      <c r="N163" s="135"/>
      <c r="O163" s="135"/>
      <c r="P163" s="135"/>
      <c r="Q163" s="135"/>
      <c r="R163" s="135"/>
      <c r="S163" s="131">
        <f t="shared" si="14"/>
        <v>452000</v>
      </c>
      <c r="T163" s="131"/>
      <c r="U163" s="131">
        <f t="shared" si="15"/>
        <v>452000</v>
      </c>
    </row>
    <row r="164" spans="1:21" ht="15.75" x14ac:dyDescent="0.3">
      <c r="A164" s="137">
        <f t="shared" si="16"/>
        <v>18</v>
      </c>
      <c r="B164" s="168" t="s">
        <v>38</v>
      </c>
      <c r="C164" s="135">
        <v>14000</v>
      </c>
      <c r="D164" s="135">
        <v>1000</v>
      </c>
      <c r="E164" s="135">
        <v>1000</v>
      </c>
      <c r="F164" s="135">
        <v>4000</v>
      </c>
      <c r="G164" s="135">
        <v>25000</v>
      </c>
      <c r="H164" s="135"/>
      <c r="I164" s="135">
        <v>75000</v>
      </c>
      <c r="J164" s="135"/>
      <c r="K164" s="135">
        <v>100000</v>
      </c>
      <c r="L164" s="135"/>
      <c r="M164" s="135"/>
      <c r="N164" s="135"/>
      <c r="O164" s="135"/>
      <c r="P164" s="135"/>
      <c r="Q164" s="135"/>
      <c r="R164" s="135"/>
      <c r="S164" s="131">
        <f t="shared" si="14"/>
        <v>220000</v>
      </c>
      <c r="T164" s="131"/>
      <c r="U164" s="131">
        <f t="shared" si="15"/>
        <v>220000</v>
      </c>
    </row>
    <row r="165" spans="1:21" ht="15.75" x14ac:dyDescent="0.3">
      <c r="A165" s="137">
        <f t="shared" si="16"/>
        <v>19</v>
      </c>
      <c r="B165" s="168" t="s">
        <v>101</v>
      </c>
      <c r="C165" s="165">
        <v>0</v>
      </c>
      <c r="D165" s="165">
        <v>0</v>
      </c>
      <c r="E165" s="135">
        <v>1000</v>
      </c>
      <c r="F165" s="135">
        <v>4000</v>
      </c>
      <c r="G165" s="135">
        <v>25000</v>
      </c>
      <c r="H165" s="135"/>
      <c r="I165" s="135">
        <v>150000</v>
      </c>
      <c r="J165" s="135"/>
      <c r="K165" s="135">
        <v>100000</v>
      </c>
      <c r="L165" s="135"/>
      <c r="M165" s="135"/>
      <c r="N165" s="135"/>
      <c r="O165" s="135"/>
      <c r="P165" s="135"/>
      <c r="Q165" s="135"/>
      <c r="R165" s="135"/>
      <c r="S165" s="131">
        <f t="shared" si="14"/>
        <v>280000</v>
      </c>
      <c r="T165" s="131"/>
      <c r="U165" s="131">
        <f t="shared" si="15"/>
        <v>280000</v>
      </c>
    </row>
    <row r="166" spans="1:21" ht="15.75" x14ac:dyDescent="0.3">
      <c r="A166" s="137">
        <f t="shared" si="16"/>
        <v>20</v>
      </c>
      <c r="B166" s="168" t="s">
        <v>102</v>
      </c>
      <c r="C166" s="135">
        <v>9000</v>
      </c>
      <c r="D166" s="135">
        <v>1000</v>
      </c>
      <c r="E166" s="135">
        <v>1000</v>
      </c>
      <c r="F166" s="135">
        <v>4000</v>
      </c>
      <c r="G166" s="135">
        <v>25000</v>
      </c>
      <c r="H166" s="135"/>
      <c r="I166" s="135"/>
      <c r="J166" s="135"/>
      <c r="K166" s="135"/>
      <c r="L166" s="135"/>
      <c r="M166" s="135"/>
      <c r="N166" s="135"/>
      <c r="O166" s="135">
        <v>3000</v>
      </c>
      <c r="P166" s="135"/>
      <c r="Q166" s="135"/>
      <c r="R166" s="135"/>
      <c r="S166" s="131">
        <f t="shared" si="14"/>
        <v>43000</v>
      </c>
      <c r="T166" s="131">
        <v>43000</v>
      </c>
      <c r="U166" s="131">
        <f t="shared" si="15"/>
        <v>0</v>
      </c>
    </row>
    <row r="167" spans="1:21" ht="15.75" x14ac:dyDescent="0.3">
      <c r="A167" s="137">
        <f t="shared" si="16"/>
        <v>21</v>
      </c>
      <c r="B167" s="138" t="s">
        <v>109</v>
      </c>
      <c r="C167" s="135"/>
      <c r="D167" s="135"/>
      <c r="E167" s="135"/>
      <c r="F167" s="135"/>
      <c r="G167" s="135"/>
      <c r="H167" s="135"/>
      <c r="I167" s="135"/>
      <c r="J167" s="135"/>
      <c r="K167" s="135"/>
      <c r="L167" s="135"/>
      <c r="M167" s="135"/>
      <c r="N167" s="135"/>
      <c r="O167" s="135"/>
      <c r="P167" s="135"/>
      <c r="Q167" s="135"/>
      <c r="R167" s="135"/>
      <c r="S167" s="131">
        <f t="shared" si="14"/>
        <v>0</v>
      </c>
      <c r="T167" s="131"/>
      <c r="U167" s="131">
        <f t="shared" si="15"/>
        <v>0</v>
      </c>
    </row>
    <row r="168" spans="1:21" ht="15.75" x14ac:dyDescent="0.3">
      <c r="A168" s="137">
        <f t="shared" si="16"/>
        <v>22</v>
      </c>
      <c r="B168" s="168" t="s">
        <v>166</v>
      </c>
      <c r="C168" s="135">
        <v>19000</v>
      </c>
      <c r="D168" s="135">
        <v>1000</v>
      </c>
      <c r="E168" s="135">
        <v>1000</v>
      </c>
      <c r="F168" s="135">
        <v>4000</v>
      </c>
      <c r="G168" s="135">
        <v>25000</v>
      </c>
      <c r="H168" s="135"/>
      <c r="I168" s="135"/>
      <c r="J168" s="135"/>
      <c r="K168" s="135"/>
      <c r="L168" s="135"/>
      <c r="M168" s="135"/>
      <c r="N168" s="135"/>
      <c r="O168" s="135"/>
      <c r="P168" s="135"/>
      <c r="Q168" s="135"/>
      <c r="R168" s="135"/>
      <c r="S168" s="131">
        <f t="shared" si="14"/>
        <v>50000</v>
      </c>
      <c r="T168" s="131"/>
      <c r="U168" s="131">
        <f t="shared" si="15"/>
        <v>50000</v>
      </c>
    </row>
    <row r="169" spans="1:21" ht="15.75" x14ac:dyDescent="0.3">
      <c r="A169" s="137">
        <f t="shared" si="16"/>
        <v>23</v>
      </c>
      <c r="B169" s="168" t="s">
        <v>41</v>
      </c>
      <c r="C169" s="135">
        <v>9000</v>
      </c>
      <c r="D169" s="135">
        <v>1000</v>
      </c>
      <c r="E169" s="135">
        <v>1000</v>
      </c>
      <c r="F169" s="135">
        <v>4000</v>
      </c>
      <c r="G169" s="135">
        <v>25000</v>
      </c>
      <c r="H169" s="135"/>
      <c r="I169" s="135">
        <v>75000</v>
      </c>
      <c r="J169" s="135"/>
      <c r="K169" s="135"/>
      <c r="L169" s="135"/>
      <c r="M169" s="135"/>
      <c r="N169" s="135"/>
      <c r="O169" s="135"/>
      <c r="P169" s="135"/>
      <c r="Q169" s="135"/>
      <c r="R169" s="135"/>
      <c r="S169" s="131">
        <f t="shared" si="14"/>
        <v>115000</v>
      </c>
      <c r="T169" s="131"/>
      <c r="U169" s="131">
        <f t="shared" si="15"/>
        <v>115000</v>
      </c>
    </row>
    <row r="170" spans="1:21" ht="15.75" x14ac:dyDescent="0.3">
      <c r="A170" s="137">
        <f t="shared" si="16"/>
        <v>24</v>
      </c>
      <c r="B170" s="168" t="s">
        <v>165</v>
      </c>
      <c r="C170" s="135">
        <v>9000</v>
      </c>
      <c r="D170" s="135">
        <v>1000</v>
      </c>
      <c r="E170" s="135">
        <v>1000</v>
      </c>
      <c r="F170" s="135">
        <v>4000</v>
      </c>
      <c r="G170" s="135">
        <v>25000</v>
      </c>
      <c r="H170" s="135"/>
      <c r="I170" s="135"/>
      <c r="J170" s="135"/>
      <c r="K170" s="135"/>
      <c r="L170" s="135"/>
      <c r="M170" s="135"/>
      <c r="N170" s="135"/>
      <c r="O170" s="135"/>
      <c r="P170" s="135"/>
      <c r="Q170" s="135"/>
      <c r="R170" s="135">
        <v>120000</v>
      </c>
      <c r="S170" s="131">
        <f t="shared" si="14"/>
        <v>160000</v>
      </c>
      <c r="T170" s="131"/>
      <c r="U170" s="131">
        <f t="shared" si="15"/>
        <v>160000</v>
      </c>
    </row>
    <row r="171" spans="1:21" ht="15.75" x14ac:dyDescent="0.3">
      <c r="A171" s="137">
        <f t="shared" si="16"/>
        <v>25</v>
      </c>
      <c r="B171" s="168" t="s">
        <v>46</v>
      </c>
      <c r="C171" s="135">
        <v>9000</v>
      </c>
      <c r="D171" s="135">
        <v>1000</v>
      </c>
      <c r="E171" s="135">
        <v>1000</v>
      </c>
      <c r="F171" s="135">
        <v>4000</v>
      </c>
      <c r="G171" s="135">
        <v>25000</v>
      </c>
      <c r="H171" s="135"/>
      <c r="I171" s="135">
        <v>75000</v>
      </c>
      <c r="J171" s="135"/>
      <c r="K171" s="135"/>
      <c r="L171" s="135"/>
      <c r="M171" s="135"/>
      <c r="N171" s="135"/>
      <c r="O171" s="135"/>
      <c r="P171" s="135"/>
      <c r="Q171" s="135"/>
      <c r="R171" s="135"/>
      <c r="S171" s="131">
        <f t="shared" si="14"/>
        <v>115000</v>
      </c>
      <c r="T171" s="131"/>
      <c r="U171" s="131">
        <f t="shared" si="15"/>
        <v>115000</v>
      </c>
    </row>
    <row r="172" spans="1:21" ht="15.75" x14ac:dyDescent="0.3">
      <c r="A172" s="137">
        <f t="shared" si="16"/>
        <v>26</v>
      </c>
      <c r="B172" s="138" t="s">
        <v>104</v>
      </c>
      <c r="C172" s="135"/>
      <c r="D172" s="135"/>
      <c r="E172" s="135"/>
      <c r="F172" s="135"/>
      <c r="G172" s="135"/>
      <c r="H172" s="135"/>
      <c r="I172" s="135"/>
      <c r="J172" s="135"/>
      <c r="K172" s="135"/>
      <c r="L172" s="135"/>
      <c r="M172" s="135"/>
      <c r="N172" s="135"/>
      <c r="O172" s="135"/>
      <c r="P172" s="135"/>
      <c r="Q172" s="135"/>
      <c r="R172" s="135"/>
      <c r="S172" s="131">
        <f t="shared" si="14"/>
        <v>0</v>
      </c>
      <c r="T172" s="131"/>
      <c r="U172" s="131">
        <f t="shared" si="15"/>
        <v>0</v>
      </c>
    </row>
    <row r="173" spans="1:21" ht="15.75" x14ac:dyDescent="0.3">
      <c r="A173" s="137">
        <f t="shared" si="16"/>
        <v>27</v>
      </c>
      <c r="B173" s="168" t="s">
        <v>40</v>
      </c>
      <c r="C173" s="135">
        <v>9000</v>
      </c>
      <c r="D173" s="135">
        <v>1000</v>
      </c>
      <c r="E173" s="135">
        <v>1000</v>
      </c>
      <c r="F173" s="135">
        <v>4000</v>
      </c>
      <c r="G173" s="135">
        <v>25000</v>
      </c>
      <c r="H173" s="135"/>
      <c r="I173" s="135"/>
      <c r="J173" s="135"/>
      <c r="K173" s="135">
        <v>100000</v>
      </c>
      <c r="L173" s="135"/>
      <c r="M173" s="135"/>
      <c r="N173" s="135"/>
      <c r="O173" s="135"/>
      <c r="P173" s="135"/>
      <c r="Q173" s="135"/>
      <c r="R173" s="135"/>
      <c r="S173" s="131">
        <f t="shared" si="14"/>
        <v>140000</v>
      </c>
      <c r="T173" s="131"/>
      <c r="U173" s="131">
        <f t="shared" si="15"/>
        <v>140000</v>
      </c>
    </row>
    <row r="174" spans="1:21" ht="15.75" x14ac:dyDescent="0.3">
      <c r="A174" s="137">
        <f t="shared" si="16"/>
        <v>28</v>
      </c>
      <c r="B174" s="168" t="s">
        <v>105</v>
      </c>
      <c r="C174" s="135">
        <v>9000</v>
      </c>
      <c r="D174" s="135">
        <v>1000</v>
      </c>
      <c r="E174" s="135">
        <v>1000</v>
      </c>
      <c r="F174" s="135">
        <v>4000</v>
      </c>
      <c r="G174" s="135">
        <v>25000</v>
      </c>
      <c r="H174" s="135"/>
      <c r="I174" s="135">
        <v>75000</v>
      </c>
      <c r="J174" s="135"/>
      <c r="K174" s="135"/>
      <c r="L174" s="135"/>
      <c r="M174" s="135"/>
      <c r="N174" s="135"/>
      <c r="O174" s="135"/>
      <c r="P174" s="135">
        <v>42000</v>
      </c>
      <c r="Q174" s="135"/>
      <c r="R174" s="135"/>
      <c r="S174" s="131">
        <f t="shared" si="14"/>
        <v>157000</v>
      </c>
      <c r="T174" s="131"/>
      <c r="U174" s="131">
        <f t="shared" si="15"/>
        <v>157000</v>
      </c>
    </row>
    <row r="175" spans="1:21" ht="15.75" x14ac:dyDescent="0.3">
      <c r="A175" s="137">
        <f t="shared" si="16"/>
        <v>29</v>
      </c>
      <c r="B175" s="168" t="s">
        <v>187</v>
      </c>
      <c r="C175" s="135">
        <v>9000</v>
      </c>
      <c r="D175" s="135">
        <v>1000</v>
      </c>
      <c r="E175" s="135">
        <v>1000</v>
      </c>
      <c r="F175" s="135">
        <v>4000</v>
      </c>
      <c r="G175" s="135">
        <v>25000</v>
      </c>
      <c r="H175" s="135"/>
      <c r="I175" s="135"/>
      <c r="J175" s="135"/>
      <c r="K175" s="135"/>
      <c r="L175" s="135"/>
      <c r="M175" s="135"/>
      <c r="N175" s="135"/>
      <c r="O175" s="135">
        <v>3000</v>
      </c>
      <c r="P175" s="135"/>
      <c r="Q175" s="135"/>
      <c r="R175" s="135"/>
      <c r="S175" s="131">
        <f t="shared" si="14"/>
        <v>43000</v>
      </c>
      <c r="T175" s="131">
        <v>43000</v>
      </c>
      <c r="U175" s="131">
        <f t="shared" si="15"/>
        <v>0</v>
      </c>
    </row>
    <row r="176" spans="1:21" ht="15.75" x14ac:dyDescent="0.3">
      <c r="A176" s="137">
        <f t="shared" si="16"/>
        <v>30</v>
      </c>
      <c r="B176" s="138" t="s">
        <v>110</v>
      </c>
      <c r="C176" s="135"/>
      <c r="D176" s="135"/>
      <c r="E176" s="135"/>
      <c r="F176" s="135"/>
      <c r="G176" s="135"/>
      <c r="H176" s="135"/>
      <c r="I176" s="135"/>
      <c r="J176" s="135"/>
      <c r="K176" s="135"/>
      <c r="L176" s="135"/>
      <c r="M176" s="135"/>
      <c r="N176" s="135"/>
      <c r="O176" s="135"/>
      <c r="P176" s="135"/>
      <c r="Q176" s="135"/>
      <c r="R176" s="135"/>
      <c r="S176" s="131">
        <f t="shared" si="14"/>
        <v>0</v>
      </c>
      <c r="T176" s="131"/>
      <c r="U176" s="131">
        <f t="shared" si="15"/>
        <v>0</v>
      </c>
    </row>
    <row r="177" spans="1:22" ht="15.75" x14ac:dyDescent="0.3">
      <c r="A177" s="137">
        <f t="shared" si="16"/>
        <v>31</v>
      </c>
      <c r="B177" s="170" t="s">
        <v>106</v>
      </c>
      <c r="C177" s="169"/>
      <c r="D177" s="169"/>
      <c r="E177" s="169"/>
      <c r="F177" s="169"/>
      <c r="G177" s="169"/>
      <c r="H177" s="135"/>
      <c r="I177" s="135"/>
      <c r="J177" s="135"/>
      <c r="K177" s="135"/>
      <c r="L177" s="135"/>
      <c r="M177" s="135"/>
      <c r="N177" s="135"/>
      <c r="O177" s="135"/>
      <c r="P177" s="135"/>
      <c r="Q177" s="135"/>
      <c r="R177" s="135"/>
      <c r="S177" s="131">
        <f t="shared" si="14"/>
        <v>0</v>
      </c>
      <c r="T177" s="131"/>
      <c r="U177" s="131">
        <f t="shared" si="15"/>
        <v>0</v>
      </c>
    </row>
    <row r="178" spans="1:22" ht="15.75" x14ac:dyDescent="0.3">
      <c r="A178" s="137">
        <f t="shared" si="16"/>
        <v>32</v>
      </c>
      <c r="B178" s="168" t="s">
        <v>107</v>
      </c>
      <c r="C178" s="135">
        <v>9000</v>
      </c>
      <c r="D178" s="135">
        <v>1000</v>
      </c>
      <c r="E178" s="135">
        <v>1000</v>
      </c>
      <c r="F178" s="135">
        <v>4000</v>
      </c>
      <c r="G178" s="135">
        <v>25000</v>
      </c>
      <c r="H178" s="135"/>
      <c r="I178" s="135">
        <v>150000</v>
      </c>
      <c r="J178" s="135"/>
      <c r="K178" s="135">
        <v>100000</v>
      </c>
      <c r="L178" s="135"/>
      <c r="M178" s="135"/>
      <c r="N178" s="135"/>
      <c r="O178" s="135"/>
      <c r="P178" s="135">
        <v>60000</v>
      </c>
      <c r="Q178" s="135"/>
      <c r="R178" s="135"/>
      <c r="S178" s="131">
        <f t="shared" si="14"/>
        <v>350000</v>
      </c>
      <c r="T178" s="131"/>
      <c r="U178" s="131">
        <f t="shared" si="15"/>
        <v>350000</v>
      </c>
    </row>
    <row r="179" spans="1:22" ht="15.75" x14ac:dyDescent="0.3">
      <c r="A179" s="137">
        <f t="shared" si="16"/>
        <v>33</v>
      </c>
      <c r="B179" s="168" t="s">
        <v>111</v>
      </c>
      <c r="C179" s="163">
        <v>9000</v>
      </c>
      <c r="D179" s="163">
        <v>1000</v>
      </c>
      <c r="E179" s="163">
        <v>1000</v>
      </c>
      <c r="F179" s="163">
        <v>4000</v>
      </c>
      <c r="G179" s="163">
        <v>25000</v>
      </c>
      <c r="H179" s="135"/>
      <c r="I179" s="135"/>
      <c r="J179" s="135"/>
      <c r="K179" s="135"/>
      <c r="L179" s="135"/>
      <c r="M179" s="135"/>
      <c r="N179" s="135"/>
      <c r="O179" s="135"/>
      <c r="P179" s="135"/>
      <c r="Q179" s="135"/>
      <c r="R179" s="135"/>
      <c r="S179" s="131">
        <f t="shared" si="14"/>
        <v>40000</v>
      </c>
      <c r="T179" s="131"/>
      <c r="U179" s="131">
        <f t="shared" si="15"/>
        <v>40000</v>
      </c>
    </row>
    <row r="180" spans="1:22" ht="15.75" x14ac:dyDescent="0.3">
      <c r="A180" s="137">
        <f t="shared" si="16"/>
        <v>34</v>
      </c>
      <c r="B180" s="168" t="s">
        <v>224</v>
      </c>
      <c r="C180" s="163">
        <v>66000</v>
      </c>
      <c r="D180" s="163">
        <v>1000</v>
      </c>
      <c r="E180" s="163">
        <v>1000</v>
      </c>
      <c r="F180" s="163">
        <v>4000</v>
      </c>
      <c r="G180" s="163">
        <v>25000</v>
      </c>
      <c r="H180" s="135"/>
      <c r="I180" s="135"/>
      <c r="J180" s="135"/>
      <c r="K180" s="135"/>
      <c r="L180" s="135"/>
      <c r="M180" s="135"/>
      <c r="N180" s="135"/>
      <c r="O180" s="135">
        <v>3000</v>
      </c>
      <c r="P180" s="135"/>
      <c r="Q180" s="135"/>
      <c r="R180" s="135"/>
      <c r="S180" s="131">
        <f t="shared" si="14"/>
        <v>100000</v>
      </c>
      <c r="T180" s="131">
        <v>100000</v>
      </c>
      <c r="U180" s="131">
        <f t="shared" si="15"/>
        <v>0</v>
      </c>
    </row>
    <row r="181" spans="1:22" ht="15.75" x14ac:dyDescent="0.3">
      <c r="A181" s="137">
        <f t="shared" si="16"/>
        <v>35</v>
      </c>
      <c r="B181" s="138"/>
      <c r="C181" s="135"/>
      <c r="D181" s="135"/>
      <c r="E181" s="135"/>
      <c r="F181" s="135"/>
      <c r="G181" s="135"/>
      <c r="H181" s="135"/>
      <c r="I181" s="135"/>
      <c r="J181" s="135"/>
      <c r="K181" s="135"/>
      <c r="L181" s="135"/>
      <c r="M181" s="135"/>
      <c r="N181" s="135"/>
      <c r="O181" s="135"/>
      <c r="P181" s="135"/>
      <c r="Q181" s="135"/>
      <c r="R181" s="135"/>
      <c r="S181" s="131">
        <f t="shared" si="14"/>
        <v>0</v>
      </c>
      <c r="T181" s="131"/>
      <c r="U181" s="131">
        <f t="shared" si="15"/>
        <v>0</v>
      </c>
    </row>
    <row r="182" spans="1:22" ht="15.75" x14ac:dyDescent="0.3">
      <c r="A182" s="137">
        <f t="shared" si="16"/>
        <v>36</v>
      </c>
      <c r="B182" s="138"/>
      <c r="C182" s="135"/>
      <c r="D182" s="135"/>
      <c r="E182" s="135"/>
      <c r="F182" s="135"/>
      <c r="G182" s="135"/>
      <c r="H182" s="135"/>
      <c r="I182" s="135"/>
      <c r="J182" s="135"/>
      <c r="K182" s="135"/>
      <c r="L182" s="135"/>
      <c r="M182" s="135"/>
      <c r="N182" s="135"/>
      <c r="O182" s="135"/>
      <c r="P182" s="135"/>
      <c r="Q182" s="135"/>
      <c r="R182" s="135"/>
      <c r="S182" s="131">
        <f t="shared" si="14"/>
        <v>0</v>
      </c>
      <c r="T182" s="131"/>
      <c r="U182" s="131">
        <f t="shared" si="15"/>
        <v>0</v>
      </c>
    </row>
    <row r="183" spans="1:22" ht="15.75" x14ac:dyDescent="0.3">
      <c r="A183" s="137">
        <f t="shared" si="16"/>
        <v>37</v>
      </c>
      <c r="B183" s="139"/>
      <c r="C183" s="135"/>
      <c r="D183" s="135"/>
      <c r="E183" s="135"/>
      <c r="F183" s="135"/>
      <c r="G183" s="135"/>
      <c r="H183" s="135"/>
      <c r="I183" s="135"/>
      <c r="J183" s="135"/>
      <c r="K183" s="135"/>
      <c r="L183" s="135"/>
      <c r="M183" s="135"/>
      <c r="N183" s="135"/>
      <c r="O183" s="135"/>
      <c r="P183" s="135"/>
      <c r="Q183" s="135"/>
      <c r="R183" s="135"/>
      <c r="S183" s="131">
        <f t="shared" si="14"/>
        <v>0</v>
      </c>
      <c r="T183" s="131"/>
      <c r="U183" s="131">
        <f t="shared" si="15"/>
        <v>0</v>
      </c>
    </row>
    <row r="184" spans="1:22" ht="15.75" x14ac:dyDescent="0.3">
      <c r="A184" s="137">
        <f t="shared" si="16"/>
        <v>38</v>
      </c>
      <c r="B184" s="139"/>
      <c r="C184" s="135"/>
      <c r="D184" s="135"/>
      <c r="E184" s="135"/>
      <c r="F184" s="135"/>
      <c r="G184" s="135"/>
      <c r="H184" s="135"/>
      <c r="I184" s="135"/>
      <c r="J184" s="135"/>
      <c r="K184" s="135"/>
      <c r="L184" s="135"/>
      <c r="M184" s="135"/>
      <c r="N184" s="135"/>
      <c r="O184" s="135"/>
      <c r="P184" s="135"/>
      <c r="Q184" s="135"/>
      <c r="R184" s="135"/>
      <c r="S184" s="131">
        <f t="shared" si="14"/>
        <v>0</v>
      </c>
      <c r="T184" s="131"/>
      <c r="U184" s="131">
        <f t="shared" si="15"/>
        <v>0</v>
      </c>
    </row>
    <row r="185" spans="1:22" ht="15.75" x14ac:dyDescent="0.3">
      <c r="A185" s="137">
        <f t="shared" si="16"/>
        <v>39</v>
      </c>
      <c r="B185" s="139"/>
      <c r="C185" s="135"/>
      <c r="D185" s="135"/>
      <c r="E185" s="135"/>
      <c r="F185" s="135"/>
      <c r="G185" s="135"/>
      <c r="H185" s="135"/>
      <c r="I185" s="135"/>
      <c r="J185" s="135"/>
      <c r="K185" s="135"/>
      <c r="L185" s="135"/>
      <c r="M185" s="135"/>
      <c r="N185" s="135"/>
      <c r="O185" s="135"/>
      <c r="P185" s="135"/>
      <c r="Q185" s="135"/>
      <c r="R185" s="135"/>
      <c r="S185" s="131">
        <f t="shared" si="14"/>
        <v>0</v>
      </c>
      <c r="T185" s="131"/>
      <c r="U185" s="131">
        <f t="shared" si="15"/>
        <v>0</v>
      </c>
    </row>
    <row r="186" spans="1:22" ht="15.75" x14ac:dyDescent="0.3">
      <c r="A186" s="137">
        <f t="shared" si="16"/>
        <v>40</v>
      </c>
      <c r="B186" s="139"/>
      <c r="C186" s="135"/>
      <c r="D186" s="135"/>
      <c r="E186" s="135"/>
      <c r="F186" s="135"/>
      <c r="G186" s="135"/>
      <c r="H186" s="135"/>
      <c r="I186" s="135"/>
      <c r="J186" s="135"/>
      <c r="K186" s="135"/>
      <c r="L186" s="135"/>
      <c r="M186" s="135"/>
      <c r="N186" s="135"/>
      <c r="O186" s="135"/>
      <c r="P186" s="135"/>
      <c r="Q186" s="135"/>
      <c r="R186" s="135"/>
      <c r="S186" s="131">
        <f t="shared" si="14"/>
        <v>0</v>
      </c>
      <c r="T186" s="131"/>
      <c r="U186" s="131">
        <f t="shared" si="15"/>
        <v>0</v>
      </c>
    </row>
    <row r="187" spans="1:22" ht="15.75" x14ac:dyDescent="0.3">
      <c r="A187" s="137">
        <f t="shared" si="16"/>
        <v>41</v>
      </c>
      <c r="B187" s="139"/>
      <c r="C187" s="135"/>
      <c r="D187" s="135"/>
      <c r="E187" s="135"/>
      <c r="F187" s="135"/>
      <c r="G187" s="135"/>
      <c r="H187" s="135"/>
      <c r="I187" s="135"/>
      <c r="J187" s="135"/>
      <c r="K187" s="135"/>
      <c r="L187" s="135"/>
      <c r="M187" s="135"/>
      <c r="N187" s="135"/>
      <c r="O187" s="135"/>
      <c r="P187" s="135"/>
      <c r="Q187" s="135"/>
      <c r="R187" s="135"/>
      <c r="S187" s="131">
        <f t="shared" si="14"/>
        <v>0</v>
      </c>
      <c r="T187" s="131"/>
      <c r="U187" s="131">
        <f t="shared" si="15"/>
        <v>0</v>
      </c>
    </row>
    <row r="188" spans="1:22" x14ac:dyDescent="0.25">
      <c r="A188" s="130"/>
      <c r="B188" s="130"/>
      <c r="C188" s="132">
        <f>SUM(C146:C187)</f>
        <v>386000</v>
      </c>
      <c r="D188" s="132">
        <f t="shared" ref="D188:H188" si="17">SUM(D146:D187)</f>
        <v>28000</v>
      </c>
      <c r="E188" s="132">
        <f t="shared" si="17"/>
        <v>29000</v>
      </c>
      <c r="F188" s="132">
        <f t="shared" si="17"/>
        <v>116000</v>
      </c>
      <c r="G188" s="132">
        <f t="shared" si="17"/>
        <v>725000</v>
      </c>
      <c r="H188" s="132">
        <f t="shared" si="17"/>
        <v>0</v>
      </c>
      <c r="I188" s="132">
        <f>SUM(I147:I187)</f>
        <v>1200000</v>
      </c>
      <c r="J188" s="132">
        <f t="shared" ref="J188:U188" si="18">SUM(J146:J187)</f>
        <v>0</v>
      </c>
      <c r="K188" s="132">
        <f t="shared" si="18"/>
        <v>1400000</v>
      </c>
      <c r="L188" s="132">
        <f t="shared" si="18"/>
        <v>973000</v>
      </c>
      <c r="M188" s="132">
        <f t="shared" si="18"/>
        <v>1000000</v>
      </c>
      <c r="N188" s="132">
        <f t="shared" si="18"/>
        <v>0</v>
      </c>
      <c r="O188" s="132">
        <f t="shared" si="18"/>
        <v>12000</v>
      </c>
      <c r="P188" s="132">
        <f t="shared" si="18"/>
        <v>204000</v>
      </c>
      <c r="Q188" s="132">
        <f t="shared" si="18"/>
        <v>140000</v>
      </c>
      <c r="R188" s="132">
        <f t="shared" si="18"/>
        <v>120000</v>
      </c>
      <c r="S188" s="132">
        <f t="shared" si="18"/>
        <v>6333000</v>
      </c>
      <c r="T188" s="133">
        <f t="shared" si="18"/>
        <v>229000</v>
      </c>
      <c r="U188" s="133">
        <f t="shared" si="18"/>
        <v>6104000</v>
      </c>
    </row>
    <row r="189" spans="1:22" ht="21" x14ac:dyDescent="0.35">
      <c r="A189" s="16"/>
      <c r="B189" s="214" t="s">
        <v>191</v>
      </c>
      <c r="C189" s="214"/>
      <c r="D189" s="214"/>
      <c r="E189" s="214"/>
      <c r="F189" s="214"/>
      <c r="G189" s="214"/>
      <c r="H189" s="214"/>
      <c r="I189" s="214"/>
      <c r="J189" s="134"/>
      <c r="K189" s="134"/>
      <c r="L189" s="134"/>
      <c r="M189" s="134"/>
      <c r="N189" s="134"/>
      <c r="O189" s="134"/>
      <c r="P189" s="134"/>
      <c r="Q189" s="134"/>
      <c r="R189" s="134"/>
      <c r="S189" s="134"/>
      <c r="T189" s="134"/>
      <c r="U189" s="134"/>
    </row>
    <row r="190" spans="1:22" x14ac:dyDescent="0.25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</row>
    <row r="191" spans="1:22" s="128" customFormat="1" x14ac:dyDescent="0.25">
      <c r="A191" s="161"/>
      <c r="B191" s="161"/>
      <c r="C191" s="215" t="s">
        <v>75</v>
      </c>
      <c r="D191" s="215" t="s">
        <v>168</v>
      </c>
      <c r="E191" s="215" t="s">
        <v>169</v>
      </c>
      <c r="F191" s="215" t="s">
        <v>170</v>
      </c>
      <c r="G191" s="217" t="s">
        <v>171</v>
      </c>
      <c r="H191" s="218"/>
      <c r="I191" s="217" t="s">
        <v>200</v>
      </c>
      <c r="J191" s="218"/>
      <c r="K191" s="217" t="s">
        <v>201</v>
      </c>
      <c r="L191" s="218"/>
      <c r="M191" s="215" t="s">
        <v>174</v>
      </c>
      <c r="N191" s="215" t="s">
        <v>175</v>
      </c>
      <c r="O191" s="215" t="s">
        <v>176</v>
      </c>
      <c r="P191" s="215" t="s">
        <v>177</v>
      </c>
      <c r="Q191" s="215" t="s">
        <v>178</v>
      </c>
      <c r="R191" s="215"/>
      <c r="S191" s="217" t="s">
        <v>179</v>
      </c>
      <c r="T191" s="219"/>
      <c r="U191" s="218"/>
      <c r="V191" s="175"/>
    </row>
    <row r="192" spans="1:22" s="128" customFormat="1" x14ac:dyDescent="0.25">
      <c r="A192" s="161"/>
      <c r="B192" s="161"/>
      <c r="C192" s="216"/>
      <c r="D192" s="216"/>
      <c r="E192" s="216"/>
      <c r="F192" s="216"/>
      <c r="G192" s="161" t="s">
        <v>180</v>
      </c>
      <c r="H192" s="161" t="s">
        <v>181</v>
      </c>
      <c r="I192" s="161" t="s">
        <v>180</v>
      </c>
      <c r="J192" s="161" t="s">
        <v>181</v>
      </c>
      <c r="K192" s="161" t="s">
        <v>180</v>
      </c>
      <c r="L192" s="161" t="s">
        <v>181</v>
      </c>
      <c r="M192" s="216"/>
      <c r="N192" s="216"/>
      <c r="O192" s="216"/>
      <c r="P192" s="216"/>
      <c r="Q192" s="216"/>
      <c r="R192" s="216"/>
      <c r="S192" s="161" t="s">
        <v>74</v>
      </c>
      <c r="T192" s="161" t="s">
        <v>182</v>
      </c>
      <c r="U192" s="161" t="s">
        <v>183</v>
      </c>
      <c r="V192" s="175"/>
    </row>
    <row r="193" spans="1:22" ht="15.75" x14ac:dyDescent="0.3">
      <c r="A193" s="161">
        <v>0</v>
      </c>
      <c r="B193" s="162" t="s">
        <v>88</v>
      </c>
      <c r="C193" s="135"/>
      <c r="D193" s="135"/>
      <c r="E193" s="135"/>
      <c r="F193" s="135"/>
      <c r="G193" s="135"/>
      <c r="H193" s="135"/>
      <c r="I193" s="135"/>
      <c r="J193" s="135"/>
      <c r="K193" s="135">
        <v>100000</v>
      </c>
      <c r="L193" s="135"/>
      <c r="M193" s="135"/>
      <c r="N193" s="135"/>
      <c r="O193" s="135"/>
      <c r="P193" s="135"/>
      <c r="Q193" s="135"/>
      <c r="R193" s="135"/>
      <c r="S193" s="135">
        <f>+R193+Q193+P193+O193+N193+M193+L193+K193+J193+I193+H193+G193+F193+E193+D193+C193</f>
        <v>100000</v>
      </c>
      <c r="T193" s="135"/>
      <c r="U193" s="135">
        <f>+S193-T193</f>
        <v>100000</v>
      </c>
      <c r="V193" s="176"/>
    </row>
    <row r="194" spans="1:22" ht="15.75" x14ac:dyDescent="0.3">
      <c r="A194" s="161">
        <f>+A193+1</f>
        <v>1</v>
      </c>
      <c r="B194" s="162" t="s">
        <v>39</v>
      </c>
      <c r="C194" s="135">
        <v>9000</v>
      </c>
      <c r="D194" s="135">
        <v>1000</v>
      </c>
      <c r="E194" s="135">
        <v>1000</v>
      </c>
      <c r="F194" s="135">
        <v>4000</v>
      </c>
      <c r="G194" s="135">
        <v>25000</v>
      </c>
      <c r="H194" s="135"/>
      <c r="I194" s="135">
        <v>75000</v>
      </c>
      <c r="J194" s="135"/>
      <c r="K194" s="135"/>
      <c r="L194" s="135"/>
      <c r="M194" s="135"/>
      <c r="N194" s="135"/>
      <c r="O194" s="135"/>
      <c r="P194" s="135"/>
      <c r="Q194" s="135"/>
      <c r="R194" s="135"/>
      <c r="S194" s="135">
        <f t="shared" ref="S194:S234" si="19">+R194+Q194+P194+O194+N194+M194+L194+K194+J194+I194+H194+G194+F194+E194+D194+C194</f>
        <v>115000</v>
      </c>
      <c r="T194" s="135"/>
      <c r="U194" s="135">
        <f t="shared" ref="U194:U234" si="20">+S194-T194</f>
        <v>115000</v>
      </c>
      <c r="V194" s="176"/>
    </row>
    <row r="195" spans="1:22" ht="15.75" x14ac:dyDescent="0.3">
      <c r="A195" s="161">
        <f t="shared" ref="A195:A234" si="21">+A194+1</f>
        <v>2</v>
      </c>
      <c r="B195" s="162" t="s">
        <v>43</v>
      </c>
      <c r="C195" s="135">
        <v>14000</v>
      </c>
      <c r="D195" s="135">
        <v>1000</v>
      </c>
      <c r="E195" s="135">
        <v>1000</v>
      </c>
      <c r="F195" s="135">
        <v>4000</v>
      </c>
      <c r="G195" s="135">
        <v>25000</v>
      </c>
      <c r="H195" s="135">
        <v>23000</v>
      </c>
      <c r="I195" s="135"/>
      <c r="J195" s="135"/>
      <c r="K195" s="135">
        <v>100000</v>
      </c>
      <c r="L195" s="135"/>
      <c r="M195" s="135"/>
      <c r="N195" s="135"/>
      <c r="O195" s="135"/>
      <c r="P195" s="135"/>
      <c r="Q195" s="135"/>
      <c r="R195" s="135"/>
      <c r="S195" s="135">
        <f t="shared" si="19"/>
        <v>168000</v>
      </c>
      <c r="T195" s="135">
        <v>23000</v>
      </c>
      <c r="U195" s="135">
        <f t="shared" si="20"/>
        <v>145000</v>
      </c>
      <c r="V195" s="176"/>
    </row>
    <row r="196" spans="1:22" ht="15.75" x14ac:dyDescent="0.3">
      <c r="A196" s="161">
        <f t="shared" si="21"/>
        <v>3</v>
      </c>
      <c r="B196" s="162" t="s">
        <v>89</v>
      </c>
      <c r="C196" s="135">
        <v>9000</v>
      </c>
      <c r="D196" s="135">
        <v>1000</v>
      </c>
      <c r="E196" s="135">
        <v>1000</v>
      </c>
      <c r="F196" s="135">
        <v>4000</v>
      </c>
      <c r="G196" s="135">
        <v>25000</v>
      </c>
      <c r="H196" s="135">
        <v>62000</v>
      </c>
      <c r="I196" s="135"/>
      <c r="J196" s="135"/>
      <c r="K196" s="135"/>
      <c r="L196" s="135"/>
      <c r="M196" s="135"/>
      <c r="N196" s="135"/>
      <c r="O196" s="135">
        <v>3000</v>
      </c>
      <c r="P196" s="135"/>
      <c r="Q196" s="135"/>
      <c r="R196" s="135"/>
      <c r="S196" s="135">
        <f t="shared" si="19"/>
        <v>105000</v>
      </c>
      <c r="T196" s="135">
        <v>105000</v>
      </c>
      <c r="U196" s="135">
        <f t="shared" si="20"/>
        <v>0</v>
      </c>
      <c r="V196" s="176"/>
    </row>
    <row r="197" spans="1:22" ht="15.75" x14ac:dyDescent="0.3">
      <c r="A197" s="161">
        <f t="shared" si="21"/>
        <v>4</v>
      </c>
      <c r="B197" s="162" t="s">
        <v>90</v>
      </c>
      <c r="C197" s="135">
        <v>9000</v>
      </c>
      <c r="D197" s="135">
        <v>1000</v>
      </c>
      <c r="E197" s="135">
        <v>1000</v>
      </c>
      <c r="F197" s="135">
        <v>4000</v>
      </c>
      <c r="G197" s="135">
        <v>25000</v>
      </c>
      <c r="H197" s="135"/>
      <c r="I197" s="135">
        <v>75000</v>
      </c>
      <c r="J197" s="135">
        <v>152000</v>
      </c>
      <c r="K197" s="135"/>
      <c r="L197" s="135"/>
      <c r="M197" s="135"/>
      <c r="N197" s="135"/>
      <c r="O197" s="135"/>
      <c r="P197" s="135"/>
      <c r="Q197" s="135"/>
      <c r="R197" s="135"/>
      <c r="S197" s="135">
        <f t="shared" si="19"/>
        <v>267000</v>
      </c>
      <c r="T197" s="135"/>
      <c r="U197" s="135">
        <f t="shared" si="20"/>
        <v>267000</v>
      </c>
      <c r="V197" s="176"/>
    </row>
    <row r="198" spans="1:22" ht="15.75" x14ac:dyDescent="0.3">
      <c r="A198" s="161">
        <f t="shared" si="21"/>
        <v>5</v>
      </c>
      <c r="B198" s="162" t="s">
        <v>91</v>
      </c>
      <c r="C198" s="135">
        <v>114000</v>
      </c>
      <c r="D198" s="135">
        <v>1000</v>
      </c>
      <c r="E198" s="135">
        <v>1000</v>
      </c>
      <c r="F198" s="135">
        <v>4000</v>
      </c>
      <c r="G198" s="135">
        <v>25000</v>
      </c>
      <c r="H198" s="135"/>
      <c r="I198" s="135">
        <v>75000</v>
      </c>
      <c r="J198" s="135"/>
      <c r="K198" s="135">
        <v>200000</v>
      </c>
      <c r="L198" s="135"/>
      <c r="M198" s="135"/>
      <c r="N198" s="135"/>
      <c r="O198" s="135"/>
      <c r="P198" s="135"/>
      <c r="Q198" s="135"/>
      <c r="R198" s="135"/>
      <c r="S198" s="135">
        <f t="shared" si="19"/>
        <v>420000</v>
      </c>
      <c r="T198" s="135"/>
      <c r="U198" s="135">
        <f t="shared" si="20"/>
        <v>420000</v>
      </c>
      <c r="V198" s="176"/>
    </row>
    <row r="199" spans="1:22" ht="15.75" x14ac:dyDescent="0.3">
      <c r="A199" s="161">
        <f t="shared" si="21"/>
        <v>6</v>
      </c>
      <c r="B199" s="162" t="s">
        <v>92</v>
      </c>
      <c r="C199" s="135">
        <v>9000</v>
      </c>
      <c r="D199" s="135">
        <v>1000</v>
      </c>
      <c r="E199" s="135">
        <v>1000</v>
      </c>
      <c r="F199" s="135">
        <v>4000</v>
      </c>
      <c r="G199" s="135">
        <v>25000</v>
      </c>
      <c r="H199" s="135"/>
      <c r="I199" s="135"/>
      <c r="J199" s="135"/>
      <c r="K199" s="135"/>
      <c r="L199" s="135"/>
      <c r="M199" s="135"/>
      <c r="N199" s="135"/>
      <c r="O199" s="135"/>
      <c r="P199" s="135"/>
      <c r="Q199" s="135"/>
      <c r="R199" s="135"/>
      <c r="S199" s="135">
        <f t="shared" si="19"/>
        <v>40000</v>
      </c>
      <c r="T199" s="135"/>
      <c r="U199" s="135">
        <f t="shared" si="20"/>
        <v>40000</v>
      </c>
      <c r="V199" s="176"/>
    </row>
    <row r="200" spans="1:22" ht="15.75" x14ac:dyDescent="0.3">
      <c r="A200" s="161">
        <f t="shared" si="21"/>
        <v>7</v>
      </c>
      <c r="B200" s="162" t="s">
        <v>93</v>
      </c>
      <c r="C200" s="135">
        <v>9000</v>
      </c>
      <c r="D200" s="135">
        <v>1000</v>
      </c>
      <c r="E200" s="135">
        <v>1000</v>
      </c>
      <c r="F200" s="135">
        <v>4000</v>
      </c>
      <c r="G200" s="135">
        <v>25000</v>
      </c>
      <c r="H200" s="135"/>
      <c r="I200" s="135"/>
      <c r="J200" s="135"/>
      <c r="K200" s="135"/>
      <c r="L200" s="135"/>
      <c r="M200" s="135"/>
      <c r="N200" s="135"/>
      <c r="O200" s="135"/>
      <c r="P200" s="135"/>
      <c r="Q200" s="135"/>
      <c r="R200" s="135"/>
      <c r="S200" s="135">
        <f t="shared" si="19"/>
        <v>40000</v>
      </c>
      <c r="T200" s="135"/>
      <c r="U200" s="135">
        <f t="shared" si="20"/>
        <v>40000</v>
      </c>
      <c r="V200" s="176"/>
    </row>
    <row r="201" spans="1:22" ht="15.75" x14ac:dyDescent="0.3">
      <c r="A201" s="161">
        <f t="shared" si="21"/>
        <v>8</v>
      </c>
      <c r="B201" s="162" t="s">
        <v>114</v>
      </c>
      <c r="C201" s="135"/>
      <c r="D201" s="135"/>
      <c r="E201" s="135"/>
      <c r="F201" s="135"/>
      <c r="G201" s="135"/>
      <c r="H201" s="135"/>
      <c r="I201" s="135"/>
      <c r="J201" s="135"/>
      <c r="K201" s="135"/>
      <c r="L201" s="135"/>
      <c r="M201" s="135"/>
      <c r="N201" s="135"/>
      <c r="O201" s="135"/>
      <c r="P201" s="135"/>
      <c r="Q201" s="135"/>
      <c r="R201" s="135"/>
      <c r="S201" s="135">
        <f t="shared" si="19"/>
        <v>0</v>
      </c>
      <c r="T201" s="135"/>
      <c r="U201" s="135">
        <f t="shared" si="20"/>
        <v>0</v>
      </c>
      <c r="V201" s="176"/>
    </row>
    <row r="202" spans="1:22" ht="15.75" x14ac:dyDescent="0.3">
      <c r="A202" s="161">
        <f t="shared" si="21"/>
        <v>9</v>
      </c>
      <c r="B202" s="162" t="s">
        <v>42</v>
      </c>
      <c r="C202" s="135">
        <v>9000</v>
      </c>
      <c r="D202" s="135">
        <v>1000</v>
      </c>
      <c r="E202" s="135">
        <v>1000</v>
      </c>
      <c r="F202" s="135">
        <v>4000</v>
      </c>
      <c r="G202" s="135">
        <v>25000</v>
      </c>
      <c r="H202" s="135"/>
      <c r="I202" s="135">
        <v>75000</v>
      </c>
      <c r="J202" s="135"/>
      <c r="K202" s="135"/>
      <c r="L202" s="135"/>
      <c r="M202" s="135"/>
      <c r="N202" s="135"/>
      <c r="O202" s="135">
        <v>3000</v>
      </c>
      <c r="P202" s="135"/>
      <c r="Q202" s="135"/>
      <c r="R202" s="135"/>
      <c r="S202" s="135">
        <f t="shared" si="19"/>
        <v>118000</v>
      </c>
      <c r="T202" s="135">
        <v>118000</v>
      </c>
      <c r="U202" s="135">
        <f t="shared" si="20"/>
        <v>0</v>
      </c>
      <c r="V202" s="176"/>
    </row>
    <row r="203" spans="1:22" ht="15.75" x14ac:dyDescent="0.3">
      <c r="A203" s="161">
        <f t="shared" si="21"/>
        <v>10</v>
      </c>
      <c r="B203" s="162" t="s">
        <v>37</v>
      </c>
      <c r="C203" s="135">
        <v>24000</v>
      </c>
      <c r="D203" s="135">
        <v>1000</v>
      </c>
      <c r="E203" s="135">
        <v>1000</v>
      </c>
      <c r="F203" s="135">
        <v>4000</v>
      </c>
      <c r="G203" s="135">
        <v>25000</v>
      </c>
      <c r="H203" s="135"/>
      <c r="I203" s="135">
        <v>75000</v>
      </c>
      <c r="J203" s="135"/>
      <c r="K203" s="135">
        <v>100000</v>
      </c>
      <c r="L203" s="135"/>
      <c r="M203" s="135"/>
      <c r="N203" s="135"/>
      <c r="O203" s="135"/>
      <c r="P203" s="135"/>
      <c r="Q203" s="135"/>
      <c r="R203" s="135"/>
      <c r="S203" s="135">
        <f t="shared" si="19"/>
        <v>230000</v>
      </c>
      <c r="T203" s="135"/>
      <c r="U203" s="135">
        <f t="shared" si="20"/>
        <v>230000</v>
      </c>
      <c r="V203" s="176"/>
    </row>
    <row r="204" spans="1:22" ht="15.75" x14ac:dyDescent="0.3">
      <c r="A204" s="161">
        <f t="shared" si="21"/>
        <v>11</v>
      </c>
      <c r="B204" s="162" t="s">
        <v>94</v>
      </c>
      <c r="C204" s="135">
        <v>9000</v>
      </c>
      <c r="D204" s="135">
        <v>1000</v>
      </c>
      <c r="E204" s="135">
        <v>1000</v>
      </c>
      <c r="F204" s="135">
        <v>4000</v>
      </c>
      <c r="G204" s="135">
        <v>25000</v>
      </c>
      <c r="H204" s="135"/>
      <c r="I204" s="135"/>
      <c r="J204" s="135"/>
      <c r="K204" s="135">
        <v>100000</v>
      </c>
      <c r="L204" s="135"/>
      <c r="M204" s="135"/>
      <c r="N204" s="135"/>
      <c r="O204" s="135"/>
      <c r="P204" s="135"/>
      <c r="Q204" s="135"/>
      <c r="R204" s="135"/>
      <c r="S204" s="135">
        <f t="shared" si="19"/>
        <v>140000</v>
      </c>
      <c r="T204" s="135"/>
      <c r="U204" s="135">
        <f t="shared" si="20"/>
        <v>140000</v>
      </c>
      <c r="V204" s="176"/>
    </row>
    <row r="205" spans="1:22" ht="15.75" x14ac:dyDescent="0.3">
      <c r="A205" s="161">
        <f t="shared" si="21"/>
        <v>12</v>
      </c>
      <c r="B205" s="162" t="s">
        <v>95</v>
      </c>
      <c r="C205" s="135">
        <v>8000</v>
      </c>
      <c r="D205" s="135">
        <v>1000</v>
      </c>
      <c r="E205" s="135">
        <v>1000</v>
      </c>
      <c r="F205" s="135">
        <v>4000</v>
      </c>
      <c r="G205" s="135">
        <v>25000</v>
      </c>
      <c r="H205" s="135"/>
      <c r="I205" s="135">
        <v>75000</v>
      </c>
      <c r="J205" s="135">
        <v>101000</v>
      </c>
      <c r="K205" s="135">
        <v>100000</v>
      </c>
      <c r="L205" s="135"/>
      <c r="M205" s="135"/>
      <c r="N205" s="135"/>
      <c r="O205" s="135"/>
      <c r="P205" s="135"/>
      <c r="Q205" s="135"/>
      <c r="R205" s="135"/>
      <c r="S205" s="135">
        <f t="shared" si="19"/>
        <v>315000</v>
      </c>
      <c r="T205" s="135"/>
      <c r="U205" s="135">
        <f t="shared" si="20"/>
        <v>315000</v>
      </c>
      <c r="V205" s="176"/>
    </row>
    <row r="206" spans="1:22" ht="15.75" x14ac:dyDescent="0.3">
      <c r="A206" s="161">
        <f t="shared" si="21"/>
        <v>13</v>
      </c>
      <c r="B206" s="162" t="s">
        <v>96</v>
      </c>
      <c r="C206" s="135">
        <v>9000</v>
      </c>
      <c r="D206" s="135">
        <v>1000</v>
      </c>
      <c r="E206" s="135">
        <v>1000</v>
      </c>
      <c r="F206" s="135">
        <v>4000</v>
      </c>
      <c r="G206" s="135">
        <v>25000</v>
      </c>
      <c r="H206" s="135"/>
      <c r="I206" s="135"/>
      <c r="J206" s="135"/>
      <c r="K206" s="135"/>
      <c r="L206" s="135"/>
      <c r="M206" s="135"/>
      <c r="N206" s="135"/>
      <c r="O206" s="135"/>
      <c r="P206" s="135"/>
      <c r="Q206" s="135"/>
      <c r="R206" s="135"/>
      <c r="S206" s="135">
        <f t="shared" si="19"/>
        <v>40000</v>
      </c>
      <c r="T206" s="135"/>
      <c r="U206" s="135">
        <f t="shared" si="20"/>
        <v>40000</v>
      </c>
      <c r="V206" s="176"/>
    </row>
    <row r="207" spans="1:22" ht="15.75" x14ac:dyDescent="0.3">
      <c r="A207" s="161">
        <f t="shared" si="21"/>
        <v>14</v>
      </c>
      <c r="B207" s="162" t="s">
        <v>97</v>
      </c>
      <c r="C207" s="135">
        <v>9000</v>
      </c>
      <c r="D207" s="135">
        <v>1000</v>
      </c>
      <c r="E207" s="135">
        <v>1000</v>
      </c>
      <c r="F207" s="135">
        <v>4000</v>
      </c>
      <c r="G207" s="135">
        <v>25000</v>
      </c>
      <c r="H207" s="135"/>
      <c r="I207" s="135">
        <v>75000</v>
      </c>
      <c r="J207" s="135"/>
      <c r="K207" s="135">
        <v>100000</v>
      </c>
      <c r="L207" s="135"/>
      <c r="M207" s="135"/>
      <c r="N207" s="135"/>
      <c r="O207" s="135"/>
      <c r="P207" s="135"/>
      <c r="Q207" s="135"/>
      <c r="R207" s="135"/>
      <c r="S207" s="135">
        <f t="shared" si="19"/>
        <v>215000</v>
      </c>
      <c r="T207" s="135"/>
      <c r="U207" s="135">
        <f t="shared" si="20"/>
        <v>215000</v>
      </c>
      <c r="V207" s="176"/>
    </row>
    <row r="208" spans="1:22" ht="15.75" x14ac:dyDescent="0.3">
      <c r="A208" s="161">
        <f t="shared" si="21"/>
        <v>15</v>
      </c>
      <c r="B208" s="162" t="s">
        <v>98</v>
      </c>
      <c r="C208" s="135">
        <v>9000</v>
      </c>
      <c r="D208" s="135">
        <v>1000</v>
      </c>
      <c r="E208" s="135">
        <v>1000</v>
      </c>
      <c r="F208" s="135">
        <v>4000</v>
      </c>
      <c r="G208" s="135">
        <v>25000</v>
      </c>
      <c r="H208" s="135"/>
      <c r="I208" s="135"/>
      <c r="J208" s="135"/>
      <c r="K208" s="135"/>
      <c r="L208" s="135"/>
      <c r="M208" s="135"/>
      <c r="N208" s="135"/>
      <c r="O208" s="135"/>
      <c r="P208" s="135"/>
      <c r="Q208" s="135"/>
      <c r="R208" s="135"/>
      <c r="S208" s="135">
        <f t="shared" si="19"/>
        <v>40000</v>
      </c>
      <c r="T208" s="135"/>
      <c r="U208" s="135">
        <f t="shared" si="20"/>
        <v>40000</v>
      </c>
      <c r="V208" s="176"/>
    </row>
    <row r="209" spans="1:22" ht="15.75" x14ac:dyDescent="0.3">
      <c r="A209" s="161">
        <f t="shared" si="21"/>
        <v>16</v>
      </c>
      <c r="B209" s="162" t="s">
        <v>99</v>
      </c>
      <c r="C209" s="135">
        <v>9000</v>
      </c>
      <c r="D209" s="135">
        <v>1000</v>
      </c>
      <c r="E209" s="135">
        <v>1000</v>
      </c>
      <c r="F209" s="135">
        <v>4000</v>
      </c>
      <c r="G209" s="135">
        <v>25000</v>
      </c>
      <c r="H209" s="135"/>
      <c r="I209" s="135">
        <v>75000</v>
      </c>
      <c r="J209" s="135"/>
      <c r="K209" s="135"/>
      <c r="L209" s="135"/>
      <c r="M209" s="135"/>
      <c r="N209" s="135"/>
      <c r="O209" s="135"/>
      <c r="P209" s="135"/>
      <c r="Q209" s="135"/>
      <c r="R209" s="135"/>
      <c r="S209" s="135">
        <f t="shared" si="19"/>
        <v>115000</v>
      </c>
      <c r="T209" s="135"/>
      <c r="U209" s="135">
        <f t="shared" si="20"/>
        <v>115000</v>
      </c>
      <c r="V209" s="176"/>
    </row>
    <row r="210" spans="1:22" ht="15.75" x14ac:dyDescent="0.3">
      <c r="A210" s="161">
        <f t="shared" si="21"/>
        <v>17</v>
      </c>
      <c r="B210" s="162" t="s">
        <v>100</v>
      </c>
      <c r="C210" s="135">
        <v>19000</v>
      </c>
      <c r="D210" s="135">
        <v>1000</v>
      </c>
      <c r="E210" s="135">
        <v>1000</v>
      </c>
      <c r="F210" s="135">
        <v>4000</v>
      </c>
      <c r="G210" s="135">
        <v>25000</v>
      </c>
      <c r="H210" s="135"/>
      <c r="I210" s="135"/>
      <c r="J210" s="135"/>
      <c r="K210" s="135">
        <v>200000</v>
      </c>
      <c r="L210" s="135"/>
      <c r="M210" s="135"/>
      <c r="N210" s="135"/>
      <c r="O210" s="135"/>
      <c r="P210" s="135"/>
      <c r="Q210" s="135"/>
      <c r="R210" s="135"/>
      <c r="S210" s="135">
        <f t="shared" si="19"/>
        <v>250000</v>
      </c>
      <c r="T210" s="135"/>
      <c r="U210" s="135">
        <f t="shared" si="20"/>
        <v>250000</v>
      </c>
      <c r="V210" s="176"/>
    </row>
    <row r="211" spans="1:22" ht="15.75" x14ac:dyDescent="0.3">
      <c r="A211" s="161">
        <f t="shared" si="21"/>
        <v>18</v>
      </c>
      <c r="B211" s="162" t="s">
        <v>38</v>
      </c>
      <c r="C211" s="135">
        <v>4000</v>
      </c>
      <c r="D211" s="135">
        <v>1000</v>
      </c>
      <c r="E211" s="135">
        <v>1000</v>
      </c>
      <c r="F211" s="135">
        <v>4000</v>
      </c>
      <c r="G211" s="135">
        <v>25000</v>
      </c>
      <c r="H211" s="135"/>
      <c r="I211" s="135">
        <v>75000</v>
      </c>
      <c r="J211" s="135"/>
      <c r="K211" s="135">
        <v>100000</v>
      </c>
      <c r="L211" s="135"/>
      <c r="M211" s="135"/>
      <c r="N211" s="135"/>
      <c r="O211" s="135"/>
      <c r="P211" s="135"/>
      <c r="Q211" s="135"/>
      <c r="R211" s="135"/>
      <c r="S211" s="135">
        <f t="shared" si="19"/>
        <v>210000</v>
      </c>
      <c r="T211" s="135"/>
      <c r="U211" s="135">
        <f t="shared" si="20"/>
        <v>210000</v>
      </c>
      <c r="V211" s="176"/>
    </row>
    <row r="212" spans="1:22" ht="15.75" x14ac:dyDescent="0.3">
      <c r="A212" s="161">
        <f t="shared" si="21"/>
        <v>19</v>
      </c>
      <c r="B212" s="162" t="s">
        <v>101</v>
      </c>
      <c r="C212" s="135">
        <v>27000</v>
      </c>
      <c r="D212" s="135">
        <v>3000</v>
      </c>
      <c r="E212" s="135">
        <v>1000</v>
      </c>
      <c r="F212" s="135">
        <v>4000</v>
      </c>
      <c r="G212" s="135">
        <v>25000</v>
      </c>
      <c r="H212" s="135"/>
      <c r="I212" s="135">
        <v>150000</v>
      </c>
      <c r="J212" s="135"/>
      <c r="K212" s="135">
        <v>100000</v>
      </c>
      <c r="L212" s="135">
        <v>99000</v>
      </c>
      <c r="M212" s="135"/>
      <c r="N212" s="135"/>
      <c r="O212" s="135"/>
      <c r="P212" s="135"/>
      <c r="Q212" s="135"/>
      <c r="R212" s="135"/>
      <c r="S212" s="135">
        <f t="shared" si="19"/>
        <v>409000</v>
      </c>
      <c r="T212" s="135"/>
      <c r="U212" s="135">
        <f t="shared" si="20"/>
        <v>409000</v>
      </c>
      <c r="V212" s="176"/>
    </row>
    <row r="213" spans="1:22" ht="15.75" x14ac:dyDescent="0.3">
      <c r="A213" s="161">
        <f t="shared" si="21"/>
        <v>20</v>
      </c>
      <c r="B213" s="162" t="s">
        <v>102</v>
      </c>
      <c r="C213" s="135">
        <v>9000</v>
      </c>
      <c r="D213" s="135">
        <v>1000</v>
      </c>
      <c r="E213" s="135">
        <v>1000</v>
      </c>
      <c r="F213" s="135">
        <v>4000</v>
      </c>
      <c r="G213" s="135">
        <v>25000</v>
      </c>
      <c r="H213" s="135">
        <v>61000</v>
      </c>
      <c r="I213" s="135"/>
      <c r="J213" s="135"/>
      <c r="K213" s="135"/>
      <c r="L213" s="135"/>
      <c r="M213" s="135">
        <v>1000000</v>
      </c>
      <c r="N213" s="135"/>
      <c r="O213" s="135">
        <v>3000</v>
      </c>
      <c r="P213" s="135"/>
      <c r="Q213" s="135"/>
      <c r="R213" s="135"/>
      <c r="S213" s="135">
        <f t="shared" si="19"/>
        <v>1104000</v>
      </c>
      <c r="T213" s="135">
        <v>104000</v>
      </c>
      <c r="U213" s="135">
        <f t="shared" si="20"/>
        <v>1000000</v>
      </c>
      <c r="V213" s="176"/>
    </row>
    <row r="214" spans="1:22" ht="15.75" x14ac:dyDescent="0.3">
      <c r="A214" s="161">
        <f t="shared" si="21"/>
        <v>21</v>
      </c>
      <c r="B214" s="162" t="s">
        <v>109</v>
      </c>
      <c r="C214" s="135"/>
      <c r="D214" s="135"/>
      <c r="E214" s="135"/>
      <c r="F214" s="135"/>
      <c r="G214" s="135"/>
      <c r="H214" s="135"/>
      <c r="I214" s="135"/>
      <c r="J214" s="135"/>
      <c r="K214" s="135"/>
      <c r="L214" s="135"/>
      <c r="M214" s="135"/>
      <c r="N214" s="135"/>
      <c r="O214" s="135"/>
      <c r="P214" s="135"/>
      <c r="Q214" s="135"/>
      <c r="R214" s="135"/>
      <c r="S214" s="135">
        <f t="shared" si="19"/>
        <v>0</v>
      </c>
      <c r="T214" s="135"/>
      <c r="U214" s="135">
        <f t="shared" si="20"/>
        <v>0</v>
      </c>
      <c r="V214" s="176"/>
    </row>
    <row r="215" spans="1:22" ht="15.75" x14ac:dyDescent="0.3">
      <c r="A215" s="161">
        <f t="shared" si="21"/>
        <v>22</v>
      </c>
      <c r="B215" s="162" t="s">
        <v>166</v>
      </c>
      <c r="C215" s="135">
        <v>409000</v>
      </c>
      <c r="D215" s="135">
        <v>1000</v>
      </c>
      <c r="E215" s="135">
        <v>1000</v>
      </c>
      <c r="F215" s="135">
        <v>4000</v>
      </c>
      <c r="G215" s="135">
        <v>25000</v>
      </c>
      <c r="H215" s="135"/>
      <c r="I215" s="135"/>
      <c r="J215" s="135"/>
      <c r="K215" s="135"/>
      <c r="L215" s="135"/>
      <c r="M215" s="135"/>
      <c r="N215" s="135"/>
      <c r="O215" s="135"/>
      <c r="P215" s="135"/>
      <c r="Q215" s="135"/>
      <c r="R215" s="135">
        <v>120000</v>
      </c>
      <c r="S215" s="135">
        <f t="shared" si="19"/>
        <v>560000</v>
      </c>
      <c r="T215" s="135"/>
      <c r="U215" s="135">
        <f t="shared" si="20"/>
        <v>560000</v>
      </c>
      <c r="V215" s="176"/>
    </row>
    <row r="216" spans="1:22" ht="15.75" x14ac:dyDescent="0.3">
      <c r="A216" s="161">
        <f t="shared" si="21"/>
        <v>23</v>
      </c>
      <c r="B216" s="162" t="s">
        <v>41</v>
      </c>
      <c r="C216" s="135">
        <v>9000</v>
      </c>
      <c r="D216" s="135">
        <v>1000</v>
      </c>
      <c r="E216" s="135">
        <v>1000</v>
      </c>
      <c r="F216" s="135">
        <v>4000</v>
      </c>
      <c r="G216" s="135">
        <v>25000</v>
      </c>
      <c r="H216" s="135"/>
      <c r="I216" s="135">
        <v>75000</v>
      </c>
      <c r="J216" s="135"/>
      <c r="K216" s="135"/>
      <c r="L216" s="135"/>
      <c r="M216" s="135"/>
      <c r="N216" s="135"/>
      <c r="O216" s="135"/>
      <c r="P216" s="135"/>
      <c r="Q216" s="135"/>
      <c r="R216" s="135"/>
      <c r="S216" s="135">
        <f t="shared" si="19"/>
        <v>115000</v>
      </c>
      <c r="T216" s="135"/>
      <c r="U216" s="135">
        <f t="shared" si="20"/>
        <v>115000</v>
      </c>
      <c r="V216" s="176"/>
    </row>
    <row r="217" spans="1:22" ht="15.75" x14ac:dyDescent="0.3">
      <c r="A217" s="161">
        <f t="shared" si="21"/>
        <v>24</v>
      </c>
      <c r="B217" s="162" t="s">
        <v>165</v>
      </c>
      <c r="C217" s="135">
        <v>9000</v>
      </c>
      <c r="D217" s="135">
        <v>1000</v>
      </c>
      <c r="E217" s="135">
        <v>1000</v>
      </c>
      <c r="F217" s="135">
        <v>4000</v>
      </c>
      <c r="G217" s="135">
        <v>25000</v>
      </c>
      <c r="H217" s="135"/>
      <c r="I217" s="135"/>
      <c r="J217" s="135"/>
      <c r="K217" s="135"/>
      <c r="L217" s="135"/>
      <c r="M217" s="135"/>
      <c r="N217" s="135"/>
      <c r="O217" s="135"/>
      <c r="P217" s="135"/>
      <c r="Q217" s="135"/>
      <c r="R217" s="135"/>
      <c r="S217" s="135">
        <f t="shared" si="19"/>
        <v>40000</v>
      </c>
      <c r="T217" s="135"/>
      <c r="U217" s="135">
        <f t="shared" si="20"/>
        <v>40000</v>
      </c>
      <c r="V217" s="176"/>
    </row>
    <row r="218" spans="1:22" ht="15.75" x14ac:dyDescent="0.3">
      <c r="A218" s="161">
        <f t="shared" si="21"/>
        <v>25</v>
      </c>
      <c r="B218" s="162" t="s">
        <v>46</v>
      </c>
      <c r="C218" s="135">
        <v>9000</v>
      </c>
      <c r="D218" s="135">
        <v>1000</v>
      </c>
      <c r="E218" s="135">
        <v>1000</v>
      </c>
      <c r="F218" s="135">
        <v>4000</v>
      </c>
      <c r="G218" s="135">
        <v>25000</v>
      </c>
      <c r="H218" s="135"/>
      <c r="I218" s="135">
        <v>75000</v>
      </c>
      <c r="J218" s="135"/>
      <c r="K218" s="135"/>
      <c r="L218" s="135"/>
      <c r="M218" s="135"/>
      <c r="N218" s="135"/>
      <c r="O218" s="135"/>
      <c r="P218" s="135"/>
      <c r="Q218" s="135"/>
      <c r="R218" s="135"/>
      <c r="S218" s="135">
        <f t="shared" si="19"/>
        <v>115000</v>
      </c>
      <c r="T218" s="135"/>
      <c r="U218" s="135">
        <f t="shared" si="20"/>
        <v>115000</v>
      </c>
      <c r="V218" s="176"/>
    </row>
    <row r="219" spans="1:22" ht="15.75" x14ac:dyDescent="0.3">
      <c r="A219" s="161">
        <f t="shared" si="21"/>
        <v>26</v>
      </c>
      <c r="B219" s="162" t="s">
        <v>104</v>
      </c>
      <c r="C219" s="135"/>
      <c r="D219" s="135"/>
      <c r="E219" s="135"/>
      <c r="F219" s="135"/>
      <c r="G219" s="135"/>
      <c r="H219" s="135"/>
      <c r="I219" s="135"/>
      <c r="J219" s="135"/>
      <c r="K219" s="135"/>
      <c r="L219" s="135"/>
      <c r="M219" s="135"/>
      <c r="N219" s="135"/>
      <c r="O219" s="135"/>
      <c r="P219" s="135"/>
      <c r="Q219" s="135"/>
      <c r="R219" s="135"/>
      <c r="S219" s="135">
        <f t="shared" si="19"/>
        <v>0</v>
      </c>
      <c r="T219" s="135"/>
      <c r="U219" s="135">
        <f t="shared" si="20"/>
        <v>0</v>
      </c>
      <c r="V219" s="176"/>
    </row>
    <row r="220" spans="1:22" ht="15.75" x14ac:dyDescent="0.3">
      <c r="A220" s="161">
        <f t="shared" si="21"/>
        <v>27</v>
      </c>
      <c r="B220" s="162" t="s">
        <v>40</v>
      </c>
      <c r="C220" s="135">
        <v>9000</v>
      </c>
      <c r="D220" s="135">
        <v>1000</v>
      </c>
      <c r="E220" s="135">
        <v>1000</v>
      </c>
      <c r="F220" s="135">
        <v>4000</v>
      </c>
      <c r="G220" s="135">
        <v>25000</v>
      </c>
      <c r="H220" s="135"/>
      <c r="I220" s="135"/>
      <c r="J220" s="135"/>
      <c r="K220" s="135">
        <v>100000</v>
      </c>
      <c r="L220" s="135"/>
      <c r="M220" s="135"/>
      <c r="N220" s="135"/>
      <c r="O220" s="135"/>
      <c r="P220" s="135"/>
      <c r="Q220" s="135"/>
      <c r="R220" s="135"/>
      <c r="S220" s="135">
        <f t="shared" si="19"/>
        <v>140000</v>
      </c>
      <c r="T220" s="135"/>
      <c r="U220" s="135">
        <f t="shared" si="20"/>
        <v>140000</v>
      </c>
      <c r="V220" s="176"/>
    </row>
    <row r="221" spans="1:22" ht="15.75" x14ac:dyDescent="0.3">
      <c r="A221" s="161">
        <f t="shared" si="21"/>
        <v>28</v>
      </c>
      <c r="B221" s="162" t="s">
        <v>105</v>
      </c>
      <c r="C221" s="135">
        <v>9000</v>
      </c>
      <c r="D221" s="135">
        <v>1000</v>
      </c>
      <c r="E221" s="135">
        <v>1000</v>
      </c>
      <c r="F221" s="135">
        <v>4000</v>
      </c>
      <c r="G221" s="135">
        <v>25000</v>
      </c>
      <c r="H221" s="135"/>
      <c r="I221" s="135">
        <v>75000</v>
      </c>
      <c r="J221" s="135">
        <v>140000</v>
      </c>
      <c r="K221" s="135"/>
      <c r="L221" s="135"/>
      <c r="M221" s="135"/>
      <c r="N221" s="135"/>
      <c r="O221" s="135"/>
      <c r="P221" s="135"/>
      <c r="Q221" s="135"/>
      <c r="R221" s="135"/>
      <c r="S221" s="135">
        <f t="shared" si="19"/>
        <v>255000</v>
      </c>
      <c r="T221" s="135"/>
      <c r="U221" s="135">
        <f t="shared" si="20"/>
        <v>255000</v>
      </c>
      <c r="V221" s="176"/>
    </row>
    <row r="222" spans="1:22" ht="15.75" x14ac:dyDescent="0.3">
      <c r="A222" s="161">
        <f t="shared" si="21"/>
        <v>29</v>
      </c>
      <c r="B222" s="162" t="s">
        <v>187</v>
      </c>
      <c r="C222" s="135">
        <v>6000</v>
      </c>
      <c r="D222" s="135">
        <v>1000</v>
      </c>
      <c r="E222" s="135">
        <v>1000</v>
      </c>
      <c r="F222" s="135">
        <v>4000</v>
      </c>
      <c r="G222" s="135">
        <v>25000</v>
      </c>
      <c r="H222" s="135"/>
      <c r="I222" s="135"/>
      <c r="J222" s="135"/>
      <c r="K222" s="135"/>
      <c r="L222" s="135"/>
      <c r="M222" s="135"/>
      <c r="N222" s="135"/>
      <c r="O222" s="135">
        <v>3000</v>
      </c>
      <c r="P222" s="135"/>
      <c r="Q222" s="135"/>
      <c r="R222" s="135"/>
      <c r="S222" s="135">
        <f t="shared" si="19"/>
        <v>40000</v>
      </c>
      <c r="T222" s="135">
        <v>40000</v>
      </c>
      <c r="U222" s="135">
        <f t="shared" si="20"/>
        <v>0</v>
      </c>
      <c r="V222" s="176"/>
    </row>
    <row r="223" spans="1:22" ht="15.75" x14ac:dyDescent="0.3">
      <c r="A223" s="161">
        <f t="shared" si="21"/>
        <v>30</v>
      </c>
      <c r="B223" s="162" t="s">
        <v>110</v>
      </c>
      <c r="C223" s="135"/>
      <c r="D223" s="135"/>
      <c r="E223" s="135"/>
      <c r="F223" s="135"/>
      <c r="G223" s="135"/>
      <c r="H223" s="135"/>
      <c r="I223" s="135"/>
      <c r="J223" s="135"/>
      <c r="K223" s="135"/>
      <c r="L223" s="135"/>
      <c r="M223" s="135"/>
      <c r="N223" s="135"/>
      <c r="O223" s="135"/>
      <c r="P223" s="135"/>
      <c r="Q223" s="135"/>
      <c r="R223" s="135"/>
      <c r="S223" s="135">
        <f t="shared" si="19"/>
        <v>0</v>
      </c>
      <c r="T223" s="135"/>
      <c r="U223" s="135">
        <f t="shared" si="20"/>
        <v>0</v>
      </c>
      <c r="V223" s="176"/>
    </row>
    <row r="224" spans="1:22" ht="15.75" x14ac:dyDescent="0.3">
      <c r="A224" s="161">
        <f t="shared" si="21"/>
        <v>31</v>
      </c>
      <c r="B224" s="162" t="s">
        <v>106</v>
      </c>
      <c r="C224" s="163">
        <v>17000</v>
      </c>
      <c r="D224" s="163">
        <v>2000</v>
      </c>
      <c r="E224" s="163">
        <v>2000</v>
      </c>
      <c r="F224" s="163">
        <v>8000</v>
      </c>
      <c r="G224" s="163">
        <v>50000</v>
      </c>
      <c r="H224" s="135"/>
      <c r="I224" s="135"/>
      <c r="J224" s="135"/>
      <c r="K224" s="135"/>
      <c r="L224" s="135"/>
      <c r="M224" s="135"/>
      <c r="N224" s="135"/>
      <c r="O224" s="135">
        <v>7000</v>
      </c>
      <c r="P224" s="135"/>
      <c r="Q224" s="135"/>
      <c r="R224" s="135"/>
      <c r="S224" s="135">
        <f t="shared" si="19"/>
        <v>86000</v>
      </c>
      <c r="T224" s="135">
        <v>86000</v>
      </c>
      <c r="U224" s="135">
        <f t="shared" si="20"/>
        <v>0</v>
      </c>
      <c r="V224" s="176"/>
    </row>
    <row r="225" spans="1:22" ht="15.75" x14ac:dyDescent="0.3">
      <c r="A225" s="161">
        <f t="shared" si="21"/>
        <v>32</v>
      </c>
      <c r="B225" s="162" t="s">
        <v>107</v>
      </c>
      <c r="C225" s="135">
        <v>9000</v>
      </c>
      <c r="D225" s="135">
        <v>1000</v>
      </c>
      <c r="E225" s="135">
        <v>1000</v>
      </c>
      <c r="F225" s="135">
        <v>4000</v>
      </c>
      <c r="G225" s="135">
        <v>25000</v>
      </c>
      <c r="H225" s="135"/>
      <c r="I225" s="135">
        <v>150000</v>
      </c>
      <c r="J225" s="135"/>
      <c r="K225" s="135">
        <v>100000</v>
      </c>
      <c r="L225" s="135"/>
      <c r="M225" s="135"/>
      <c r="N225" s="135"/>
      <c r="O225" s="135"/>
      <c r="P225" s="135"/>
      <c r="Q225" s="135"/>
      <c r="R225" s="135"/>
      <c r="S225" s="135">
        <f t="shared" si="19"/>
        <v>290000</v>
      </c>
      <c r="T225" s="135"/>
      <c r="U225" s="135">
        <f t="shared" si="20"/>
        <v>290000</v>
      </c>
      <c r="V225" s="176"/>
    </row>
    <row r="226" spans="1:22" ht="15.75" x14ac:dyDescent="0.3">
      <c r="A226" s="161">
        <f t="shared" si="21"/>
        <v>33</v>
      </c>
      <c r="B226" s="162" t="s">
        <v>111</v>
      </c>
      <c r="C226" s="163">
        <v>9000</v>
      </c>
      <c r="D226" s="163">
        <v>1000</v>
      </c>
      <c r="E226" s="163">
        <v>1000</v>
      </c>
      <c r="F226" s="163">
        <v>4000</v>
      </c>
      <c r="G226" s="163">
        <v>25000</v>
      </c>
      <c r="H226" s="135"/>
      <c r="I226" s="135"/>
      <c r="J226" s="135"/>
      <c r="K226" s="135"/>
      <c r="L226" s="135"/>
      <c r="M226" s="135"/>
      <c r="N226" s="135"/>
      <c r="O226" s="135"/>
      <c r="P226" s="135"/>
      <c r="Q226" s="135"/>
      <c r="R226" s="135"/>
      <c r="S226" s="135">
        <f t="shared" si="19"/>
        <v>40000</v>
      </c>
      <c r="T226" s="135"/>
      <c r="U226" s="135">
        <f t="shared" si="20"/>
        <v>40000</v>
      </c>
      <c r="V226" s="176"/>
    </row>
    <row r="227" spans="1:22" ht="15.75" x14ac:dyDescent="0.3">
      <c r="A227" s="161">
        <f t="shared" si="21"/>
        <v>34</v>
      </c>
      <c r="B227" s="162" t="s">
        <v>224</v>
      </c>
      <c r="C227" s="163">
        <v>69000</v>
      </c>
      <c r="D227" s="163">
        <v>1000</v>
      </c>
      <c r="E227" s="163">
        <v>1000</v>
      </c>
      <c r="F227" s="163">
        <v>4000</v>
      </c>
      <c r="G227" s="163">
        <v>25000</v>
      </c>
      <c r="H227" s="135"/>
      <c r="I227" s="135"/>
      <c r="J227" s="135"/>
      <c r="K227" s="135"/>
      <c r="L227" s="135"/>
      <c r="M227" s="135"/>
      <c r="N227" s="135"/>
      <c r="O227" s="135"/>
      <c r="P227" s="135"/>
      <c r="Q227" s="135"/>
      <c r="R227" s="135"/>
      <c r="S227" s="135">
        <f t="shared" si="19"/>
        <v>100000</v>
      </c>
      <c r="T227" s="135"/>
      <c r="U227" s="135">
        <f t="shared" si="20"/>
        <v>100000</v>
      </c>
      <c r="V227" s="176"/>
    </row>
    <row r="228" spans="1:22" ht="15.75" x14ac:dyDescent="0.3">
      <c r="A228" s="161">
        <f t="shared" si="21"/>
        <v>35</v>
      </c>
      <c r="B228" s="162"/>
      <c r="C228" s="135"/>
      <c r="D228" s="135"/>
      <c r="E228" s="135"/>
      <c r="F228" s="135"/>
      <c r="G228" s="135"/>
      <c r="H228" s="135"/>
      <c r="I228" s="135"/>
      <c r="J228" s="135"/>
      <c r="K228" s="135"/>
      <c r="L228" s="135"/>
      <c r="M228" s="135"/>
      <c r="N228" s="135"/>
      <c r="O228" s="135"/>
      <c r="P228" s="135"/>
      <c r="Q228" s="135"/>
      <c r="R228" s="135"/>
      <c r="S228" s="135">
        <f t="shared" si="19"/>
        <v>0</v>
      </c>
      <c r="T228" s="135"/>
      <c r="U228" s="135">
        <f t="shared" si="20"/>
        <v>0</v>
      </c>
      <c r="V228" s="176"/>
    </row>
    <row r="229" spans="1:22" ht="15.75" x14ac:dyDescent="0.3">
      <c r="A229" s="161">
        <f t="shared" si="21"/>
        <v>36</v>
      </c>
      <c r="B229" s="162"/>
      <c r="C229" s="135"/>
      <c r="D229" s="135"/>
      <c r="E229" s="135"/>
      <c r="F229" s="135"/>
      <c r="G229" s="135"/>
      <c r="H229" s="135"/>
      <c r="I229" s="135"/>
      <c r="J229" s="135"/>
      <c r="K229" s="135"/>
      <c r="L229" s="135"/>
      <c r="M229" s="135"/>
      <c r="N229" s="135"/>
      <c r="O229" s="135"/>
      <c r="P229" s="135"/>
      <c r="Q229" s="135"/>
      <c r="R229" s="135"/>
      <c r="S229" s="135">
        <f t="shared" si="19"/>
        <v>0</v>
      </c>
      <c r="T229" s="135"/>
      <c r="U229" s="135">
        <f t="shared" si="20"/>
        <v>0</v>
      </c>
      <c r="V229" s="176"/>
    </row>
    <row r="230" spans="1:22" ht="15.75" x14ac:dyDescent="0.3">
      <c r="A230" s="161">
        <f t="shared" si="21"/>
        <v>37</v>
      </c>
      <c r="B230" s="162"/>
      <c r="C230" s="135"/>
      <c r="D230" s="135"/>
      <c r="E230" s="135"/>
      <c r="F230" s="135"/>
      <c r="G230" s="135"/>
      <c r="H230" s="135"/>
      <c r="I230" s="135"/>
      <c r="J230" s="135"/>
      <c r="K230" s="135"/>
      <c r="L230" s="135"/>
      <c r="M230" s="135"/>
      <c r="N230" s="135"/>
      <c r="O230" s="135"/>
      <c r="P230" s="135"/>
      <c r="Q230" s="135"/>
      <c r="R230" s="135"/>
      <c r="S230" s="135">
        <f t="shared" si="19"/>
        <v>0</v>
      </c>
      <c r="T230" s="135"/>
      <c r="U230" s="135">
        <f t="shared" si="20"/>
        <v>0</v>
      </c>
      <c r="V230" s="176"/>
    </row>
    <row r="231" spans="1:22" ht="15.75" x14ac:dyDescent="0.3">
      <c r="A231" s="161">
        <f t="shared" si="21"/>
        <v>38</v>
      </c>
      <c r="B231" s="162"/>
      <c r="C231" s="135"/>
      <c r="D231" s="135"/>
      <c r="E231" s="135"/>
      <c r="F231" s="135"/>
      <c r="G231" s="135"/>
      <c r="H231" s="135"/>
      <c r="I231" s="135"/>
      <c r="J231" s="135"/>
      <c r="K231" s="135"/>
      <c r="L231" s="135"/>
      <c r="M231" s="135"/>
      <c r="N231" s="135"/>
      <c r="O231" s="135"/>
      <c r="P231" s="135"/>
      <c r="Q231" s="135"/>
      <c r="R231" s="135"/>
      <c r="S231" s="135">
        <f t="shared" si="19"/>
        <v>0</v>
      </c>
      <c r="T231" s="135"/>
      <c r="U231" s="135">
        <f t="shared" si="20"/>
        <v>0</v>
      </c>
      <c r="V231" s="176"/>
    </row>
    <row r="232" spans="1:22" ht="15.75" x14ac:dyDescent="0.3">
      <c r="A232" s="161">
        <f t="shared" si="21"/>
        <v>39</v>
      </c>
      <c r="B232" s="162"/>
      <c r="C232" s="135"/>
      <c r="D232" s="135"/>
      <c r="E232" s="135"/>
      <c r="F232" s="135"/>
      <c r="G232" s="135"/>
      <c r="H232" s="135"/>
      <c r="I232" s="135"/>
      <c r="J232" s="135"/>
      <c r="K232" s="135"/>
      <c r="L232" s="135"/>
      <c r="M232" s="135"/>
      <c r="N232" s="135"/>
      <c r="O232" s="135"/>
      <c r="P232" s="135"/>
      <c r="Q232" s="135"/>
      <c r="R232" s="135"/>
      <c r="S232" s="135">
        <f t="shared" si="19"/>
        <v>0</v>
      </c>
      <c r="T232" s="135"/>
      <c r="U232" s="135">
        <f t="shared" si="20"/>
        <v>0</v>
      </c>
      <c r="V232" s="176"/>
    </row>
    <row r="233" spans="1:22" ht="15.75" x14ac:dyDescent="0.3">
      <c r="A233" s="161">
        <f t="shared" si="21"/>
        <v>40</v>
      </c>
      <c r="B233" s="162"/>
      <c r="C233" s="135"/>
      <c r="D233" s="135"/>
      <c r="E233" s="135"/>
      <c r="F233" s="135"/>
      <c r="G233" s="135"/>
      <c r="H233" s="135"/>
      <c r="I233" s="135"/>
      <c r="J233" s="135"/>
      <c r="K233" s="135"/>
      <c r="L233" s="135"/>
      <c r="M233" s="135"/>
      <c r="N233" s="135"/>
      <c r="O233" s="135"/>
      <c r="P233" s="135"/>
      <c r="Q233" s="135"/>
      <c r="R233" s="135"/>
      <c r="S233" s="135">
        <f t="shared" si="19"/>
        <v>0</v>
      </c>
      <c r="T233" s="135"/>
      <c r="U233" s="135">
        <f t="shared" si="20"/>
        <v>0</v>
      </c>
      <c r="V233" s="176"/>
    </row>
    <row r="234" spans="1:22" ht="15.75" x14ac:dyDescent="0.3">
      <c r="A234" s="161">
        <f t="shared" si="21"/>
        <v>41</v>
      </c>
      <c r="B234" s="162"/>
      <c r="C234" s="135"/>
      <c r="D234" s="135"/>
      <c r="E234" s="135"/>
      <c r="F234" s="135"/>
      <c r="G234" s="135"/>
      <c r="H234" s="135"/>
      <c r="I234" s="135"/>
      <c r="J234" s="135"/>
      <c r="K234" s="135"/>
      <c r="L234" s="135"/>
      <c r="M234" s="135"/>
      <c r="N234" s="135"/>
      <c r="O234" s="135"/>
      <c r="P234" s="135"/>
      <c r="Q234" s="135"/>
      <c r="R234" s="135"/>
      <c r="S234" s="135">
        <f t="shared" si="19"/>
        <v>0</v>
      </c>
      <c r="T234" s="135"/>
      <c r="U234" s="135">
        <f t="shared" si="20"/>
        <v>0</v>
      </c>
      <c r="V234" s="176"/>
    </row>
    <row r="235" spans="1:22" x14ac:dyDescent="0.25">
      <c r="A235" s="177"/>
      <c r="B235" s="177"/>
      <c r="C235" s="178">
        <f>SUM(C193:C234)</f>
        <v>882000</v>
      </c>
      <c r="D235" s="178">
        <f t="shared" ref="D235:H235" si="22">SUM(D193:D234)</f>
        <v>33000</v>
      </c>
      <c r="E235" s="178">
        <f t="shared" si="22"/>
        <v>31000</v>
      </c>
      <c r="F235" s="178">
        <f t="shared" si="22"/>
        <v>124000</v>
      </c>
      <c r="G235" s="178">
        <f t="shared" si="22"/>
        <v>775000</v>
      </c>
      <c r="H235" s="178">
        <f t="shared" si="22"/>
        <v>146000</v>
      </c>
      <c r="I235" s="178">
        <f>SUM(I194:I234)</f>
        <v>1200000</v>
      </c>
      <c r="J235" s="178">
        <f t="shared" ref="J235:U235" si="23">SUM(J193:J234)</f>
        <v>393000</v>
      </c>
      <c r="K235" s="178">
        <f t="shared" si="23"/>
        <v>1400000</v>
      </c>
      <c r="L235" s="178">
        <f t="shared" si="23"/>
        <v>99000</v>
      </c>
      <c r="M235" s="178">
        <f t="shared" si="23"/>
        <v>1000000</v>
      </c>
      <c r="N235" s="178">
        <f t="shared" si="23"/>
        <v>0</v>
      </c>
      <c r="O235" s="178">
        <f t="shared" si="23"/>
        <v>19000</v>
      </c>
      <c r="P235" s="178">
        <f t="shared" si="23"/>
        <v>0</v>
      </c>
      <c r="Q235" s="178">
        <f t="shared" si="23"/>
        <v>0</v>
      </c>
      <c r="R235" s="178">
        <f t="shared" si="23"/>
        <v>120000</v>
      </c>
      <c r="S235" s="178">
        <f t="shared" si="23"/>
        <v>6222000</v>
      </c>
      <c r="T235" s="178">
        <f t="shared" si="23"/>
        <v>476000</v>
      </c>
      <c r="U235" s="178">
        <f t="shared" si="23"/>
        <v>5746000</v>
      </c>
      <c r="V235" s="176"/>
    </row>
    <row r="236" spans="1:22" s="176" customFormat="1" ht="21" x14ac:dyDescent="0.35">
      <c r="B236" s="220" t="s">
        <v>192</v>
      </c>
      <c r="C236" s="220"/>
      <c r="D236" s="220"/>
      <c r="E236" s="220"/>
      <c r="F236" s="220"/>
      <c r="G236" s="220"/>
      <c r="H236" s="220"/>
      <c r="I236" s="220"/>
      <c r="J236" s="179"/>
      <c r="K236" s="179"/>
      <c r="L236" s="179"/>
      <c r="M236" s="179"/>
      <c r="N236" s="179"/>
      <c r="O236" s="179"/>
      <c r="P236" s="179"/>
      <c r="Q236" s="179"/>
      <c r="R236" s="179"/>
      <c r="S236" s="179"/>
      <c r="T236" s="179"/>
      <c r="U236" s="179"/>
    </row>
    <row r="237" spans="1:22" s="176" customFormat="1" x14ac:dyDescent="0.25"/>
    <row r="238" spans="1:22" s="175" customFormat="1" x14ac:dyDescent="0.25">
      <c r="A238" s="161"/>
      <c r="B238" s="161"/>
      <c r="C238" s="215" t="s">
        <v>75</v>
      </c>
      <c r="D238" s="215" t="s">
        <v>168</v>
      </c>
      <c r="E238" s="215" t="s">
        <v>169</v>
      </c>
      <c r="F238" s="215" t="s">
        <v>170</v>
      </c>
      <c r="G238" s="217" t="s">
        <v>171</v>
      </c>
      <c r="H238" s="218"/>
      <c r="I238" s="217" t="s">
        <v>200</v>
      </c>
      <c r="J238" s="218"/>
      <c r="K238" s="217" t="s">
        <v>201</v>
      </c>
      <c r="L238" s="218"/>
      <c r="M238" s="215" t="s">
        <v>174</v>
      </c>
      <c r="N238" s="215" t="s">
        <v>175</v>
      </c>
      <c r="O238" s="215" t="s">
        <v>176</v>
      </c>
      <c r="P238" s="215" t="s">
        <v>177</v>
      </c>
      <c r="Q238" s="215" t="s">
        <v>178</v>
      </c>
      <c r="R238" s="215" t="s">
        <v>225</v>
      </c>
      <c r="S238" s="217" t="s">
        <v>179</v>
      </c>
      <c r="T238" s="219"/>
      <c r="U238" s="218"/>
    </row>
    <row r="239" spans="1:22" s="175" customFormat="1" x14ac:dyDescent="0.25">
      <c r="A239" s="161"/>
      <c r="B239" s="161"/>
      <c r="C239" s="216"/>
      <c r="D239" s="216"/>
      <c r="E239" s="216"/>
      <c r="F239" s="216"/>
      <c r="G239" s="161" t="s">
        <v>180</v>
      </c>
      <c r="H239" s="161" t="s">
        <v>181</v>
      </c>
      <c r="I239" s="161" t="s">
        <v>180</v>
      </c>
      <c r="J239" s="161" t="s">
        <v>181</v>
      </c>
      <c r="K239" s="161" t="s">
        <v>180</v>
      </c>
      <c r="L239" s="161" t="s">
        <v>181</v>
      </c>
      <c r="M239" s="216"/>
      <c r="N239" s="216"/>
      <c r="O239" s="216"/>
      <c r="P239" s="216"/>
      <c r="Q239" s="216"/>
      <c r="R239" s="216"/>
      <c r="S239" s="161" t="s">
        <v>74</v>
      </c>
      <c r="T239" s="161" t="s">
        <v>182</v>
      </c>
      <c r="U239" s="161" t="s">
        <v>183</v>
      </c>
    </row>
    <row r="240" spans="1:22" s="176" customFormat="1" ht="15.75" x14ac:dyDescent="0.3">
      <c r="A240" s="161">
        <v>0</v>
      </c>
      <c r="B240" s="162" t="s">
        <v>88</v>
      </c>
      <c r="C240" s="135">
        <v>0</v>
      </c>
      <c r="D240" s="135">
        <v>0</v>
      </c>
      <c r="E240" s="135">
        <v>0</v>
      </c>
      <c r="F240" s="135">
        <v>0</v>
      </c>
      <c r="G240" s="135">
        <v>0</v>
      </c>
      <c r="H240" s="135">
        <v>0</v>
      </c>
      <c r="I240" s="135">
        <v>0</v>
      </c>
      <c r="J240" s="135">
        <v>0</v>
      </c>
      <c r="K240" s="135">
        <v>100000</v>
      </c>
      <c r="L240" s="135">
        <v>0</v>
      </c>
      <c r="M240" s="135">
        <v>0</v>
      </c>
      <c r="N240" s="135">
        <v>0</v>
      </c>
      <c r="O240" s="135">
        <v>0</v>
      </c>
      <c r="P240" s="135">
        <v>0</v>
      </c>
      <c r="Q240" s="135">
        <v>0</v>
      </c>
      <c r="R240" s="135">
        <v>0</v>
      </c>
      <c r="S240" s="135">
        <f>+R240+Q240+P240+O240+N240+M240+L240+K240+J240+I240+H240+G240+F240+E240+D240+C240</f>
        <v>100000</v>
      </c>
      <c r="T240" s="135"/>
      <c r="U240" s="135">
        <f>+S240-T240</f>
        <v>100000</v>
      </c>
    </row>
    <row r="241" spans="1:21" s="176" customFormat="1" ht="15.75" x14ac:dyDescent="0.3">
      <c r="A241" s="161">
        <f>+A240+1</f>
        <v>1</v>
      </c>
      <c r="B241" s="162" t="s">
        <v>39</v>
      </c>
      <c r="C241" s="135">
        <v>9000</v>
      </c>
      <c r="D241" s="135">
        <v>1000</v>
      </c>
      <c r="E241" s="135">
        <v>1000</v>
      </c>
      <c r="F241" s="135">
        <v>4000</v>
      </c>
      <c r="G241" s="135">
        <v>25000</v>
      </c>
      <c r="H241" s="135"/>
      <c r="I241" s="135">
        <v>75000</v>
      </c>
      <c r="J241" s="135"/>
      <c r="K241" s="135"/>
      <c r="L241" s="135"/>
      <c r="M241" s="135">
        <v>500000</v>
      </c>
      <c r="N241" s="135"/>
      <c r="O241" s="135"/>
      <c r="P241" s="135"/>
      <c r="Q241" s="135"/>
      <c r="R241" s="135"/>
      <c r="S241" s="135">
        <f t="shared" ref="S241:S281" si="24">+R241+Q241+P241+O241+N241+M241+L241+K241+J241+I241+H241+G241+F241+E241+D241+C241</f>
        <v>615000</v>
      </c>
      <c r="T241" s="135"/>
      <c r="U241" s="135">
        <f t="shared" ref="U241:U281" si="25">+S241-T241</f>
        <v>615000</v>
      </c>
    </row>
    <row r="242" spans="1:21" s="176" customFormat="1" ht="15.75" x14ac:dyDescent="0.3">
      <c r="A242" s="161">
        <f t="shared" ref="A242:A281" si="26">+A241+1</f>
        <v>2</v>
      </c>
      <c r="B242" s="162" t="s">
        <v>43</v>
      </c>
      <c r="C242" s="135">
        <v>9000</v>
      </c>
      <c r="D242" s="135">
        <v>1000</v>
      </c>
      <c r="E242" s="135">
        <v>1000</v>
      </c>
      <c r="F242" s="135">
        <v>4000</v>
      </c>
      <c r="G242" s="135">
        <v>25000</v>
      </c>
      <c r="H242" s="135"/>
      <c r="I242" s="135"/>
      <c r="J242" s="135"/>
      <c r="K242" s="135">
        <v>100000</v>
      </c>
      <c r="L242" s="135">
        <v>51000</v>
      </c>
      <c r="M242" s="135"/>
      <c r="N242" s="135"/>
      <c r="O242" s="135"/>
      <c r="P242" s="135"/>
      <c r="Q242" s="135"/>
      <c r="R242" s="135"/>
      <c r="S242" s="135">
        <f t="shared" si="24"/>
        <v>191000</v>
      </c>
      <c r="T242" s="135">
        <v>51000</v>
      </c>
      <c r="U242" s="135">
        <f t="shared" si="25"/>
        <v>140000</v>
      </c>
    </row>
    <row r="243" spans="1:21" s="176" customFormat="1" ht="15.75" x14ac:dyDescent="0.3">
      <c r="A243" s="161">
        <f t="shared" si="26"/>
        <v>3</v>
      </c>
      <c r="B243" s="162" t="s">
        <v>89</v>
      </c>
      <c r="C243" s="135">
        <v>9000</v>
      </c>
      <c r="D243" s="135">
        <v>1000</v>
      </c>
      <c r="E243" s="135">
        <v>1000</v>
      </c>
      <c r="F243" s="135">
        <v>4000</v>
      </c>
      <c r="G243" s="135">
        <v>25000</v>
      </c>
      <c r="H243" s="135"/>
      <c r="I243" s="135"/>
      <c r="J243" s="135"/>
      <c r="K243" s="135"/>
      <c r="L243" s="135"/>
      <c r="M243" s="135"/>
      <c r="N243" s="135"/>
      <c r="O243" s="135">
        <v>3000</v>
      </c>
      <c r="P243" s="135"/>
      <c r="Q243" s="135"/>
      <c r="R243" s="135"/>
      <c r="S243" s="135">
        <f t="shared" si="24"/>
        <v>43000</v>
      </c>
      <c r="T243" s="135">
        <v>43000</v>
      </c>
      <c r="U243" s="135">
        <f t="shared" si="25"/>
        <v>0</v>
      </c>
    </row>
    <row r="244" spans="1:21" s="176" customFormat="1" ht="15.75" x14ac:dyDescent="0.3">
      <c r="A244" s="161">
        <f t="shared" si="26"/>
        <v>4</v>
      </c>
      <c r="B244" s="162" t="s">
        <v>90</v>
      </c>
      <c r="C244" s="135">
        <v>13000</v>
      </c>
      <c r="D244" s="135">
        <v>1000</v>
      </c>
      <c r="E244" s="135">
        <v>1000</v>
      </c>
      <c r="F244" s="135">
        <v>4000</v>
      </c>
      <c r="G244" s="135">
        <v>25000</v>
      </c>
      <c r="H244" s="135">
        <v>31000</v>
      </c>
      <c r="I244" s="135">
        <v>75000</v>
      </c>
      <c r="J244" s="135">
        <v>202000</v>
      </c>
      <c r="K244" s="135"/>
      <c r="L244" s="135"/>
      <c r="M244" s="135"/>
      <c r="N244" s="135"/>
      <c r="O244" s="135"/>
      <c r="P244" s="135"/>
      <c r="Q244" s="135"/>
      <c r="R244" s="135"/>
      <c r="S244" s="135">
        <f t="shared" si="24"/>
        <v>352000</v>
      </c>
      <c r="T244" s="135"/>
      <c r="U244" s="135">
        <f t="shared" si="25"/>
        <v>352000</v>
      </c>
    </row>
    <row r="245" spans="1:21" s="176" customFormat="1" ht="15.75" x14ac:dyDescent="0.3">
      <c r="A245" s="161">
        <f t="shared" si="26"/>
        <v>5</v>
      </c>
      <c r="B245" s="162" t="s">
        <v>91</v>
      </c>
      <c r="C245" s="135">
        <v>43500</v>
      </c>
      <c r="D245" s="135">
        <v>1000</v>
      </c>
      <c r="E245" s="135">
        <v>1000</v>
      </c>
      <c r="F245" s="135">
        <v>4000</v>
      </c>
      <c r="G245" s="135">
        <v>25000</v>
      </c>
      <c r="H245" s="135"/>
      <c r="I245" s="135">
        <v>75000</v>
      </c>
      <c r="J245" s="135">
        <v>39000</v>
      </c>
      <c r="K245" s="135">
        <v>200000</v>
      </c>
      <c r="L245" s="135">
        <v>202000</v>
      </c>
      <c r="M245" s="135">
        <v>1000000</v>
      </c>
      <c r="N245" s="135"/>
      <c r="O245" s="135"/>
      <c r="P245" s="135"/>
      <c r="Q245" s="135"/>
      <c r="R245" s="135"/>
      <c r="S245" s="135">
        <f t="shared" si="24"/>
        <v>1590500</v>
      </c>
      <c r="T245" s="135"/>
      <c r="U245" s="135">
        <f t="shared" si="25"/>
        <v>1590500</v>
      </c>
    </row>
    <row r="246" spans="1:21" s="176" customFormat="1" ht="15.75" x14ac:dyDescent="0.3">
      <c r="A246" s="161">
        <f t="shared" si="26"/>
        <v>6</v>
      </c>
      <c r="B246" s="162" t="s">
        <v>92</v>
      </c>
      <c r="C246" s="135">
        <v>9000</v>
      </c>
      <c r="D246" s="135">
        <v>1000</v>
      </c>
      <c r="E246" s="135">
        <v>1000</v>
      </c>
      <c r="F246" s="135">
        <v>4000</v>
      </c>
      <c r="G246" s="135">
        <v>25000</v>
      </c>
      <c r="H246" s="135"/>
      <c r="I246" s="135"/>
      <c r="J246" s="135"/>
      <c r="K246" s="135"/>
      <c r="L246" s="135"/>
      <c r="M246" s="135"/>
      <c r="N246" s="135"/>
      <c r="O246" s="135"/>
      <c r="P246" s="135"/>
      <c r="Q246" s="135"/>
      <c r="R246" s="135"/>
      <c r="S246" s="135">
        <f t="shared" si="24"/>
        <v>40000</v>
      </c>
      <c r="T246" s="135"/>
      <c r="U246" s="135">
        <f t="shared" si="25"/>
        <v>40000</v>
      </c>
    </row>
    <row r="247" spans="1:21" s="176" customFormat="1" ht="15.75" x14ac:dyDescent="0.3">
      <c r="A247" s="161">
        <f t="shared" si="26"/>
        <v>7</v>
      </c>
      <c r="B247" s="162" t="s">
        <v>93</v>
      </c>
      <c r="C247" s="135">
        <v>9000</v>
      </c>
      <c r="D247" s="135">
        <v>1000</v>
      </c>
      <c r="E247" s="135">
        <v>1000</v>
      </c>
      <c r="F247" s="135">
        <v>4000</v>
      </c>
      <c r="G247" s="135">
        <v>25000</v>
      </c>
      <c r="H247" s="135">
        <v>0</v>
      </c>
      <c r="I247" s="135">
        <v>0</v>
      </c>
      <c r="J247" s="135">
        <v>0</v>
      </c>
      <c r="K247" s="135">
        <v>0</v>
      </c>
      <c r="L247" s="135">
        <v>0</v>
      </c>
      <c r="M247" s="135">
        <v>0</v>
      </c>
      <c r="N247" s="135">
        <v>0</v>
      </c>
      <c r="O247" s="135">
        <v>0</v>
      </c>
      <c r="P247" s="135">
        <v>0</v>
      </c>
      <c r="Q247" s="135">
        <v>0</v>
      </c>
      <c r="R247" s="135">
        <v>0</v>
      </c>
      <c r="S247" s="135">
        <f t="shared" si="24"/>
        <v>40000</v>
      </c>
      <c r="T247" s="135"/>
      <c r="U247" s="135">
        <f t="shared" si="25"/>
        <v>40000</v>
      </c>
    </row>
    <row r="248" spans="1:21" s="176" customFormat="1" ht="15.75" x14ac:dyDescent="0.3">
      <c r="A248" s="161">
        <f t="shared" si="26"/>
        <v>8</v>
      </c>
      <c r="B248" s="162" t="s">
        <v>114</v>
      </c>
      <c r="C248" s="135">
        <v>0</v>
      </c>
      <c r="D248" s="135">
        <v>0</v>
      </c>
      <c r="E248" s="135">
        <v>0</v>
      </c>
      <c r="F248" s="135">
        <v>0</v>
      </c>
      <c r="G248" s="135">
        <v>0</v>
      </c>
      <c r="H248" s="135">
        <v>0</v>
      </c>
      <c r="I248" s="135">
        <v>0</v>
      </c>
      <c r="J248" s="135">
        <v>0</v>
      </c>
      <c r="K248" s="135">
        <v>0</v>
      </c>
      <c r="L248" s="135">
        <v>0</v>
      </c>
      <c r="M248" s="135">
        <v>0</v>
      </c>
      <c r="N248" s="135">
        <v>0</v>
      </c>
      <c r="O248" s="135">
        <v>0</v>
      </c>
      <c r="P248" s="135">
        <v>0</v>
      </c>
      <c r="Q248" s="135">
        <v>0</v>
      </c>
      <c r="R248" s="135">
        <v>0</v>
      </c>
      <c r="S248" s="135">
        <f t="shared" si="24"/>
        <v>0</v>
      </c>
      <c r="T248" s="135"/>
      <c r="U248" s="135">
        <f t="shared" si="25"/>
        <v>0</v>
      </c>
    </row>
    <row r="249" spans="1:21" s="176" customFormat="1" ht="15.75" x14ac:dyDescent="0.3">
      <c r="A249" s="161">
        <f t="shared" si="26"/>
        <v>9</v>
      </c>
      <c r="B249" s="162" t="s">
        <v>42</v>
      </c>
      <c r="C249" s="135">
        <v>9000</v>
      </c>
      <c r="D249" s="135">
        <v>1000</v>
      </c>
      <c r="E249" s="135">
        <v>1000</v>
      </c>
      <c r="F249" s="135">
        <v>4000</v>
      </c>
      <c r="G249" s="135">
        <v>25000</v>
      </c>
      <c r="H249" s="135"/>
      <c r="I249" s="135">
        <v>75000</v>
      </c>
      <c r="J249" s="135"/>
      <c r="K249" s="135"/>
      <c r="L249" s="135"/>
      <c r="M249" s="135"/>
      <c r="N249" s="135"/>
      <c r="O249" s="135"/>
      <c r="P249" s="135"/>
      <c r="Q249" s="135"/>
      <c r="R249" s="135"/>
      <c r="S249" s="135">
        <f t="shared" si="24"/>
        <v>115000</v>
      </c>
      <c r="T249" s="135"/>
      <c r="U249" s="135">
        <f t="shared" si="25"/>
        <v>115000</v>
      </c>
    </row>
    <row r="250" spans="1:21" s="176" customFormat="1" ht="15.75" x14ac:dyDescent="0.3">
      <c r="A250" s="161">
        <f t="shared" si="26"/>
        <v>10</v>
      </c>
      <c r="B250" s="162" t="s">
        <v>37</v>
      </c>
      <c r="C250" s="135">
        <v>44000</v>
      </c>
      <c r="D250" s="135">
        <v>1000</v>
      </c>
      <c r="E250" s="135">
        <v>1000</v>
      </c>
      <c r="F250" s="135">
        <v>4000</v>
      </c>
      <c r="G250" s="135">
        <v>25000</v>
      </c>
      <c r="H250" s="135"/>
      <c r="I250" s="135">
        <v>75000</v>
      </c>
      <c r="J250" s="135"/>
      <c r="K250" s="135">
        <v>100000</v>
      </c>
      <c r="L250" s="135"/>
      <c r="M250" s="135"/>
      <c r="N250" s="135"/>
      <c r="O250" s="135"/>
      <c r="P250" s="135"/>
      <c r="Q250" s="135"/>
      <c r="R250" s="135"/>
      <c r="S250" s="135">
        <f t="shared" si="24"/>
        <v>250000</v>
      </c>
      <c r="T250" s="135"/>
      <c r="U250" s="135">
        <f t="shared" si="25"/>
        <v>250000</v>
      </c>
    </row>
    <row r="251" spans="1:21" s="176" customFormat="1" ht="15.75" x14ac:dyDescent="0.3">
      <c r="A251" s="161">
        <f t="shared" si="26"/>
        <v>11</v>
      </c>
      <c r="B251" s="162" t="s">
        <v>94</v>
      </c>
      <c r="C251" s="135">
        <v>9000</v>
      </c>
      <c r="D251" s="135">
        <v>1000</v>
      </c>
      <c r="E251" s="135">
        <v>1000</v>
      </c>
      <c r="F251" s="135">
        <v>4000</v>
      </c>
      <c r="G251" s="135">
        <v>25000</v>
      </c>
      <c r="H251" s="135"/>
      <c r="I251" s="135"/>
      <c r="J251" s="135"/>
      <c r="K251" s="135">
        <v>100000</v>
      </c>
      <c r="L251" s="135"/>
      <c r="M251" s="135"/>
      <c r="N251" s="135"/>
      <c r="O251" s="135"/>
      <c r="P251" s="135"/>
      <c r="Q251" s="135"/>
      <c r="R251" s="135"/>
      <c r="S251" s="135">
        <f t="shared" si="24"/>
        <v>140000</v>
      </c>
      <c r="T251" s="135"/>
      <c r="U251" s="135">
        <f t="shared" si="25"/>
        <v>140000</v>
      </c>
    </row>
    <row r="252" spans="1:21" s="176" customFormat="1" ht="15.75" x14ac:dyDescent="0.3">
      <c r="A252" s="161">
        <f t="shared" si="26"/>
        <v>12</v>
      </c>
      <c r="B252" s="162" t="s">
        <v>95</v>
      </c>
      <c r="C252" s="135">
        <v>9000</v>
      </c>
      <c r="D252" s="135">
        <v>1000</v>
      </c>
      <c r="E252" s="135">
        <v>1000</v>
      </c>
      <c r="F252" s="135">
        <v>4000</v>
      </c>
      <c r="G252" s="135">
        <v>25000</v>
      </c>
      <c r="H252" s="135"/>
      <c r="I252" s="135">
        <v>75000</v>
      </c>
      <c r="J252" s="135"/>
      <c r="K252" s="135">
        <v>100000</v>
      </c>
      <c r="L252" s="135"/>
      <c r="M252" s="135">
        <v>1000000</v>
      </c>
      <c r="N252" s="135"/>
      <c r="O252" s="135"/>
      <c r="P252" s="135"/>
      <c r="Q252" s="135"/>
      <c r="R252" s="135"/>
      <c r="S252" s="135">
        <f t="shared" si="24"/>
        <v>1215000</v>
      </c>
      <c r="T252" s="135"/>
      <c r="U252" s="135">
        <f t="shared" si="25"/>
        <v>1215000</v>
      </c>
    </row>
    <row r="253" spans="1:21" s="176" customFormat="1" ht="15.75" x14ac:dyDescent="0.3">
      <c r="A253" s="161">
        <f t="shared" si="26"/>
        <v>13</v>
      </c>
      <c r="B253" s="162" t="s">
        <v>96</v>
      </c>
      <c r="C253" s="135">
        <v>9000</v>
      </c>
      <c r="D253" s="135">
        <v>1000</v>
      </c>
      <c r="E253" s="135">
        <v>1000</v>
      </c>
      <c r="F253" s="135">
        <v>4000</v>
      </c>
      <c r="G253" s="135">
        <v>25000</v>
      </c>
      <c r="H253" s="135"/>
      <c r="I253" s="135"/>
      <c r="J253" s="135"/>
      <c r="K253" s="135"/>
      <c r="L253" s="135"/>
      <c r="M253" s="135"/>
      <c r="N253" s="135"/>
      <c r="O253" s="135"/>
      <c r="P253" s="135"/>
      <c r="Q253" s="135"/>
      <c r="R253" s="135"/>
      <c r="S253" s="135">
        <f t="shared" si="24"/>
        <v>40000</v>
      </c>
      <c r="T253" s="135"/>
      <c r="U253" s="135">
        <f t="shared" si="25"/>
        <v>40000</v>
      </c>
    </row>
    <row r="254" spans="1:21" s="176" customFormat="1" ht="15.75" x14ac:dyDescent="0.3">
      <c r="A254" s="161">
        <f t="shared" si="26"/>
        <v>14</v>
      </c>
      <c r="B254" s="162" t="s">
        <v>97</v>
      </c>
      <c r="C254" s="135">
        <v>8000</v>
      </c>
      <c r="D254" s="135">
        <v>1000</v>
      </c>
      <c r="E254" s="135">
        <v>1000</v>
      </c>
      <c r="F254" s="135">
        <v>4000</v>
      </c>
      <c r="G254" s="135">
        <v>25000</v>
      </c>
      <c r="H254" s="135"/>
      <c r="I254" s="135">
        <v>75000</v>
      </c>
      <c r="J254" s="135"/>
      <c r="K254" s="135">
        <v>100000</v>
      </c>
      <c r="L254" s="135"/>
      <c r="M254" s="135"/>
      <c r="N254" s="135"/>
      <c r="O254" s="135"/>
      <c r="P254" s="135"/>
      <c r="Q254" s="135"/>
      <c r="R254" s="135"/>
      <c r="S254" s="135">
        <f t="shared" si="24"/>
        <v>214000</v>
      </c>
      <c r="T254" s="135"/>
      <c r="U254" s="135">
        <f t="shared" si="25"/>
        <v>214000</v>
      </c>
    </row>
    <row r="255" spans="1:21" s="176" customFormat="1" ht="15.75" x14ac:dyDescent="0.3">
      <c r="A255" s="161">
        <f t="shared" si="26"/>
        <v>15</v>
      </c>
      <c r="B255" s="162" t="s">
        <v>98</v>
      </c>
      <c r="C255" s="135">
        <v>9000</v>
      </c>
      <c r="D255" s="135">
        <v>1000</v>
      </c>
      <c r="E255" s="135">
        <v>1000</v>
      </c>
      <c r="F255" s="135">
        <v>4000</v>
      </c>
      <c r="G255" s="135">
        <v>25000</v>
      </c>
      <c r="H255" s="135"/>
      <c r="I255" s="135"/>
      <c r="J255" s="135"/>
      <c r="K255" s="135"/>
      <c r="L255" s="135"/>
      <c r="M255" s="135"/>
      <c r="N255" s="135"/>
      <c r="O255" s="135"/>
      <c r="P255" s="135"/>
      <c r="Q255" s="135"/>
      <c r="R255" s="135"/>
      <c r="S255" s="135">
        <f t="shared" si="24"/>
        <v>40000</v>
      </c>
      <c r="T255" s="135"/>
      <c r="U255" s="135">
        <f t="shared" si="25"/>
        <v>40000</v>
      </c>
    </row>
    <row r="256" spans="1:21" s="176" customFormat="1" ht="15.75" x14ac:dyDescent="0.3">
      <c r="A256" s="161">
        <f t="shared" si="26"/>
        <v>16</v>
      </c>
      <c r="B256" s="162" t="s">
        <v>99</v>
      </c>
      <c r="C256" s="135">
        <v>9000</v>
      </c>
      <c r="D256" s="135">
        <v>1000</v>
      </c>
      <c r="E256" s="135">
        <v>1000</v>
      </c>
      <c r="F256" s="135">
        <v>4000</v>
      </c>
      <c r="G256" s="135">
        <v>25000</v>
      </c>
      <c r="H256" s="135"/>
      <c r="I256" s="135">
        <v>75000</v>
      </c>
      <c r="J256" s="135"/>
      <c r="K256" s="135"/>
      <c r="L256" s="135"/>
      <c r="M256" s="135"/>
      <c r="N256" s="135"/>
      <c r="O256" s="135"/>
      <c r="P256" s="135"/>
      <c r="Q256" s="135"/>
      <c r="R256" s="135"/>
      <c r="S256" s="135">
        <f t="shared" si="24"/>
        <v>115000</v>
      </c>
      <c r="T256" s="135"/>
      <c r="U256" s="135">
        <f t="shared" si="25"/>
        <v>115000</v>
      </c>
    </row>
    <row r="257" spans="1:21" s="176" customFormat="1" ht="15.75" x14ac:dyDescent="0.3">
      <c r="A257" s="161">
        <f t="shared" si="26"/>
        <v>17</v>
      </c>
      <c r="B257" s="162" t="s">
        <v>100</v>
      </c>
      <c r="C257" s="135">
        <v>19000</v>
      </c>
      <c r="D257" s="135">
        <v>1000</v>
      </c>
      <c r="E257" s="135">
        <v>1000</v>
      </c>
      <c r="F257" s="135">
        <v>4000</v>
      </c>
      <c r="G257" s="135">
        <v>25000</v>
      </c>
      <c r="H257" s="135"/>
      <c r="I257" s="135"/>
      <c r="J257" s="135"/>
      <c r="K257" s="135">
        <v>200000</v>
      </c>
      <c r="L257" s="135">
        <v>202000</v>
      </c>
      <c r="M257" s="135"/>
      <c r="N257" s="135"/>
      <c r="O257" s="135"/>
      <c r="P257" s="135"/>
      <c r="Q257" s="135"/>
      <c r="R257" s="135"/>
      <c r="S257" s="135">
        <f t="shared" si="24"/>
        <v>452000</v>
      </c>
      <c r="T257" s="135"/>
      <c r="U257" s="135">
        <f t="shared" si="25"/>
        <v>452000</v>
      </c>
    </row>
    <row r="258" spans="1:21" s="176" customFormat="1" ht="15.75" x14ac:dyDescent="0.3">
      <c r="A258" s="161">
        <f t="shared" si="26"/>
        <v>18</v>
      </c>
      <c r="B258" s="162" t="s">
        <v>38</v>
      </c>
      <c r="C258" s="135">
        <v>9000</v>
      </c>
      <c r="D258" s="135">
        <v>1000</v>
      </c>
      <c r="E258" s="135">
        <v>1000</v>
      </c>
      <c r="F258" s="135">
        <v>4000</v>
      </c>
      <c r="G258" s="135">
        <v>25000</v>
      </c>
      <c r="H258" s="135"/>
      <c r="I258" s="135">
        <v>75000</v>
      </c>
      <c r="J258" s="135"/>
      <c r="K258" s="135">
        <v>100000</v>
      </c>
      <c r="L258" s="135"/>
      <c r="M258" s="135"/>
      <c r="N258" s="135"/>
      <c r="O258" s="135"/>
      <c r="P258" s="135"/>
      <c r="Q258" s="135"/>
      <c r="R258" s="135"/>
      <c r="S258" s="135">
        <f t="shared" si="24"/>
        <v>215000</v>
      </c>
      <c r="T258" s="135"/>
      <c r="U258" s="135">
        <f t="shared" si="25"/>
        <v>215000</v>
      </c>
    </row>
    <row r="259" spans="1:21" s="176" customFormat="1" ht="15.75" x14ac:dyDescent="0.3">
      <c r="A259" s="161">
        <f t="shared" si="26"/>
        <v>19</v>
      </c>
      <c r="B259" s="162" t="s">
        <v>101</v>
      </c>
      <c r="C259" s="135">
        <v>18000</v>
      </c>
      <c r="D259" s="135">
        <v>1000</v>
      </c>
      <c r="E259" s="135">
        <v>1000</v>
      </c>
      <c r="F259" s="135">
        <v>4000</v>
      </c>
      <c r="G259" s="135">
        <v>25000</v>
      </c>
      <c r="H259" s="135"/>
      <c r="I259" s="135">
        <v>150000</v>
      </c>
      <c r="J259" s="135">
        <v>51000</v>
      </c>
      <c r="K259" s="135">
        <v>100000</v>
      </c>
      <c r="L259" s="135"/>
      <c r="M259" s="135"/>
      <c r="N259" s="135"/>
      <c r="O259" s="135"/>
      <c r="P259" s="135"/>
      <c r="Q259" s="135"/>
      <c r="R259" s="135"/>
      <c r="S259" s="135">
        <f t="shared" si="24"/>
        <v>350000</v>
      </c>
      <c r="T259" s="135"/>
      <c r="U259" s="135">
        <f t="shared" si="25"/>
        <v>350000</v>
      </c>
    </row>
    <row r="260" spans="1:21" s="176" customFormat="1" ht="15.75" x14ac:dyDescent="0.3">
      <c r="A260" s="161">
        <f t="shared" si="26"/>
        <v>20</v>
      </c>
      <c r="B260" s="162" t="s">
        <v>102</v>
      </c>
      <c r="C260" s="135">
        <v>9000</v>
      </c>
      <c r="D260" s="135">
        <v>1000</v>
      </c>
      <c r="E260" s="135">
        <v>1000</v>
      </c>
      <c r="F260" s="135">
        <v>4000</v>
      </c>
      <c r="G260" s="135">
        <v>25000</v>
      </c>
      <c r="H260" s="135"/>
      <c r="I260" s="135"/>
      <c r="J260" s="135"/>
      <c r="K260" s="135"/>
      <c r="L260" s="135"/>
      <c r="M260" s="135"/>
      <c r="N260" s="135"/>
      <c r="O260" s="135"/>
      <c r="P260" s="135"/>
      <c r="Q260" s="135"/>
      <c r="R260" s="135"/>
      <c r="S260" s="135">
        <f t="shared" si="24"/>
        <v>40000</v>
      </c>
      <c r="T260" s="135"/>
      <c r="U260" s="135">
        <f t="shared" si="25"/>
        <v>40000</v>
      </c>
    </row>
    <row r="261" spans="1:21" s="176" customFormat="1" ht="15.75" x14ac:dyDescent="0.3">
      <c r="A261" s="161">
        <f t="shared" si="26"/>
        <v>21</v>
      </c>
      <c r="B261" s="162" t="s">
        <v>109</v>
      </c>
      <c r="C261" s="135">
        <v>0</v>
      </c>
      <c r="D261" s="135">
        <v>0</v>
      </c>
      <c r="E261" s="135">
        <v>0</v>
      </c>
      <c r="F261" s="135">
        <v>0</v>
      </c>
      <c r="G261" s="135">
        <v>0</v>
      </c>
      <c r="H261" s="135">
        <v>0</v>
      </c>
      <c r="I261" s="135">
        <v>0</v>
      </c>
      <c r="J261" s="135">
        <v>0</v>
      </c>
      <c r="K261" s="135">
        <v>0</v>
      </c>
      <c r="L261" s="135">
        <v>0</v>
      </c>
      <c r="M261" s="135">
        <v>0</v>
      </c>
      <c r="N261" s="135">
        <v>0</v>
      </c>
      <c r="O261" s="135">
        <v>0</v>
      </c>
      <c r="P261" s="135">
        <v>0</v>
      </c>
      <c r="Q261" s="135">
        <v>0</v>
      </c>
      <c r="R261" s="135">
        <v>0</v>
      </c>
      <c r="S261" s="135">
        <f t="shared" si="24"/>
        <v>0</v>
      </c>
      <c r="T261" s="135"/>
      <c r="U261" s="135">
        <f t="shared" si="25"/>
        <v>0</v>
      </c>
    </row>
    <row r="262" spans="1:21" s="176" customFormat="1" ht="15.75" x14ac:dyDescent="0.3">
      <c r="A262" s="161">
        <f t="shared" si="26"/>
        <v>22</v>
      </c>
      <c r="B262" s="162" t="s">
        <v>166</v>
      </c>
      <c r="C262" s="135">
        <v>14000</v>
      </c>
      <c r="D262" s="135">
        <v>1000</v>
      </c>
      <c r="E262" s="135">
        <v>1000</v>
      </c>
      <c r="F262" s="135">
        <v>4000</v>
      </c>
      <c r="G262" s="135">
        <v>25000</v>
      </c>
      <c r="H262" s="135"/>
      <c r="I262" s="135"/>
      <c r="J262" s="135"/>
      <c r="K262" s="135"/>
      <c r="L262" s="135"/>
      <c r="M262" s="135"/>
      <c r="N262" s="135"/>
      <c r="O262" s="135"/>
      <c r="P262" s="135"/>
      <c r="Q262" s="135"/>
      <c r="R262" s="135"/>
      <c r="S262" s="135">
        <f t="shared" si="24"/>
        <v>45000</v>
      </c>
      <c r="T262" s="135"/>
      <c r="U262" s="135">
        <f t="shared" si="25"/>
        <v>45000</v>
      </c>
    </row>
    <row r="263" spans="1:21" s="176" customFormat="1" ht="15.75" x14ac:dyDescent="0.3">
      <c r="A263" s="161">
        <f t="shared" si="26"/>
        <v>23</v>
      </c>
      <c r="B263" s="162" t="s">
        <v>41</v>
      </c>
      <c r="C263" s="135">
        <v>9000</v>
      </c>
      <c r="D263" s="135">
        <v>1000</v>
      </c>
      <c r="E263" s="135">
        <v>1000</v>
      </c>
      <c r="F263" s="135">
        <v>4000</v>
      </c>
      <c r="G263" s="135">
        <v>25000</v>
      </c>
      <c r="H263" s="135"/>
      <c r="I263" s="135">
        <v>75000</v>
      </c>
      <c r="J263" s="135"/>
      <c r="K263" s="135"/>
      <c r="L263" s="135"/>
      <c r="M263" s="135"/>
      <c r="N263" s="135"/>
      <c r="O263" s="135"/>
      <c r="P263" s="135"/>
      <c r="Q263" s="135"/>
      <c r="R263" s="135"/>
      <c r="S263" s="135">
        <f t="shared" si="24"/>
        <v>115000</v>
      </c>
      <c r="T263" s="135"/>
      <c r="U263" s="135">
        <f t="shared" si="25"/>
        <v>115000</v>
      </c>
    </row>
    <row r="264" spans="1:21" s="176" customFormat="1" ht="15.75" x14ac:dyDescent="0.3">
      <c r="A264" s="161">
        <f t="shared" si="26"/>
        <v>24</v>
      </c>
      <c r="B264" s="162" t="s">
        <v>165</v>
      </c>
      <c r="C264" s="135">
        <v>9000</v>
      </c>
      <c r="D264" s="135">
        <v>1000</v>
      </c>
      <c r="E264" s="135">
        <v>1000</v>
      </c>
      <c r="F264" s="135">
        <v>4000</v>
      </c>
      <c r="G264" s="135">
        <v>25000</v>
      </c>
      <c r="H264" s="135"/>
      <c r="I264" s="135"/>
      <c r="J264" s="135"/>
      <c r="K264" s="135"/>
      <c r="L264" s="135"/>
      <c r="M264" s="135"/>
      <c r="N264" s="135"/>
      <c r="O264" s="135"/>
      <c r="P264" s="135"/>
      <c r="Q264" s="135"/>
      <c r="R264" s="135"/>
      <c r="S264" s="135">
        <f t="shared" si="24"/>
        <v>40000</v>
      </c>
      <c r="T264" s="135"/>
      <c r="U264" s="135">
        <f t="shared" si="25"/>
        <v>40000</v>
      </c>
    </row>
    <row r="265" spans="1:21" s="176" customFormat="1" ht="15.75" x14ac:dyDescent="0.3">
      <c r="A265" s="161">
        <f t="shared" si="26"/>
        <v>25</v>
      </c>
      <c r="B265" s="162" t="s">
        <v>46</v>
      </c>
      <c r="C265" s="135">
        <v>9000</v>
      </c>
      <c r="D265" s="135">
        <v>1000</v>
      </c>
      <c r="E265" s="135">
        <v>1000</v>
      </c>
      <c r="F265" s="135">
        <v>4000</v>
      </c>
      <c r="G265" s="135">
        <v>25000</v>
      </c>
      <c r="H265" s="135"/>
      <c r="I265" s="135">
        <v>75000</v>
      </c>
      <c r="J265" s="135"/>
      <c r="K265" s="135"/>
      <c r="L265" s="135"/>
      <c r="M265" s="135"/>
      <c r="N265" s="135"/>
      <c r="O265" s="135"/>
      <c r="P265" s="135"/>
      <c r="Q265" s="135"/>
      <c r="R265" s="135"/>
      <c r="S265" s="135">
        <f t="shared" si="24"/>
        <v>115000</v>
      </c>
      <c r="T265" s="135"/>
      <c r="U265" s="135">
        <f t="shared" si="25"/>
        <v>115000</v>
      </c>
    </row>
    <row r="266" spans="1:21" s="176" customFormat="1" ht="15.75" x14ac:dyDescent="0.3">
      <c r="A266" s="161">
        <f t="shared" si="26"/>
        <v>26</v>
      </c>
      <c r="B266" s="162" t="s">
        <v>104</v>
      </c>
      <c r="C266" s="135">
        <v>0</v>
      </c>
      <c r="D266" s="135">
        <v>0</v>
      </c>
      <c r="E266" s="135">
        <v>0</v>
      </c>
      <c r="F266" s="135">
        <v>0</v>
      </c>
      <c r="G266" s="135">
        <v>0</v>
      </c>
      <c r="H266" s="135">
        <v>0</v>
      </c>
      <c r="I266" s="135">
        <v>0</v>
      </c>
      <c r="J266" s="135">
        <v>0</v>
      </c>
      <c r="K266" s="135">
        <v>0</v>
      </c>
      <c r="L266" s="135">
        <v>0</v>
      </c>
      <c r="M266" s="135">
        <v>0</v>
      </c>
      <c r="N266" s="135">
        <v>0</v>
      </c>
      <c r="O266" s="135">
        <v>0</v>
      </c>
      <c r="P266" s="135">
        <v>0</v>
      </c>
      <c r="Q266" s="135">
        <v>0</v>
      </c>
      <c r="R266" s="135">
        <v>0</v>
      </c>
      <c r="S266" s="135">
        <f t="shared" si="24"/>
        <v>0</v>
      </c>
      <c r="T266" s="135"/>
      <c r="U266" s="135">
        <f t="shared" si="25"/>
        <v>0</v>
      </c>
    </row>
    <row r="267" spans="1:21" s="176" customFormat="1" ht="15.75" x14ac:dyDescent="0.3">
      <c r="A267" s="161">
        <f t="shared" si="26"/>
        <v>27</v>
      </c>
      <c r="B267" s="162" t="s">
        <v>40</v>
      </c>
      <c r="C267" s="135">
        <v>9000</v>
      </c>
      <c r="D267" s="135">
        <v>1000</v>
      </c>
      <c r="E267" s="135">
        <v>1000</v>
      </c>
      <c r="F267" s="135">
        <v>4000</v>
      </c>
      <c r="G267" s="135">
        <v>25000</v>
      </c>
      <c r="H267" s="135"/>
      <c r="I267" s="135"/>
      <c r="J267" s="135"/>
      <c r="K267" s="135">
        <v>100000</v>
      </c>
      <c r="L267" s="135"/>
      <c r="M267" s="135"/>
      <c r="N267" s="135"/>
      <c r="O267" s="135"/>
      <c r="P267" s="135"/>
      <c r="Q267" s="135"/>
      <c r="R267" s="135"/>
      <c r="S267" s="135">
        <f t="shared" si="24"/>
        <v>140000</v>
      </c>
      <c r="T267" s="135"/>
      <c r="U267" s="135">
        <f t="shared" si="25"/>
        <v>140000</v>
      </c>
    </row>
    <row r="268" spans="1:21" s="176" customFormat="1" ht="15.75" x14ac:dyDescent="0.3">
      <c r="A268" s="161">
        <f t="shared" si="26"/>
        <v>28</v>
      </c>
      <c r="B268" s="162" t="s">
        <v>105</v>
      </c>
      <c r="C268" s="135">
        <v>9000</v>
      </c>
      <c r="D268" s="135">
        <v>1000</v>
      </c>
      <c r="E268" s="135">
        <v>1000</v>
      </c>
      <c r="F268" s="135">
        <v>4000</v>
      </c>
      <c r="G268" s="135">
        <v>25000</v>
      </c>
      <c r="H268" s="135"/>
      <c r="I268" s="135">
        <v>75000</v>
      </c>
      <c r="J268" s="135">
        <v>202000</v>
      </c>
      <c r="K268" s="135"/>
      <c r="L268" s="135"/>
      <c r="M268" s="135"/>
      <c r="N268" s="135"/>
      <c r="O268" s="135"/>
      <c r="P268" s="135"/>
      <c r="Q268" s="135"/>
      <c r="R268" s="135"/>
      <c r="S268" s="135">
        <f t="shared" si="24"/>
        <v>317000</v>
      </c>
      <c r="T268" s="135"/>
      <c r="U268" s="135">
        <f t="shared" si="25"/>
        <v>317000</v>
      </c>
    </row>
    <row r="269" spans="1:21" s="176" customFormat="1" ht="15.75" x14ac:dyDescent="0.3">
      <c r="A269" s="161">
        <f t="shared" si="26"/>
        <v>29</v>
      </c>
      <c r="B269" s="162" t="s">
        <v>187</v>
      </c>
      <c r="C269" s="135">
        <v>9000</v>
      </c>
      <c r="D269" s="135">
        <v>1000</v>
      </c>
      <c r="E269" s="135">
        <v>1000</v>
      </c>
      <c r="F269" s="135">
        <v>4000</v>
      </c>
      <c r="G269" s="135">
        <v>25000</v>
      </c>
      <c r="H269" s="135"/>
      <c r="I269" s="135"/>
      <c r="J269" s="135"/>
      <c r="K269" s="135"/>
      <c r="L269" s="135"/>
      <c r="M269" s="135"/>
      <c r="N269" s="135"/>
      <c r="O269" s="135"/>
      <c r="P269" s="135"/>
      <c r="Q269" s="135"/>
      <c r="R269" s="135"/>
      <c r="S269" s="135">
        <f t="shared" si="24"/>
        <v>40000</v>
      </c>
      <c r="T269" s="135"/>
      <c r="U269" s="135">
        <f t="shared" si="25"/>
        <v>40000</v>
      </c>
    </row>
    <row r="270" spans="1:21" s="176" customFormat="1" ht="15.75" x14ac:dyDescent="0.3">
      <c r="A270" s="161">
        <f t="shared" si="26"/>
        <v>30</v>
      </c>
      <c r="B270" s="162" t="s">
        <v>110</v>
      </c>
      <c r="C270" s="135">
        <v>0</v>
      </c>
      <c r="D270" s="135">
        <v>0</v>
      </c>
      <c r="E270" s="135"/>
      <c r="F270" s="135"/>
      <c r="G270" s="135"/>
      <c r="H270" s="135"/>
      <c r="I270" s="135"/>
      <c r="J270" s="135"/>
      <c r="K270" s="135"/>
      <c r="L270" s="135"/>
      <c r="M270" s="135"/>
      <c r="N270" s="135"/>
      <c r="O270" s="135"/>
      <c r="P270" s="135"/>
      <c r="Q270" s="135"/>
      <c r="R270" s="135"/>
      <c r="S270" s="135">
        <f t="shared" si="24"/>
        <v>0</v>
      </c>
      <c r="T270" s="135"/>
      <c r="U270" s="135">
        <f t="shared" si="25"/>
        <v>0</v>
      </c>
    </row>
    <row r="271" spans="1:21" s="176" customFormat="1" ht="15.75" x14ac:dyDescent="0.3">
      <c r="A271" s="161">
        <f t="shared" si="26"/>
        <v>31</v>
      </c>
      <c r="B271" s="162" t="s">
        <v>106</v>
      </c>
      <c r="C271" s="163">
        <v>9000</v>
      </c>
      <c r="D271" s="163">
        <v>1000</v>
      </c>
      <c r="E271" s="163">
        <v>1000</v>
      </c>
      <c r="F271" s="163">
        <v>8000</v>
      </c>
      <c r="G271" s="163">
        <v>50000</v>
      </c>
      <c r="H271" s="135"/>
      <c r="I271" s="135"/>
      <c r="J271" s="135"/>
      <c r="K271" s="135"/>
      <c r="L271" s="135"/>
      <c r="M271" s="135"/>
      <c r="N271" s="135"/>
      <c r="O271" s="135"/>
      <c r="P271" s="135"/>
      <c r="Q271" s="135"/>
      <c r="R271" s="135"/>
      <c r="S271" s="135">
        <f t="shared" si="24"/>
        <v>69000</v>
      </c>
      <c r="T271" s="135"/>
      <c r="U271" s="135">
        <f t="shared" si="25"/>
        <v>69000</v>
      </c>
    </row>
    <row r="272" spans="1:21" s="176" customFormat="1" ht="15.75" x14ac:dyDescent="0.3">
      <c r="A272" s="161">
        <f t="shared" si="26"/>
        <v>32</v>
      </c>
      <c r="B272" s="162" t="s">
        <v>107</v>
      </c>
      <c r="C272" s="135">
        <v>9000</v>
      </c>
      <c r="D272" s="135">
        <v>1000</v>
      </c>
      <c r="E272" s="135">
        <v>1000</v>
      </c>
      <c r="F272" s="135">
        <v>4000</v>
      </c>
      <c r="G272" s="135">
        <v>25000</v>
      </c>
      <c r="H272" s="135"/>
      <c r="I272" s="135">
        <v>150000</v>
      </c>
      <c r="J272" s="135"/>
      <c r="K272" s="135">
        <v>100000</v>
      </c>
      <c r="L272" s="135"/>
      <c r="M272" s="135"/>
      <c r="N272" s="135"/>
      <c r="O272" s="135"/>
      <c r="P272" s="135"/>
      <c r="Q272" s="135"/>
      <c r="R272" s="135"/>
      <c r="S272" s="135">
        <f t="shared" si="24"/>
        <v>290000</v>
      </c>
      <c r="T272" s="135"/>
      <c r="U272" s="135">
        <f t="shared" si="25"/>
        <v>290000</v>
      </c>
    </row>
    <row r="273" spans="1:21" s="176" customFormat="1" ht="15.75" x14ac:dyDescent="0.3">
      <c r="A273" s="161">
        <f t="shared" si="26"/>
        <v>33</v>
      </c>
      <c r="B273" s="162" t="s">
        <v>111</v>
      </c>
      <c r="C273" s="163">
        <v>9000</v>
      </c>
      <c r="D273" s="163">
        <v>1000</v>
      </c>
      <c r="E273" s="163">
        <v>1000</v>
      </c>
      <c r="F273" s="163">
        <v>4000</v>
      </c>
      <c r="G273" s="163">
        <v>25000</v>
      </c>
      <c r="H273" s="135"/>
      <c r="I273" s="135"/>
      <c r="J273" s="135"/>
      <c r="K273" s="135"/>
      <c r="L273" s="135"/>
      <c r="M273" s="135"/>
      <c r="N273" s="135"/>
      <c r="O273" s="135"/>
      <c r="P273" s="135"/>
      <c r="Q273" s="135"/>
      <c r="R273" s="135"/>
      <c r="S273" s="135">
        <f t="shared" si="24"/>
        <v>40000</v>
      </c>
      <c r="T273" s="135"/>
      <c r="U273" s="135">
        <f t="shared" si="25"/>
        <v>40000</v>
      </c>
    </row>
    <row r="274" spans="1:21" s="176" customFormat="1" ht="15.75" x14ac:dyDescent="0.3">
      <c r="A274" s="161">
        <f t="shared" si="26"/>
        <v>34</v>
      </c>
      <c r="B274" s="162" t="s">
        <v>224</v>
      </c>
      <c r="C274" s="163">
        <v>69000</v>
      </c>
      <c r="D274" s="163">
        <v>1000</v>
      </c>
      <c r="E274" s="163">
        <v>1000</v>
      </c>
      <c r="F274" s="163">
        <v>4000</v>
      </c>
      <c r="G274" s="163">
        <v>25000</v>
      </c>
      <c r="H274" s="135"/>
      <c r="I274" s="135"/>
      <c r="J274" s="135"/>
      <c r="K274" s="135"/>
      <c r="L274" s="135"/>
      <c r="M274" s="135"/>
      <c r="N274" s="135"/>
      <c r="O274" s="135"/>
      <c r="P274" s="135"/>
      <c r="Q274" s="135"/>
      <c r="R274" s="135"/>
      <c r="S274" s="135">
        <f t="shared" si="24"/>
        <v>100000</v>
      </c>
      <c r="T274" s="135"/>
      <c r="U274" s="135">
        <f t="shared" si="25"/>
        <v>100000</v>
      </c>
    </row>
    <row r="275" spans="1:21" s="176" customFormat="1" ht="15.75" x14ac:dyDescent="0.3">
      <c r="A275" s="161">
        <f t="shared" si="26"/>
        <v>35</v>
      </c>
      <c r="B275" s="162"/>
      <c r="C275" s="135">
        <v>0</v>
      </c>
      <c r="D275" s="135">
        <v>0</v>
      </c>
      <c r="E275" s="135">
        <v>0</v>
      </c>
      <c r="F275" s="135">
        <v>0</v>
      </c>
      <c r="G275" s="135">
        <v>0</v>
      </c>
      <c r="H275" s="135">
        <v>0</v>
      </c>
      <c r="I275" s="135">
        <v>0</v>
      </c>
      <c r="J275" s="135">
        <v>0</v>
      </c>
      <c r="K275" s="135">
        <v>0</v>
      </c>
      <c r="L275" s="135">
        <v>0</v>
      </c>
      <c r="M275" s="135">
        <v>0</v>
      </c>
      <c r="N275" s="135">
        <v>0</v>
      </c>
      <c r="O275" s="135">
        <v>0</v>
      </c>
      <c r="P275" s="135">
        <v>0</v>
      </c>
      <c r="Q275" s="135">
        <v>0</v>
      </c>
      <c r="R275" s="135">
        <v>0</v>
      </c>
      <c r="S275" s="135">
        <f t="shared" si="24"/>
        <v>0</v>
      </c>
      <c r="T275" s="135"/>
      <c r="U275" s="135">
        <f t="shared" si="25"/>
        <v>0</v>
      </c>
    </row>
    <row r="276" spans="1:21" s="176" customFormat="1" ht="15.75" x14ac:dyDescent="0.3">
      <c r="A276" s="161">
        <f t="shared" si="26"/>
        <v>36</v>
      </c>
      <c r="B276" s="162"/>
      <c r="C276" s="135"/>
      <c r="D276" s="135"/>
      <c r="E276" s="135"/>
      <c r="F276" s="135"/>
      <c r="G276" s="135"/>
      <c r="H276" s="135"/>
      <c r="I276" s="135"/>
      <c r="J276" s="135"/>
      <c r="K276" s="135"/>
      <c r="L276" s="135"/>
      <c r="M276" s="135"/>
      <c r="N276" s="135"/>
      <c r="O276" s="135"/>
      <c r="P276" s="135"/>
      <c r="Q276" s="135"/>
      <c r="R276" s="135"/>
      <c r="S276" s="135">
        <f t="shared" si="24"/>
        <v>0</v>
      </c>
      <c r="T276" s="135"/>
      <c r="U276" s="135">
        <f t="shared" si="25"/>
        <v>0</v>
      </c>
    </row>
    <row r="277" spans="1:21" s="176" customFormat="1" ht="15.75" x14ac:dyDescent="0.3">
      <c r="A277" s="161">
        <f t="shared" si="26"/>
        <v>37</v>
      </c>
      <c r="B277" s="162"/>
      <c r="C277" s="135"/>
      <c r="D277" s="135"/>
      <c r="E277" s="135"/>
      <c r="F277" s="135"/>
      <c r="G277" s="135"/>
      <c r="H277" s="135"/>
      <c r="I277" s="135"/>
      <c r="J277" s="135"/>
      <c r="K277" s="135"/>
      <c r="L277" s="135"/>
      <c r="M277" s="135"/>
      <c r="N277" s="135"/>
      <c r="O277" s="135"/>
      <c r="P277" s="135"/>
      <c r="Q277" s="135"/>
      <c r="R277" s="135"/>
      <c r="S277" s="135">
        <f t="shared" si="24"/>
        <v>0</v>
      </c>
      <c r="T277" s="135"/>
      <c r="U277" s="135">
        <f t="shared" si="25"/>
        <v>0</v>
      </c>
    </row>
    <row r="278" spans="1:21" s="176" customFormat="1" ht="15.75" x14ac:dyDescent="0.3">
      <c r="A278" s="161">
        <f t="shared" si="26"/>
        <v>38</v>
      </c>
      <c r="B278" s="162"/>
      <c r="C278" s="135"/>
      <c r="D278" s="135"/>
      <c r="E278" s="135"/>
      <c r="F278" s="135"/>
      <c r="G278" s="135"/>
      <c r="H278" s="135"/>
      <c r="I278" s="135"/>
      <c r="J278" s="135"/>
      <c r="K278" s="135"/>
      <c r="L278" s="135"/>
      <c r="M278" s="135"/>
      <c r="N278" s="135"/>
      <c r="O278" s="135"/>
      <c r="P278" s="135"/>
      <c r="Q278" s="135"/>
      <c r="R278" s="135"/>
      <c r="S278" s="135">
        <f t="shared" si="24"/>
        <v>0</v>
      </c>
      <c r="T278" s="135"/>
      <c r="U278" s="135">
        <f t="shared" si="25"/>
        <v>0</v>
      </c>
    </row>
    <row r="279" spans="1:21" s="176" customFormat="1" ht="15.75" x14ac:dyDescent="0.3">
      <c r="A279" s="161">
        <f t="shared" si="26"/>
        <v>39</v>
      </c>
      <c r="B279" s="162"/>
      <c r="C279" s="135"/>
      <c r="D279" s="135"/>
      <c r="E279" s="135"/>
      <c r="F279" s="135"/>
      <c r="G279" s="135"/>
      <c r="H279" s="135"/>
      <c r="I279" s="135"/>
      <c r="J279" s="135"/>
      <c r="K279" s="135"/>
      <c r="L279" s="135"/>
      <c r="M279" s="135"/>
      <c r="N279" s="135"/>
      <c r="O279" s="135"/>
      <c r="P279" s="135"/>
      <c r="Q279" s="135"/>
      <c r="R279" s="135"/>
      <c r="S279" s="135">
        <f t="shared" si="24"/>
        <v>0</v>
      </c>
      <c r="T279" s="135"/>
      <c r="U279" s="135">
        <f t="shared" si="25"/>
        <v>0</v>
      </c>
    </row>
    <row r="280" spans="1:21" s="176" customFormat="1" ht="15.75" x14ac:dyDescent="0.3">
      <c r="A280" s="161">
        <f t="shared" si="26"/>
        <v>40</v>
      </c>
      <c r="B280" s="162"/>
      <c r="C280" s="135"/>
      <c r="D280" s="135"/>
      <c r="E280" s="135"/>
      <c r="F280" s="135"/>
      <c r="G280" s="135"/>
      <c r="H280" s="135"/>
      <c r="I280" s="135"/>
      <c r="J280" s="135"/>
      <c r="K280" s="135"/>
      <c r="L280" s="135"/>
      <c r="M280" s="135"/>
      <c r="N280" s="135"/>
      <c r="O280" s="135"/>
      <c r="P280" s="135"/>
      <c r="Q280" s="135"/>
      <c r="R280" s="135"/>
      <c r="S280" s="135">
        <f t="shared" si="24"/>
        <v>0</v>
      </c>
      <c r="T280" s="135"/>
      <c r="U280" s="135">
        <f t="shared" si="25"/>
        <v>0</v>
      </c>
    </row>
    <row r="281" spans="1:21" s="176" customFormat="1" ht="15.75" x14ac:dyDescent="0.3">
      <c r="A281" s="161">
        <f t="shared" si="26"/>
        <v>41</v>
      </c>
      <c r="B281" s="162"/>
      <c r="C281" s="135"/>
      <c r="D281" s="135"/>
      <c r="E281" s="135"/>
      <c r="F281" s="135"/>
      <c r="G281" s="135"/>
      <c r="H281" s="135"/>
      <c r="I281" s="135"/>
      <c r="J281" s="135"/>
      <c r="K281" s="135"/>
      <c r="L281" s="135"/>
      <c r="M281" s="135"/>
      <c r="N281" s="135"/>
      <c r="O281" s="135"/>
      <c r="P281" s="135"/>
      <c r="Q281" s="135"/>
      <c r="R281" s="135"/>
      <c r="S281" s="135">
        <f t="shared" si="24"/>
        <v>0</v>
      </c>
      <c r="T281" s="135"/>
      <c r="U281" s="135">
        <f t="shared" si="25"/>
        <v>0</v>
      </c>
    </row>
    <row r="282" spans="1:21" s="176" customFormat="1" x14ac:dyDescent="0.25">
      <c r="A282" s="177"/>
      <c r="B282" s="177"/>
      <c r="C282" s="178">
        <f>SUM(C240:C281)</f>
        <v>426500</v>
      </c>
      <c r="D282" s="178">
        <f t="shared" ref="D282:H282" si="27">SUM(D240:D281)</f>
        <v>30000</v>
      </c>
      <c r="E282" s="178">
        <f t="shared" si="27"/>
        <v>30000</v>
      </c>
      <c r="F282" s="178">
        <f t="shared" si="27"/>
        <v>124000</v>
      </c>
      <c r="G282" s="178">
        <f t="shared" si="27"/>
        <v>775000</v>
      </c>
      <c r="H282" s="178">
        <f t="shared" si="27"/>
        <v>31000</v>
      </c>
      <c r="I282" s="178">
        <f>SUM(I241:I281)</f>
        <v>1200000</v>
      </c>
      <c r="J282" s="178">
        <f t="shared" ref="J282:U282" si="28">SUM(J240:J281)</f>
        <v>494000</v>
      </c>
      <c r="K282" s="178">
        <f t="shared" si="28"/>
        <v>1400000</v>
      </c>
      <c r="L282" s="178">
        <f t="shared" si="28"/>
        <v>455000</v>
      </c>
      <c r="M282" s="178">
        <f t="shared" si="28"/>
        <v>2500000</v>
      </c>
      <c r="N282" s="178">
        <f t="shared" si="28"/>
        <v>0</v>
      </c>
      <c r="O282" s="178">
        <f t="shared" si="28"/>
        <v>3000</v>
      </c>
      <c r="P282" s="178">
        <f t="shared" si="28"/>
        <v>0</v>
      </c>
      <c r="Q282" s="178">
        <f t="shared" si="28"/>
        <v>0</v>
      </c>
      <c r="R282" s="178">
        <f t="shared" si="28"/>
        <v>0</v>
      </c>
      <c r="S282" s="178">
        <f t="shared" si="28"/>
        <v>7468500</v>
      </c>
      <c r="T282" s="178">
        <f t="shared" si="28"/>
        <v>94000</v>
      </c>
      <c r="U282" s="178">
        <f t="shared" si="28"/>
        <v>7374500</v>
      </c>
    </row>
    <row r="283" spans="1:21" ht="21" x14ac:dyDescent="0.35">
      <c r="A283" s="176"/>
      <c r="B283" s="220" t="s">
        <v>193</v>
      </c>
      <c r="C283" s="220"/>
      <c r="D283" s="220"/>
      <c r="E283" s="220"/>
      <c r="F283" s="220"/>
      <c r="G283" s="220"/>
      <c r="H283" s="220"/>
      <c r="I283" s="220"/>
      <c r="J283" s="179"/>
      <c r="K283" s="179"/>
      <c r="L283" s="179"/>
      <c r="M283" s="179"/>
      <c r="N283" s="179"/>
      <c r="O283" s="179"/>
      <c r="P283" s="179"/>
      <c r="Q283" s="179"/>
      <c r="R283" s="179"/>
      <c r="S283" s="179"/>
      <c r="T283" s="179"/>
      <c r="U283" s="179"/>
    </row>
    <row r="284" spans="1:21" x14ac:dyDescent="0.25">
      <c r="A284" s="176"/>
      <c r="B284" s="176"/>
      <c r="C284" s="176"/>
      <c r="D284" s="176"/>
      <c r="E284" s="176"/>
      <c r="F284" s="176"/>
      <c r="G284" s="176"/>
      <c r="H284" s="176"/>
      <c r="I284" s="176"/>
      <c r="J284" s="176"/>
      <c r="K284" s="176"/>
      <c r="L284" s="176"/>
      <c r="M284" s="176"/>
      <c r="N284" s="176"/>
      <c r="O284" s="176"/>
      <c r="P284" s="176"/>
      <c r="Q284" s="176"/>
      <c r="R284" s="176"/>
      <c r="S284" s="176"/>
      <c r="T284" s="176"/>
      <c r="U284" s="176"/>
    </row>
    <row r="285" spans="1:21" s="128" customFormat="1" x14ac:dyDescent="0.25">
      <c r="A285" s="161"/>
      <c r="B285" s="161"/>
      <c r="C285" s="215" t="s">
        <v>75</v>
      </c>
      <c r="D285" s="215" t="s">
        <v>168</v>
      </c>
      <c r="E285" s="215" t="s">
        <v>169</v>
      </c>
      <c r="F285" s="215" t="s">
        <v>170</v>
      </c>
      <c r="G285" s="217" t="s">
        <v>171</v>
      </c>
      <c r="H285" s="218"/>
      <c r="I285" s="217" t="s">
        <v>200</v>
      </c>
      <c r="J285" s="218"/>
      <c r="K285" s="217" t="s">
        <v>201</v>
      </c>
      <c r="L285" s="218"/>
      <c r="M285" s="215" t="s">
        <v>174</v>
      </c>
      <c r="N285" s="215" t="s">
        <v>175</v>
      </c>
      <c r="O285" s="215" t="s">
        <v>176</v>
      </c>
      <c r="P285" s="215" t="s">
        <v>177</v>
      </c>
      <c r="Q285" s="215" t="s">
        <v>178</v>
      </c>
      <c r="R285" s="215"/>
      <c r="S285" s="217" t="s">
        <v>179</v>
      </c>
      <c r="T285" s="219"/>
      <c r="U285" s="218"/>
    </row>
    <row r="286" spans="1:21" s="128" customFormat="1" x14ac:dyDescent="0.25">
      <c r="A286" s="161"/>
      <c r="B286" s="161"/>
      <c r="C286" s="216"/>
      <c r="D286" s="216"/>
      <c r="E286" s="216"/>
      <c r="F286" s="216"/>
      <c r="G286" s="161" t="s">
        <v>180</v>
      </c>
      <c r="H286" s="161" t="s">
        <v>181</v>
      </c>
      <c r="I286" s="161" t="s">
        <v>180</v>
      </c>
      <c r="J286" s="161" t="s">
        <v>181</v>
      </c>
      <c r="K286" s="161" t="s">
        <v>180</v>
      </c>
      <c r="L286" s="161" t="s">
        <v>181</v>
      </c>
      <c r="M286" s="216"/>
      <c r="N286" s="216"/>
      <c r="O286" s="216"/>
      <c r="P286" s="216"/>
      <c r="Q286" s="216"/>
      <c r="R286" s="216"/>
      <c r="S286" s="161" t="s">
        <v>74</v>
      </c>
      <c r="T286" s="161" t="s">
        <v>182</v>
      </c>
      <c r="U286" s="161" t="s">
        <v>183</v>
      </c>
    </row>
    <row r="287" spans="1:21" ht="15.75" x14ac:dyDescent="0.3">
      <c r="A287" s="161">
        <v>0</v>
      </c>
      <c r="B287" s="162" t="s">
        <v>88</v>
      </c>
      <c r="C287" s="135">
        <v>0</v>
      </c>
      <c r="D287" s="135">
        <v>0</v>
      </c>
      <c r="E287" s="135">
        <v>0</v>
      </c>
      <c r="F287" s="135">
        <v>0</v>
      </c>
      <c r="G287" s="135">
        <v>0</v>
      </c>
      <c r="H287" s="135">
        <v>0</v>
      </c>
      <c r="I287" s="135">
        <v>0</v>
      </c>
      <c r="J287" s="135">
        <v>0</v>
      </c>
      <c r="K287" s="135">
        <v>100000</v>
      </c>
      <c r="L287" s="135">
        <v>0</v>
      </c>
      <c r="M287" s="135">
        <v>0</v>
      </c>
      <c r="N287" s="135">
        <v>0</v>
      </c>
      <c r="O287" s="135">
        <v>0</v>
      </c>
      <c r="P287" s="135">
        <v>0</v>
      </c>
      <c r="Q287" s="135">
        <v>0</v>
      </c>
      <c r="R287" s="135">
        <v>0</v>
      </c>
      <c r="S287" s="135">
        <f>+R287+Q287+P287+O287+N287+M287+L287+K287+J287+I287+H287+G287+F287+E287+D287+C287</f>
        <v>100000</v>
      </c>
      <c r="T287" s="135"/>
      <c r="U287" s="135">
        <f>+S287-T287</f>
        <v>100000</v>
      </c>
    </row>
    <row r="288" spans="1:21" ht="15.75" x14ac:dyDescent="0.3">
      <c r="A288" s="161">
        <f>+A287+1</f>
        <v>1</v>
      </c>
      <c r="B288" s="162" t="s">
        <v>39</v>
      </c>
      <c r="C288" s="135">
        <v>9000</v>
      </c>
      <c r="D288" s="135">
        <v>1000</v>
      </c>
      <c r="E288" s="135">
        <v>1000</v>
      </c>
      <c r="F288" s="135">
        <v>4000</v>
      </c>
      <c r="G288" s="135">
        <v>25000</v>
      </c>
      <c r="H288" s="135">
        <v>0</v>
      </c>
      <c r="I288" s="135">
        <v>75000</v>
      </c>
      <c r="J288" s="135">
        <v>0</v>
      </c>
      <c r="K288" s="135"/>
      <c r="L288" s="135">
        <v>0</v>
      </c>
      <c r="M288" s="135">
        <v>0</v>
      </c>
      <c r="N288" s="135">
        <v>0</v>
      </c>
      <c r="O288" s="135">
        <v>0</v>
      </c>
      <c r="P288" s="135">
        <v>0</v>
      </c>
      <c r="Q288" s="135">
        <v>0</v>
      </c>
      <c r="R288" s="135">
        <v>0</v>
      </c>
      <c r="S288" s="135">
        <f t="shared" ref="S288:S327" si="29">+R288+Q288+P288+O288+N288+M288+L288+K288+J288+I288+H288+G288+F288+E288+D288+C288</f>
        <v>115000</v>
      </c>
      <c r="T288" s="135"/>
      <c r="U288" s="135">
        <f t="shared" ref="U288:U327" si="30">+S288-T288</f>
        <v>115000</v>
      </c>
    </row>
    <row r="289" spans="1:21" ht="15.75" x14ac:dyDescent="0.3">
      <c r="A289" s="161">
        <f t="shared" ref="A289:A327" si="31">+A288+1</f>
        <v>2</v>
      </c>
      <c r="B289" s="162" t="s">
        <v>43</v>
      </c>
      <c r="C289" s="135">
        <v>9000</v>
      </c>
      <c r="D289" s="135">
        <v>1000</v>
      </c>
      <c r="E289" s="135">
        <v>1000</v>
      </c>
      <c r="F289" s="135">
        <v>4000</v>
      </c>
      <c r="G289" s="135">
        <v>25000</v>
      </c>
      <c r="H289" s="135">
        <v>0</v>
      </c>
      <c r="I289" s="135"/>
      <c r="J289" s="135">
        <v>0</v>
      </c>
      <c r="K289" s="135">
        <v>100000</v>
      </c>
      <c r="L289" s="135">
        <v>185500</v>
      </c>
      <c r="M289" s="135"/>
      <c r="N289" s="135">
        <v>0</v>
      </c>
      <c r="O289" s="135">
        <v>3000</v>
      </c>
      <c r="P289" s="135">
        <v>0</v>
      </c>
      <c r="Q289" s="135">
        <v>0</v>
      </c>
      <c r="R289" s="135">
        <v>0</v>
      </c>
      <c r="S289" s="135">
        <f t="shared" si="29"/>
        <v>328500</v>
      </c>
      <c r="T289" s="135">
        <v>87500</v>
      </c>
      <c r="U289" s="135">
        <f t="shared" si="30"/>
        <v>241000</v>
      </c>
    </row>
    <row r="290" spans="1:21" ht="15.75" x14ac:dyDescent="0.3">
      <c r="A290" s="161">
        <f t="shared" si="31"/>
        <v>3</v>
      </c>
      <c r="B290" s="162" t="s">
        <v>89</v>
      </c>
      <c r="C290" s="135">
        <v>6000</v>
      </c>
      <c r="D290" s="135">
        <v>1000</v>
      </c>
      <c r="E290" s="135">
        <v>1000</v>
      </c>
      <c r="F290" s="135">
        <v>4000</v>
      </c>
      <c r="G290" s="135">
        <v>25000</v>
      </c>
      <c r="H290" s="135">
        <v>0</v>
      </c>
      <c r="I290" s="135"/>
      <c r="J290" s="135">
        <v>0</v>
      </c>
      <c r="K290" s="135"/>
      <c r="L290" s="135">
        <v>0</v>
      </c>
      <c r="M290" s="135"/>
      <c r="N290" s="135">
        <v>0</v>
      </c>
      <c r="O290" s="135">
        <v>3000</v>
      </c>
      <c r="P290" s="135">
        <v>0</v>
      </c>
      <c r="Q290" s="135">
        <v>0</v>
      </c>
      <c r="R290" s="135">
        <v>0</v>
      </c>
      <c r="S290" s="135">
        <f t="shared" si="29"/>
        <v>40000</v>
      </c>
      <c r="T290" s="135">
        <v>40000</v>
      </c>
      <c r="U290" s="135">
        <f t="shared" si="30"/>
        <v>0</v>
      </c>
    </row>
    <row r="291" spans="1:21" ht="15.75" x14ac:dyDescent="0.3">
      <c r="A291" s="161">
        <f t="shared" si="31"/>
        <v>4</v>
      </c>
      <c r="B291" s="162" t="s">
        <v>90</v>
      </c>
      <c r="C291" s="135">
        <v>9000</v>
      </c>
      <c r="D291" s="135">
        <v>1000</v>
      </c>
      <c r="E291" s="135">
        <v>1000</v>
      </c>
      <c r="F291" s="135">
        <v>4000</v>
      </c>
      <c r="G291" s="135">
        <v>25000</v>
      </c>
      <c r="H291" s="135">
        <v>30500</v>
      </c>
      <c r="I291" s="135">
        <v>75000</v>
      </c>
      <c r="J291" s="135">
        <v>102000</v>
      </c>
      <c r="K291" s="135"/>
      <c r="L291" s="135">
        <v>0</v>
      </c>
      <c r="M291" s="135"/>
      <c r="N291" s="135">
        <v>0</v>
      </c>
      <c r="O291" s="135">
        <v>3000</v>
      </c>
      <c r="P291" s="135">
        <v>0</v>
      </c>
      <c r="Q291" s="135">
        <v>0</v>
      </c>
      <c r="R291" s="135">
        <v>0</v>
      </c>
      <c r="S291" s="135">
        <f t="shared" si="29"/>
        <v>250500</v>
      </c>
      <c r="T291" s="135">
        <v>81500</v>
      </c>
      <c r="U291" s="135">
        <f t="shared" si="30"/>
        <v>169000</v>
      </c>
    </row>
    <row r="292" spans="1:21" ht="15.75" x14ac:dyDescent="0.3">
      <c r="A292" s="161">
        <f t="shared" si="31"/>
        <v>5</v>
      </c>
      <c r="B292" s="162" t="s">
        <v>91</v>
      </c>
      <c r="C292" s="135">
        <v>25300</v>
      </c>
      <c r="D292" s="135">
        <v>1000</v>
      </c>
      <c r="E292" s="135">
        <v>1000</v>
      </c>
      <c r="F292" s="135">
        <v>4000</v>
      </c>
      <c r="G292" s="135">
        <v>25000</v>
      </c>
      <c r="H292" s="135">
        <v>30500</v>
      </c>
      <c r="I292" s="135">
        <v>75000</v>
      </c>
      <c r="J292" s="135">
        <v>0</v>
      </c>
      <c r="K292" s="135">
        <v>200000</v>
      </c>
      <c r="L292" s="135">
        <v>0</v>
      </c>
      <c r="M292" s="135">
        <v>0</v>
      </c>
      <c r="N292" s="135">
        <v>0</v>
      </c>
      <c r="O292" s="135">
        <v>0</v>
      </c>
      <c r="P292" s="135">
        <v>0</v>
      </c>
      <c r="Q292" s="135">
        <v>0</v>
      </c>
      <c r="R292" s="135">
        <v>0</v>
      </c>
      <c r="S292" s="135">
        <f t="shared" si="29"/>
        <v>361800</v>
      </c>
      <c r="T292" s="135"/>
      <c r="U292" s="135">
        <f t="shared" si="30"/>
        <v>361800</v>
      </c>
    </row>
    <row r="293" spans="1:21" ht="15.75" x14ac:dyDescent="0.3">
      <c r="A293" s="161">
        <f t="shared" si="31"/>
        <v>6</v>
      </c>
      <c r="B293" s="162" t="s">
        <v>92</v>
      </c>
      <c r="C293" s="135">
        <v>9000</v>
      </c>
      <c r="D293" s="135">
        <v>1000</v>
      </c>
      <c r="E293" s="135">
        <v>1000</v>
      </c>
      <c r="F293" s="135">
        <v>4000</v>
      </c>
      <c r="G293" s="135">
        <v>25000</v>
      </c>
      <c r="H293" s="135">
        <v>0</v>
      </c>
      <c r="I293" s="135"/>
      <c r="J293" s="135">
        <v>0</v>
      </c>
      <c r="K293" s="135"/>
      <c r="L293" s="135">
        <v>0</v>
      </c>
      <c r="M293" s="135"/>
      <c r="N293" s="135">
        <v>0</v>
      </c>
      <c r="O293" s="135">
        <v>0</v>
      </c>
      <c r="P293" s="135">
        <v>0</v>
      </c>
      <c r="Q293" s="135">
        <v>0</v>
      </c>
      <c r="R293" s="135">
        <v>0</v>
      </c>
      <c r="S293" s="135">
        <f t="shared" si="29"/>
        <v>40000</v>
      </c>
      <c r="T293" s="135"/>
      <c r="U293" s="135">
        <f t="shared" si="30"/>
        <v>40000</v>
      </c>
    </row>
    <row r="294" spans="1:21" ht="15.75" x14ac:dyDescent="0.3">
      <c r="A294" s="161">
        <f t="shared" si="31"/>
        <v>7</v>
      </c>
      <c r="B294" s="162" t="s">
        <v>93</v>
      </c>
      <c r="C294" s="135">
        <v>9000</v>
      </c>
      <c r="D294" s="135">
        <v>1000</v>
      </c>
      <c r="E294" s="135">
        <v>1000</v>
      </c>
      <c r="F294" s="135">
        <v>4000</v>
      </c>
      <c r="G294" s="135">
        <v>25000</v>
      </c>
      <c r="H294" s="135">
        <v>0</v>
      </c>
      <c r="I294" s="135">
        <v>0</v>
      </c>
      <c r="J294" s="135">
        <v>0</v>
      </c>
      <c r="K294" s="135">
        <v>0</v>
      </c>
      <c r="L294" s="135">
        <v>0</v>
      </c>
      <c r="M294" s="135">
        <v>0</v>
      </c>
      <c r="N294" s="135">
        <v>0</v>
      </c>
      <c r="O294" s="135">
        <v>0</v>
      </c>
      <c r="P294" s="135">
        <v>0</v>
      </c>
      <c r="Q294" s="135">
        <v>0</v>
      </c>
      <c r="R294" s="135">
        <v>0</v>
      </c>
      <c r="S294" s="135">
        <f t="shared" si="29"/>
        <v>40000</v>
      </c>
      <c r="T294" s="135"/>
      <c r="U294" s="135">
        <f t="shared" si="30"/>
        <v>40000</v>
      </c>
    </row>
    <row r="295" spans="1:21" ht="15.75" x14ac:dyDescent="0.3">
      <c r="A295" s="161">
        <f t="shared" si="31"/>
        <v>8</v>
      </c>
      <c r="B295" s="162" t="s">
        <v>114</v>
      </c>
      <c r="C295" s="135">
        <v>0</v>
      </c>
      <c r="D295" s="135">
        <v>0</v>
      </c>
      <c r="E295" s="135">
        <v>0</v>
      </c>
      <c r="F295" s="135">
        <v>0</v>
      </c>
      <c r="G295" s="135">
        <v>0</v>
      </c>
      <c r="H295" s="135">
        <v>0</v>
      </c>
      <c r="I295" s="135">
        <v>0</v>
      </c>
      <c r="J295" s="135">
        <v>0</v>
      </c>
      <c r="K295" s="135">
        <v>0</v>
      </c>
      <c r="L295" s="135">
        <v>0</v>
      </c>
      <c r="M295" s="135">
        <v>0</v>
      </c>
      <c r="N295" s="135">
        <v>0</v>
      </c>
      <c r="O295" s="135">
        <v>0</v>
      </c>
      <c r="P295" s="135">
        <v>0</v>
      </c>
      <c r="Q295" s="135">
        <v>0</v>
      </c>
      <c r="R295" s="135">
        <v>0</v>
      </c>
      <c r="S295" s="135">
        <f t="shared" si="29"/>
        <v>0</v>
      </c>
      <c r="T295" s="135"/>
      <c r="U295" s="135">
        <f t="shared" si="30"/>
        <v>0</v>
      </c>
    </row>
    <row r="296" spans="1:21" ht="15.75" x14ac:dyDescent="0.3">
      <c r="A296" s="161">
        <f t="shared" si="31"/>
        <v>9</v>
      </c>
      <c r="B296" s="162" t="s">
        <v>42</v>
      </c>
      <c r="C296" s="135">
        <v>9000</v>
      </c>
      <c r="D296" s="135">
        <v>1000</v>
      </c>
      <c r="E296" s="135">
        <v>1000</v>
      </c>
      <c r="F296" s="135">
        <v>4000</v>
      </c>
      <c r="G296" s="135">
        <v>25000</v>
      </c>
      <c r="H296" s="135">
        <v>0</v>
      </c>
      <c r="I296" s="135">
        <v>75000</v>
      </c>
      <c r="J296" s="135">
        <v>0</v>
      </c>
      <c r="K296" s="135"/>
      <c r="L296" s="135">
        <v>0</v>
      </c>
      <c r="M296" s="135"/>
      <c r="N296" s="135">
        <v>0</v>
      </c>
      <c r="O296" s="135">
        <v>0</v>
      </c>
      <c r="P296" s="135">
        <v>0</v>
      </c>
      <c r="Q296" s="135">
        <v>0</v>
      </c>
      <c r="R296" s="135">
        <v>0</v>
      </c>
      <c r="S296" s="135">
        <f t="shared" si="29"/>
        <v>115000</v>
      </c>
      <c r="T296" s="135"/>
      <c r="U296" s="135">
        <f t="shared" si="30"/>
        <v>115000</v>
      </c>
    </row>
    <row r="297" spans="1:21" ht="15.75" x14ac:dyDescent="0.3">
      <c r="A297" s="161">
        <f t="shared" si="31"/>
        <v>10</v>
      </c>
      <c r="B297" s="162" t="s">
        <v>37</v>
      </c>
      <c r="C297" s="135">
        <v>44000</v>
      </c>
      <c r="D297" s="135">
        <v>1000</v>
      </c>
      <c r="E297" s="135">
        <v>1000</v>
      </c>
      <c r="F297" s="135">
        <v>4000</v>
      </c>
      <c r="G297" s="135">
        <v>25000</v>
      </c>
      <c r="H297" s="135">
        <v>0</v>
      </c>
      <c r="I297" s="135">
        <v>75000</v>
      </c>
      <c r="J297" s="135">
        <v>0</v>
      </c>
      <c r="K297" s="135">
        <v>100000</v>
      </c>
      <c r="L297" s="135">
        <v>0</v>
      </c>
      <c r="M297" s="135"/>
      <c r="N297" s="135">
        <v>0</v>
      </c>
      <c r="O297" s="135">
        <v>0</v>
      </c>
      <c r="P297" s="135">
        <v>0</v>
      </c>
      <c r="Q297" s="135">
        <v>0</v>
      </c>
      <c r="R297" s="135">
        <v>0</v>
      </c>
      <c r="S297" s="135">
        <f t="shared" si="29"/>
        <v>250000</v>
      </c>
      <c r="T297" s="135"/>
      <c r="U297" s="135">
        <f t="shared" si="30"/>
        <v>250000</v>
      </c>
    </row>
    <row r="298" spans="1:21" ht="15.75" x14ac:dyDescent="0.3">
      <c r="A298" s="161">
        <f t="shared" si="31"/>
        <v>11</v>
      </c>
      <c r="B298" s="162" t="s">
        <v>94</v>
      </c>
      <c r="C298" s="135">
        <v>9000</v>
      </c>
      <c r="D298" s="135">
        <v>1000</v>
      </c>
      <c r="E298" s="135">
        <v>1000</v>
      </c>
      <c r="F298" s="135">
        <v>4000</v>
      </c>
      <c r="G298" s="135">
        <v>25000</v>
      </c>
      <c r="H298" s="135">
        <v>0</v>
      </c>
      <c r="I298" s="135"/>
      <c r="J298" s="135">
        <v>0</v>
      </c>
      <c r="K298" s="135">
        <v>100000</v>
      </c>
      <c r="L298" s="135">
        <v>0</v>
      </c>
      <c r="M298" s="135"/>
      <c r="N298" s="135">
        <v>0</v>
      </c>
      <c r="O298" s="135">
        <v>0</v>
      </c>
      <c r="P298" s="135">
        <v>0</v>
      </c>
      <c r="Q298" s="135">
        <v>0</v>
      </c>
      <c r="R298" s="135">
        <v>0</v>
      </c>
      <c r="S298" s="135">
        <f t="shared" si="29"/>
        <v>140000</v>
      </c>
      <c r="T298" s="135"/>
      <c r="U298" s="135">
        <f t="shared" si="30"/>
        <v>140000</v>
      </c>
    </row>
    <row r="299" spans="1:21" ht="15.75" x14ac:dyDescent="0.3">
      <c r="A299" s="161">
        <f t="shared" si="31"/>
        <v>12</v>
      </c>
      <c r="B299" s="162" t="s">
        <v>95</v>
      </c>
      <c r="C299" s="135">
        <v>9000</v>
      </c>
      <c r="D299" s="135">
        <v>1000</v>
      </c>
      <c r="E299" s="135">
        <v>1000</v>
      </c>
      <c r="F299" s="135">
        <v>4000</v>
      </c>
      <c r="G299" s="135">
        <v>25000</v>
      </c>
      <c r="H299" s="135">
        <v>0</v>
      </c>
      <c r="I299" s="135">
        <v>75000</v>
      </c>
      <c r="J299" s="135">
        <v>0</v>
      </c>
      <c r="K299" s="135">
        <v>100000</v>
      </c>
      <c r="L299" s="135">
        <v>0</v>
      </c>
      <c r="M299" s="135">
        <v>0</v>
      </c>
      <c r="N299" s="135">
        <v>0</v>
      </c>
      <c r="O299" s="135">
        <v>0</v>
      </c>
      <c r="P299" s="135">
        <v>0</v>
      </c>
      <c r="Q299" s="135">
        <v>0</v>
      </c>
      <c r="R299" s="135">
        <v>0</v>
      </c>
      <c r="S299" s="135">
        <f t="shared" si="29"/>
        <v>215000</v>
      </c>
      <c r="T299" s="135"/>
      <c r="U299" s="135">
        <f t="shared" si="30"/>
        <v>215000</v>
      </c>
    </row>
    <row r="300" spans="1:21" ht="15.75" x14ac:dyDescent="0.3">
      <c r="A300" s="161">
        <f t="shared" si="31"/>
        <v>13</v>
      </c>
      <c r="B300" s="162" t="s">
        <v>96</v>
      </c>
      <c r="C300" s="135">
        <v>9000</v>
      </c>
      <c r="D300" s="135">
        <v>1000</v>
      </c>
      <c r="E300" s="135">
        <v>1000</v>
      </c>
      <c r="F300" s="135">
        <v>4000</v>
      </c>
      <c r="G300" s="135">
        <v>25000</v>
      </c>
      <c r="H300" s="135">
        <v>0</v>
      </c>
      <c r="I300" s="135"/>
      <c r="J300" s="135">
        <v>0</v>
      </c>
      <c r="K300" s="135"/>
      <c r="L300" s="135">
        <v>0</v>
      </c>
      <c r="M300" s="135"/>
      <c r="N300" s="135">
        <v>0</v>
      </c>
      <c r="O300" s="135">
        <v>0</v>
      </c>
      <c r="P300" s="135">
        <v>0</v>
      </c>
      <c r="Q300" s="135">
        <v>0</v>
      </c>
      <c r="R300" s="135">
        <v>0</v>
      </c>
      <c r="S300" s="135">
        <f t="shared" si="29"/>
        <v>40000</v>
      </c>
      <c r="T300" s="135"/>
      <c r="U300" s="135">
        <f t="shared" si="30"/>
        <v>40000</v>
      </c>
    </row>
    <row r="301" spans="1:21" ht="15.75" x14ac:dyDescent="0.3">
      <c r="A301" s="161">
        <f t="shared" si="31"/>
        <v>14</v>
      </c>
      <c r="B301" s="162" t="s">
        <v>97</v>
      </c>
      <c r="C301" s="135">
        <v>9000</v>
      </c>
      <c r="D301" s="135">
        <v>1000</v>
      </c>
      <c r="E301" s="135">
        <v>1000</v>
      </c>
      <c r="F301" s="135">
        <v>4000</v>
      </c>
      <c r="G301" s="135">
        <v>25000</v>
      </c>
      <c r="H301" s="135">
        <v>0</v>
      </c>
      <c r="I301" s="135">
        <v>75000</v>
      </c>
      <c r="J301" s="135">
        <v>102000</v>
      </c>
      <c r="K301" s="135">
        <v>100000</v>
      </c>
      <c r="L301" s="135">
        <v>202000</v>
      </c>
      <c r="M301" s="135"/>
      <c r="N301" s="135">
        <v>0</v>
      </c>
      <c r="O301" s="135">
        <v>0</v>
      </c>
      <c r="P301" s="135">
        <v>0</v>
      </c>
      <c r="Q301" s="135">
        <v>0</v>
      </c>
      <c r="R301" s="135">
        <v>0</v>
      </c>
      <c r="S301" s="135">
        <f t="shared" si="29"/>
        <v>519000</v>
      </c>
      <c r="T301" s="135"/>
      <c r="U301" s="135">
        <f t="shared" si="30"/>
        <v>519000</v>
      </c>
    </row>
    <row r="302" spans="1:21" ht="15.75" x14ac:dyDescent="0.3">
      <c r="A302" s="161">
        <f t="shared" si="31"/>
        <v>15</v>
      </c>
      <c r="B302" s="162" t="s">
        <v>98</v>
      </c>
      <c r="C302" s="135">
        <v>9000</v>
      </c>
      <c r="D302" s="135">
        <v>1000</v>
      </c>
      <c r="E302" s="135">
        <v>1000</v>
      </c>
      <c r="F302" s="135">
        <v>4000</v>
      </c>
      <c r="G302" s="135">
        <v>25000</v>
      </c>
      <c r="H302" s="135">
        <v>0</v>
      </c>
      <c r="I302" s="135"/>
      <c r="J302" s="135">
        <v>0</v>
      </c>
      <c r="K302" s="135"/>
      <c r="L302" s="135">
        <v>0</v>
      </c>
      <c r="M302" s="135"/>
      <c r="N302" s="135">
        <v>0</v>
      </c>
      <c r="O302" s="135">
        <v>0</v>
      </c>
      <c r="P302" s="135">
        <v>0</v>
      </c>
      <c r="Q302" s="135">
        <v>0</v>
      </c>
      <c r="R302" s="135">
        <v>0</v>
      </c>
      <c r="S302" s="135">
        <f t="shared" si="29"/>
        <v>40000</v>
      </c>
      <c r="T302" s="135"/>
      <c r="U302" s="135">
        <f t="shared" si="30"/>
        <v>40000</v>
      </c>
    </row>
    <row r="303" spans="1:21" ht="15.75" x14ac:dyDescent="0.3">
      <c r="A303" s="161">
        <f t="shared" si="31"/>
        <v>16</v>
      </c>
      <c r="B303" s="162" t="s">
        <v>99</v>
      </c>
      <c r="C303" s="135">
        <v>9000</v>
      </c>
      <c r="D303" s="135">
        <v>1000</v>
      </c>
      <c r="E303" s="135">
        <v>1000</v>
      </c>
      <c r="F303" s="135">
        <v>4000</v>
      </c>
      <c r="G303" s="135">
        <v>25000</v>
      </c>
      <c r="H303" s="135">
        <v>0</v>
      </c>
      <c r="I303" s="135">
        <v>75000</v>
      </c>
      <c r="J303" s="135">
        <v>0</v>
      </c>
      <c r="K303" s="135"/>
      <c r="L303" s="135">
        <v>0</v>
      </c>
      <c r="M303" s="135"/>
      <c r="N303" s="135">
        <v>0</v>
      </c>
      <c r="O303" s="135">
        <v>0</v>
      </c>
      <c r="P303" s="135">
        <v>0</v>
      </c>
      <c r="Q303" s="135">
        <v>0</v>
      </c>
      <c r="R303" s="135">
        <v>0</v>
      </c>
      <c r="S303" s="135">
        <f t="shared" si="29"/>
        <v>115000</v>
      </c>
      <c r="T303" s="135"/>
      <c r="U303" s="135">
        <f t="shared" si="30"/>
        <v>115000</v>
      </c>
    </row>
    <row r="304" spans="1:21" ht="15.75" x14ac:dyDescent="0.3">
      <c r="A304" s="161">
        <f t="shared" si="31"/>
        <v>17</v>
      </c>
      <c r="B304" s="162" t="s">
        <v>100</v>
      </c>
      <c r="C304" s="135">
        <v>19000</v>
      </c>
      <c r="D304" s="135">
        <v>1000</v>
      </c>
      <c r="E304" s="135">
        <v>1000</v>
      </c>
      <c r="F304" s="135">
        <v>4000</v>
      </c>
      <c r="G304" s="135">
        <v>25000</v>
      </c>
      <c r="H304" s="135">
        <v>0</v>
      </c>
      <c r="I304" s="135"/>
      <c r="J304" s="135">
        <v>0</v>
      </c>
      <c r="K304" s="135">
        <v>200000</v>
      </c>
      <c r="L304" s="135">
        <v>202000</v>
      </c>
      <c r="M304" s="135"/>
      <c r="N304" s="135">
        <v>0</v>
      </c>
      <c r="O304" s="135">
        <v>0</v>
      </c>
      <c r="P304" s="135">
        <v>0</v>
      </c>
      <c r="Q304" s="135">
        <v>0</v>
      </c>
      <c r="R304" s="135">
        <v>0</v>
      </c>
      <c r="S304" s="135">
        <f t="shared" si="29"/>
        <v>452000</v>
      </c>
      <c r="T304" s="135"/>
      <c r="U304" s="135">
        <f t="shared" si="30"/>
        <v>452000</v>
      </c>
    </row>
    <row r="305" spans="1:21" ht="15.75" x14ac:dyDescent="0.3">
      <c r="A305" s="161">
        <f t="shared" si="31"/>
        <v>18</v>
      </c>
      <c r="B305" s="162" t="s">
        <v>38</v>
      </c>
      <c r="C305" s="135">
        <v>14000</v>
      </c>
      <c r="D305" s="135">
        <v>1000</v>
      </c>
      <c r="E305" s="135">
        <v>1000</v>
      </c>
      <c r="F305" s="135">
        <v>4000</v>
      </c>
      <c r="G305" s="135">
        <v>25000</v>
      </c>
      <c r="H305" s="135">
        <v>0</v>
      </c>
      <c r="I305" s="135">
        <v>75000</v>
      </c>
      <c r="J305" s="135">
        <v>0</v>
      </c>
      <c r="K305" s="135">
        <v>100000</v>
      </c>
      <c r="L305" s="135">
        <v>0</v>
      </c>
      <c r="M305" s="135"/>
      <c r="N305" s="135">
        <v>0</v>
      </c>
      <c r="O305" s="135">
        <v>0</v>
      </c>
      <c r="P305" s="135">
        <v>0</v>
      </c>
      <c r="Q305" s="135">
        <v>0</v>
      </c>
      <c r="R305" s="135">
        <v>0</v>
      </c>
      <c r="S305" s="135">
        <f t="shared" si="29"/>
        <v>220000</v>
      </c>
      <c r="T305" s="135"/>
      <c r="U305" s="135">
        <f t="shared" si="30"/>
        <v>220000</v>
      </c>
    </row>
    <row r="306" spans="1:21" ht="15.75" x14ac:dyDescent="0.3">
      <c r="A306" s="161">
        <f t="shared" si="31"/>
        <v>19</v>
      </c>
      <c r="B306" s="162" t="s">
        <v>101</v>
      </c>
      <c r="C306" s="135">
        <v>17000</v>
      </c>
      <c r="D306" s="135">
        <v>1000</v>
      </c>
      <c r="E306" s="135">
        <v>1000</v>
      </c>
      <c r="F306" s="135">
        <v>4000</v>
      </c>
      <c r="G306" s="135">
        <v>25000</v>
      </c>
      <c r="H306" s="135">
        <v>0</v>
      </c>
      <c r="I306" s="135">
        <v>150000</v>
      </c>
      <c r="J306" s="135">
        <v>102000</v>
      </c>
      <c r="K306" s="135">
        <v>100000</v>
      </c>
      <c r="L306" s="135">
        <v>0</v>
      </c>
      <c r="M306" s="135"/>
      <c r="N306" s="135">
        <v>0</v>
      </c>
      <c r="O306" s="135">
        <v>0</v>
      </c>
      <c r="P306" s="135">
        <v>0</v>
      </c>
      <c r="Q306" s="135">
        <v>0</v>
      </c>
      <c r="R306" s="135">
        <v>0</v>
      </c>
      <c r="S306" s="135">
        <f t="shared" si="29"/>
        <v>400000</v>
      </c>
      <c r="T306" s="135"/>
      <c r="U306" s="135">
        <f t="shared" si="30"/>
        <v>400000</v>
      </c>
    </row>
    <row r="307" spans="1:21" ht="15.75" x14ac:dyDescent="0.3">
      <c r="A307" s="161">
        <f t="shared" si="31"/>
        <v>20</v>
      </c>
      <c r="B307" s="162" t="s">
        <v>102</v>
      </c>
      <c r="C307" s="135">
        <v>9000</v>
      </c>
      <c r="D307" s="135">
        <v>1000</v>
      </c>
      <c r="E307" s="135">
        <v>1000</v>
      </c>
      <c r="F307" s="135">
        <v>4000</v>
      </c>
      <c r="G307" s="135">
        <v>25000</v>
      </c>
      <c r="H307" s="135">
        <v>0</v>
      </c>
      <c r="I307" s="135"/>
      <c r="J307" s="135">
        <v>0</v>
      </c>
      <c r="K307" s="135"/>
      <c r="L307" s="135">
        <v>0</v>
      </c>
      <c r="M307" s="135"/>
      <c r="N307" s="135">
        <v>0</v>
      </c>
      <c r="O307" s="135">
        <v>3000</v>
      </c>
      <c r="P307" s="135">
        <v>0</v>
      </c>
      <c r="Q307" s="135">
        <v>0</v>
      </c>
      <c r="R307" s="135">
        <v>0</v>
      </c>
      <c r="S307" s="135">
        <f t="shared" si="29"/>
        <v>43000</v>
      </c>
      <c r="T307" s="135">
        <v>43000</v>
      </c>
      <c r="U307" s="135">
        <f t="shared" si="30"/>
        <v>0</v>
      </c>
    </row>
    <row r="308" spans="1:21" ht="15.75" x14ac:dyDescent="0.3">
      <c r="A308" s="161">
        <f t="shared" si="31"/>
        <v>21</v>
      </c>
      <c r="B308" s="162" t="s">
        <v>109</v>
      </c>
      <c r="C308" s="135">
        <v>0</v>
      </c>
      <c r="D308" s="135">
        <v>0</v>
      </c>
      <c r="E308" s="135">
        <v>0</v>
      </c>
      <c r="F308" s="135">
        <v>0</v>
      </c>
      <c r="G308" s="135">
        <v>0</v>
      </c>
      <c r="H308" s="135">
        <v>0</v>
      </c>
      <c r="I308" s="135">
        <v>0</v>
      </c>
      <c r="J308" s="135">
        <v>0</v>
      </c>
      <c r="K308" s="135">
        <v>0</v>
      </c>
      <c r="L308" s="135">
        <v>0</v>
      </c>
      <c r="M308" s="135">
        <v>0</v>
      </c>
      <c r="N308" s="135">
        <v>0</v>
      </c>
      <c r="O308" s="135">
        <v>0</v>
      </c>
      <c r="P308" s="135">
        <v>0</v>
      </c>
      <c r="Q308" s="135">
        <v>0</v>
      </c>
      <c r="R308" s="135">
        <v>0</v>
      </c>
      <c r="S308" s="135">
        <f t="shared" si="29"/>
        <v>0</v>
      </c>
      <c r="T308" s="135"/>
      <c r="U308" s="135">
        <f t="shared" si="30"/>
        <v>0</v>
      </c>
    </row>
    <row r="309" spans="1:21" ht="15.75" x14ac:dyDescent="0.3">
      <c r="A309" s="161">
        <f t="shared" si="31"/>
        <v>22</v>
      </c>
      <c r="B309" s="162" t="s">
        <v>166</v>
      </c>
      <c r="C309" s="135">
        <v>19000</v>
      </c>
      <c r="D309" s="135">
        <v>1000</v>
      </c>
      <c r="E309" s="135">
        <v>1000</v>
      </c>
      <c r="F309" s="135">
        <v>4000</v>
      </c>
      <c r="G309" s="135">
        <v>25000</v>
      </c>
      <c r="H309" s="135">
        <v>0</v>
      </c>
      <c r="I309" s="135"/>
      <c r="J309" s="135">
        <v>0</v>
      </c>
      <c r="K309" s="135"/>
      <c r="L309" s="135">
        <v>0</v>
      </c>
      <c r="M309" s="135"/>
      <c r="N309" s="135">
        <v>0</v>
      </c>
      <c r="O309" s="135">
        <v>0</v>
      </c>
      <c r="P309" s="135">
        <v>0</v>
      </c>
      <c r="Q309" s="135">
        <v>0</v>
      </c>
      <c r="R309" s="135">
        <v>0</v>
      </c>
      <c r="S309" s="135">
        <f t="shared" si="29"/>
        <v>50000</v>
      </c>
      <c r="T309" s="135"/>
      <c r="U309" s="135">
        <f t="shared" si="30"/>
        <v>50000</v>
      </c>
    </row>
    <row r="310" spans="1:21" ht="15.75" x14ac:dyDescent="0.3">
      <c r="A310" s="161">
        <f t="shared" si="31"/>
        <v>23</v>
      </c>
      <c r="B310" s="162" t="s">
        <v>41</v>
      </c>
      <c r="C310" s="135">
        <v>9000</v>
      </c>
      <c r="D310" s="135">
        <v>1000</v>
      </c>
      <c r="E310" s="135">
        <v>1000</v>
      </c>
      <c r="F310" s="135">
        <v>4000</v>
      </c>
      <c r="G310" s="135">
        <v>25000</v>
      </c>
      <c r="H310" s="135">
        <v>0</v>
      </c>
      <c r="I310" s="135">
        <v>75000</v>
      </c>
      <c r="J310" s="135">
        <v>0</v>
      </c>
      <c r="K310" s="135"/>
      <c r="L310" s="135">
        <v>0</v>
      </c>
      <c r="M310" s="135"/>
      <c r="N310" s="135">
        <v>0</v>
      </c>
      <c r="O310" s="135">
        <v>0</v>
      </c>
      <c r="P310" s="135">
        <v>0</v>
      </c>
      <c r="Q310" s="135">
        <v>0</v>
      </c>
      <c r="R310" s="135">
        <v>0</v>
      </c>
      <c r="S310" s="135">
        <f t="shared" si="29"/>
        <v>115000</v>
      </c>
      <c r="T310" s="135"/>
      <c r="U310" s="135">
        <f t="shared" si="30"/>
        <v>115000</v>
      </c>
    </row>
    <row r="311" spans="1:21" ht="15.75" x14ac:dyDescent="0.3">
      <c r="A311" s="161">
        <f t="shared" si="31"/>
        <v>24</v>
      </c>
      <c r="B311" s="162" t="s">
        <v>165</v>
      </c>
      <c r="C311" s="135">
        <v>9000</v>
      </c>
      <c r="D311" s="135">
        <v>1000</v>
      </c>
      <c r="E311" s="135">
        <v>1000</v>
      </c>
      <c r="F311" s="135">
        <v>4000</v>
      </c>
      <c r="G311" s="135">
        <v>25000</v>
      </c>
      <c r="H311" s="135">
        <v>0</v>
      </c>
      <c r="I311" s="135"/>
      <c r="J311" s="135">
        <v>0</v>
      </c>
      <c r="K311" s="135"/>
      <c r="L311" s="135">
        <v>0</v>
      </c>
      <c r="M311" s="135"/>
      <c r="N311" s="135">
        <v>0</v>
      </c>
      <c r="O311" s="135">
        <v>0</v>
      </c>
      <c r="P311" s="135">
        <v>0</v>
      </c>
      <c r="Q311" s="135">
        <v>0</v>
      </c>
      <c r="R311" s="135">
        <v>0</v>
      </c>
      <c r="S311" s="135">
        <f t="shared" si="29"/>
        <v>40000</v>
      </c>
      <c r="T311" s="135"/>
      <c r="U311" s="135">
        <f t="shared" si="30"/>
        <v>40000</v>
      </c>
    </row>
    <row r="312" spans="1:21" ht="15.75" x14ac:dyDescent="0.3">
      <c r="A312" s="161">
        <f t="shared" si="31"/>
        <v>25</v>
      </c>
      <c r="B312" s="162" t="s">
        <v>46</v>
      </c>
      <c r="C312" s="135">
        <v>9000</v>
      </c>
      <c r="D312" s="135">
        <v>1000</v>
      </c>
      <c r="E312" s="135">
        <v>1000</v>
      </c>
      <c r="F312" s="135">
        <v>4000</v>
      </c>
      <c r="G312" s="135">
        <v>25000</v>
      </c>
      <c r="H312" s="135">
        <v>0</v>
      </c>
      <c r="I312" s="135">
        <v>75000</v>
      </c>
      <c r="J312" s="135">
        <v>0</v>
      </c>
      <c r="K312" s="135"/>
      <c r="L312" s="135">
        <v>0</v>
      </c>
      <c r="M312" s="135"/>
      <c r="N312" s="135">
        <v>0</v>
      </c>
      <c r="O312" s="135">
        <v>0</v>
      </c>
      <c r="P312" s="135">
        <v>0</v>
      </c>
      <c r="Q312" s="135">
        <v>0</v>
      </c>
      <c r="R312" s="135">
        <v>0</v>
      </c>
      <c r="S312" s="135">
        <f t="shared" si="29"/>
        <v>115000</v>
      </c>
      <c r="T312" s="135"/>
      <c r="U312" s="135">
        <f t="shared" si="30"/>
        <v>115000</v>
      </c>
    </row>
    <row r="313" spans="1:21" ht="15.75" x14ac:dyDescent="0.3">
      <c r="A313" s="161">
        <f t="shared" si="31"/>
        <v>26</v>
      </c>
      <c r="B313" s="162" t="s">
        <v>104</v>
      </c>
      <c r="C313" s="135">
        <f>1000000-846532</f>
        <v>153468</v>
      </c>
      <c r="D313" s="135">
        <v>0</v>
      </c>
      <c r="E313" s="135">
        <v>0</v>
      </c>
      <c r="F313" s="135">
        <v>0</v>
      </c>
      <c r="G313" s="135">
        <v>0</v>
      </c>
      <c r="H313" s="135">
        <v>0</v>
      </c>
      <c r="I313" s="135">
        <v>0</v>
      </c>
      <c r="J313" s="135">
        <v>0</v>
      </c>
      <c r="K313" s="135">
        <v>0</v>
      </c>
      <c r="L313" s="135">
        <v>0</v>
      </c>
      <c r="M313" s="135">
        <v>846532</v>
      </c>
      <c r="N313" s="135">
        <v>0</v>
      </c>
      <c r="O313" s="135">
        <v>0</v>
      </c>
      <c r="P313" s="135">
        <v>0</v>
      </c>
      <c r="Q313" s="135">
        <v>0</v>
      </c>
      <c r="R313" s="135">
        <v>0</v>
      </c>
      <c r="S313" s="135">
        <f t="shared" si="29"/>
        <v>1000000</v>
      </c>
      <c r="T313" s="135"/>
      <c r="U313" s="135">
        <f t="shared" si="30"/>
        <v>1000000</v>
      </c>
    </row>
    <row r="314" spans="1:21" ht="15.75" x14ac:dyDescent="0.3">
      <c r="A314" s="161">
        <f t="shared" si="31"/>
        <v>27</v>
      </c>
      <c r="B314" s="162" t="s">
        <v>40</v>
      </c>
      <c r="C314" s="135">
        <v>9000</v>
      </c>
      <c r="D314" s="135">
        <v>1000</v>
      </c>
      <c r="E314" s="135">
        <v>1000</v>
      </c>
      <c r="F314" s="135">
        <v>4000</v>
      </c>
      <c r="G314" s="135">
        <v>25000</v>
      </c>
      <c r="H314" s="135">
        <v>0</v>
      </c>
      <c r="I314" s="135"/>
      <c r="J314" s="135">
        <v>0</v>
      </c>
      <c r="K314" s="135">
        <v>100000</v>
      </c>
      <c r="L314" s="135">
        <v>0</v>
      </c>
      <c r="M314" s="135"/>
      <c r="N314" s="135">
        <v>0</v>
      </c>
      <c r="O314" s="135">
        <v>0</v>
      </c>
      <c r="P314" s="135">
        <v>0</v>
      </c>
      <c r="Q314" s="135">
        <v>0</v>
      </c>
      <c r="R314" s="135">
        <v>0</v>
      </c>
      <c r="S314" s="135">
        <f t="shared" si="29"/>
        <v>140000</v>
      </c>
      <c r="T314" s="135"/>
      <c r="U314" s="135">
        <f t="shared" si="30"/>
        <v>140000</v>
      </c>
    </row>
    <row r="315" spans="1:21" ht="15.75" x14ac:dyDescent="0.3">
      <c r="A315" s="161">
        <f t="shared" si="31"/>
        <v>28</v>
      </c>
      <c r="B315" s="162" t="s">
        <v>105</v>
      </c>
      <c r="C315" s="135">
        <v>9000</v>
      </c>
      <c r="D315" s="135">
        <v>1000</v>
      </c>
      <c r="E315" s="135">
        <v>1000</v>
      </c>
      <c r="F315" s="135">
        <v>4000</v>
      </c>
      <c r="G315" s="135">
        <v>25000</v>
      </c>
      <c r="H315" s="135">
        <v>0</v>
      </c>
      <c r="I315" s="135">
        <v>75000</v>
      </c>
      <c r="J315" s="135">
        <v>102000</v>
      </c>
      <c r="K315" s="135"/>
      <c r="L315" s="135">
        <v>0</v>
      </c>
      <c r="M315" s="135">
        <v>250000</v>
      </c>
      <c r="N315" s="135">
        <v>0</v>
      </c>
      <c r="O315" s="135">
        <v>0</v>
      </c>
      <c r="P315" s="135">
        <v>0</v>
      </c>
      <c r="Q315" s="135">
        <v>0</v>
      </c>
      <c r="R315" s="135">
        <v>0</v>
      </c>
      <c r="S315" s="135">
        <f t="shared" si="29"/>
        <v>467000</v>
      </c>
      <c r="T315" s="135">
        <v>102000</v>
      </c>
      <c r="U315" s="135">
        <f t="shared" si="30"/>
        <v>365000</v>
      </c>
    </row>
    <row r="316" spans="1:21" ht="15.75" x14ac:dyDescent="0.3">
      <c r="A316" s="161">
        <f t="shared" si="31"/>
        <v>29</v>
      </c>
      <c r="B316" s="162" t="s">
        <v>187</v>
      </c>
      <c r="C316" s="135">
        <v>9000</v>
      </c>
      <c r="D316" s="135">
        <v>1000</v>
      </c>
      <c r="E316" s="135">
        <v>1000</v>
      </c>
      <c r="F316" s="135">
        <v>4000</v>
      </c>
      <c r="G316" s="135">
        <v>25000</v>
      </c>
      <c r="H316" s="135">
        <v>0</v>
      </c>
      <c r="I316" s="135"/>
      <c r="J316" s="135">
        <v>0</v>
      </c>
      <c r="K316" s="135"/>
      <c r="L316" s="135">
        <v>0</v>
      </c>
      <c r="M316" s="135"/>
      <c r="N316" s="135">
        <v>0</v>
      </c>
      <c r="O316" s="135">
        <v>0</v>
      </c>
      <c r="P316" s="135">
        <v>0</v>
      </c>
      <c r="Q316" s="135">
        <v>0</v>
      </c>
      <c r="R316" s="135">
        <v>0</v>
      </c>
      <c r="S316" s="135">
        <f t="shared" si="29"/>
        <v>40000</v>
      </c>
      <c r="T316" s="135"/>
      <c r="U316" s="135">
        <f t="shared" si="30"/>
        <v>40000</v>
      </c>
    </row>
    <row r="317" spans="1:21" ht="15.75" x14ac:dyDescent="0.3">
      <c r="A317" s="161">
        <f t="shared" si="31"/>
        <v>30</v>
      </c>
      <c r="B317" s="162" t="s">
        <v>110</v>
      </c>
      <c r="C317" s="135">
        <v>0</v>
      </c>
      <c r="D317" s="135">
        <v>0</v>
      </c>
      <c r="E317" s="135"/>
      <c r="F317" s="135"/>
      <c r="G317" s="135"/>
      <c r="H317" s="135">
        <v>0</v>
      </c>
      <c r="I317" s="135"/>
      <c r="J317" s="135">
        <v>0</v>
      </c>
      <c r="K317" s="135"/>
      <c r="L317" s="135">
        <v>0</v>
      </c>
      <c r="M317" s="135"/>
      <c r="N317" s="135">
        <v>0</v>
      </c>
      <c r="O317" s="135">
        <v>0</v>
      </c>
      <c r="P317" s="135">
        <v>0</v>
      </c>
      <c r="Q317" s="135">
        <v>0</v>
      </c>
      <c r="R317" s="135">
        <v>0</v>
      </c>
      <c r="S317" s="135">
        <f t="shared" si="29"/>
        <v>0</v>
      </c>
      <c r="T317" s="135"/>
      <c r="U317" s="135">
        <f t="shared" si="30"/>
        <v>0</v>
      </c>
    </row>
    <row r="318" spans="1:21" ht="15.75" x14ac:dyDescent="0.3">
      <c r="A318" s="161">
        <f t="shared" si="31"/>
        <v>31</v>
      </c>
      <c r="B318" s="162" t="s">
        <v>106</v>
      </c>
      <c r="C318" s="163">
        <v>9000</v>
      </c>
      <c r="D318" s="163">
        <v>1000</v>
      </c>
      <c r="E318" s="163">
        <v>1000</v>
      </c>
      <c r="F318" s="163">
        <v>4000</v>
      </c>
      <c r="G318" s="163">
        <v>25000</v>
      </c>
      <c r="H318" s="135">
        <v>0</v>
      </c>
      <c r="I318" s="135"/>
      <c r="J318" s="135">
        <v>0</v>
      </c>
      <c r="K318" s="135"/>
      <c r="L318" s="135">
        <v>0</v>
      </c>
      <c r="M318" s="135"/>
      <c r="N318" s="135">
        <v>0</v>
      </c>
      <c r="O318" s="135">
        <v>0</v>
      </c>
      <c r="P318" s="135">
        <v>0</v>
      </c>
      <c r="Q318" s="135">
        <v>0</v>
      </c>
      <c r="R318" s="135">
        <v>0</v>
      </c>
      <c r="S318" s="135">
        <f t="shared" si="29"/>
        <v>40000</v>
      </c>
      <c r="T318" s="135"/>
      <c r="U318" s="135">
        <f t="shared" si="30"/>
        <v>40000</v>
      </c>
    </row>
    <row r="319" spans="1:21" ht="15.75" x14ac:dyDescent="0.3">
      <c r="A319" s="161">
        <f t="shared" si="31"/>
        <v>32</v>
      </c>
      <c r="B319" s="162" t="s">
        <v>107</v>
      </c>
      <c r="C319" s="135">
        <v>9000</v>
      </c>
      <c r="D319" s="135">
        <v>1000</v>
      </c>
      <c r="E319" s="135">
        <v>1000</v>
      </c>
      <c r="F319" s="135">
        <v>4000</v>
      </c>
      <c r="G319" s="135">
        <v>25000</v>
      </c>
      <c r="H319" s="135">
        <v>0</v>
      </c>
      <c r="I319" s="135">
        <v>150000</v>
      </c>
      <c r="J319" s="135">
        <v>0</v>
      </c>
      <c r="K319" s="135">
        <v>100000</v>
      </c>
      <c r="L319" s="135">
        <v>0</v>
      </c>
      <c r="M319" s="135"/>
      <c r="N319" s="135">
        <v>0</v>
      </c>
      <c r="O319" s="135">
        <v>0</v>
      </c>
      <c r="P319" s="135">
        <v>0</v>
      </c>
      <c r="Q319" s="135">
        <v>0</v>
      </c>
      <c r="R319" s="135">
        <v>0</v>
      </c>
      <c r="S319" s="135">
        <f t="shared" si="29"/>
        <v>290000</v>
      </c>
      <c r="T319" s="135"/>
      <c r="U319" s="135">
        <f t="shared" si="30"/>
        <v>290000</v>
      </c>
    </row>
    <row r="320" spans="1:21" ht="15.75" x14ac:dyDescent="0.3">
      <c r="A320" s="161">
        <f t="shared" si="31"/>
        <v>33</v>
      </c>
      <c r="B320" s="162" t="s">
        <v>111</v>
      </c>
      <c r="C320" s="163">
        <v>6000</v>
      </c>
      <c r="D320" s="163">
        <v>1000</v>
      </c>
      <c r="E320" s="163">
        <v>1000</v>
      </c>
      <c r="F320" s="163">
        <v>4000</v>
      </c>
      <c r="G320" s="163">
        <v>25000</v>
      </c>
      <c r="H320" s="135">
        <v>30500</v>
      </c>
      <c r="I320" s="135"/>
      <c r="J320" s="135">
        <v>0</v>
      </c>
      <c r="K320" s="135"/>
      <c r="L320" s="135">
        <v>0</v>
      </c>
      <c r="M320" s="135"/>
      <c r="N320" s="135">
        <v>0</v>
      </c>
      <c r="O320" s="135">
        <v>3000</v>
      </c>
      <c r="P320" s="135">
        <v>0</v>
      </c>
      <c r="Q320" s="135">
        <v>0</v>
      </c>
      <c r="R320" s="135">
        <v>0</v>
      </c>
      <c r="S320" s="135">
        <f t="shared" si="29"/>
        <v>70500</v>
      </c>
      <c r="T320" s="135">
        <v>30500</v>
      </c>
      <c r="U320" s="135">
        <f t="shared" si="30"/>
        <v>40000</v>
      </c>
    </row>
    <row r="321" spans="1:21" ht="15.75" x14ac:dyDescent="0.3">
      <c r="A321" s="161">
        <f t="shared" si="31"/>
        <v>34</v>
      </c>
      <c r="B321" s="162" t="s">
        <v>224</v>
      </c>
      <c r="C321" s="163">
        <v>69000</v>
      </c>
      <c r="D321" s="163">
        <v>1000</v>
      </c>
      <c r="E321" s="163">
        <v>1000</v>
      </c>
      <c r="F321" s="163">
        <v>4000</v>
      </c>
      <c r="G321" s="163">
        <v>25000</v>
      </c>
      <c r="H321" s="135">
        <v>0</v>
      </c>
      <c r="I321" s="135"/>
      <c r="J321" s="135">
        <v>0</v>
      </c>
      <c r="K321" s="135"/>
      <c r="L321" s="135">
        <v>0</v>
      </c>
      <c r="M321" s="135"/>
      <c r="N321" s="135">
        <v>0</v>
      </c>
      <c r="O321" s="135">
        <v>0</v>
      </c>
      <c r="P321" s="135">
        <v>0</v>
      </c>
      <c r="Q321" s="135">
        <v>0</v>
      </c>
      <c r="R321" s="135">
        <v>0</v>
      </c>
      <c r="S321" s="135">
        <f t="shared" si="29"/>
        <v>100000</v>
      </c>
      <c r="T321" s="135"/>
      <c r="U321" s="135">
        <f t="shared" si="30"/>
        <v>100000</v>
      </c>
    </row>
    <row r="322" spans="1:21" ht="15.75" x14ac:dyDescent="0.3">
      <c r="A322" s="161">
        <f t="shared" si="31"/>
        <v>35</v>
      </c>
      <c r="B322" s="162"/>
      <c r="C322" s="135">
        <v>0</v>
      </c>
      <c r="D322" s="135">
        <v>0</v>
      </c>
      <c r="E322" s="135">
        <v>0</v>
      </c>
      <c r="F322" s="135">
        <v>0</v>
      </c>
      <c r="G322" s="135">
        <v>0</v>
      </c>
      <c r="H322" s="135">
        <v>0</v>
      </c>
      <c r="I322" s="135">
        <v>0</v>
      </c>
      <c r="J322" s="135">
        <v>0</v>
      </c>
      <c r="K322" s="135">
        <v>0</v>
      </c>
      <c r="L322" s="135">
        <v>0</v>
      </c>
      <c r="M322" s="135">
        <v>0</v>
      </c>
      <c r="N322" s="135">
        <v>0</v>
      </c>
      <c r="O322" s="135">
        <v>0</v>
      </c>
      <c r="P322" s="135">
        <v>0</v>
      </c>
      <c r="Q322" s="135">
        <v>0</v>
      </c>
      <c r="R322" s="135">
        <v>0</v>
      </c>
      <c r="S322" s="135">
        <f t="shared" si="29"/>
        <v>0</v>
      </c>
      <c r="T322" s="135"/>
      <c r="U322" s="135">
        <f t="shared" si="30"/>
        <v>0</v>
      </c>
    </row>
    <row r="323" spans="1:21" ht="15.75" x14ac:dyDescent="0.3">
      <c r="A323" s="161">
        <f t="shared" si="31"/>
        <v>36</v>
      </c>
      <c r="B323" s="162"/>
      <c r="C323" s="135"/>
      <c r="D323" s="135"/>
      <c r="E323" s="135"/>
      <c r="F323" s="135"/>
      <c r="G323" s="135"/>
      <c r="H323" s="135">
        <v>0</v>
      </c>
      <c r="I323" s="135"/>
      <c r="J323" s="135">
        <v>0</v>
      </c>
      <c r="K323" s="135"/>
      <c r="L323" s="135">
        <v>0</v>
      </c>
      <c r="M323" s="135"/>
      <c r="N323" s="135">
        <v>0</v>
      </c>
      <c r="O323" s="135">
        <v>0</v>
      </c>
      <c r="P323" s="135">
        <v>0</v>
      </c>
      <c r="Q323" s="135">
        <v>0</v>
      </c>
      <c r="R323" s="135">
        <v>0</v>
      </c>
      <c r="S323" s="135">
        <f t="shared" si="29"/>
        <v>0</v>
      </c>
      <c r="T323" s="135"/>
      <c r="U323" s="135">
        <f t="shared" si="30"/>
        <v>0</v>
      </c>
    </row>
    <row r="324" spans="1:21" ht="15.75" x14ac:dyDescent="0.3">
      <c r="A324" s="161" t="e">
        <f>+#REF!+1</f>
        <v>#REF!</v>
      </c>
      <c r="B324" s="162"/>
      <c r="C324" s="135"/>
      <c r="D324" s="135"/>
      <c r="E324" s="135"/>
      <c r="F324" s="135"/>
      <c r="G324" s="135"/>
      <c r="H324" s="135">
        <v>0</v>
      </c>
      <c r="I324" s="135"/>
      <c r="J324" s="135">
        <v>0</v>
      </c>
      <c r="K324" s="135"/>
      <c r="L324" s="135">
        <v>0</v>
      </c>
      <c r="M324" s="135"/>
      <c r="N324" s="135">
        <v>0</v>
      </c>
      <c r="O324" s="135">
        <v>0</v>
      </c>
      <c r="P324" s="135">
        <v>0</v>
      </c>
      <c r="Q324" s="135">
        <v>0</v>
      </c>
      <c r="R324" s="135">
        <v>0</v>
      </c>
      <c r="S324" s="135">
        <f t="shared" si="29"/>
        <v>0</v>
      </c>
      <c r="T324" s="135"/>
      <c r="U324" s="135">
        <f t="shared" si="30"/>
        <v>0</v>
      </c>
    </row>
    <row r="325" spans="1:21" ht="15.75" x14ac:dyDescent="0.3">
      <c r="A325" s="161" t="e">
        <f t="shared" si="31"/>
        <v>#REF!</v>
      </c>
      <c r="B325" s="162"/>
      <c r="C325" s="135"/>
      <c r="D325" s="135"/>
      <c r="E325" s="135"/>
      <c r="F325" s="135"/>
      <c r="G325" s="135"/>
      <c r="H325" s="135">
        <v>0</v>
      </c>
      <c r="I325" s="135"/>
      <c r="J325" s="135">
        <v>0</v>
      </c>
      <c r="K325" s="135"/>
      <c r="L325" s="135">
        <v>0</v>
      </c>
      <c r="M325" s="135"/>
      <c r="N325" s="135">
        <v>0</v>
      </c>
      <c r="O325" s="135">
        <v>0</v>
      </c>
      <c r="P325" s="135">
        <v>0</v>
      </c>
      <c r="Q325" s="135">
        <v>0</v>
      </c>
      <c r="R325" s="135">
        <v>0</v>
      </c>
      <c r="S325" s="135">
        <f t="shared" si="29"/>
        <v>0</v>
      </c>
      <c r="T325" s="135"/>
      <c r="U325" s="135">
        <f t="shared" si="30"/>
        <v>0</v>
      </c>
    </row>
    <row r="326" spans="1:21" ht="15.75" x14ac:dyDescent="0.3">
      <c r="A326" s="161" t="e">
        <f t="shared" si="31"/>
        <v>#REF!</v>
      </c>
      <c r="B326" s="162"/>
      <c r="C326" s="135"/>
      <c r="D326" s="135"/>
      <c r="E326" s="135"/>
      <c r="F326" s="135"/>
      <c r="G326" s="135"/>
      <c r="H326" s="135">
        <v>0</v>
      </c>
      <c r="I326" s="135"/>
      <c r="J326" s="135">
        <v>0</v>
      </c>
      <c r="K326" s="135"/>
      <c r="L326" s="135">
        <v>0</v>
      </c>
      <c r="M326" s="135"/>
      <c r="N326" s="135">
        <v>0</v>
      </c>
      <c r="O326" s="135">
        <v>0</v>
      </c>
      <c r="P326" s="135">
        <v>0</v>
      </c>
      <c r="Q326" s="135">
        <v>0</v>
      </c>
      <c r="R326" s="135">
        <v>0</v>
      </c>
      <c r="S326" s="135">
        <f t="shared" si="29"/>
        <v>0</v>
      </c>
      <c r="T326" s="135"/>
      <c r="U326" s="135">
        <f t="shared" si="30"/>
        <v>0</v>
      </c>
    </row>
    <row r="327" spans="1:21" ht="15.75" x14ac:dyDescent="0.3">
      <c r="A327" s="161" t="e">
        <f t="shared" si="31"/>
        <v>#REF!</v>
      </c>
      <c r="B327" s="162"/>
      <c r="C327" s="135"/>
      <c r="D327" s="135"/>
      <c r="E327" s="135"/>
      <c r="F327" s="135"/>
      <c r="G327" s="135"/>
      <c r="H327" s="135">
        <v>0</v>
      </c>
      <c r="I327" s="135"/>
      <c r="J327" s="135">
        <v>0</v>
      </c>
      <c r="K327" s="135"/>
      <c r="L327" s="135">
        <v>0</v>
      </c>
      <c r="M327" s="135"/>
      <c r="N327" s="135">
        <v>0</v>
      </c>
      <c r="O327" s="135">
        <v>0</v>
      </c>
      <c r="P327" s="135">
        <v>0</v>
      </c>
      <c r="Q327" s="135">
        <v>0</v>
      </c>
      <c r="R327" s="135">
        <v>0</v>
      </c>
      <c r="S327" s="135">
        <f t="shared" si="29"/>
        <v>0</v>
      </c>
      <c r="T327" s="135"/>
      <c r="U327" s="135">
        <f t="shared" si="30"/>
        <v>0</v>
      </c>
    </row>
    <row r="328" spans="1:21" x14ac:dyDescent="0.25">
      <c r="A328" s="177"/>
      <c r="B328" s="177"/>
      <c r="C328" s="178">
        <f t="shared" ref="C328:H328" si="32">SUM(C287:C327)</f>
        <v>561768</v>
      </c>
      <c r="D328" s="178">
        <f t="shared" si="32"/>
        <v>30000</v>
      </c>
      <c r="E328" s="178">
        <f t="shared" si="32"/>
        <v>30000</v>
      </c>
      <c r="F328" s="178">
        <f t="shared" si="32"/>
        <v>120000</v>
      </c>
      <c r="G328" s="178">
        <f t="shared" si="32"/>
        <v>750000</v>
      </c>
      <c r="H328" s="178">
        <f t="shared" si="32"/>
        <v>91500</v>
      </c>
      <c r="I328" s="178">
        <f>SUM(I288:I327)</f>
        <v>1200000</v>
      </c>
      <c r="J328" s="178">
        <f t="shared" ref="J328:U328" si="33">SUM(J287:J327)</f>
        <v>408000</v>
      </c>
      <c r="K328" s="178">
        <f t="shared" si="33"/>
        <v>1400000</v>
      </c>
      <c r="L328" s="178">
        <f t="shared" si="33"/>
        <v>589500</v>
      </c>
      <c r="M328" s="178">
        <f t="shared" si="33"/>
        <v>1096532</v>
      </c>
      <c r="N328" s="178">
        <f t="shared" si="33"/>
        <v>0</v>
      </c>
      <c r="O328" s="178">
        <f t="shared" si="33"/>
        <v>15000</v>
      </c>
      <c r="P328" s="178">
        <f t="shared" si="33"/>
        <v>0</v>
      </c>
      <c r="Q328" s="178">
        <f t="shared" si="33"/>
        <v>0</v>
      </c>
      <c r="R328" s="178">
        <f t="shared" si="33"/>
        <v>0</v>
      </c>
      <c r="S328" s="178">
        <f t="shared" si="33"/>
        <v>6292300</v>
      </c>
      <c r="T328" s="178">
        <f t="shared" si="33"/>
        <v>384500</v>
      </c>
      <c r="U328" s="178">
        <f t="shared" si="33"/>
        <v>5907800</v>
      </c>
    </row>
    <row r="329" spans="1:21" ht="21" x14ac:dyDescent="0.35">
      <c r="A329" s="16"/>
      <c r="B329" s="214" t="s">
        <v>383</v>
      </c>
      <c r="C329" s="214"/>
      <c r="D329" s="214"/>
      <c r="E329" s="214"/>
      <c r="F329" s="214"/>
      <c r="G329" s="214"/>
      <c r="H329" s="214"/>
      <c r="I329" s="214"/>
      <c r="J329" s="134"/>
      <c r="K329" s="134"/>
      <c r="L329" s="134"/>
      <c r="M329" s="134"/>
      <c r="N329" s="134"/>
      <c r="O329" s="134"/>
      <c r="P329" s="134"/>
      <c r="Q329" s="134"/>
      <c r="R329" s="134"/>
      <c r="S329" s="134"/>
      <c r="T329" s="134"/>
      <c r="U329" s="134"/>
    </row>
    <row r="330" spans="1:21" x14ac:dyDescent="0.25">
      <c r="A330" s="176"/>
      <c r="B330" s="176"/>
      <c r="C330" s="176"/>
      <c r="D330" s="176"/>
      <c r="E330" s="176"/>
      <c r="F330" s="176"/>
      <c r="G330" s="176"/>
      <c r="H330" s="176"/>
      <c r="I330" s="176"/>
      <c r="J330" s="176"/>
      <c r="K330" s="176"/>
      <c r="L330" s="176"/>
      <c r="M330" s="176"/>
      <c r="N330" s="176"/>
      <c r="O330" s="176"/>
      <c r="P330" s="176"/>
      <c r="Q330" s="176"/>
      <c r="R330" s="176"/>
      <c r="S330" s="176"/>
      <c r="T330" s="176"/>
      <c r="U330" s="176"/>
    </row>
    <row r="331" spans="1:21" s="128" customFormat="1" x14ac:dyDescent="0.25">
      <c r="A331" s="161"/>
      <c r="B331" s="161"/>
      <c r="C331" s="215" t="s">
        <v>75</v>
      </c>
      <c r="D331" s="215" t="s">
        <v>168</v>
      </c>
      <c r="E331" s="215" t="s">
        <v>169</v>
      </c>
      <c r="F331" s="215" t="s">
        <v>170</v>
      </c>
      <c r="G331" s="217" t="s">
        <v>171</v>
      </c>
      <c r="H331" s="218"/>
      <c r="I331" s="217" t="s">
        <v>200</v>
      </c>
      <c r="J331" s="218"/>
      <c r="K331" s="217" t="s">
        <v>201</v>
      </c>
      <c r="L331" s="218"/>
      <c r="M331" s="215" t="s">
        <v>174</v>
      </c>
      <c r="N331" s="215" t="s">
        <v>175</v>
      </c>
      <c r="O331" s="215" t="s">
        <v>176</v>
      </c>
      <c r="P331" s="215" t="s">
        <v>177</v>
      </c>
      <c r="Q331" s="215" t="s">
        <v>178</v>
      </c>
      <c r="R331" s="215"/>
      <c r="S331" s="217" t="s">
        <v>179</v>
      </c>
      <c r="T331" s="219"/>
      <c r="U331" s="218"/>
    </row>
    <row r="332" spans="1:21" s="128" customFormat="1" x14ac:dyDescent="0.25">
      <c r="A332" s="161"/>
      <c r="B332" s="161"/>
      <c r="C332" s="216"/>
      <c r="D332" s="216"/>
      <c r="E332" s="216"/>
      <c r="F332" s="216"/>
      <c r="G332" s="161" t="s">
        <v>180</v>
      </c>
      <c r="H332" s="161" t="s">
        <v>181</v>
      </c>
      <c r="I332" s="161" t="s">
        <v>180</v>
      </c>
      <c r="J332" s="161" t="s">
        <v>181</v>
      </c>
      <c r="K332" s="161" t="s">
        <v>180</v>
      </c>
      <c r="L332" s="161" t="s">
        <v>181</v>
      </c>
      <c r="M332" s="216"/>
      <c r="N332" s="216"/>
      <c r="O332" s="216"/>
      <c r="P332" s="216"/>
      <c r="Q332" s="216"/>
      <c r="R332" s="216"/>
      <c r="S332" s="161" t="s">
        <v>74</v>
      </c>
      <c r="T332" s="161" t="s">
        <v>182</v>
      </c>
      <c r="U332" s="161" t="s">
        <v>183</v>
      </c>
    </row>
    <row r="333" spans="1:21" ht="15.75" x14ac:dyDescent="0.3">
      <c r="A333" s="161">
        <v>0</v>
      </c>
      <c r="B333" s="162" t="s">
        <v>88</v>
      </c>
      <c r="C333" s="135">
        <v>0</v>
      </c>
      <c r="D333" s="135">
        <v>3000</v>
      </c>
      <c r="E333" s="135">
        <v>0</v>
      </c>
      <c r="F333" s="135">
        <v>0</v>
      </c>
      <c r="G333" s="135">
        <v>0</v>
      </c>
      <c r="H333" s="135">
        <v>0</v>
      </c>
      <c r="I333" s="135">
        <v>0</v>
      </c>
      <c r="J333" s="135">
        <v>0</v>
      </c>
      <c r="K333" s="135">
        <v>100000</v>
      </c>
      <c r="L333" s="135">
        <v>0</v>
      </c>
      <c r="M333" s="135">
        <v>0</v>
      </c>
      <c r="N333" s="135">
        <v>0</v>
      </c>
      <c r="O333" s="135">
        <v>0</v>
      </c>
      <c r="P333" s="135">
        <v>0</v>
      </c>
      <c r="Q333" s="135">
        <v>0</v>
      </c>
      <c r="R333" s="135">
        <v>0</v>
      </c>
      <c r="S333" s="135">
        <f>+R333+Q333+P333+O333+N333+M333+L333+K333+J333+I333+H333+G333+F333+E333+D333+C333</f>
        <v>103000</v>
      </c>
      <c r="T333" s="135">
        <v>3000</v>
      </c>
      <c r="U333" s="135">
        <f>+S333-T333</f>
        <v>100000</v>
      </c>
    </row>
    <row r="334" spans="1:21" ht="15.75" x14ac:dyDescent="0.3">
      <c r="A334" s="161">
        <f>+A333+1</f>
        <v>1</v>
      </c>
      <c r="B334" s="162" t="s">
        <v>39</v>
      </c>
      <c r="C334" s="135">
        <v>9000</v>
      </c>
      <c r="D334" s="135">
        <v>1000</v>
      </c>
      <c r="E334" s="135">
        <v>1000</v>
      </c>
      <c r="F334" s="135">
        <v>4000</v>
      </c>
      <c r="G334" s="135">
        <v>25000</v>
      </c>
      <c r="H334" s="135">
        <v>0</v>
      </c>
      <c r="I334" s="135">
        <v>75000</v>
      </c>
      <c r="J334" s="135">
        <v>0</v>
      </c>
      <c r="K334" s="135"/>
      <c r="L334" s="135">
        <v>0</v>
      </c>
      <c r="M334" s="135">
        <v>0</v>
      </c>
      <c r="N334" s="135">
        <v>0</v>
      </c>
      <c r="O334" s="135">
        <v>0</v>
      </c>
      <c r="P334" s="135">
        <v>0</v>
      </c>
      <c r="Q334" s="135">
        <v>0</v>
      </c>
      <c r="R334" s="135">
        <v>0</v>
      </c>
      <c r="S334" s="135">
        <f t="shared" ref="S334:S374" si="34">+R334+Q334+P334+O334+N334+M334+L334+K334+J334+I334+H334+G334+F334+E334+D334+C334</f>
        <v>115000</v>
      </c>
      <c r="T334" s="135"/>
      <c r="U334" s="135">
        <f t="shared" ref="U334:U374" si="35">+S334-T334</f>
        <v>115000</v>
      </c>
    </row>
    <row r="335" spans="1:21" ht="15.75" x14ac:dyDescent="0.3">
      <c r="A335" s="161">
        <f t="shared" ref="A335:A374" si="36">+A334+1</f>
        <v>2</v>
      </c>
      <c r="B335" s="162" t="s">
        <v>43</v>
      </c>
      <c r="C335" s="135">
        <v>9000</v>
      </c>
      <c r="D335" s="135">
        <v>1000</v>
      </c>
      <c r="E335" s="135">
        <v>1000</v>
      </c>
      <c r="F335" s="135">
        <v>4000</v>
      </c>
      <c r="G335" s="135">
        <v>25000</v>
      </c>
      <c r="H335" s="135">
        <v>0</v>
      </c>
      <c r="I335" s="135"/>
      <c r="J335" s="135">
        <v>0</v>
      </c>
      <c r="K335" s="135">
        <v>100000</v>
      </c>
      <c r="L335" s="135">
        <v>0</v>
      </c>
      <c r="M335" s="135">
        <v>0</v>
      </c>
      <c r="N335" s="135">
        <v>0</v>
      </c>
      <c r="O335" s="135">
        <v>0</v>
      </c>
      <c r="P335" s="135">
        <v>0</v>
      </c>
      <c r="Q335" s="135">
        <v>0</v>
      </c>
      <c r="R335" s="135">
        <v>0</v>
      </c>
      <c r="S335" s="135">
        <f t="shared" si="34"/>
        <v>140000</v>
      </c>
      <c r="T335" s="135">
        <v>202000</v>
      </c>
      <c r="U335" s="135">
        <f t="shared" si="35"/>
        <v>-62000</v>
      </c>
    </row>
    <row r="336" spans="1:21" ht="15.75" x14ac:dyDescent="0.3">
      <c r="A336" s="161">
        <f t="shared" si="36"/>
        <v>3</v>
      </c>
      <c r="B336" s="162" t="s">
        <v>89</v>
      </c>
      <c r="C336" s="135">
        <v>9000</v>
      </c>
      <c r="D336" s="135">
        <v>1000</v>
      </c>
      <c r="E336" s="135">
        <v>1000</v>
      </c>
      <c r="F336" s="135">
        <v>4000</v>
      </c>
      <c r="G336" s="135">
        <v>25000</v>
      </c>
      <c r="H336" s="135">
        <v>0</v>
      </c>
      <c r="I336" s="135"/>
      <c r="J336" s="135">
        <v>0</v>
      </c>
      <c r="K336" s="135"/>
      <c r="L336" s="135">
        <v>0</v>
      </c>
      <c r="M336" s="135">
        <v>0</v>
      </c>
      <c r="N336" s="135">
        <v>0</v>
      </c>
      <c r="O336" s="135">
        <v>0</v>
      </c>
      <c r="P336" s="135">
        <v>0</v>
      </c>
      <c r="Q336" s="135">
        <v>0</v>
      </c>
      <c r="R336" s="135">
        <v>0</v>
      </c>
      <c r="S336" s="135">
        <f t="shared" si="34"/>
        <v>40000</v>
      </c>
      <c r="T336" s="135">
        <v>43000</v>
      </c>
      <c r="U336" s="135">
        <f t="shared" si="35"/>
        <v>-3000</v>
      </c>
    </row>
    <row r="337" spans="1:21" ht="15.75" x14ac:dyDescent="0.3">
      <c r="A337" s="161">
        <f t="shared" si="36"/>
        <v>4</v>
      </c>
      <c r="B337" s="162" t="s">
        <v>90</v>
      </c>
      <c r="C337" s="135">
        <v>9000</v>
      </c>
      <c r="D337" s="135">
        <v>1000</v>
      </c>
      <c r="E337" s="135">
        <v>1000</v>
      </c>
      <c r="F337" s="135">
        <v>4000</v>
      </c>
      <c r="G337" s="135">
        <v>25000</v>
      </c>
      <c r="H337" s="135">
        <v>0</v>
      </c>
      <c r="I337" s="135">
        <v>75000</v>
      </c>
      <c r="J337" s="135">
        <v>0</v>
      </c>
      <c r="K337" s="135"/>
      <c r="L337" s="135">
        <v>0</v>
      </c>
      <c r="M337" s="135">
        <v>0</v>
      </c>
      <c r="N337" s="135">
        <v>0</v>
      </c>
      <c r="O337" s="135">
        <v>0</v>
      </c>
      <c r="P337" s="135">
        <v>0</v>
      </c>
      <c r="Q337" s="135">
        <v>0</v>
      </c>
      <c r="R337" s="135">
        <v>0</v>
      </c>
      <c r="S337" s="135">
        <f t="shared" si="34"/>
        <v>115000</v>
      </c>
      <c r="T337" s="135"/>
      <c r="U337" s="135">
        <f t="shared" si="35"/>
        <v>115000</v>
      </c>
    </row>
    <row r="338" spans="1:21" ht="15.75" x14ac:dyDescent="0.3">
      <c r="A338" s="161">
        <f t="shared" si="36"/>
        <v>5</v>
      </c>
      <c r="B338" s="162" t="s">
        <v>91</v>
      </c>
      <c r="C338" s="135">
        <v>14000</v>
      </c>
      <c r="D338" s="135">
        <v>1000</v>
      </c>
      <c r="E338" s="135">
        <v>1000</v>
      </c>
      <c r="F338" s="135">
        <v>4000</v>
      </c>
      <c r="G338" s="135">
        <v>25000</v>
      </c>
      <c r="H338" s="135">
        <v>0</v>
      </c>
      <c r="I338" s="135">
        <v>75000</v>
      </c>
      <c r="J338" s="135">
        <v>0</v>
      </c>
      <c r="K338" s="135">
        <v>200000</v>
      </c>
      <c r="L338" s="135">
        <v>0</v>
      </c>
      <c r="M338" s="135">
        <v>0</v>
      </c>
      <c r="N338" s="135">
        <v>0</v>
      </c>
      <c r="O338" s="135">
        <v>0</v>
      </c>
      <c r="P338" s="135">
        <v>0</v>
      </c>
      <c r="Q338" s="135">
        <v>0</v>
      </c>
      <c r="R338" s="135">
        <v>0</v>
      </c>
      <c r="S338" s="135">
        <f t="shared" si="34"/>
        <v>320000</v>
      </c>
      <c r="T338" s="135"/>
      <c r="U338" s="135">
        <f t="shared" si="35"/>
        <v>320000</v>
      </c>
    </row>
    <row r="339" spans="1:21" ht="15.75" x14ac:dyDescent="0.3">
      <c r="A339" s="161">
        <f t="shared" si="36"/>
        <v>6</v>
      </c>
      <c r="B339" s="162" t="s">
        <v>92</v>
      </c>
      <c r="C339" s="135">
        <v>9000</v>
      </c>
      <c r="D339" s="135">
        <v>1000</v>
      </c>
      <c r="E339" s="135">
        <v>1000</v>
      </c>
      <c r="F339" s="135">
        <v>4000</v>
      </c>
      <c r="G339" s="135">
        <v>25000</v>
      </c>
      <c r="H339" s="135">
        <v>0</v>
      </c>
      <c r="I339" s="135"/>
      <c r="J339" s="135">
        <v>0</v>
      </c>
      <c r="K339" s="135"/>
      <c r="L339" s="135">
        <v>0</v>
      </c>
      <c r="M339" s="135">
        <v>0</v>
      </c>
      <c r="N339" s="135">
        <v>0</v>
      </c>
      <c r="O339" s="135">
        <v>0</v>
      </c>
      <c r="P339" s="135">
        <v>0</v>
      </c>
      <c r="Q339" s="135">
        <v>0</v>
      </c>
      <c r="R339" s="135">
        <v>0</v>
      </c>
      <c r="S339" s="135">
        <f t="shared" si="34"/>
        <v>40000</v>
      </c>
      <c r="T339" s="135"/>
      <c r="U339" s="135">
        <f t="shared" si="35"/>
        <v>40000</v>
      </c>
    </row>
    <row r="340" spans="1:21" ht="15.75" x14ac:dyDescent="0.3">
      <c r="A340" s="161">
        <f t="shared" si="36"/>
        <v>7</v>
      </c>
      <c r="B340" s="162" t="s">
        <v>93</v>
      </c>
      <c r="C340" s="135">
        <v>9000</v>
      </c>
      <c r="D340" s="135">
        <v>1000</v>
      </c>
      <c r="E340" s="135">
        <v>1000</v>
      </c>
      <c r="F340" s="135">
        <v>4000</v>
      </c>
      <c r="G340" s="135">
        <v>25000</v>
      </c>
      <c r="H340" s="135">
        <v>0</v>
      </c>
      <c r="I340" s="135">
        <v>0</v>
      </c>
      <c r="J340" s="135">
        <v>0</v>
      </c>
      <c r="K340" s="135">
        <v>0</v>
      </c>
      <c r="L340" s="135">
        <v>0</v>
      </c>
      <c r="M340" s="135">
        <v>0</v>
      </c>
      <c r="N340" s="135">
        <v>0</v>
      </c>
      <c r="O340" s="135">
        <v>0</v>
      </c>
      <c r="P340" s="135">
        <v>0</v>
      </c>
      <c r="Q340" s="135">
        <v>0</v>
      </c>
      <c r="R340" s="135">
        <v>0</v>
      </c>
      <c r="S340" s="135">
        <f t="shared" si="34"/>
        <v>40000</v>
      </c>
      <c r="T340" s="135"/>
      <c r="U340" s="135">
        <f t="shared" si="35"/>
        <v>40000</v>
      </c>
    </row>
    <row r="341" spans="1:21" ht="15.75" x14ac:dyDescent="0.3">
      <c r="A341" s="161">
        <f t="shared" si="36"/>
        <v>8</v>
      </c>
      <c r="B341" s="162" t="s">
        <v>114</v>
      </c>
      <c r="C341" s="135">
        <v>0</v>
      </c>
      <c r="D341" s="135">
        <v>0</v>
      </c>
      <c r="E341" s="135">
        <v>0</v>
      </c>
      <c r="F341" s="135">
        <v>0</v>
      </c>
      <c r="G341" s="135">
        <v>0</v>
      </c>
      <c r="H341" s="135">
        <v>0</v>
      </c>
      <c r="I341" s="135">
        <v>0</v>
      </c>
      <c r="J341" s="135">
        <v>0</v>
      </c>
      <c r="K341" s="135">
        <v>0</v>
      </c>
      <c r="L341" s="135">
        <v>0</v>
      </c>
      <c r="M341" s="135">
        <v>0</v>
      </c>
      <c r="N341" s="135">
        <v>0</v>
      </c>
      <c r="O341" s="135">
        <v>0</v>
      </c>
      <c r="P341" s="135">
        <v>0</v>
      </c>
      <c r="Q341" s="135">
        <v>0</v>
      </c>
      <c r="R341" s="135">
        <v>0</v>
      </c>
      <c r="S341" s="135">
        <f t="shared" si="34"/>
        <v>0</v>
      </c>
      <c r="T341" s="135"/>
      <c r="U341" s="135">
        <f t="shared" si="35"/>
        <v>0</v>
      </c>
    </row>
    <row r="342" spans="1:21" ht="15.75" x14ac:dyDescent="0.3">
      <c r="A342" s="161">
        <f t="shared" si="36"/>
        <v>9</v>
      </c>
      <c r="B342" s="162" t="s">
        <v>42</v>
      </c>
      <c r="C342" s="135">
        <v>9000</v>
      </c>
      <c r="D342" s="135">
        <v>1000</v>
      </c>
      <c r="E342" s="135">
        <v>1000</v>
      </c>
      <c r="F342" s="135">
        <v>4000</v>
      </c>
      <c r="G342" s="135">
        <v>25000</v>
      </c>
      <c r="H342" s="135">
        <v>0</v>
      </c>
      <c r="I342" s="135">
        <v>75000</v>
      </c>
      <c r="J342" s="135">
        <v>0</v>
      </c>
      <c r="K342" s="135"/>
      <c r="L342" s="135">
        <v>0</v>
      </c>
      <c r="M342" s="135">
        <v>0</v>
      </c>
      <c r="N342" s="135">
        <v>0</v>
      </c>
      <c r="O342" s="135">
        <v>0</v>
      </c>
      <c r="P342" s="135">
        <v>0</v>
      </c>
      <c r="Q342" s="135">
        <v>0</v>
      </c>
      <c r="R342" s="135">
        <v>0</v>
      </c>
      <c r="S342" s="135">
        <f t="shared" si="34"/>
        <v>115000</v>
      </c>
      <c r="T342" s="135"/>
      <c r="U342" s="135">
        <f t="shared" si="35"/>
        <v>115000</v>
      </c>
    </row>
    <row r="343" spans="1:21" ht="15.75" x14ac:dyDescent="0.3">
      <c r="A343" s="161">
        <f t="shared" si="36"/>
        <v>10</v>
      </c>
      <c r="B343" s="162" t="s">
        <v>37</v>
      </c>
      <c r="C343" s="135">
        <v>44000</v>
      </c>
      <c r="D343" s="135">
        <v>1000</v>
      </c>
      <c r="E343" s="135">
        <v>1000</v>
      </c>
      <c r="F343" s="135">
        <v>4000</v>
      </c>
      <c r="G343" s="135">
        <v>25000</v>
      </c>
      <c r="H343" s="135">
        <v>0</v>
      </c>
      <c r="I343" s="135">
        <v>75000</v>
      </c>
      <c r="J343" s="135">
        <v>0</v>
      </c>
      <c r="K343" s="135">
        <v>100000</v>
      </c>
      <c r="L343" s="135">
        <v>0</v>
      </c>
      <c r="M343" s="135">
        <v>0</v>
      </c>
      <c r="N343" s="135">
        <v>0</v>
      </c>
      <c r="O343" s="135">
        <v>0</v>
      </c>
      <c r="P343" s="135">
        <v>0</v>
      </c>
      <c r="Q343" s="135">
        <v>0</v>
      </c>
      <c r="R343" s="135">
        <v>0</v>
      </c>
      <c r="S343" s="135">
        <f t="shared" si="34"/>
        <v>250000</v>
      </c>
      <c r="T343" s="135"/>
      <c r="U343" s="135">
        <f t="shared" si="35"/>
        <v>250000</v>
      </c>
    </row>
    <row r="344" spans="1:21" ht="15.75" x14ac:dyDescent="0.3">
      <c r="A344" s="161">
        <f t="shared" si="36"/>
        <v>11</v>
      </c>
      <c r="B344" s="162" t="s">
        <v>94</v>
      </c>
      <c r="C344" s="135">
        <v>9000</v>
      </c>
      <c r="D344" s="135">
        <v>1000</v>
      </c>
      <c r="E344" s="135">
        <v>1000</v>
      </c>
      <c r="F344" s="135">
        <v>4000</v>
      </c>
      <c r="G344" s="135">
        <v>25000</v>
      </c>
      <c r="H344" s="135">
        <v>0</v>
      </c>
      <c r="I344" s="135"/>
      <c r="J344" s="135">
        <v>0</v>
      </c>
      <c r="K344" s="135">
        <v>100000</v>
      </c>
      <c r="L344" s="135">
        <v>0</v>
      </c>
      <c r="M344" s="135">
        <v>0</v>
      </c>
      <c r="N344" s="135">
        <v>0</v>
      </c>
      <c r="O344" s="135">
        <v>0</v>
      </c>
      <c r="P344" s="135">
        <v>0</v>
      </c>
      <c r="Q344" s="135">
        <v>0</v>
      </c>
      <c r="R344" s="135">
        <v>0</v>
      </c>
      <c r="S344" s="135">
        <f t="shared" si="34"/>
        <v>140000</v>
      </c>
      <c r="T344" s="135"/>
      <c r="U344" s="135">
        <f t="shared" si="35"/>
        <v>140000</v>
      </c>
    </row>
    <row r="345" spans="1:21" ht="15.75" x14ac:dyDescent="0.3">
      <c r="A345" s="161">
        <f t="shared" si="36"/>
        <v>12</v>
      </c>
      <c r="B345" s="162" t="s">
        <v>95</v>
      </c>
      <c r="C345" s="135">
        <v>9000</v>
      </c>
      <c r="D345" s="135">
        <v>1000</v>
      </c>
      <c r="E345" s="135">
        <v>1000</v>
      </c>
      <c r="F345" s="135">
        <v>4000</v>
      </c>
      <c r="G345" s="135">
        <v>25000</v>
      </c>
      <c r="H345" s="135">
        <v>0</v>
      </c>
      <c r="I345" s="135">
        <v>75000</v>
      </c>
      <c r="J345" s="135">
        <v>0</v>
      </c>
      <c r="K345" s="135">
        <v>100000</v>
      </c>
      <c r="L345" s="135">
        <v>0</v>
      </c>
      <c r="M345" s="135">
        <v>0</v>
      </c>
      <c r="N345" s="135">
        <v>0</v>
      </c>
      <c r="O345" s="135">
        <v>0</v>
      </c>
      <c r="P345" s="135">
        <v>0</v>
      </c>
      <c r="Q345" s="135">
        <v>0</v>
      </c>
      <c r="R345" s="135">
        <v>0</v>
      </c>
      <c r="S345" s="135">
        <f t="shared" si="34"/>
        <v>215000</v>
      </c>
      <c r="T345" s="135"/>
      <c r="U345" s="135">
        <f t="shared" si="35"/>
        <v>215000</v>
      </c>
    </row>
    <row r="346" spans="1:21" ht="15.75" x14ac:dyDescent="0.3">
      <c r="A346" s="161">
        <f t="shared" si="36"/>
        <v>13</v>
      </c>
      <c r="B346" s="162" t="s">
        <v>96</v>
      </c>
      <c r="C346" s="135">
        <v>9000</v>
      </c>
      <c r="D346" s="135">
        <v>1000</v>
      </c>
      <c r="E346" s="135">
        <v>1000</v>
      </c>
      <c r="F346" s="135">
        <v>4000</v>
      </c>
      <c r="G346" s="135">
        <v>25000</v>
      </c>
      <c r="H346" s="135">
        <v>0</v>
      </c>
      <c r="I346" s="135"/>
      <c r="J346" s="135">
        <v>0</v>
      </c>
      <c r="K346" s="135"/>
      <c r="L346" s="135">
        <v>0</v>
      </c>
      <c r="M346" s="135">
        <v>0</v>
      </c>
      <c r="N346" s="135">
        <v>0</v>
      </c>
      <c r="O346" s="135">
        <v>0</v>
      </c>
      <c r="P346" s="135">
        <v>0</v>
      </c>
      <c r="Q346" s="135">
        <v>0</v>
      </c>
      <c r="R346" s="135">
        <v>0</v>
      </c>
      <c r="S346" s="135">
        <f t="shared" si="34"/>
        <v>40000</v>
      </c>
      <c r="T346" s="135"/>
      <c r="U346" s="135">
        <f t="shared" si="35"/>
        <v>40000</v>
      </c>
    </row>
    <row r="347" spans="1:21" ht="15.75" x14ac:dyDescent="0.3">
      <c r="A347" s="161">
        <f t="shared" si="36"/>
        <v>14</v>
      </c>
      <c r="B347" s="162" t="s">
        <v>97</v>
      </c>
      <c r="C347" s="135">
        <v>13000</v>
      </c>
      <c r="D347" s="135">
        <v>1000</v>
      </c>
      <c r="E347" s="135">
        <v>1000</v>
      </c>
      <c r="F347" s="135">
        <v>4000</v>
      </c>
      <c r="G347" s="135">
        <v>25000</v>
      </c>
      <c r="H347" s="135">
        <v>0</v>
      </c>
      <c r="I347" s="135">
        <v>75000</v>
      </c>
      <c r="J347" s="135">
        <v>76000</v>
      </c>
      <c r="K347" s="135">
        <v>100000</v>
      </c>
      <c r="L347" s="135">
        <v>0</v>
      </c>
      <c r="M347" s="135">
        <v>0</v>
      </c>
      <c r="N347" s="135">
        <v>0</v>
      </c>
      <c r="O347" s="135">
        <v>0</v>
      </c>
      <c r="P347" s="135">
        <v>0</v>
      </c>
      <c r="Q347" s="135">
        <v>0</v>
      </c>
      <c r="R347" s="135">
        <v>0</v>
      </c>
      <c r="S347" s="135">
        <f t="shared" si="34"/>
        <v>295000</v>
      </c>
      <c r="T347" s="135"/>
      <c r="U347" s="135">
        <f t="shared" si="35"/>
        <v>295000</v>
      </c>
    </row>
    <row r="348" spans="1:21" ht="15.75" x14ac:dyDescent="0.3">
      <c r="A348" s="161">
        <f t="shared" si="36"/>
        <v>15</v>
      </c>
      <c r="B348" s="162" t="s">
        <v>98</v>
      </c>
      <c r="C348" s="135">
        <v>9000</v>
      </c>
      <c r="D348" s="135">
        <v>1000</v>
      </c>
      <c r="E348" s="135">
        <v>1000</v>
      </c>
      <c r="F348" s="135">
        <v>4000</v>
      </c>
      <c r="G348" s="135">
        <v>25000</v>
      </c>
      <c r="H348" s="135">
        <v>0</v>
      </c>
      <c r="I348" s="135"/>
      <c r="J348" s="135">
        <v>0</v>
      </c>
      <c r="K348" s="135"/>
      <c r="L348" s="135">
        <v>0</v>
      </c>
      <c r="M348" s="135">
        <v>0</v>
      </c>
      <c r="N348" s="135">
        <v>0</v>
      </c>
      <c r="O348" s="135">
        <v>0</v>
      </c>
      <c r="P348" s="135">
        <v>0</v>
      </c>
      <c r="Q348" s="135">
        <v>70000</v>
      </c>
      <c r="R348" s="135">
        <v>0</v>
      </c>
      <c r="S348" s="135">
        <f t="shared" si="34"/>
        <v>110000</v>
      </c>
      <c r="T348" s="135"/>
      <c r="U348" s="135">
        <f t="shared" si="35"/>
        <v>110000</v>
      </c>
    </row>
    <row r="349" spans="1:21" ht="15.75" x14ac:dyDescent="0.3">
      <c r="A349" s="161">
        <f t="shared" si="36"/>
        <v>16</v>
      </c>
      <c r="B349" s="162" t="s">
        <v>99</v>
      </c>
      <c r="C349" s="135">
        <v>9000</v>
      </c>
      <c r="D349" s="135">
        <v>1000</v>
      </c>
      <c r="E349" s="135">
        <v>1000</v>
      </c>
      <c r="F349" s="135">
        <v>4000</v>
      </c>
      <c r="G349" s="135">
        <v>25000</v>
      </c>
      <c r="H349" s="135">
        <v>0</v>
      </c>
      <c r="I349" s="135">
        <v>75000</v>
      </c>
      <c r="J349" s="135">
        <v>0</v>
      </c>
      <c r="K349" s="135"/>
      <c r="L349" s="135">
        <v>0</v>
      </c>
      <c r="M349" s="135">
        <v>0</v>
      </c>
      <c r="N349" s="135">
        <v>0</v>
      </c>
      <c r="O349" s="135">
        <v>0</v>
      </c>
      <c r="P349" s="135">
        <v>0</v>
      </c>
      <c r="Q349" s="135">
        <v>0</v>
      </c>
      <c r="R349" s="135">
        <v>0</v>
      </c>
      <c r="S349" s="135">
        <f t="shared" si="34"/>
        <v>115000</v>
      </c>
      <c r="T349" s="135"/>
      <c r="U349" s="135">
        <f t="shared" si="35"/>
        <v>115000</v>
      </c>
    </row>
    <row r="350" spans="1:21" ht="15.75" x14ac:dyDescent="0.3">
      <c r="A350" s="161">
        <f t="shared" si="36"/>
        <v>17</v>
      </c>
      <c r="B350" s="162" t="s">
        <v>100</v>
      </c>
      <c r="C350" s="135">
        <v>15000</v>
      </c>
      <c r="D350" s="135">
        <v>1000</v>
      </c>
      <c r="E350" s="135">
        <v>1000</v>
      </c>
      <c r="F350" s="135">
        <v>4000</v>
      </c>
      <c r="G350" s="135">
        <v>25000</v>
      </c>
      <c r="H350" s="135">
        <v>0</v>
      </c>
      <c r="I350" s="135"/>
      <c r="J350" s="135">
        <v>0</v>
      </c>
      <c r="K350" s="135">
        <v>200000</v>
      </c>
      <c r="L350" s="135">
        <v>0</v>
      </c>
      <c r="M350" s="135">
        <v>0</v>
      </c>
      <c r="N350" s="135">
        <v>0</v>
      </c>
      <c r="O350" s="135">
        <v>0</v>
      </c>
      <c r="P350" s="135">
        <v>0</v>
      </c>
      <c r="Q350" s="135">
        <v>0</v>
      </c>
      <c r="R350" s="135">
        <v>0</v>
      </c>
      <c r="S350" s="135">
        <f t="shared" si="34"/>
        <v>246000</v>
      </c>
      <c r="T350" s="135"/>
      <c r="U350" s="135">
        <f t="shared" si="35"/>
        <v>246000</v>
      </c>
    </row>
    <row r="351" spans="1:21" ht="15.75" x14ac:dyDescent="0.3">
      <c r="A351" s="161">
        <f t="shared" si="36"/>
        <v>18</v>
      </c>
      <c r="B351" s="162" t="s">
        <v>38</v>
      </c>
      <c r="C351" s="135">
        <v>13000</v>
      </c>
      <c r="D351" s="135">
        <v>1000</v>
      </c>
      <c r="E351" s="135">
        <v>1000</v>
      </c>
      <c r="F351" s="135">
        <v>4000</v>
      </c>
      <c r="G351" s="135">
        <v>25000</v>
      </c>
      <c r="H351" s="135">
        <v>0</v>
      </c>
      <c r="I351" s="135">
        <v>75000</v>
      </c>
      <c r="J351" s="135">
        <v>101000</v>
      </c>
      <c r="K351" s="135">
        <v>100000</v>
      </c>
      <c r="L351" s="135">
        <v>0</v>
      </c>
      <c r="M351" s="135">
        <v>0</v>
      </c>
      <c r="N351" s="135">
        <v>0</v>
      </c>
      <c r="O351" s="135">
        <v>0</v>
      </c>
      <c r="P351" s="135">
        <v>0</v>
      </c>
      <c r="Q351" s="135">
        <v>0</v>
      </c>
      <c r="R351" s="135">
        <v>0</v>
      </c>
      <c r="S351" s="135">
        <f t="shared" si="34"/>
        <v>320000</v>
      </c>
      <c r="T351" s="135"/>
      <c r="U351" s="135">
        <f t="shared" si="35"/>
        <v>320000</v>
      </c>
    </row>
    <row r="352" spans="1:21" ht="15.75" x14ac:dyDescent="0.3">
      <c r="A352" s="161">
        <f t="shared" si="36"/>
        <v>19</v>
      </c>
      <c r="B352" s="162" t="s">
        <v>101</v>
      </c>
      <c r="C352" s="135">
        <v>18000</v>
      </c>
      <c r="D352" s="135">
        <v>1000</v>
      </c>
      <c r="E352" s="135">
        <v>1000</v>
      </c>
      <c r="F352" s="135">
        <v>4000</v>
      </c>
      <c r="G352" s="135">
        <v>25000</v>
      </c>
      <c r="H352" s="135">
        <v>0</v>
      </c>
      <c r="I352" s="135">
        <v>150000</v>
      </c>
      <c r="J352" s="135">
        <v>0</v>
      </c>
      <c r="K352" s="135">
        <v>100000</v>
      </c>
      <c r="L352" s="135">
        <v>0</v>
      </c>
      <c r="M352" s="135">
        <v>0</v>
      </c>
      <c r="N352" s="135">
        <v>0</v>
      </c>
      <c r="O352" s="135">
        <v>0</v>
      </c>
      <c r="P352" s="135">
        <v>0</v>
      </c>
      <c r="Q352" s="135">
        <v>0</v>
      </c>
      <c r="R352" s="135">
        <v>0</v>
      </c>
      <c r="S352" s="135">
        <f t="shared" si="34"/>
        <v>299000</v>
      </c>
      <c r="T352" s="135"/>
      <c r="U352" s="135">
        <f t="shared" si="35"/>
        <v>299000</v>
      </c>
    </row>
    <row r="353" spans="1:21" ht="15.75" x14ac:dyDescent="0.3">
      <c r="A353" s="161">
        <f t="shared" si="36"/>
        <v>20</v>
      </c>
      <c r="B353" s="162" t="s">
        <v>102</v>
      </c>
      <c r="C353" s="135">
        <v>9000</v>
      </c>
      <c r="D353" s="135">
        <v>1000</v>
      </c>
      <c r="E353" s="135">
        <v>1000</v>
      </c>
      <c r="F353" s="135">
        <v>4000</v>
      </c>
      <c r="G353" s="135">
        <v>25000</v>
      </c>
      <c r="H353" s="135">
        <v>0</v>
      </c>
      <c r="I353" s="135"/>
      <c r="J353" s="135">
        <v>0</v>
      </c>
      <c r="K353" s="135"/>
      <c r="L353" s="135">
        <v>0</v>
      </c>
      <c r="M353" s="135">
        <v>0</v>
      </c>
      <c r="N353" s="135">
        <v>0</v>
      </c>
      <c r="O353" s="135">
        <v>0</v>
      </c>
      <c r="P353" s="135">
        <v>0</v>
      </c>
      <c r="Q353" s="135">
        <v>0</v>
      </c>
      <c r="R353" s="135">
        <v>0</v>
      </c>
      <c r="S353" s="135">
        <f t="shared" si="34"/>
        <v>40000</v>
      </c>
      <c r="T353" s="135"/>
      <c r="U353" s="135">
        <f t="shared" si="35"/>
        <v>40000</v>
      </c>
    </row>
    <row r="354" spans="1:21" ht="15.75" x14ac:dyDescent="0.3">
      <c r="A354" s="161">
        <f t="shared" si="36"/>
        <v>21</v>
      </c>
      <c r="B354" s="162" t="s">
        <v>109</v>
      </c>
      <c r="C354" s="135">
        <v>0</v>
      </c>
      <c r="D354" s="135">
        <v>0</v>
      </c>
      <c r="E354" s="135">
        <v>0</v>
      </c>
      <c r="F354" s="135">
        <v>0</v>
      </c>
      <c r="G354" s="135">
        <v>0</v>
      </c>
      <c r="H354" s="135">
        <v>0</v>
      </c>
      <c r="I354" s="135">
        <v>0</v>
      </c>
      <c r="J354" s="135">
        <v>0</v>
      </c>
      <c r="K354" s="135">
        <v>0</v>
      </c>
      <c r="L354" s="135">
        <v>0</v>
      </c>
      <c r="M354" s="135">
        <v>0</v>
      </c>
      <c r="N354" s="135">
        <v>0</v>
      </c>
      <c r="O354" s="135">
        <v>0</v>
      </c>
      <c r="P354" s="135">
        <v>0</v>
      </c>
      <c r="Q354" s="135">
        <v>0</v>
      </c>
      <c r="R354" s="135">
        <v>0</v>
      </c>
      <c r="S354" s="135">
        <f t="shared" si="34"/>
        <v>0</v>
      </c>
      <c r="T354" s="135"/>
      <c r="U354" s="135">
        <f t="shared" si="35"/>
        <v>0</v>
      </c>
    </row>
    <row r="355" spans="1:21" ht="15.75" x14ac:dyDescent="0.3">
      <c r="A355" s="161">
        <f t="shared" si="36"/>
        <v>22</v>
      </c>
      <c r="B355" s="162" t="s">
        <v>166</v>
      </c>
      <c r="C355" s="135">
        <v>19000</v>
      </c>
      <c r="D355" s="135">
        <v>1000</v>
      </c>
      <c r="E355" s="135">
        <v>1000</v>
      </c>
      <c r="F355" s="135">
        <v>4000</v>
      </c>
      <c r="G355" s="135">
        <v>25000</v>
      </c>
      <c r="H355" s="135">
        <v>0</v>
      </c>
      <c r="I355" s="135"/>
      <c r="J355" s="135">
        <v>0</v>
      </c>
      <c r="K355" s="135"/>
      <c r="L355" s="135">
        <v>0</v>
      </c>
      <c r="M355" s="135">
        <v>0</v>
      </c>
      <c r="N355" s="135">
        <v>0</v>
      </c>
      <c r="O355" s="135">
        <v>0</v>
      </c>
      <c r="P355" s="135">
        <v>0</v>
      </c>
      <c r="Q355" s="135">
        <v>0</v>
      </c>
      <c r="R355" s="135">
        <v>0</v>
      </c>
      <c r="S355" s="135">
        <f t="shared" si="34"/>
        <v>50000</v>
      </c>
      <c r="T355" s="135"/>
      <c r="U355" s="135">
        <f t="shared" si="35"/>
        <v>50000</v>
      </c>
    </row>
    <row r="356" spans="1:21" ht="15.75" x14ac:dyDescent="0.3">
      <c r="A356" s="161">
        <f t="shared" si="36"/>
        <v>23</v>
      </c>
      <c r="B356" s="162" t="s">
        <v>41</v>
      </c>
      <c r="C356" s="135">
        <v>9000</v>
      </c>
      <c r="D356" s="135">
        <v>1000</v>
      </c>
      <c r="E356" s="135">
        <v>1000</v>
      </c>
      <c r="F356" s="135">
        <v>4000</v>
      </c>
      <c r="G356" s="135">
        <v>25000</v>
      </c>
      <c r="H356" s="135">
        <v>0</v>
      </c>
      <c r="I356" s="135">
        <v>75000</v>
      </c>
      <c r="J356" s="135">
        <v>0</v>
      </c>
      <c r="K356" s="135"/>
      <c r="L356" s="135">
        <v>0</v>
      </c>
      <c r="M356" s="135">
        <v>0</v>
      </c>
      <c r="N356" s="135">
        <v>0</v>
      </c>
      <c r="O356" s="135">
        <v>0</v>
      </c>
      <c r="P356" s="135">
        <v>0</v>
      </c>
      <c r="Q356" s="135">
        <v>0</v>
      </c>
      <c r="R356" s="135">
        <v>0</v>
      </c>
      <c r="S356" s="135">
        <f t="shared" si="34"/>
        <v>115000</v>
      </c>
      <c r="T356" s="135"/>
      <c r="U356" s="135">
        <f t="shared" si="35"/>
        <v>115000</v>
      </c>
    </row>
    <row r="357" spans="1:21" ht="15.75" x14ac:dyDescent="0.3">
      <c r="A357" s="161">
        <f t="shared" si="36"/>
        <v>24</v>
      </c>
      <c r="B357" s="162" t="s">
        <v>165</v>
      </c>
      <c r="C357" s="135">
        <v>9000</v>
      </c>
      <c r="D357" s="135">
        <v>1000</v>
      </c>
      <c r="E357" s="135">
        <v>1000</v>
      </c>
      <c r="F357" s="135">
        <v>4000</v>
      </c>
      <c r="G357" s="135">
        <v>25000</v>
      </c>
      <c r="H357" s="135">
        <v>0</v>
      </c>
      <c r="I357" s="135"/>
      <c r="J357" s="135">
        <v>0</v>
      </c>
      <c r="K357" s="135"/>
      <c r="L357" s="135">
        <v>0</v>
      </c>
      <c r="M357" s="135">
        <v>0</v>
      </c>
      <c r="N357" s="135">
        <v>0</v>
      </c>
      <c r="O357" s="135">
        <v>0</v>
      </c>
      <c r="P357" s="135">
        <v>0</v>
      </c>
      <c r="Q357" s="135">
        <v>0</v>
      </c>
      <c r="R357" s="135">
        <v>0</v>
      </c>
      <c r="S357" s="135">
        <f t="shared" si="34"/>
        <v>40000</v>
      </c>
      <c r="T357" s="135"/>
      <c r="U357" s="135">
        <f t="shared" si="35"/>
        <v>40000</v>
      </c>
    </row>
    <row r="358" spans="1:21" ht="15.75" x14ac:dyDescent="0.3">
      <c r="A358" s="161">
        <f t="shared" si="36"/>
        <v>25</v>
      </c>
      <c r="B358" s="162" t="s">
        <v>46</v>
      </c>
      <c r="C358" s="135">
        <v>9000</v>
      </c>
      <c r="D358" s="135">
        <v>1000</v>
      </c>
      <c r="E358" s="135">
        <v>1000</v>
      </c>
      <c r="F358" s="135">
        <v>4000</v>
      </c>
      <c r="G358" s="135">
        <v>25000</v>
      </c>
      <c r="H358" s="135">
        <v>0</v>
      </c>
      <c r="I358" s="135">
        <v>75000</v>
      </c>
      <c r="J358" s="135">
        <v>0</v>
      </c>
      <c r="K358" s="135"/>
      <c r="L358" s="135">
        <v>0</v>
      </c>
      <c r="M358" s="135">
        <v>0</v>
      </c>
      <c r="N358" s="135">
        <v>0</v>
      </c>
      <c r="O358" s="135">
        <v>0</v>
      </c>
      <c r="P358" s="135">
        <v>0</v>
      </c>
      <c r="Q358" s="135">
        <v>70000</v>
      </c>
      <c r="R358" s="135">
        <v>0</v>
      </c>
      <c r="S358" s="135">
        <f t="shared" si="34"/>
        <v>185000</v>
      </c>
      <c r="T358" s="135"/>
      <c r="U358" s="135">
        <f t="shared" si="35"/>
        <v>185000</v>
      </c>
    </row>
    <row r="359" spans="1:21" ht="15.75" x14ac:dyDescent="0.3">
      <c r="A359" s="161">
        <f t="shared" si="36"/>
        <v>26</v>
      </c>
      <c r="B359" s="162" t="s">
        <v>104</v>
      </c>
      <c r="C359" s="135">
        <v>0</v>
      </c>
      <c r="D359" s="135">
        <v>0</v>
      </c>
      <c r="E359" s="135">
        <v>0</v>
      </c>
      <c r="F359" s="135">
        <v>0</v>
      </c>
      <c r="G359" s="135">
        <v>0</v>
      </c>
      <c r="H359" s="135">
        <v>0</v>
      </c>
      <c r="I359" s="135">
        <v>0</v>
      </c>
      <c r="J359" s="135">
        <v>0</v>
      </c>
      <c r="K359" s="135">
        <v>0</v>
      </c>
      <c r="L359" s="135">
        <v>0</v>
      </c>
      <c r="M359" s="135">
        <v>0</v>
      </c>
      <c r="N359" s="135">
        <v>0</v>
      </c>
      <c r="O359" s="135">
        <v>0</v>
      </c>
      <c r="P359" s="135">
        <v>0</v>
      </c>
      <c r="Q359" s="135">
        <v>0</v>
      </c>
      <c r="R359" s="135">
        <v>0</v>
      </c>
      <c r="S359" s="135">
        <f t="shared" si="34"/>
        <v>0</v>
      </c>
      <c r="T359" s="135"/>
      <c r="U359" s="135">
        <f t="shared" si="35"/>
        <v>0</v>
      </c>
    </row>
    <row r="360" spans="1:21" ht="15.75" x14ac:dyDescent="0.3">
      <c r="A360" s="161">
        <f t="shared" si="36"/>
        <v>27</v>
      </c>
      <c r="B360" s="162" t="s">
        <v>40</v>
      </c>
      <c r="C360" s="135">
        <v>9000</v>
      </c>
      <c r="D360" s="135">
        <v>1000</v>
      </c>
      <c r="E360" s="135">
        <v>1000</v>
      </c>
      <c r="F360" s="135">
        <v>4000</v>
      </c>
      <c r="G360" s="135">
        <v>25000</v>
      </c>
      <c r="H360" s="135">
        <v>0</v>
      </c>
      <c r="I360" s="135"/>
      <c r="J360" s="135">
        <v>0</v>
      </c>
      <c r="K360" s="135">
        <v>100000</v>
      </c>
      <c r="L360" s="135">
        <v>0</v>
      </c>
      <c r="M360" s="135"/>
      <c r="N360" s="135">
        <v>0</v>
      </c>
      <c r="O360" s="135">
        <v>0</v>
      </c>
      <c r="P360" s="135">
        <v>0</v>
      </c>
      <c r="Q360" s="135">
        <v>0</v>
      </c>
      <c r="R360" s="135">
        <v>0</v>
      </c>
      <c r="S360" s="135">
        <f t="shared" si="34"/>
        <v>140000</v>
      </c>
      <c r="T360" s="135"/>
      <c r="U360" s="135">
        <f t="shared" si="35"/>
        <v>140000</v>
      </c>
    </row>
    <row r="361" spans="1:21" ht="15.75" x14ac:dyDescent="0.3">
      <c r="A361" s="161">
        <f t="shared" si="36"/>
        <v>28</v>
      </c>
      <c r="B361" s="162" t="s">
        <v>105</v>
      </c>
      <c r="C361" s="135">
        <v>9000</v>
      </c>
      <c r="D361" s="135">
        <v>1000</v>
      </c>
      <c r="E361" s="135">
        <v>1000</v>
      </c>
      <c r="F361" s="135">
        <v>4000</v>
      </c>
      <c r="G361" s="135">
        <v>25000</v>
      </c>
      <c r="H361" s="135">
        <v>0</v>
      </c>
      <c r="I361" s="135">
        <v>75000</v>
      </c>
      <c r="J361" s="135">
        <v>76000</v>
      </c>
      <c r="K361" s="135"/>
      <c r="L361" s="135">
        <v>0</v>
      </c>
      <c r="M361" s="135">
        <v>250000</v>
      </c>
      <c r="N361" s="135">
        <v>0</v>
      </c>
      <c r="O361" s="135">
        <v>0</v>
      </c>
      <c r="P361" s="135">
        <v>0</v>
      </c>
      <c r="Q361" s="135">
        <v>0</v>
      </c>
      <c r="R361" s="135">
        <v>0</v>
      </c>
      <c r="S361" s="135">
        <f t="shared" si="34"/>
        <v>441000</v>
      </c>
      <c r="T361" s="135"/>
      <c r="U361" s="135">
        <f t="shared" si="35"/>
        <v>441000</v>
      </c>
    </row>
    <row r="362" spans="1:21" ht="15.75" x14ac:dyDescent="0.3">
      <c r="A362" s="161">
        <f t="shared" si="36"/>
        <v>29</v>
      </c>
      <c r="B362" s="162" t="s">
        <v>187</v>
      </c>
      <c r="C362" s="135">
        <v>0</v>
      </c>
      <c r="D362" s="135">
        <v>0</v>
      </c>
      <c r="E362" s="135">
        <v>0</v>
      </c>
      <c r="F362" s="135">
        <v>0</v>
      </c>
      <c r="G362" s="135">
        <v>0</v>
      </c>
      <c r="H362" s="135">
        <v>0</v>
      </c>
      <c r="I362" s="135"/>
      <c r="J362" s="135">
        <v>0</v>
      </c>
      <c r="K362" s="135"/>
      <c r="L362" s="135">
        <v>0</v>
      </c>
      <c r="M362" s="135"/>
      <c r="N362" s="135">
        <v>0</v>
      </c>
      <c r="O362" s="135">
        <v>0</v>
      </c>
      <c r="P362" s="135">
        <v>0</v>
      </c>
      <c r="Q362" s="135">
        <v>0</v>
      </c>
      <c r="R362" s="135">
        <v>0</v>
      </c>
      <c r="S362" s="135">
        <f t="shared" si="34"/>
        <v>0</v>
      </c>
      <c r="T362" s="135"/>
      <c r="U362" s="135">
        <f t="shared" si="35"/>
        <v>0</v>
      </c>
    </row>
    <row r="363" spans="1:21" ht="15.75" x14ac:dyDescent="0.3">
      <c r="A363" s="161">
        <f t="shared" si="36"/>
        <v>30</v>
      </c>
      <c r="B363" s="162" t="s">
        <v>110</v>
      </c>
      <c r="C363" s="135">
        <v>0</v>
      </c>
      <c r="D363" s="135">
        <v>0</v>
      </c>
      <c r="E363" s="135"/>
      <c r="F363" s="135"/>
      <c r="G363" s="135"/>
      <c r="H363" s="135">
        <v>0</v>
      </c>
      <c r="I363" s="135"/>
      <c r="J363" s="135">
        <v>0</v>
      </c>
      <c r="K363" s="135"/>
      <c r="L363" s="135">
        <v>0</v>
      </c>
      <c r="M363" s="135"/>
      <c r="N363" s="135">
        <v>0</v>
      </c>
      <c r="O363" s="135">
        <v>0</v>
      </c>
      <c r="P363" s="135">
        <v>0</v>
      </c>
      <c r="Q363" s="135">
        <v>0</v>
      </c>
      <c r="R363" s="135">
        <v>0</v>
      </c>
      <c r="S363" s="135">
        <f t="shared" si="34"/>
        <v>0</v>
      </c>
      <c r="T363" s="135"/>
      <c r="U363" s="135">
        <f t="shared" si="35"/>
        <v>0</v>
      </c>
    </row>
    <row r="364" spans="1:21" ht="15.75" x14ac:dyDescent="0.3">
      <c r="A364" s="161">
        <f t="shared" si="36"/>
        <v>31</v>
      </c>
      <c r="B364" s="162" t="s">
        <v>106</v>
      </c>
      <c r="C364" s="163">
        <v>9000</v>
      </c>
      <c r="D364" s="163">
        <v>1000</v>
      </c>
      <c r="E364" s="163">
        <v>1000</v>
      </c>
      <c r="F364" s="163">
        <v>4000</v>
      </c>
      <c r="G364" s="163">
        <v>25000</v>
      </c>
      <c r="H364" s="135">
        <v>0</v>
      </c>
      <c r="I364" s="135"/>
      <c r="J364" s="135">
        <v>0</v>
      </c>
      <c r="K364" s="135"/>
      <c r="L364" s="135">
        <v>0</v>
      </c>
      <c r="M364" s="135"/>
      <c r="N364" s="135">
        <v>0</v>
      </c>
      <c r="O364" s="135">
        <v>0</v>
      </c>
      <c r="P364" s="135">
        <v>0</v>
      </c>
      <c r="Q364" s="135">
        <v>0</v>
      </c>
      <c r="R364" s="135">
        <v>0</v>
      </c>
      <c r="S364" s="135">
        <f t="shared" si="34"/>
        <v>40000</v>
      </c>
      <c r="T364" s="135"/>
      <c r="U364" s="135">
        <f t="shared" si="35"/>
        <v>40000</v>
      </c>
    </row>
    <row r="365" spans="1:21" ht="15.75" x14ac:dyDescent="0.3">
      <c r="A365" s="161">
        <f t="shared" si="36"/>
        <v>32</v>
      </c>
      <c r="B365" s="162" t="s">
        <v>107</v>
      </c>
      <c r="C365" s="135">
        <v>9000</v>
      </c>
      <c r="D365" s="135">
        <v>1000</v>
      </c>
      <c r="E365" s="135">
        <v>1000</v>
      </c>
      <c r="F365" s="135">
        <v>4000</v>
      </c>
      <c r="G365" s="135">
        <v>25000</v>
      </c>
      <c r="H365" s="135">
        <v>0</v>
      </c>
      <c r="I365" s="135">
        <v>150000</v>
      </c>
      <c r="J365" s="135">
        <v>0</v>
      </c>
      <c r="K365" s="135">
        <v>100000</v>
      </c>
      <c r="L365" s="135">
        <v>0</v>
      </c>
      <c r="M365" s="135"/>
      <c r="N365" s="135">
        <v>0</v>
      </c>
      <c r="O365" s="135">
        <v>0</v>
      </c>
      <c r="P365" s="135">
        <v>0</v>
      </c>
      <c r="Q365" s="135">
        <v>0</v>
      </c>
      <c r="R365" s="135">
        <v>0</v>
      </c>
      <c r="S365" s="135">
        <f t="shared" si="34"/>
        <v>290000</v>
      </c>
      <c r="T365" s="135"/>
      <c r="U365" s="135">
        <f t="shared" si="35"/>
        <v>290000</v>
      </c>
    </row>
    <row r="366" spans="1:21" ht="15.75" x14ac:dyDescent="0.3">
      <c r="A366" s="161">
        <f t="shared" si="36"/>
        <v>33</v>
      </c>
      <c r="B366" s="162" t="s">
        <v>111</v>
      </c>
      <c r="C366" s="163">
        <v>9000</v>
      </c>
      <c r="D366" s="163">
        <v>1000</v>
      </c>
      <c r="E366" s="163">
        <v>1000</v>
      </c>
      <c r="F366" s="163">
        <v>4000</v>
      </c>
      <c r="G366" s="163">
        <v>25000</v>
      </c>
      <c r="H366" s="135">
        <v>0</v>
      </c>
      <c r="I366" s="135"/>
      <c r="J366" s="135">
        <v>0</v>
      </c>
      <c r="K366" s="135"/>
      <c r="L366" s="135">
        <v>0</v>
      </c>
      <c r="M366" s="135"/>
      <c r="N366" s="135">
        <v>0</v>
      </c>
      <c r="O366" s="135">
        <v>0</v>
      </c>
      <c r="P366" s="135">
        <v>0</v>
      </c>
      <c r="Q366" s="135">
        <v>0</v>
      </c>
      <c r="R366" s="135">
        <v>0</v>
      </c>
      <c r="S366" s="135">
        <f t="shared" si="34"/>
        <v>40000</v>
      </c>
      <c r="T366" s="135"/>
      <c r="U366" s="135">
        <f t="shared" si="35"/>
        <v>40000</v>
      </c>
    </row>
    <row r="367" spans="1:21" ht="15.75" x14ac:dyDescent="0.3">
      <c r="A367" s="161">
        <f t="shared" si="36"/>
        <v>34</v>
      </c>
      <c r="B367" s="162" t="s">
        <v>224</v>
      </c>
      <c r="C367" s="163">
        <v>69000</v>
      </c>
      <c r="D367" s="163">
        <v>1000</v>
      </c>
      <c r="E367" s="163">
        <v>1000</v>
      </c>
      <c r="F367" s="163">
        <v>4000</v>
      </c>
      <c r="G367" s="163">
        <v>25000</v>
      </c>
      <c r="H367" s="135">
        <v>0</v>
      </c>
      <c r="I367" s="135"/>
      <c r="J367" s="135">
        <v>0</v>
      </c>
      <c r="K367" s="135"/>
      <c r="L367" s="135">
        <v>0</v>
      </c>
      <c r="M367" s="135"/>
      <c r="N367" s="135">
        <v>0</v>
      </c>
      <c r="O367" s="135">
        <v>0</v>
      </c>
      <c r="P367" s="135">
        <v>0</v>
      </c>
      <c r="Q367" s="135">
        <v>0</v>
      </c>
      <c r="R367" s="135">
        <v>0</v>
      </c>
      <c r="S367" s="135">
        <f t="shared" si="34"/>
        <v>100000</v>
      </c>
      <c r="T367" s="135"/>
      <c r="U367" s="135">
        <f t="shared" si="35"/>
        <v>100000</v>
      </c>
    </row>
    <row r="368" spans="1:21" ht="15.75" x14ac:dyDescent="0.3">
      <c r="A368" s="161">
        <f t="shared" si="36"/>
        <v>35</v>
      </c>
      <c r="B368" s="162"/>
      <c r="C368" s="135">
        <v>0</v>
      </c>
      <c r="D368" s="135">
        <v>0</v>
      </c>
      <c r="E368" s="135">
        <v>0</v>
      </c>
      <c r="F368" s="135">
        <v>0</v>
      </c>
      <c r="G368" s="135">
        <v>0</v>
      </c>
      <c r="H368" s="135">
        <v>0</v>
      </c>
      <c r="I368" s="135">
        <v>0</v>
      </c>
      <c r="J368" s="135">
        <v>0</v>
      </c>
      <c r="K368" s="135">
        <v>0</v>
      </c>
      <c r="L368" s="135">
        <v>0</v>
      </c>
      <c r="M368" s="135">
        <v>0</v>
      </c>
      <c r="N368" s="135">
        <v>0</v>
      </c>
      <c r="O368" s="135">
        <v>0</v>
      </c>
      <c r="P368" s="135">
        <v>0</v>
      </c>
      <c r="Q368" s="135">
        <v>0</v>
      </c>
      <c r="R368" s="135">
        <v>0</v>
      </c>
      <c r="S368" s="135">
        <f t="shared" si="34"/>
        <v>0</v>
      </c>
      <c r="T368" s="135"/>
      <c r="U368" s="135">
        <f t="shared" si="35"/>
        <v>0</v>
      </c>
    </row>
    <row r="369" spans="1:21" ht="15.75" x14ac:dyDescent="0.3">
      <c r="A369" s="161">
        <f t="shared" si="36"/>
        <v>36</v>
      </c>
      <c r="B369" s="162"/>
      <c r="C369" s="135"/>
      <c r="D369" s="135"/>
      <c r="E369" s="135"/>
      <c r="F369" s="135"/>
      <c r="G369" s="135"/>
      <c r="H369" s="135">
        <v>0</v>
      </c>
      <c r="I369" s="135"/>
      <c r="J369" s="135">
        <v>0</v>
      </c>
      <c r="K369" s="135"/>
      <c r="L369" s="135">
        <v>0</v>
      </c>
      <c r="M369" s="135"/>
      <c r="N369" s="135">
        <v>0</v>
      </c>
      <c r="O369" s="135">
        <v>0</v>
      </c>
      <c r="P369" s="135">
        <v>0</v>
      </c>
      <c r="Q369" s="135">
        <v>0</v>
      </c>
      <c r="R369" s="135">
        <v>0</v>
      </c>
      <c r="S369" s="135">
        <f t="shared" si="34"/>
        <v>0</v>
      </c>
      <c r="T369" s="135"/>
      <c r="U369" s="135">
        <f t="shared" si="35"/>
        <v>0</v>
      </c>
    </row>
    <row r="370" spans="1:21" ht="15.75" x14ac:dyDescent="0.3">
      <c r="A370" s="161">
        <f t="shared" si="36"/>
        <v>37</v>
      </c>
      <c r="B370" s="162"/>
      <c r="C370" s="135">
        <v>0</v>
      </c>
      <c r="D370" s="135">
        <v>0</v>
      </c>
      <c r="E370" s="135">
        <v>0</v>
      </c>
      <c r="F370" s="135">
        <v>0</v>
      </c>
      <c r="G370" s="135">
        <v>0</v>
      </c>
      <c r="H370" s="135">
        <v>0</v>
      </c>
      <c r="I370" s="135">
        <v>0</v>
      </c>
      <c r="J370" s="135">
        <v>0</v>
      </c>
      <c r="K370" s="135">
        <v>0</v>
      </c>
      <c r="L370" s="135">
        <v>0</v>
      </c>
      <c r="M370" s="135">
        <v>0</v>
      </c>
      <c r="N370" s="135">
        <v>0</v>
      </c>
      <c r="O370" s="135">
        <v>0</v>
      </c>
      <c r="P370" s="135">
        <v>0</v>
      </c>
      <c r="Q370" s="135">
        <v>0</v>
      </c>
      <c r="R370" s="135">
        <v>0</v>
      </c>
      <c r="S370" s="135">
        <f t="shared" si="34"/>
        <v>0</v>
      </c>
      <c r="T370" s="135"/>
      <c r="U370" s="135">
        <f t="shared" si="35"/>
        <v>0</v>
      </c>
    </row>
    <row r="371" spans="1:21" ht="15.75" x14ac:dyDescent="0.3">
      <c r="A371" s="161">
        <f t="shared" si="36"/>
        <v>38</v>
      </c>
      <c r="B371" s="162"/>
      <c r="C371" s="135"/>
      <c r="D371" s="135"/>
      <c r="E371" s="135"/>
      <c r="F371" s="135"/>
      <c r="G371" s="135"/>
      <c r="H371" s="135">
        <v>0</v>
      </c>
      <c r="I371" s="135"/>
      <c r="J371" s="135">
        <v>0</v>
      </c>
      <c r="K371" s="135"/>
      <c r="L371" s="135">
        <v>0</v>
      </c>
      <c r="M371" s="135"/>
      <c r="N371" s="135">
        <v>0</v>
      </c>
      <c r="O371" s="135">
        <v>0</v>
      </c>
      <c r="P371" s="135">
        <v>0</v>
      </c>
      <c r="Q371" s="135">
        <v>0</v>
      </c>
      <c r="R371" s="135">
        <v>0</v>
      </c>
      <c r="S371" s="135">
        <f t="shared" si="34"/>
        <v>0</v>
      </c>
      <c r="T371" s="135"/>
      <c r="U371" s="135">
        <f t="shared" si="35"/>
        <v>0</v>
      </c>
    </row>
    <row r="372" spans="1:21" ht="15.75" x14ac:dyDescent="0.3">
      <c r="A372" s="161">
        <f t="shared" si="36"/>
        <v>39</v>
      </c>
      <c r="B372" s="162"/>
      <c r="C372" s="135"/>
      <c r="D372" s="135"/>
      <c r="E372" s="135"/>
      <c r="F372" s="135"/>
      <c r="G372" s="135"/>
      <c r="H372" s="135">
        <v>0</v>
      </c>
      <c r="I372" s="135"/>
      <c r="J372" s="135">
        <v>0</v>
      </c>
      <c r="K372" s="135"/>
      <c r="L372" s="135">
        <v>0</v>
      </c>
      <c r="M372" s="135"/>
      <c r="N372" s="135">
        <v>0</v>
      </c>
      <c r="O372" s="135">
        <v>0</v>
      </c>
      <c r="P372" s="135">
        <v>0</v>
      </c>
      <c r="Q372" s="135">
        <v>0</v>
      </c>
      <c r="R372" s="135">
        <v>0</v>
      </c>
      <c r="S372" s="135">
        <f t="shared" si="34"/>
        <v>0</v>
      </c>
      <c r="T372" s="135"/>
      <c r="U372" s="135">
        <f t="shared" si="35"/>
        <v>0</v>
      </c>
    </row>
    <row r="373" spans="1:21" ht="15.75" x14ac:dyDescent="0.3">
      <c r="A373" s="161">
        <f t="shared" si="36"/>
        <v>40</v>
      </c>
      <c r="B373" s="162"/>
      <c r="C373" s="135"/>
      <c r="D373" s="135"/>
      <c r="E373" s="135"/>
      <c r="F373" s="135"/>
      <c r="G373" s="135"/>
      <c r="H373" s="135">
        <v>0</v>
      </c>
      <c r="I373" s="135"/>
      <c r="J373" s="135">
        <v>0</v>
      </c>
      <c r="K373" s="135"/>
      <c r="L373" s="135">
        <v>0</v>
      </c>
      <c r="M373" s="135"/>
      <c r="N373" s="135">
        <v>0</v>
      </c>
      <c r="O373" s="135">
        <v>0</v>
      </c>
      <c r="P373" s="135">
        <v>0</v>
      </c>
      <c r="Q373" s="135">
        <v>0</v>
      </c>
      <c r="R373" s="135">
        <v>0</v>
      </c>
      <c r="S373" s="135">
        <f t="shared" si="34"/>
        <v>0</v>
      </c>
      <c r="T373" s="135"/>
      <c r="U373" s="135">
        <f t="shared" si="35"/>
        <v>0</v>
      </c>
    </row>
    <row r="374" spans="1:21" ht="15.75" x14ac:dyDescent="0.3">
      <c r="A374" s="161">
        <f t="shared" si="36"/>
        <v>41</v>
      </c>
      <c r="B374" s="162"/>
      <c r="C374" s="135"/>
      <c r="D374" s="135"/>
      <c r="E374" s="135"/>
      <c r="F374" s="135"/>
      <c r="G374" s="135"/>
      <c r="H374" s="135">
        <v>0</v>
      </c>
      <c r="I374" s="135"/>
      <c r="J374" s="135">
        <v>0</v>
      </c>
      <c r="K374" s="135"/>
      <c r="L374" s="135">
        <v>0</v>
      </c>
      <c r="M374" s="135"/>
      <c r="N374" s="135">
        <v>0</v>
      </c>
      <c r="O374" s="135">
        <v>0</v>
      </c>
      <c r="P374" s="135">
        <v>0</v>
      </c>
      <c r="Q374" s="135">
        <v>0</v>
      </c>
      <c r="R374" s="135">
        <v>0</v>
      </c>
      <c r="S374" s="135">
        <f t="shared" si="34"/>
        <v>0</v>
      </c>
      <c r="T374" s="135"/>
      <c r="U374" s="135">
        <f t="shared" si="35"/>
        <v>0</v>
      </c>
    </row>
    <row r="375" spans="1:21" x14ac:dyDescent="0.25">
      <c r="A375" s="177"/>
      <c r="B375" s="177"/>
      <c r="C375" s="178">
        <f>SUM(C333:C374)</f>
        <v>394000</v>
      </c>
      <c r="D375" s="178">
        <f t="shared" ref="D375:H375" si="37">SUM(D333:D374)</f>
        <v>32000</v>
      </c>
      <c r="E375" s="178">
        <f t="shared" si="37"/>
        <v>29000</v>
      </c>
      <c r="F375" s="178">
        <f t="shared" si="37"/>
        <v>116000</v>
      </c>
      <c r="G375" s="178">
        <f t="shared" si="37"/>
        <v>725000</v>
      </c>
      <c r="H375" s="178">
        <f t="shared" si="37"/>
        <v>0</v>
      </c>
      <c r="I375" s="178">
        <f>SUM(I334:I374)</f>
        <v>1200000</v>
      </c>
      <c r="J375" s="178">
        <f t="shared" ref="J375:U375" si="38">SUM(J333:J374)</f>
        <v>253000</v>
      </c>
      <c r="K375" s="178">
        <f t="shared" si="38"/>
        <v>1400000</v>
      </c>
      <c r="L375" s="178">
        <f t="shared" si="38"/>
        <v>0</v>
      </c>
      <c r="M375" s="178">
        <f t="shared" si="38"/>
        <v>250000</v>
      </c>
      <c r="N375" s="178">
        <f t="shared" si="38"/>
        <v>0</v>
      </c>
      <c r="O375" s="178">
        <f t="shared" si="38"/>
        <v>0</v>
      </c>
      <c r="P375" s="178">
        <f t="shared" si="38"/>
        <v>0</v>
      </c>
      <c r="Q375" s="178">
        <f t="shared" si="38"/>
        <v>140000</v>
      </c>
      <c r="R375" s="178">
        <f t="shared" si="38"/>
        <v>0</v>
      </c>
      <c r="S375" s="178">
        <f t="shared" si="38"/>
        <v>4539000</v>
      </c>
      <c r="T375" s="178">
        <f t="shared" si="38"/>
        <v>248000</v>
      </c>
      <c r="U375" s="178">
        <f t="shared" si="38"/>
        <v>4291000</v>
      </c>
    </row>
    <row r="376" spans="1:21" ht="21" x14ac:dyDescent="0.35">
      <c r="A376" s="16"/>
      <c r="B376" s="214" t="s">
        <v>194</v>
      </c>
      <c r="C376" s="214"/>
      <c r="D376" s="214"/>
      <c r="E376" s="214"/>
      <c r="F376" s="214"/>
      <c r="G376" s="214"/>
      <c r="H376" s="214"/>
      <c r="I376" s="214"/>
      <c r="J376" s="134"/>
      <c r="K376" s="134"/>
      <c r="L376" s="134"/>
      <c r="M376" s="134"/>
      <c r="N376" s="134"/>
      <c r="O376" s="134"/>
      <c r="P376" s="134"/>
      <c r="Q376" s="134"/>
      <c r="R376" s="134"/>
      <c r="S376" s="134"/>
      <c r="T376" s="134"/>
      <c r="U376" s="134"/>
    </row>
    <row r="377" spans="1:21" x14ac:dyDescent="0.25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</row>
    <row r="378" spans="1:21" s="128" customFormat="1" x14ac:dyDescent="0.25">
      <c r="A378" s="161"/>
      <c r="B378" s="161"/>
      <c r="C378" s="215" t="s">
        <v>75</v>
      </c>
      <c r="D378" s="215" t="s">
        <v>168</v>
      </c>
      <c r="E378" s="215" t="s">
        <v>169</v>
      </c>
      <c r="F378" s="215" t="s">
        <v>170</v>
      </c>
      <c r="G378" s="217" t="s">
        <v>171</v>
      </c>
      <c r="H378" s="218"/>
      <c r="I378" s="217" t="s">
        <v>200</v>
      </c>
      <c r="J378" s="218"/>
      <c r="K378" s="217" t="s">
        <v>201</v>
      </c>
      <c r="L378" s="218"/>
      <c r="M378" s="215" t="s">
        <v>174</v>
      </c>
      <c r="N378" s="215" t="s">
        <v>175</v>
      </c>
      <c r="O378" s="215" t="s">
        <v>176</v>
      </c>
      <c r="P378" s="215" t="s">
        <v>177</v>
      </c>
      <c r="Q378" s="215" t="s">
        <v>178</v>
      </c>
      <c r="R378" s="215"/>
      <c r="S378" s="217" t="s">
        <v>179</v>
      </c>
      <c r="T378" s="219"/>
      <c r="U378" s="218"/>
    </row>
    <row r="379" spans="1:21" s="128" customFormat="1" x14ac:dyDescent="0.25">
      <c r="A379" s="161"/>
      <c r="B379" s="161"/>
      <c r="C379" s="216"/>
      <c r="D379" s="216"/>
      <c r="E379" s="216"/>
      <c r="F379" s="216"/>
      <c r="G379" s="161" t="s">
        <v>180</v>
      </c>
      <c r="H379" s="161" t="s">
        <v>181</v>
      </c>
      <c r="I379" s="161" t="s">
        <v>180</v>
      </c>
      <c r="J379" s="161" t="s">
        <v>181</v>
      </c>
      <c r="K379" s="161" t="s">
        <v>180</v>
      </c>
      <c r="L379" s="161" t="s">
        <v>181</v>
      </c>
      <c r="M379" s="216"/>
      <c r="N379" s="216"/>
      <c r="O379" s="216"/>
      <c r="P379" s="216"/>
      <c r="Q379" s="216"/>
      <c r="R379" s="216"/>
      <c r="S379" s="161" t="s">
        <v>74</v>
      </c>
      <c r="T379" s="161" t="s">
        <v>182</v>
      </c>
      <c r="U379" s="161" t="s">
        <v>183</v>
      </c>
    </row>
    <row r="380" spans="1:21" ht="15.75" x14ac:dyDescent="0.3">
      <c r="A380" s="161">
        <v>0</v>
      </c>
      <c r="B380" s="162" t="s">
        <v>88</v>
      </c>
      <c r="C380" s="135">
        <v>0</v>
      </c>
      <c r="D380" s="135">
        <v>0</v>
      </c>
      <c r="E380" s="135">
        <v>0</v>
      </c>
      <c r="F380" s="135">
        <v>0</v>
      </c>
      <c r="G380" s="135">
        <v>0</v>
      </c>
      <c r="H380" s="135">
        <v>0</v>
      </c>
      <c r="I380" s="135">
        <v>0</v>
      </c>
      <c r="J380" s="135">
        <v>0</v>
      </c>
      <c r="K380" s="135">
        <v>100000</v>
      </c>
      <c r="L380" s="135">
        <v>0</v>
      </c>
      <c r="M380" s="135">
        <v>0</v>
      </c>
      <c r="N380" s="135">
        <v>0</v>
      </c>
      <c r="O380" s="135">
        <v>0</v>
      </c>
      <c r="P380" s="135">
        <v>0</v>
      </c>
      <c r="Q380" s="135">
        <v>0</v>
      </c>
      <c r="R380" s="135">
        <v>0</v>
      </c>
      <c r="S380" s="135">
        <f>+R380+Q380+P380+O380+N380+M380+L380+K380+J380+I380+H380+G380+F380+E380+D380+C380</f>
        <v>100000</v>
      </c>
      <c r="T380" s="135"/>
      <c r="U380" s="135">
        <f>+S380-T380</f>
        <v>100000</v>
      </c>
    </row>
    <row r="381" spans="1:21" ht="15.75" x14ac:dyDescent="0.3">
      <c r="A381" s="161">
        <f>+A380+1</f>
        <v>1</v>
      </c>
      <c r="B381" s="162" t="s">
        <v>39</v>
      </c>
      <c r="C381" s="135">
        <v>9000</v>
      </c>
      <c r="D381" s="135">
        <v>1000</v>
      </c>
      <c r="E381" s="135">
        <v>1000</v>
      </c>
      <c r="F381" s="135">
        <v>4000</v>
      </c>
      <c r="G381" s="135">
        <v>25000</v>
      </c>
      <c r="H381" s="135">
        <v>0</v>
      </c>
      <c r="I381" s="135">
        <v>75000</v>
      </c>
      <c r="J381" s="135">
        <v>0</v>
      </c>
      <c r="K381" s="135"/>
      <c r="L381" s="135">
        <v>0</v>
      </c>
      <c r="M381" s="135">
        <v>0</v>
      </c>
      <c r="N381" s="135">
        <v>0</v>
      </c>
      <c r="O381" s="135">
        <v>0</v>
      </c>
      <c r="P381" s="135">
        <v>0</v>
      </c>
      <c r="Q381" s="135">
        <v>0</v>
      </c>
      <c r="R381" s="135">
        <v>0</v>
      </c>
      <c r="S381" s="135">
        <f t="shared" ref="S381:S421" si="39">+R381+Q381+P381+O381+N381+M381+L381+K381+J381+I381+H381+G381+F381+E381+D381+C381</f>
        <v>115000</v>
      </c>
      <c r="T381" s="135"/>
      <c r="U381" s="135">
        <f t="shared" ref="U381:U421" si="40">+S381-T381</f>
        <v>115000</v>
      </c>
    </row>
    <row r="382" spans="1:21" ht="15.75" x14ac:dyDescent="0.3">
      <c r="A382" s="161">
        <f t="shared" ref="A382:A421" si="41">+A381+1</f>
        <v>2</v>
      </c>
      <c r="B382" s="162" t="s">
        <v>43</v>
      </c>
      <c r="C382" s="135">
        <v>7000</v>
      </c>
      <c r="D382" s="135">
        <v>1000</v>
      </c>
      <c r="E382" s="135">
        <v>1000</v>
      </c>
      <c r="F382" s="135">
        <v>4000</v>
      </c>
      <c r="G382" s="135">
        <v>25000</v>
      </c>
      <c r="H382" s="135">
        <v>0</v>
      </c>
      <c r="I382" s="135"/>
      <c r="J382" s="135">
        <v>0</v>
      </c>
      <c r="K382" s="135">
        <v>100000</v>
      </c>
      <c r="L382" s="135">
        <v>303000</v>
      </c>
      <c r="M382" s="135"/>
      <c r="N382" s="135">
        <v>0</v>
      </c>
      <c r="O382" s="135">
        <v>0</v>
      </c>
      <c r="P382" s="135">
        <v>0</v>
      </c>
      <c r="Q382" s="135">
        <v>0</v>
      </c>
      <c r="R382" s="135">
        <v>0</v>
      </c>
      <c r="S382" s="135">
        <f t="shared" si="39"/>
        <v>441000</v>
      </c>
      <c r="T382" s="135"/>
      <c r="U382" s="135">
        <f t="shared" si="40"/>
        <v>441000</v>
      </c>
    </row>
    <row r="383" spans="1:21" ht="15.75" x14ac:dyDescent="0.3">
      <c r="A383" s="161">
        <f t="shared" si="41"/>
        <v>3</v>
      </c>
      <c r="B383" s="162" t="s">
        <v>89</v>
      </c>
      <c r="C383" s="135">
        <v>9000</v>
      </c>
      <c r="D383" s="135">
        <v>1000</v>
      </c>
      <c r="E383" s="135">
        <v>1000</v>
      </c>
      <c r="F383" s="135">
        <v>4000</v>
      </c>
      <c r="G383" s="135">
        <v>25000</v>
      </c>
      <c r="H383" s="135">
        <v>0</v>
      </c>
      <c r="I383" s="135"/>
      <c r="J383" s="135">
        <v>0</v>
      </c>
      <c r="K383" s="135"/>
      <c r="L383" s="135">
        <v>0</v>
      </c>
      <c r="M383" s="135"/>
      <c r="N383" s="135">
        <v>0</v>
      </c>
      <c r="O383" s="135">
        <v>0</v>
      </c>
      <c r="P383" s="135">
        <v>0</v>
      </c>
      <c r="Q383" s="135">
        <v>0</v>
      </c>
      <c r="R383" s="135">
        <v>0</v>
      </c>
      <c r="S383" s="135">
        <f t="shared" si="39"/>
        <v>40000</v>
      </c>
      <c r="T383" s="135"/>
      <c r="U383" s="135">
        <f t="shared" si="40"/>
        <v>40000</v>
      </c>
    </row>
    <row r="384" spans="1:21" ht="15.75" x14ac:dyDescent="0.3">
      <c r="A384" s="161">
        <f t="shared" si="41"/>
        <v>4</v>
      </c>
      <c r="B384" s="162" t="s">
        <v>90</v>
      </c>
      <c r="C384" s="135">
        <v>9500</v>
      </c>
      <c r="D384" s="135">
        <v>1000</v>
      </c>
      <c r="E384" s="135">
        <v>1000</v>
      </c>
      <c r="F384" s="135">
        <v>4000</v>
      </c>
      <c r="G384" s="135">
        <v>25000</v>
      </c>
      <c r="H384" s="135">
        <f>30500+32000</f>
        <v>62500</v>
      </c>
      <c r="I384" s="135">
        <v>75000</v>
      </c>
      <c r="J384" s="135">
        <f>76000+93000</f>
        <v>169000</v>
      </c>
      <c r="K384" s="135"/>
      <c r="L384" s="135">
        <v>0</v>
      </c>
      <c r="M384" s="135"/>
      <c r="N384" s="135">
        <v>0</v>
      </c>
      <c r="O384" s="135">
        <v>0</v>
      </c>
      <c r="P384" s="135">
        <v>0</v>
      </c>
      <c r="Q384" s="135">
        <v>0</v>
      </c>
      <c r="R384" s="135">
        <v>0</v>
      </c>
      <c r="S384" s="135">
        <f t="shared" si="39"/>
        <v>347000</v>
      </c>
      <c r="T384" s="135"/>
      <c r="U384" s="135">
        <f t="shared" si="40"/>
        <v>347000</v>
      </c>
    </row>
    <row r="385" spans="1:21" ht="15.75" x14ac:dyDescent="0.3">
      <c r="A385" s="161">
        <f t="shared" si="41"/>
        <v>5</v>
      </c>
      <c r="B385" s="162" t="s">
        <v>91</v>
      </c>
      <c r="C385" s="135">
        <v>14000</v>
      </c>
      <c r="D385" s="135">
        <v>1000</v>
      </c>
      <c r="E385" s="135">
        <v>1000</v>
      </c>
      <c r="F385" s="135">
        <v>4000</v>
      </c>
      <c r="G385" s="135">
        <v>25000</v>
      </c>
      <c r="H385" s="135">
        <v>0</v>
      </c>
      <c r="I385" s="135">
        <v>75000</v>
      </c>
      <c r="J385" s="135">
        <v>0</v>
      </c>
      <c r="K385" s="135">
        <v>200000</v>
      </c>
      <c r="L385" s="135">
        <v>0</v>
      </c>
      <c r="M385" s="135">
        <v>0</v>
      </c>
      <c r="N385" s="135">
        <v>0</v>
      </c>
      <c r="O385" s="135">
        <v>0</v>
      </c>
      <c r="P385" s="135">
        <v>0</v>
      </c>
      <c r="Q385" s="135">
        <v>0</v>
      </c>
      <c r="R385" s="135">
        <v>0</v>
      </c>
      <c r="S385" s="135">
        <f t="shared" si="39"/>
        <v>320000</v>
      </c>
      <c r="T385" s="135"/>
      <c r="U385" s="135">
        <f t="shared" si="40"/>
        <v>320000</v>
      </c>
    </row>
    <row r="386" spans="1:21" ht="15.75" x14ac:dyDescent="0.3">
      <c r="A386" s="161">
        <f t="shared" si="41"/>
        <v>6</v>
      </c>
      <c r="B386" s="162" t="s">
        <v>92</v>
      </c>
      <c r="C386" s="135">
        <v>9000</v>
      </c>
      <c r="D386" s="135">
        <v>1000</v>
      </c>
      <c r="E386" s="135">
        <v>1000</v>
      </c>
      <c r="F386" s="135">
        <v>4000</v>
      </c>
      <c r="G386" s="135">
        <v>25000</v>
      </c>
      <c r="H386" s="135">
        <v>0</v>
      </c>
      <c r="I386" s="135"/>
      <c r="J386" s="135">
        <v>0</v>
      </c>
      <c r="K386" s="135"/>
      <c r="L386" s="135">
        <v>0</v>
      </c>
      <c r="M386" s="135"/>
      <c r="N386" s="135">
        <v>0</v>
      </c>
      <c r="O386" s="135">
        <v>0</v>
      </c>
      <c r="P386" s="135">
        <v>0</v>
      </c>
      <c r="Q386" s="135">
        <v>0</v>
      </c>
      <c r="R386" s="135">
        <v>0</v>
      </c>
      <c r="S386" s="135">
        <f t="shared" si="39"/>
        <v>40000</v>
      </c>
      <c r="T386" s="135"/>
      <c r="U386" s="135">
        <f t="shared" si="40"/>
        <v>40000</v>
      </c>
    </row>
    <row r="387" spans="1:21" ht="15.75" x14ac:dyDescent="0.3">
      <c r="A387" s="161">
        <f t="shared" si="41"/>
        <v>7</v>
      </c>
      <c r="B387" s="162" t="s">
        <v>93</v>
      </c>
      <c r="C387" s="135">
        <v>9000</v>
      </c>
      <c r="D387" s="135">
        <v>1000</v>
      </c>
      <c r="E387" s="135">
        <v>1000</v>
      </c>
      <c r="F387" s="135">
        <v>4000</v>
      </c>
      <c r="G387" s="135">
        <v>25000</v>
      </c>
      <c r="H387" s="135">
        <v>0</v>
      </c>
      <c r="I387" s="135">
        <v>0</v>
      </c>
      <c r="J387" s="135">
        <v>0</v>
      </c>
      <c r="K387" s="135">
        <v>0</v>
      </c>
      <c r="L387" s="135">
        <v>0</v>
      </c>
      <c r="M387" s="135">
        <v>0</v>
      </c>
      <c r="N387" s="135">
        <v>0</v>
      </c>
      <c r="O387" s="135">
        <v>0</v>
      </c>
      <c r="P387" s="135">
        <v>0</v>
      </c>
      <c r="Q387" s="135">
        <v>0</v>
      </c>
      <c r="R387" s="135">
        <v>0</v>
      </c>
      <c r="S387" s="135">
        <f t="shared" si="39"/>
        <v>40000</v>
      </c>
      <c r="T387" s="135"/>
      <c r="U387" s="135">
        <f t="shared" si="40"/>
        <v>40000</v>
      </c>
    </row>
    <row r="388" spans="1:21" ht="15.75" x14ac:dyDescent="0.3">
      <c r="A388" s="161">
        <f t="shared" si="41"/>
        <v>8</v>
      </c>
      <c r="B388" s="162" t="s">
        <v>114</v>
      </c>
      <c r="C388" s="135">
        <v>0</v>
      </c>
      <c r="D388" s="135">
        <v>0</v>
      </c>
      <c r="E388" s="135">
        <v>0</v>
      </c>
      <c r="F388" s="135">
        <v>0</v>
      </c>
      <c r="G388" s="135">
        <v>0</v>
      </c>
      <c r="H388" s="135">
        <v>0</v>
      </c>
      <c r="I388" s="135">
        <v>0</v>
      </c>
      <c r="J388" s="135">
        <v>0</v>
      </c>
      <c r="K388" s="135">
        <v>0</v>
      </c>
      <c r="L388" s="135">
        <v>0</v>
      </c>
      <c r="M388" s="135">
        <v>0</v>
      </c>
      <c r="N388" s="135">
        <v>0</v>
      </c>
      <c r="O388" s="135">
        <v>0</v>
      </c>
      <c r="P388" s="135">
        <v>0</v>
      </c>
      <c r="Q388" s="135">
        <v>0</v>
      </c>
      <c r="R388" s="135">
        <v>0</v>
      </c>
      <c r="S388" s="135">
        <f t="shared" si="39"/>
        <v>0</v>
      </c>
      <c r="T388" s="135"/>
      <c r="U388" s="135">
        <f t="shared" si="40"/>
        <v>0</v>
      </c>
    </row>
    <row r="389" spans="1:21" ht="15.75" x14ac:dyDescent="0.3">
      <c r="A389" s="161">
        <f t="shared" si="41"/>
        <v>9</v>
      </c>
      <c r="B389" s="162" t="s">
        <v>42</v>
      </c>
      <c r="C389" s="135">
        <v>9000</v>
      </c>
      <c r="D389" s="135">
        <v>1000</v>
      </c>
      <c r="E389" s="135">
        <v>1000</v>
      </c>
      <c r="F389" s="135">
        <v>4000</v>
      </c>
      <c r="G389" s="135">
        <v>25000</v>
      </c>
      <c r="H389" s="135">
        <v>0</v>
      </c>
      <c r="I389" s="135">
        <v>75000</v>
      </c>
      <c r="J389" s="135">
        <v>0</v>
      </c>
      <c r="K389" s="135"/>
      <c r="L389" s="135">
        <v>0</v>
      </c>
      <c r="M389" s="135"/>
      <c r="N389" s="135">
        <v>0</v>
      </c>
      <c r="O389" s="135">
        <v>0</v>
      </c>
      <c r="P389" s="135">
        <v>0</v>
      </c>
      <c r="Q389" s="135">
        <v>0</v>
      </c>
      <c r="R389" s="135">
        <v>0</v>
      </c>
      <c r="S389" s="135">
        <f t="shared" si="39"/>
        <v>115000</v>
      </c>
      <c r="T389" s="135"/>
      <c r="U389" s="135">
        <f t="shared" si="40"/>
        <v>115000</v>
      </c>
    </row>
    <row r="390" spans="1:21" ht="15.75" x14ac:dyDescent="0.3">
      <c r="A390" s="161">
        <f t="shared" si="41"/>
        <v>10</v>
      </c>
      <c r="B390" s="162" t="s">
        <v>37</v>
      </c>
      <c r="C390" s="135">
        <v>44000</v>
      </c>
      <c r="D390" s="135">
        <v>1000</v>
      </c>
      <c r="E390" s="135">
        <v>1000</v>
      </c>
      <c r="F390" s="135">
        <v>4000</v>
      </c>
      <c r="G390" s="135">
        <v>25000</v>
      </c>
      <c r="H390" s="135">
        <v>0</v>
      </c>
      <c r="I390" s="135">
        <v>75000</v>
      </c>
      <c r="J390" s="135">
        <v>0</v>
      </c>
      <c r="K390" s="135">
        <v>100000</v>
      </c>
      <c r="L390" s="135">
        <v>0</v>
      </c>
      <c r="M390" s="135"/>
      <c r="N390" s="135">
        <v>0</v>
      </c>
      <c r="O390" s="135">
        <v>0</v>
      </c>
      <c r="P390" s="135">
        <v>0</v>
      </c>
      <c r="Q390" s="135">
        <v>0</v>
      </c>
      <c r="R390" s="135">
        <v>0</v>
      </c>
      <c r="S390" s="135">
        <f t="shared" si="39"/>
        <v>250000</v>
      </c>
      <c r="T390" s="135"/>
      <c r="U390" s="135">
        <f t="shared" si="40"/>
        <v>250000</v>
      </c>
    </row>
    <row r="391" spans="1:21" ht="15.75" x14ac:dyDescent="0.3">
      <c r="A391" s="161">
        <f t="shared" si="41"/>
        <v>11</v>
      </c>
      <c r="B391" s="162" t="s">
        <v>94</v>
      </c>
      <c r="C391" s="135">
        <v>9000</v>
      </c>
      <c r="D391" s="135">
        <v>1000</v>
      </c>
      <c r="E391" s="135">
        <v>1000</v>
      </c>
      <c r="F391" s="135">
        <v>4000</v>
      </c>
      <c r="G391" s="135">
        <v>25000</v>
      </c>
      <c r="H391" s="135">
        <v>0</v>
      </c>
      <c r="I391" s="135"/>
      <c r="J391" s="135">
        <v>0</v>
      </c>
      <c r="K391" s="135">
        <v>100000</v>
      </c>
      <c r="L391" s="135">
        <v>0</v>
      </c>
      <c r="M391" s="135"/>
      <c r="N391" s="135">
        <v>0</v>
      </c>
      <c r="O391" s="135">
        <v>0</v>
      </c>
      <c r="P391" s="135">
        <v>0</v>
      </c>
      <c r="Q391" s="135">
        <v>0</v>
      </c>
      <c r="R391" s="135">
        <v>0</v>
      </c>
      <c r="S391" s="135">
        <f t="shared" si="39"/>
        <v>140000</v>
      </c>
      <c r="T391" s="135"/>
      <c r="U391" s="135">
        <f t="shared" si="40"/>
        <v>140000</v>
      </c>
    </row>
    <row r="392" spans="1:21" ht="15.75" x14ac:dyDescent="0.3">
      <c r="A392" s="161">
        <f t="shared" si="41"/>
        <v>12</v>
      </c>
      <c r="B392" s="162" t="s">
        <v>95</v>
      </c>
      <c r="C392" s="135">
        <v>9000</v>
      </c>
      <c r="D392" s="135">
        <v>1000</v>
      </c>
      <c r="E392" s="135">
        <v>1000</v>
      </c>
      <c r="F392" s="135">
        <v>4000</v>
      </c>
      <c r="G392" s="135">
        <v>25000</v>
      </c>
      <c r="H392" s="135">
        <v>0</v>
      </c>
      <c r="I392" s="135">
        <v>75000</v>
      </c>
      <c r="J392" s="135">
        <v>0</v>
      </c>
      <c r="K392" s="135">
        <v>100000</v>
      </c>
      <c r="L392" s="135">
        <v>0</v>
      </c>
      <c r="M392" s="135">
        <v>100000</v>
      </c>
      <c r="N392" s="135">
        <v>0</v>
      </c>
      <c r="O392" s="135">
        <v>0</v>
      </c>
      <c r="P392" s="135">
        <v>0</v>
      </c>
      <c r="Q392" s="135">
        <v>0</v>
      </c>
      <c r="R392" s="135">
        <v>0</v>
      </c>
      <c r="S392" s="135">
        <f t="shared" si="39"/>
        <v>315000</v>
      </c>
      <c r="T392" s="135">
        <v>100000</v>
      </c>
      <c r="U392" s="135">
        <f t="shared" si="40"/>
        <v>215000</v>
      </c>
    </row>
    <row r="393" spans="1:21" ht="15.75" x14ac:dyDescent="0.3">
      <c r="A393" s="161">
        <f t="shared" si="41"/>
        <v>13</v>
      </c>
      <c r="B393" s="162" t="s">
        <v>96</v>
      </c>
      <c r="C393" s="135">
        <v>9000</v>
      </c>
      <c r="D393" s="135">
        <v>1000</v>
      </c>
      <c r="E393" s="135">
        <v>1000</v>
      </c>
      <c r="F393" s="135">
        <v>4000</v>
      </c>
      <c r="G393" s="135">
        <v>25000</v>
      </c>
      <c r="H393" s="135">
        <v>0</v>
      </c>
      <c r="I393" s="135"/>
      <c r="J393" s="135">
        <v>0</v>
      </c>
      <c r="K393" s="135"/>
      <c r="L393" s="135">
        <v>0</v>
      </c>
      <c r="M393" s="135">
        <v>0</v>
      </c>
      <c r="N393" s="135">
        <v>0</v>
      </c>
      <c r="O393" s="135">
        <v>0</v>
      </c>
      <c r="P393" s="135">
        <v>0</v>
      </c>
      <c r="Q393" s="135">
        <v>0</v>
      </c>
      <c r="R393" s="135">
        <v>0</v>
      </c>
      <c r="S393" s="135">
        <f t="shared" si="39"/>
        <v>40000</v>
      </c>
      <c r="T393" s="135"/>
      <c r="U393" s="135">
        <f t="shared" si="40"/>
        <v>40000</v>
      </c>
    </row>
    <row r="394" spans="1:21" ht="15.75" x14ac:dyDescent="0.3">
      <c r="A394" s="161">
        <f t="shared" si="41"/>
        <v>14</v>
      </c>
      <c r="B394" s="162" t="s">
        <v>97</v>
      </c>
      <c r="C394" s="135">
        <v>9000</v>
      </c>
      <c r="D394" s="135">
        <v>1000</v>
      </c>
      <c r="E394" s="135">
        <v>1000</v>
      </c>
      <c r="F394" s="135">
        <v>4000</v>
      </c>
      <c r="G394" s="135">
        <v>25000</v>
      </c>
      <c r="H394" s="135">
        <f>30500+30500</f>
        <v>61000</v>
      </c>
      <c r="I394" s="135">
        <v>75000</v>
      </c>
      <c r="J394" s="135">
        <f>152000+0</f>
        <v>152000</v>
      </c>
      <c r="K394" s="135">
        <v>100000</v>
      </c>
      <c r="L394" s="135">
        <v>101000</v>
      </c>
      <c r="M394" s="135"/>
      <c r="N394" s="135">
        <v>0</v>
      </c>
      <c r="O394" s="135">
        <v>0</v>
      </c>
      <c r="P394" s="135">
        <v>0</v>
      </c>
      <c r="Q394" s="135">
        <v>0</v>
      </c>
      <c r="R394" s="135">
        <v>0</v>
      </c>
      <c r="S394" s="135">
        <f t="shared" si="39"/>
        <v>529000</v>
      </c>
      <c r="T394" s="135"/>
      <c r="U394" s="135">
        <f t="shared" si="40"/>
        <v>529000</v>
      </c>
    </row>
    <row r="395" spans="1:21" ht="15.75" x14ac:dyDescent="0.3">
      <c r="A395" s="161">
        <f t="shared" si="41"/>
        <v>15</v>
      </c>
      <c r="B395" s="162" t="s">
        <v>98</v>
      </c>
      <c r="C395" s="135">
        <v>9000</v>
      </c>
      <c r="D395" s="135">
        <v>1000</v>
      </c>
      <c r="E395" s="135">
        <v>1000</v>
      </c>
      <c r="F395" s="135">
        <v>4000</v>
      </c>
      <c r="G395" s="135">
        <v>25000</v>
      </c>
      <c r="H395" s="135">
        <v>0</v>
      </c>
      <c r="I395" s="135"/>
      <c r="J395" s="135">
        <v>0</v>
      </c>
      <c r="K395" s="135"/>
      <c r="L395" s="135">
        <v>0</v>
      </c>
      <c r="M395" s="135"/>
      <c r="N395" s="135">
        <v>0</v>
      </c>
      <c r="O395" s="135">
        <v>0</v>
      </c>
      <c r="P395" s="135">
        <v>0</v>
      </c>
      <c r="Q395" s="135">
        <v>0</v>
      </c>
      <c r="R395" s="135">
        <v>0</v>
      </c>
      <c r="S395" s="135">
        <f t="shared" si="39"/>
        <v>40000</v>
      </c>
      <c r="T395" s="135"/>
      <c r="U395" s="135">
        <f t="shared" si="40"/>
        <v>40000</v>
      </c>
    </row>
    <row r="396" spans="1:21" ht="15.75" x14ac:dyDescent="0.3">
      <c r="A396" s="161">
        <f t="shared" si="41"/>
        <v>16</v>
      </c>
      <c r="B396" s="162" t="s">
        <v>99</v>
      </c>
      <c r="C396" s="135">
        <v>9000</v>
      </c>
      <c r="D396" s="135">
        <v>1000</v>
      </c>
      <c r="E396" s="135">
        <v>1000</v>
      </c>
      <c r="F396" s="135">
        <v>4000</v>
      </c>
      <c r="G396" s="135">
        <v>25000</v>
      </c>
      <c r="H396" s="135">
        <v>0</v>
      </c>
      <c r="I396" s="135">
        <v>75000</v>
      </c>
      <c r="J396" s="135">
        <v>0</v>
      </c>
      <c r="K396" s="135"/>
      <c r="L396" s="135">
        <v>0</v>
      </c>
      <c r="M396" s="135"/>
      <c r="N396" s="135">
        <v>0</v>
      </c>
      <c r="O396" s="135">
        <v>0</v>
      </c>
      <c r="P396" s="135">
        <v>0</v>
      </c>
      <c r="Q396" s="135">
        <v>0</v>
      </c>
      <c r="R396" s="135">
        <v>0</v>
      </c>
      <c r="S396" s="135">
        <f t="shared" si="39"/>
        <v>115000</v>
      </c>
      <c r="T396" s="135"/>
      <c r="U396" s="135">
        <f t="shared" si="40"/>
        <v>115000</v>
      </c>
    </row>
    <row r="397" spans="1:21" ht="15.75" x14ac:dyDescent="0.3">
      <c r="A397" s="161">
        <f t="shared" si="41"/>
        <v>17</v>
      </c>
      <c r="B397" s="162" t="s">
        <v>100</v>
      </c>
      <c r="C397" s="135">
        <v>19000</v>
      </c>
      <c r="D397" s="135">
        <v>1000</v>
      </c>
      <c r="E397" s="135">
        <v>1000</v>
      </c>
      <c r="F397" s="135">
        <v>4000</v>
      </c>
      <c r="G397" s="135">
        <v>25000</v>
      </c>
      <c r="H397" s="135">
        <v>0</v>
      </c>
      <c r="I397" s="135"/>
      <c r="J397" s="135">
        <v>0</v>
      </c>
      <c r="K397" s="135">
        <v>200000</v>
      </c>
      <c r="L397" s="135">
        <v>0</v>
      </c>
      <c r="M397" s="135">
        <v>0</v>
      </c>
      <c r="N397" s="135">
        <v>0</v>
      </c>
      <c r="O397" s="135">
        <v>0</v>
      </c>
      <c r="P397" s="135">
        <v>0</v>
      </c>
      <c r="Q397" s="135">
        <v>0</v>
      </c>
      <c r="R397" s="135">
        <v>0</v>
      </c>
      <c r="S397" s="135">
        <f t="shared" si="39"/>
        <v>250000</v>
      </c>
      <c r="T397" s="135"/>
      <c r="U397" s="135">
        <f t="shared" si="40"/>
        <v>250000</v>
      </c>
    </row>
    <row r="398" spans="1:21" ht="15.75" x14ac:dyDescent="0.3">
      <c r="A398" s="161">
        <f t="shared" si="41"/>
        <v>18</v>
      </c>
      <c r="B398" s="162" t="s">
        <v>38</v>
      </c>
      <c r="C398" s="135">
        <v>9000</v>
      </c>
      <c r="D398" s="135">
        <v>1000</v>
      </c>
      <c r="E398" s="135">
        <v>1000</v>
      </c>
      <c r="F398" s="135">
        <v>4000</v>
      </c>
      <c r="G398" s="135">
        <v>25000</v>
      </c>
      <c r="H398" s="135">
        <v>0</v>
      </c>
      <c r="I398" s="135">
        <v>75000</v>
      </c>
      <c r="J398" s="135">
        <v>70000</v>
      </c>
      <c r="K398" s="135">
        <v>100000</v>
      </c>
      <c r="L398" s="135">
        <v>0</v>
      </c>
      <c r="M398" s="135"/>
      <c r="N398" s="135">
        <v>0</v>
      </c>
      <c r="O398" s="135">
        <v>0</v>
      </c>
      <c r="P398" s="135">
        <v>0</v>
      </c>
      <c r="Q398" s="135">
        <v>0</v>
      </c>
      <c r="R398" s="135">
        <v>0</v>
      </c>
      <c r="S398" s="135">
        <f t="shared" si="39"/>
        <v>285000</v>
      </c>
      <c r="T398" s="135">
        <v>70000</v>
      </c>
      <c r="U398" s="135">
        <f t="shared" si="40"/>
        <v>215000</v>
      </c>
    </row>
    <row r="399" spans="1:21" ht="15.75" x14ac:dyDescent="0.3">
      <c r="A399" s="161">
        <f t="shared" si="41"/>
        <v>19</v>
      </c>
      <c r="B399" s="162" t="s">
        <v>101</v>
      </c>
      <c r="C399" s="135">
        <v>159000</v>
      </c>
      <c r="D399" s="135">
        <v>1000</v>
      </c>
      <c r="E399" s="135">
        <v>1000</v>
      </c>
      <c r="F399" s="135">
        <v>4000</v>
      </c>
      <c r="G399" s="135">
        <v>25000</v>
      </c>
      <c r="H399" s="135">
        <v>0</v>
      </c>
      <c r="I399" s="135">
        <v>150000</v>
      </c>
      <c r="J399" s="135">
        <v>0</v>
      </c>
      <c r="K399" s="135">
        <v>100000</v>
      </c>
      <c r="L399" s="135">
        <v>0</v>
      </c>
      <c r="M399" s="135"/>
      <c r="N399" s="135">
        <v>0</v>
      </c>
      <c r="O399" s="135">
        <v>0</v>
      </c>
      <c r="P399" s="135">
        <v>0</v>
      </c>
      <c r="Q399" s="135">
        <v>0</v>
      </c>
      <c r="R399" s="135">
        <v>0</v>
      </c>
      <c r="S399" s="135">
        <f t="shared" si="39"/>
        <v>440000</v>
      </c>
      <c r="T399" s="135"/>
      <c r="U399" s="135">
        <f t="shared" si="40"/>
        <v>440000</v>
      </c>
    </row>
    <row r="400" spans="1:21" ht="15.75" x14ac:dyDescent="0.3">
      <c r="A400" s="161">
        <f t="shared" si="41"/>
        <v>20</v>
      </c>
      <c r="B400" s="162" t="s">
        <v>102</v>
      </c>
      <c r="C400" s="135">
        <v>9000</v>
      </c>
      <c r="D400" s="135">
        <v>1000</v>
      </c>
      <c r="E400" s="135">
        <v>1000</v>
      </c>
      <c r="F400" s="135">
        <v>4000</v>
      </c>
      <c r="G400" s="135">
        <v>25000</v>
      </c>
      <c r="H400" s="135">
        <v>61000</v>
      </c>
      <c r="I400" s="135"/>
      <c r="J400" s="135">
        <v>0</v>
      </c>
      <c r="K400" s="135"/>
      <c r="L400" s="135">
        <v>0</v>
      </c>
      <c r="M400" s="135">
        <v>0</v>
      </c>
      <c r="N400" s="135">
        <v>0</v>
      </c>
      <c r="O400" s="135">
        <v>3000</v>
      </c>
      <c r="P400" s="135">
        <v>0</v>
      </c>
      <c r="Q400" s="135">
        <v>0</v>
      </c>
      <c r="R400" s="135">
        <v>0</v>
      </c>
      <c r="S400" s="135">
        <f t="shared" si="39"/>
        <v>104000</v>
      </c>
      <c r="T400" s="135">
        <v>94000</v>
      </c>
      <c r="U400" s="135">
        <f t="shared" si="40"/>
        <v>10000</v>
      </c>
    </row>
    <row r="401" spans="1:21" ht="15.75" x14ac:dyDescent="0.3">
      <c r="A401" s="161">
        <f t="shared" si="41"/>
        <v>21</v>
      </c>
      <c r="B401" s="162" t="s">
        <v>109</v>
      </c>
      <c r="C401" s="135">
        <v>0</v>
      </c>
      <c r="D401" s="135">
        <v>0</v>
      </c>
      <c r="E401" s="135">
        <v>0</v>
      </c>
      <c r="F401" s="135">
        <v>0</v>
      </c>
      <c r="G401" s="135">
        <v>0</v>
      </c>
      <c r="H401" s="135">
        <v>0</v>
      </c>
      <c r="I401" s="135">
        <v>0</v>
      </c>
      <c r="J401" s="135">
        <v>0</v>
      </c>
      <c r="K401" s="135">
        <v>0</v>
      </c>
      <c r="L401" s="135">
        <v>0</v>
      </c>
      <c r="M401" s="135">
        <v>0</v>
      </c>
      <c r="N401" s="135">
        <v>0</v>
      </c>
      <c r="O401" s="135">
        <v>0</v>
      </c>
      <c r="P401" s="135">
        <v>0</v>
      </c>
      <c r="Q401" s="135">
        <v>0</v>
      </c>
      <c r="R401" s="135">
        <v>0</v>
      </c>
      <c r="S401" s="135">
        <f t="shared" si="39"/>
        <v>0</v>
      </c>
      <c r="T401" s="135"/>
      <c r="U401" s="135">
        <f t="shared" si="40"/>
        <v>0</v>
      </c>
    </row>
    <row r="402" spans="1:21" ht="15.75" x14ac:dyDescent="0.3">
      <c r="A402" s="161">
        <f t="shared" si="41"/>
        <v>22</v>
      </c>
      <c r="B402" s="162" t="s">
        <v>166</v>
      </c>
      <c r="C402" s="135">
        <f>19000+127500</f>
        <v>146500</v>
      </c>
      <c r="D402" s="135">
        <v>1000</v>
      </c>
      <c r="E402" s="135">
        <v>1000</v>
      </c>
      <c r="F402" s="135">
        <v>4000</v>
      </c>
      <c r="G402" s="135">
        <v>25000</v>
      </c>
      <c r="H402" s="135">
        <v>0</v>
      </c>
      <c r="I402" s="135"/>
      <c r="J402" s="135">
        <v>0</v>
      </c>
      <c r="K402" s="135"/>
      <c r="L402" s="135">
        <v>0</v>
      </c>
      <c r="M402" s="135"/>
      <c r="N402" s="135">
        <v>0</v>
      </c>
      <c r="O402" s="135">
        <v>0</v>
      </c>
      <c r="P402" s="135">
        <v>0</v>
      </c>
      <c r="Q402" s="135">
        <v>0</v>
      </c>
      <c r="R402" s="135">
        <v>0</v>
      </c>
      <c r="S402" s="135">
        <f t="shared" si="39"/>
        <v>177500</v>
      </c>
      <c r="T402" s="135"/>
      <c r="U402" s="135">
        <f t="shared" si="40"/>
        <v>177500</v>
      </c>
    </row>
    <row r="403" spans="1:21" ht="15.75" x14ac:dyDescent="0.3">
      <c r="A403" s="161">
        <f t="shared" si="41"/>
        <v>23</v>
      </c>
      <c r="B403" s="162" t="s">
        <v>41</v>
      </c>
      <c r="C403" s="135">
        <v>9000</v>
      </c>
      <c r="D403" s="135">
        <v>1000</v>
      </c>
      <c r="E403" s="135">
        <v>1000</v>
      </c>
      <c r="F403" s="135">
        <v>4000</v>
      </c>
      <c r="G403" s="135">
        <v>25000</v>
      </c>
      <c r="H403" s="135">
        <v>0</v>
      </c>
      <c r="I403" s="135">
        <v>75000</v>
      </c>
      <c r="J403" s="135">
        <v>0</v>
      </c>
      <c r="K403" s="135"/>
      <c r="L403" s="135">
        <v>0</v>
      </c>
      <c r="M403" s="135"/>
      <c r="N403" s="135">
        <v>0</v>
      </c>
      <c r="O403" s="135">
        <v>0</v>
      </c>
      <c r="P403" s="135">
        <v>0</v>
      </c>
      <c r="Q403" s="135">
        <v>0</v>
      </c>
      <c r="R403" s="135">
        <v>0</v>
      </c>
      <c r="S403" s="135">
        <f t="shared" si="39"/>
        <v>115000</v>
      </c>
      <c r="T403" s="135"/>
      <c r="U403" s="135">
        <f t="shared" si="40"/>
        <v>115000</v>
      </c>
    </row>
    <row r="404" spans="1:21" ht="15.75" x14ac:dyDescent="0.3">
      <c r="A404" s="161">
        <f t="shared" si="41"/>
        <v>24</v>
      </c>
      <c r="B404" s="162" t="s">
        <v>165</v>
      </c>
      <c r="C404" s="135">
        <f>9000+177500</f>
        <v>186500</v>
      </c>
      <c r="D404" s="135">
        <v>1000</v>
      </c>
      <c r="E404" s="135">
        <v>1000</v>
      </c>
      <c r="F404" s="135">
        <v>4000</v>
      </c>
      <c r="G404" s="135">
        <v>25000</v>
      </c>
      <c r="H404" s="135">
        <v>0</v>
      </c>
      <c r="I404" s="135"/>
      <c r="J404" s="135">
        <v>0</v>
      </c>
      <c r="K404" s="135"/>
      <c r="L404" s="135">
        <v>0</v>
      </c>
      <c r="M404" s="135"/>
      <c r="N404" s="135">
        <v>0</v>
      </c>
      <c r="O404" s="135">
        <v>0</v>
      </c>
      <c r="P404" s="135">
        <v>0</v>
      </c>
      <c r="Q404" s="135">
        <v>0</v>
      </c>
      <c r="R404" s="135">
        <v>0</v>
      </c>
      <c r="S404" s="135">
        <f t="shared" si="39"/>
        <v>217500</v>
      </c>
      <c r="T404" s="135">
        <v>70000</v>
      </c>
      <c r="U404" s="135">
        <f t="shared" si="40"/>
        <v>147500</v>
      </c>
    </row>
    <row r="405" spans="1:21" ht="15.75" x14ac:dyDescent="0.3">
      <c r="A405" s="161">
        <f t="shared" si="41"/>
        <v>25</v>
      </c>
      <c r="B405" s="162" t="s">
        <v>46</v>
      </c>
      <c r="C405" s="135">
        <v>9000</v>
      </c>
      <c r="D405" s="135">
        <v>1000</v>
      </c>
      <c r="E405" s="135">
        <v>1000</v>
      </c>
      <c r="F405" s="135">
        <v>4000</v>
      </c>
      <c r="G405" s="135">
        <v>25000</v>
      </c>
      <c r="H405" s="135">
        <v>0</v>
      </c>
      <c r="I405" s="135">
        <v>75000</v>
      </c>
      <c r="J405" s="135">
        <v>0</v>
      </c>
      <c r="K405" s="135"/>
      <c r="L405" s="135">
        <v>0</v>
      </c>
      <c r="M405" s="135"/>
      <c r="N405" s="135">
        <v>0</v>
      </c>
      <c r="O405" s="135">
        <v>0</v>
      </c>
      <c r="P405" s="135">
        <v>0</v>
      </c>
      <c r="Q405" s="135">
        <v>0</v>
      </c>
      <c r="R405" s="135">
        <v>0</v>
      </c>
      <c r="S405" s="135">
        <f t="shared" si="39"/>
        <v>115000</v>
      </c>
      <c r="T405" s="135"/>
      <c r="U405" s="135">
        <f t="shared" si="40"/>
        <v>115000</v>
      </c>
    </row>
    <row r="406" spans="1:21" ht="15.75" x14ac:dyDescent="0.3">
      <c r="A406" s="161">
        <f t="shared" si="41"/>
        <v>26</v>
      </c>
      <c r="B406" s="162" t="s">
        <v>104</v>
      </c>
      <c r="C406" s="135">
        <v>0</v>
      </c>
      <c r="D406" s="135">
        <v>0</v>
      </c>
      <c r="E406" s="135">
        <v>0</v>
      </c>
      <c r="F406" s="135">
        <v>0</v>
      </c>
      <c r="G406" s="135">
        <v>0</v>
      </c>
      <c r="H406" s="135">
        <v>0</v>
      </c>
      <c r="I406" s="135">
        <v>0</v>
      </c>
      <c r="J406" s="135">
        <v>0</v>
      </c>
      <c r="K406" s="135">
        <v>0</v>
      </c>
      <c r="L406" s="135">
        <v>0</v>
      </c>
      <c r="M406" s="135">
        <v>0</v>
      </c>
      <c r="N406" s="135">
        <v>0</v>
      </c>
      <c r="O406" s="135">
        <v>0</v>
      </c>
      <c r="P406" s="135">
        <v>0</v>
      </c>
      <c r="Q406" s="135">
        <v>0</v>
      </c>
      <c r="R406" s="135">
        <v>0</v>
      </c>
      <c r="S406" s="135">
        <f t="shared" si="39"/>
        <v>0</v>
      </c>
      <c r="T406" s="135"/>
      <c r="U406" s="135">
        <f t="shared" si="40"/>
        <v>0</v>
      </c>
    </row>
    <row r="407" spans="1:21" ht="15.75" x14ac:dyDescent="0.3">
      <c r="A407" s="161">
        <f t="shared" si="41"/>
        <v>27</v>
      </c>
      <c r="B407" s="162" t="s">
        <v>40</v>
      </c>
      <c r="C407" s="135">
        <v>9000</v>
      </c>
      <c r="D407" s="135">
        <v>1000</v>
      </c>
      <c r="E407" s="135">
        <v>1000</v>
      </c>
      <c r="F407" s="135">
        <v>4000</v>
      </c>
      <c r="G407" s="135">
        <v>25000</v>
      </c>
      <c r="H407" s="135">
        <v>0</v>
      </c>
      <c r="I407" s="135"/>
      <c r="J407" s="135">
        <v>0</v>
      </c>
      <c r="K407" s="135">
        <v>100000</v>
      </c>
      <c r="L407" s="135">
        <v>0</v>
      </c>
      <c r="M407" s="135"/>
      <c r="N407" s="135">
        <v>0</v>
      </c>
      <c r="O407" s="135">
        <v>0</v>
      </c>
      <c r="P407" s="135">
        <v>0</v>
      </c>
      <c r="Q407" s="135">
        <v>0</v>
      </c>
      <c r="R407" s="135">
        <v>0</v>
      </c>
      <c r="S407" s="135">
        <f t="shared" si="39"/>
        <v>140000</v>
      </c>
      <c r="T407" s="135"/>
      <c r="U407" s="135">
        <f t="shared" si="40"/>
        <v>140000</v>
      </c>
    </row>
    <row r="408" spans="1:21" ht="15.75" x14ac:dyDescent="0.3">
      <c r="A408" s="161">
        <f t="shared" si="41"/>
        <v>28</v>
      </c>
      <c r="B408" s="162" t="s">
        <v>105</v>
      </c>
      <c r="C408" s="135">
        <v>9000</v>
      </c>
      <c r="D408" s="135">
        <v>1000</v>
      </c>
      <c r="E408" s="135">
        <v>1000</v>
      </c>
      <c r="F408" s="135">
        <v>4000</v>
      </c>
      <c r="G408" s="135">
        <v>25000</v>
      </c>
      <c r="H408" s="135">
        <v>0</v>
      </c>
      <c r="I408" s="135">
        <v>75000</v>
      </c>
      <c r="J408" s="135">
        <v>76000</v>
      </c>
      <c r="K408" s="135"/>
      <c r="L408" s="135">
        <v>0</v>
      </c>
      <c r="M408" s="135">
        <v>0</v>
      </c>
      <c r="N408" s="135">
        <v>0</v>
      </c>
      <c r="O408" s="135">
        <v>0</v>
      </c>
      <c r="P408" s="135">
        <v>0</v>
      </c>
      <c r="Q408" s="135">
        <v>0</v>
      </c>
      <c r="R408" s="135">
        <v>0</v>
      </c>
      <c r="S408" s="135">
        <f t="shared" si="39"/>
        <v>191000</v>
      </c>
      <c r="T408" s="135"/>
      <c r="U408" s="135">
        <f t="shared" si="40"/>
        <v>191000</v>
      </c>
    </row>
    <row r="409" spans="1:21" ht="15.75" x14ac:dyDescent="0.3">
      <c r="A409" s="161">
        <f t="shared" si="41"/>
        <v>29</v>
      </c>
      <c r="B409" s="162" t="s">
        <v>187</v>
      </c>
      <c r="C409" s="135">
        <v>0</v>
      </c>
      <c r="D409" s="135">
        <v>0</v>
      </c>
      <c r="E409" s="135">
        <v>0</v>
      </c>
      <c r="F409" s="135">
        <v>0</v>
      </c>
      <c r="G409" s="135">
        <v>0</v>
      </c>
      <c r="H409" s="135">
        <v>0</v>
      </c>
      <c r="I409" s="135"/>
      <c r="J409" s="135">
        <v>0</v>
      </c>
      <c r="K409" s="135"/>
      <c r="L409" s="135">
        <v>0</v>
      </c>
      <c r="M409" s="135"/>
      <c r="N409" s="135">
        <v>0</v>
      </c>
      <c r="O409" s="135">
        <v>0</v>
      </c>
      <c r="P409" s="135">
        <v>0</v>
      </c>
      <c r="Q409" s="135">
        <v>0</v>
      </c>
      <c r="R409" s="135">
        <v>0</v>
      </c>
      <c r="S409" s="135">
        <f t="shared" si="39"/>
        <v>0</v>
      </c>
      <c r="T409" s="135"/>
      <c r="U409" s="135">
        <f t="shared" si="40"/>
        <v>0</v>
      </c>
    </row>
    <row r="410" spans="1:21" ht="15.75" x14ac:dyDescent="0.3">
      <c r="A410" s="161">
        <f t="shared" si="41"/>
        <v>30</v>
      </c>
      <c r="B410" s="162" t="s">
        <v>110</v>
      </c>
      <c r="C410" s="135">
        <v>0</v>
      </c>
      <c r="D410" s="135">
        <v>0</v>
      </c>
      <c r="E410" s="135"/>
      <c r="F410" s="135"/>
      <c r="G410" s="135"/>
      <c r="H410" s="135">
        <v>0</v>
      </c>
      <c r="I410" s="135"/>
      <c r="J410" s="135">
        <v>0</v>
      </c>
      <c r="K410" s="135"/>
      <c r="L410" s="135">
        <v>0</v>
      </c>
      <c r="M410" s="135"/>
      <c r="N410" s="135">
        <v>0</v>
      </c>
      <c r="O410" s="135">
        <v>0</v>
      </c>
      <c r="P410" s="135">
        <v>0</v>
      </c>
      <c r="Q410" s="135">
        <v>0</v>
      </c>
      <c r="R410" s="135">
        <v>0</v>
      </c>
      <c r="S410" s="135">
        <f t="shared" si="39"/>
        <v>0</v>
      </c>
      <c r="T410" s="135"/>
      <c r="U410" s="135">
        <f t="shared" si="40"/>
        <v>0</v>
      </c>
    </row>
    <row r="411" spans="1:21" ht="15.75" x14ac:dyDescent="0.3">
      <c r="A411" s="161">
        <f t="shared" si="41"/>
        <v>31</v>
      </c>
      <c r="B411" s="162" t="s">
        <v>106</v>
      </c>
      <c r="C411" s="163">
        <v>9000</v>
      </c>
      <c r="D411" s="163">
        <v>1000</v>
      </c>
      <c r="E411" s="163">
        <v>1000</v>
      </c>
      <c r="F411" s="163">
        <v>4000</v>
      </c>
      <c r="G411" s="163">
        <v>25000</v>
      </c>
      <c r="H411" s="135">
        <v>0</v>
      </c>
      <c r="I411" s="135"/>
      <c r="J411" s="135">
        <v>0</v>
      </c>
      <c r="K411" s="135"/>
      <c r="L411" s="135">
        <v>0</v>
      </c>
      <c r="M411" s="135"/>
      <c r="N411" s="135">
        <v>0</v>
      </c>
      <c r="O411" s="135">
        <v>0</v>
      </c>
      <c r="P411" s="135">
        <v>0</v>
      </c>
      <c r="Q411" s="135">
        <v>0</v>
      </c>
      <c r="R411" s="135">
        <v>0</v>
      </c>
      <c r="S411" s="135">
        <f t="shared" si="39"/>
        <v>40000</v>
      </c>
      <c r="T411" s="135"/>
      <c r="U411" s="135">
        <f t="shared" si="40"/>
        <v>40000</v>
      </c>
    </row>
    <row r="412" spans="1:21" ht="15.75" x14ac:dyDescent="0.3">
      <c r="A412" s="161">
        <f t="shared" si="41"/>
        <v>32</v>
      </c>
      <c r="B412" s="162" t="s">
        <v>107</v>
      </c>
      <c r="C412" s="135">
        <v>9000</v>
      </c>
      <c r="D412" s="135">
        <v>1000</v>
      </c>
      <c r="E412" s="135">
        <v>1000</v>
      </c>
      <c r="F412" s="135">
        <v>4000</v>
      </c>
      <c r="G412" s="135">
        <v>25000</v>
      </c>
      <c r="H412" s="135">
        <v>0</v>
      </c>
      <c r="I412" s="135">
        <v>150000</v>
      </c>
      <c r="J412" s="135">
        <v>0</v>
      </c>
      <c r="K412" s="135">
        <v>100000</v>
      </c>
      <c r="L412" s="135">
        <v>0</v>
      </c>
      <c r="M412" s="135">
        <v>110000</v>
      </c>
      <c r="N412" s="135">
        <v>0</v>
      </c>
      <c r="O412" s="135">
        <v>0</v>
      </c>
      <c r="P412" s="135">
        <v>0</v>
      </c>
      <c r="Q412" s="135">
        <v>0</v>
      </c>
      <c r="R412" s="135">
        <v>0</v>
      </c>
      <c r="S412" s="135">
        <f t="shared" si="39"/>
        <v>400000</v>
      </c>
      <c r="T412" s="135"/>
      <c r="U412" s="135">
        <f t="shared" si="40"/>
        <v>400000</v>
      </c>
    </row>
    <row r="413" spans="1:21" ht="15.75" x14ac:dyDescent="0.3">
      <c r="A413" s="161">
        <f t="shared" si="41"/>
        <v>33</v>
      </c>
      <c r="B413" s="162" t="s">
        <v>111</v>
      </c>
      <c r="C413" s="163">
        <v>9000</v>
      </c>
      <c r="D413" s="163">
        <v>1000</v>
      </c>
      <c r="E413" s="163">
        <v>1000</v>
      </c>
      <c r="F413" s="163">
        <v>4000</v>
      </c>
      <c r="G413" s="163">
        <v>25000</v>
      </c>
      <c r="H413" s="135">
        <v>0</v>
      </c>
      <c r="I413" s="135"/>
      <c r="J413" s="135">
        <v>0</v>
      </c>
      <c r="K413" s="135"/>
      <c r="L413" s="135">
        <v>0</v>
      </c>
      <c r="M413" s="135"/>
      <c r="N413" s="135">
        <v>0</v>
      </c>
      <c r="O413" s="135">
        <v>0</v>
      </c>
      <c r="P413" s="135">
        <v>0</v>
      </c>
      <c r="Q413" s="135">
        <v>0</v>
      </c>
      <c r="R413" s="135">
        <v>0</v>
      </c>
      <c r="S413" s="135">
        <f t="shared" si="39"/>
        <v>40000</v>
      </c>
      <c r="T413" s="135"/>
      <c r="U413" s="135">
        <f t="shared" si="40"/>
        <v>40000</v>
      </c>
    </row>
    <row r="414" spans="1:21" ht="15.75" x14ac:dyDescent="0.3">
      <c r="A414" s="161">
        <f t="shared" si="41"/>
        <v>34</v>
      </c>
      <c r="B414" s="162" t="s">
        <v>224</v>
      </c>
      <c r="C414" s="163">
        <v>9000</v>
      </c>
      <c r="D414" s="163">
        <v>1000</v>
      </c>
      <c r="E414" s="163">
        <v>1000</v>
      </c>
      <c r="F414" s="163">
        <v>4000</v>
      </c>
      <c r="G414" s="163">
        <v>25000</v>
      </c>
      <c r="H414" s="135">
        <v>0</v>
      </c>
      <c r="I414" s="135"/>
      <c r="J414" s="135">
        <v>0</v>
      </c>
      <c r="K414" s="135"/>
      <c r="L414" s="135">
        <v>0</v>
      </c>
      <c r="M414" s="135"/>
      <c r="N414" s="135">
        <v>0</v>
      </c>
      <c r="O414" s="135">
        <v>0</v>
      </c>
      <c r="P414" s="135">
        <v>0</v>
      </c>
      <c r="Q414" s="135">
        <v>0</v>
      </c>
      <c r="R414" s="135">
        <v>0</v>
      </c>
      <c r="S414" s="135">
        <f t="shared" si="39"/>
        <v>40000</v>
      </c>
      <c r="T414" s="135"/>
      <c r="U414" s="135">
        <f t="shared" si="40"/>
        <v>40000</v>
      </c>
    </row>
    <row r="415" spans="1:21" ht="15.75" x14ac:dyDescent="0.3">
      <c r="A415" s="161">
        <f t="shared" si="41"/>
        <v>35</v>
      </c>
      <c r="B415" s="162"/>
      <c r="C415" s="135">
        <v>0</v>
      </c>
      <c r="D415" s="135">
        <v>0</v>
      </c>
      <c r="E415" s="135">
        <v>0</v>
      </c>
      <c r="F415" s="135">
        <v>0</v>
      </c>
      <c r="G415" s="135">
        <v>0</v>
      </c>
      <c r="H415" s="135">
        <v>0</v>
      </c>
      <c r="I415" s="135">
        <v>0</v>
      </c>
      <c r="J415" s="135">
        <v>0</v>
      </c>
      <c r="K415" s="135">
        <v>0</v>
      </c>
      <c r="L415" s="135">
        <v>0</v>
      </c>
      <c r="M415" s="135">
        <v>0</v>
      </c>
      <c r="N415" s="135">
        <v>0</v>
      </c>
      <c r="O415" s="135">
        <v>0</v>
      </c>
      <c r="P415" s="135">
        <v>0</v>
      </c>
      <c r="Q415" s="135">
        <v>0</v>
      </c>
      <c r="R415" s="135">
        <v>0</v>
      </c>
      <c r="S415" s="135">
        <f t="shared" si="39"/>
        <v>0</v>
      </c>
      <c r="T415" s="135"/>
      <c r="U415" s="135">
        <f t="shared" si="40"/>
        <v>0</v>
      </c>
    </row>
    <row r="416" spans="1:21" ht="15.75" x14ac:dyDescent="0.3">
      <c r="A416" s="161">
        <f t="shared" si="41"/>
        <v>36</v>
      </c>
      <c r="B416" s="162"/>
      <c r="C416" s="135"/>
      <c r="D416" s="135"/>
      <c r="E416" s="135"/>
      <c r="F416" s="135"/>
      <c r="G416" s="135"/>
      <c r="H416" s="135">
        <v>0</v>
      </c>
      <c r="I416" s="135"/>
      <c r="J416" s="135">
        <v>0</v>
      </c>
      <c r="K416" s="135"/>
      <c r="L416" s="135">
        <v>0</v>
      </c>
      <c r="M416" s="135"/>
      <c r="N416" s="135">
        <v>0</v>
      </c>
      <c r="O416" s="135">
        <v>0</v>
      </c>
      <c r="P416" s="135">
        <v>0</v>
      </c>
      <c r="Q416" s="135">
        <v>0</v>
      </c>
      <c r="R416" s="135">
        <v>0</v>
      </c>
      <c r="S416" s="135">
        <f t="shared" si="39"/>
        <v>0</v>
      </c>
      <c r="T416" s="135"/>
      <c r="U416" s="135">
        <f t="shared" si="40"/>
        <v>0</v>
      </c>
    </row>
    <row r="417" spans="1:21" ht="15.75" x14ac:dyDescent="0.3">
      <c r="A417" s="161">
        <f t="shared" si="41"/>
        <v>37</v>
      </c>
      <c r="B417" s="162"/>
      <c r="C417" s="135">
        <v>0</v>
      </c>
      <c r="D417" s="135">
        <v>0</v>
      </c>
      <c r="E417" s="135">
        <v>0</v>
      </c>
      <c r="F417" s="135">
        <v>0</v>
      </c>
      <c r="G417" s="135">
        <v>0</v>
      </c>
      <c r="H417" s="135">
        <v>0</v>
      </c>
      <c r="I417" s="135">
        <v>0</v>
      </c>
      <c r="J417" s="135">
        <v>0</v>
      </c>
      <c r="K417" s="135">
        <v>0</v>
      </c>
      <c r="L417" s="135">
        <v>0</v>
      </c>
      <c r="M417" s="135">
        <v>0</v>
      </c>
      <c r="N417" s="135">
        <v>0</v>
      </c>
      <c r="O417" s="135">
        <v>0</v>
      </c>
      <c r="P417" s="135">
        <v>0</v>
      </c>
      <c r="Q417" s="135">
        <v>0</v>
      </c>
      <c r="R417" s="135">
        <v>0</v>
      </c>
      <c r="S417" s="135">
        <f t="shared" si="39"/>
        <v>0</v>
      </c>
      <c r="T417" s="135"/>
      <c r="U417" s="135">
        <f t="shared" si="40"/>
        <v>0</v>
      </c>
    </row>
    <row r="418" spans="1:21" ht="15.75" x14ac:dyDescent="0.3">
      <c r="A418" s="161">
        <f t="shared" si="41"/>
        <v>38</v>
      </c>
      <c r="B418" s="162"/>
      <c r="C418" s="135"/>
      <c r="D418" s="135"/>
      <c r="E418" s="135"/>
      <c r="F418" s="135"/>
      <c r="G418" s="135"/>
      <c r="H418" s="135">
        <v>0</v>
      </c>
      <c r="I418" s="135"/>
      <c r="J418" s="135">
        <v>0</v>
      </c>
      <c r="K418" s="135"/>
      <c r="L418" s="135">
        <v>0</v>
      </c>
      <c r="M418" s="135"/>
      <c r="N418" s="135">
        <v>0</v>
      </c>
      <c r="O418" s="135">
        <v>0</v>
      </c>
      <c r="P418" s="135">
        <v>0</v>
      </c>
      <c r="Q418" s="135">
        <v>0</v>
      </c>
      <c r="R418" s="135">
        <v>0</v>
      </c>
      <c r="S418" s="135">
        <f t="shared" si="39"/>
        <v>0</v>
      </c>
      <c r="T418" s="135"/>
      <c r="U418" s="135">
        <f t="shared" si="40"/>
        <v>0</v>
      </c>
    </row>
    <row r="419" spans="1:21" ht="15.75" x14ac:dyDescent="0.3">
      <c r="A419" s="161">
        <f t="shared" si="41"/>
        <v>39</v>
      </c>
      <c r="B419" s="162"/>
      <c r="C419" s="135"/>
      <c r="D419" s="135"/>
      <c r="E419" s="135"/>
      <c r="F419" s="135"/>
      <c r="G419" s="135"/>
      <c r="H419" s="135">
        <v>0</v>
      </c>
      <c r="I419" s="135"/>
      <c r="J419" s="135">
        <v>0</v>
      </c>
      <c r="K419" s="135"/>
      <c r="L419" s="135">
        <v>0</v>
      </c>
      <c r="M419" s="135"/>
      <c r="N419" s="135">
        <v>0</v>
      </c>
      <c r="O419" s="135">
        <v>0</v>
      </c>
      <c r="P419" s="135">
        <v>0</v>
      </c>
      <c r="Q419" s="135">
        <v>0</v>
      </c>
      <c r="R419" s="135">
        <v>0</v>
      </c>
      <c r="S419" s="135">
        <f t="shared" si="39"/>
        <v>0</v>
      </c>
      <c r="T419" s="135"/>
      <c r="U419" s="135">
        <f t="shared" si="40"/>
        <v>0</v>
      </c>
    </row>
    <row r="420" spans="1:21" ht="15.75" x14ac:dyDescent="0.3">
      <c r="A420" s="161">
        <f t="shared" si="41"/>
        <v>40</v>
      </c>
      <c r="B420" s="162"/>
      <c r="C420" s="135"/>
      <c r="D420" s="135"/>
      <c r="E420" s="135"/>
      <c r="F420" s="135"/>
      <c r="G420" s="135"/>
      <c r="H420" s="135">
        <v>0</v>
      </c>
      <c r="I420" s="135"/>
      <c r="J420" s="135">
        <v>0</v>
      </c>
      <c r="K420" s="135"/>
      <c r="L420" s="135">
        <v>0</v>
      </c>
      <c r="M420" s="135"/>
      <c r="N420" s="135">
        <v>0</v>
      </c>
      <c r="O420" s="135">
        <v>0</v>
      </c>
      <c r="P420" s="135">
        <v>0</v>
      </c>
      <c r="Q420" s="135">
        <v>0</v>
      </c>
      <c r="R420" s="135">
        <v>0</v>
      </c>
      <c r="S420" s="135">
        <f t="shared" si="39"/>
        <v>0</v>
      </c>
      <c r="T420" s="135"/>
      <c r="U420" s="135">
        <f t="shared" si="40"/>
        <v>0</v>
      </c>
    </row>
    <row r="421" spans="1:21" ht="15.75" x14ac:dyDescent="0.3">
      <c r="A421" s="161">
        <f t="shared" si="41"/>
        <v>41</v>
      </c>
      <c r="B421" s="162"/>
      <c r="C421" s="135"/>
      <c r="D421" s="135"/>
      <c r="E421" s="135"/>
      <c r="F421" s="135"/>
      <c r="G421" s="135"/>
      <c r="H421" s="135">
        <v>0</v>
      </c>
      <c r="I421" s="135"/>
      <c r="J421" s="135">
        <v>0</v>
      </c>
      <c r="K421" s="135"/>
      <c r="L421" s="135">
        <v>0</v>
      </c>
      <c r="M421" s="135"/>
      <c r="N421" s="135">
        <v>0</v>
      </c>
      <c r="O421" s="135">
        <v>0</v>
      </c>
      <c r="P421" s="135">
        <v>0</v>
      </c>
      <c r="Q421" s="135">
        <v>0</v>
      </c>
      <c r="R421" s="135">
        <v>0</v>
      </c>
      <c r="S421" s="135">
        <f t="shared" si="39"/>
        <v>0</v>
      </c>
      <c r="T421" s="135"/>
      <c r="U421" s="135">
        <f t="shared" si="40"/>
        <v>0</v>
      </c>
    </row>
    <row r="422" spans="1:21" x14ac:dyDescent="0.25">
      <c r="A422" s="177"/>
      <c r="B422" s="177"/>
      <c r="C422" s="178">
        <f>SUM(C380:C421)</f>
        <v>774500</v>
      </c>
      <c r="D422" s="178">
        <f t="shared" ref="D422:H422" si="42">SUM(D380:D421)</f>
        <v>29000</v>
      </c>
      <c r="E422" s="178">
        <f t="shared" si="42"/>
        <v>29000</v>
      </c>
      <c r="F422" s="178">
        <f t="shared" si="42"/>
        <v>116000</v>
      </c>
      <c r="G422" s="178">
        <f t="shared" si="42"/>
        <v>725000</v>
      </c>
      <c r="H422" s="178">
        <f t="shared" si="42"/>
        <v>184500</v>
      </c>
      <c r="I422" s="178">
        <f>SUM(I381:I421)</f>
        <v>1200000</v>
      </c>
      <c r="J422" s="178">
        <f t="shared" ref="J422:U422" si="43">SUM(J380:J421)</f>
        <v>467000</v>
      </c>
      <c r="K422" s="178">
        <f t="shared" si="43"/>
        <v>1400000</v>
      </c>
      <c r="L422" s="178">
        <f t="shared" si="43"/>
        <v>404000</v>
      </c>
      <c r="M422" s="178">
        <f t="shared" si="43"/>
        <v>210000</v>
      </c>
      <c r="N422" s="178">
        <f t="shared" si="43"/>
        <v>0</v>
      </c>
      <c r="O422" s="178">
        <f t="shared" si="43"/>
        <v>3000</v>
      </c>
      <c r="P422" s="178">
        <f t="shared" si="43"/>
        <v>0</v>
      </c>
      <c r="Q422" s="178">
        <f t="shared" si="43"/>
        <v>0</v>
      </c>
      <c r="R422" s="178">
        <f t="shared" si="43"/>
        <v>0</v>
      </c>
      <c r="S422" s="178">
        <f t="shared" si="43"/>
        <v>5542000</v>
      </c>
      <c r="T422" s="178">
        <f t="shared" si="43"/>
        <v>334000</v>
      </c>
      <c r="U422" s="178">
        <f t="shared" si="43"/>
        <v>5208000</v>
      </c>
    </row>
    <row r="423" spans="1:21" ht="21" x14ac:dyDescent="0.35">
      <c r="A423" s="16"/>
      <c r="B423" s="214" t="s">
        <v>195</v>
      </c>
      <c r="C423" s="214"/>
      <c r="D423" s="214"/>
      <c r="E423" s="214"/>
      <c r="F423" s="214"/>
      <c r="G423" s="214"/>
      <c r="H423" s="214"/>
      <c r="I423" s="214"/>
      <c r="J423" s="134"/>
      <c r="K423" s="134"/>
      <c r="L423" s="134"/>
      <c r="M423" s="134"/>
      <c r="N423" s="134"/>
      <c r="O423" s="134"/>
      <c r="P423" s="134"/>
      <c r="Q423" s="134"/>
      <c r="R423" s="134"/>
      <c r="S423" s="134"/>
      <c r="T423" s="134"/>
      <c r="U423" s="134"/>
    </row>
    <row r="424" spans="1:21" x14ac:dyDescent="0.25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</row>
    <row r="425" spans="1:21" s="128" customFormat="1" x14ac:dyDescent="0.25">
      <c r="A425" s="199"/>
      <c r="B425" s="199"/>
      <c r="C425" s="221" t="s">
        <v>75</v>
      </c>
      <c r="D425" s="221" t="s">
        <v>168</v>
      </c>
      <c r="E425" s="221" t="s">
        <v>169</v>
      </c>
      <c r="F425" s="221" t="s">
        <v>170</v>
      </c>
      <c r="G425" s="223" t="s">
        <v>171</v>
      </c>
      <c r="H425" s="224"/>
      <c r="I425" s="223" t="s">
        <v>200</v>
      </c>
      <c r="J425" s="224"/>
      <c r="K425" s="223" t="s">
        <v>201</v>
      </c>
      <c r="L425" s="224"/>
      <c r="M425" s="221" t="s">
        <v>174</v>
      </c>
      <c r="N425" s="221" t="s">
        <v>175</v>
      </c>
      <c r="O425" s="221" t="s">
        <v>176</v>
      </c>
      <c r="P425" s="221" t="s">
        <v>177</v>
      </c>
      <c r="Q425" s="221" t="s">
        <v>178</v>
      </c>
      <c r="R425" s="221"/>
      <c r="S425" s="223" t="s">
        <v>179</v>
      </c>
      <c r="T425" s="225"/>
      <c r="U425" s="224"/>
    </row>
    <row r="426" spans="1:21" s="128" customFormat="1" x14ac:dyDescent="0.25">
      <c r="A426" s="199"/>
      <c r="B426" s="199"/>
      <c r="C426" s="222"/>
      <c r="D426" s="222"/>
      <c r="E426" s="222"/>
      <c r="F426" s="222"/>
      <c r="G426" s="199" t="s">
        <v>180</v>
      </c>
      <c r="H426" s="199" t="s">
        <v>181</v>
      </c>
      <c r="I426" s="199" t="s">
        <v>180</v>
      </c>
      <c r="J426" s="199" t="s">
        <v>181</v>
      </c>
      <c r="K426" s="199" t="s">
        <v>180</v>
      </c>
      <c r="L426" s="199" t="s">
        <v>181</v>
      </c>
      <c r="M426" s="222"/>
      <c r="N426" s="222"/>
      <c r="O426" s="222"/>
      <c r="P426" s="222"/>
      <c r="Q426" s="222"/>
      <c r="R426" s="222"/>
      <c r="S426" s="199" t="s">
        <v>74</v>
      </c>
      <c r="T426" s="199" t="s">
        <v>182</v>
      </c>
      <c r="U426" s="199" t="s">
        <v>183</v>
      </c>
    </row>
    <row r="427" spans="1:21" ht="15.75" x14ac:dyDescent="0.3">
      <c r="A427" s="199">
        <v>0</v>
      </c>
      <c r="B427" s="200" t="s">
        <v>88</v>
      </c>
      <c r="C427" s="135">
        <v>0</v>
      </c>
      <c r="D427" s="135">
        <v>0</v>
      </c>
      <c r="E427" s="135">
        <v>0</v>
      </c>
      <c r="F427" s="135">
        <v>0</v>
      </c>
      <c r="G427" s="135">
        <v>0</v>
      </c>
      <c r="H427" s="135">
        <v>0</v>
      </c>
      <c r="I427" s="135">
        <v>0</v>
      </c>
      <c r="J427" s="135">
        <v>0</v>
      </c>
      <c r="K427" s="135">
        <v>100000</v>
      </c>
      <c r="L427" s="135">
        <v>0</v>
      </c>
      <c r="M427" s="135">
        <v>0</v>
      </c>
      <c r="N427" s="135">
        <v>0</v>
      </c>
      <c r="O427" s="135">
        <v>0</v>
      </c>
      <c r="P427" s="135">
        <v>0</v>
      </c>
      <c r="Q427" s="135">
        <v>0</v>
      </c>
      <c r="R427" s="135">
        <v>0</v>
      </c>
      <c r="S427" s="201">
        <f>+R427+Q427+P427+O427+N427+M427+L427+K427+J427+I427+H427+G427+F427+E427+D427+C427</f>
        <v>100000</v>
      </c>
      <c r="T427" s="201"/>
      <c r="U427" s="201">
        <f>+S427-T427</f>
        <v>100000</v>
      </c>
    </row>
    <row r="428" spans="1:21" ht="15.75" x14ac:dyDescent="0.3">
      <c r="A428" s="199">
        <f>+A427+1</f>
        <v>1</v>
      </c>
      <c r="B428" s="168" t="s">
        <v>39</v>
      </c>
      <c r="C428" s="135">
        <v>9000</v>
      </c>
      <c r="D428" s="135">
        <v>1000</v>
      </c>
      <c r="E428" s="135">
        <v>1000</v>
      </c>
      <c r="F428" s="135">
        <v>4000</v>
      </c>
      <c r="G428" s="135">
        <v>25000</v>
      </c>
      <c r="H428" s="135">
        <v>0</v>
      </c>
      <c r="I428" s="135">
        <v>75000</v>
      </c>
      <c r="J428" s="135">
        <v>0</v>
      </c>
      <c r="K428" s="135"/>
      <c r="L428" s="135">
        <v>0</v>
      </c>
      <c r="M428" s="135">
        <v>0</v>
      </c>
      <c r="N428" s="135">
        <v>0</v>
      </c>
      <c r="O428" s="135">
        <v>0</v>
      </c>
      <c r="P428" s="135">
        <v>0</v>
      </c>
      <c r="Q428" s="135">
        <v>70000</v>
      </c>
      <c r="R428" s="135">
        <v>0</v>
      </c>
      <c r="S428" s="201">
        <f t="shared" ref="S428:S468" si="44">+R428+Q428+P428+O428+N428+M428+L428+K428+J428+I428+H428+G428+F428+E428+D428+C428</f>
        <v>185000</v>
      </c>
      <c r="T428" s="201">
        <v>115000</v>
      </c>
      <c r="U428" s="201">
        <f t="shared" ref="U428:U468" si="45">+S428-T428</f>
        <v>70000</v>
      </c>
    </row>
    <row r="429" spans="1:21" ht="15.75" x14ac:dyDescent="0.3">
      <c r="A429" s="199">
        <f t="shared" ref="A429:A468" si="46">+A428+1</f>
        <v>2</v>
      </c>
      <c r="B429" s="168" t="s">
        <v>43</v>
      </c>
      <c r="C429" s="135">
        <v>9000</v>
      </c>
      <c r="D429" s="135">
        <v>1000</v>
      </c>
      <c r="E429" s="135">
        <v>1000</v>
      </c>
      <c r="F429" s="135">
        <v>4000</v>
      </c>
      <c r="G429" s="135">
        <v>25000</v>
      </c>
      <c r="H429" s="135">
        <v>0</v>
      </c>
      <c r="I429" s="135"/>
      <c r="J429" s="135">
        <v>0</v>
      </c>
      <c r="K429" s="135">
        <v>100000</v>
      </c>
      <c r="L429" s="135">
        <v>202000</v>
      </c>
      <c r="M429" s="135"/>
      <c r="N429" s="135">
        <v>0</v>
      </c>
      <c r="O429" s="135">
        <v>0</v>
      </c>
      <c r="P429" s="135">
        <v>0</v>
      </c>
      <c r="Q429" s="135">
        <v>0</v>
      </c>
      <c r="R429" s="135">
        <v>0</v>
      </c>
      <c r="S429" s="201">
        <f t="shared" si="44"/>
        <v>342000</v>
      </c>
      <c r="T429" s="201"/>
      <c r="U429" s="201">
        <f t="shared" si="45"/>
        <v>342000</v>
      </c>
    </row>
    <row r="430" spans="1:21" ht="15.75" x14ac:dyDescent="0.3">
      <c r="A430" s="199">
        <f t="shared" si="46"/>
        <v>3</v>
      </c>
      <c r="B430" s="168" t="s">
        <v>89</v>
      </c>
      <c r="C430" s="135">
        <v>9000</v>
      </c>
      <c r="D430" s="135">
        <v>1000</v>
      </c>
      <c r="E430" s="135">
        <v>1000</v>
      </c>
      <c r="F430" s="135">
        <v>4000</v>
      </c>
      <c r="G430" s="135">
        <v>25000</v>
      </c>
      <c r="H430" s="135">
        <v>0</v>
      </c>
      <c r="I430" s="135"/>
      <c r="J430" s="135">
        <v>0</v>
      </c>
      <c r="K430" s="135"/>
      <c r="L430" s="135">
        <v>0</v>
      </c>
      <c r="M430" s="135"/>
      <c r="N430" s="135">
        <v>0</v>
      </c>
      <c r="O430" s="135">
        <v>0</v>
      </c>
      <c r="P430" s="135">
        <v>0</v>
      </c>
      <c r="Q430" s="135">
        <v>0</v>
      </c>
      <c r="R430" s="135">
        <v>0</v>
      </c>
      <c r="S430" s="201">
        <f t="shared" si="44"/>
        <v>40000</v>
      </c>
      <c r="T430" s="201"/>
      <c r="U430" s="201">
        <f t="shared" si="45"/>
        <v>40000</v>
      </c>
    </row>
    <row r="431" spans="1:21" ht="15.75" x14ac:dyDescent="0.3">
      <c r="A431" s="199">
        <f t="shared" si="46"/>
        <v>4</v>
      </c>
      <c r="B431" s="168" t="s">
        <v>90</v>
      </c>
      <c r="C431" s="135">
        <v>9000</v>
      </c>
      <c r="D431" s="135">
        <v>1000</v>
      </c>
      <c r="E431" s="135">
        <v>1000</v>
      </c>
      <c r="F431" s="135">
        <v>4000</v>
      </c>
      <c r="G431" s="135">
        <v>25000</v>
      </c>
      <c r="H431" s="135">
        <v>0</v>
      </c>
      <c r="I431" s="135">
        <v>75000</v>
      </c>
      <c r="J431" s="135">
        <v>76000</v>
      </c>
      <c r="K431" s="135"/>
      <c r="L431" s="135">
        <v>0</v>
      </c>
      <c r="M431" s="135"/>
      <c r="N431" s="135">
        <v>0</v>
      </c>
      <c r="O431" s="135">
        <v>0</v>
      </c>
      <c r="P431" s="135">
        <v>0</v>
      </c>
      <c r="Q431" s="135">
        <v>0</v>
      </c>
      <c r="R431" s="135">
        <v>0</v>
      </c>
      <c r="S431" s="201">
        <f t="shared" si="44"/>
        <v>191000</v>
      </c>
      <c r="T431" s="201">
        <v>59000</v>
      </c>
      <c r="U431" s="201">
        <f t="shared" si="45"/>
        <v>132000</v>
      </c>
    </row>
    <row r="432" spans="1:21" ht="15.75" x14ac:dyDescent="0.3">
      <c r="A432" s="199">
        <f t="shared" si="46"/>
        <v>5</v>
      </c>
      <c r="B432" s="168" t="s">
        <v>91</v>
      </c>
      <c r="C432" s="135">
        <v>14000</v>
      </c>
      <c r="D432" s="135">
        <v>1000</v>
      </c>
      <c r="E432" s="135">
        <v>1000</v>
      </c>
      <c r="F432" s="135">
        <v>4000</v>
      </c>
      <c r="G432" s="135">
        <v>25000</v>
      </c>
      <c r="H432" s="135">
        <v>0</v>
      </c>
      <c r="I432" s="135">
        <v>75000</v>
      </c>
      <c r="J432" s="135">
        <v>0</v>
      </c>
      <c r="K432" s="135">
        <v>200000</v>
      </c>
      <c r="L432" s="135">
        <v>202000</v>
      </c>
      <c r="M432" s="135">
        <v>0</v>
      </c>
      <c r="N432" s="135">
        <v>0</v>
      </c>
      <c r="O432" s="135">
        <v>0</v>
      </c>
      <c r="P432" s="135">
        <v>0</v>
      </c>
      <c r="Q432" s="135">
        <v>0</v>
      </c>
      <c r="R432" s="135">
        <v>0</v>
      </c>
      <c r="S432" s="201">
        <f t="shared" si="44"/>
        <v>522000</v>
      </c>
      <c r="T432" s="201"/>
      <c r="U432" s="201">
        <f t="shared" si="45"/>
        <v>522000</v>
      </c>
    </row>
    <row r="433" spans="1:21" ht="15.75" x14ac:dyDescent="0.3">
      <c r="A433" s="199">
        <f t="shared" si="46"/>
        <v>6</v>
      </c>
      <c r="B433" s="168" t="s">
        <v>92</v>
      </c>
      <c r="C433" s="135">
        <v>9000</v>
      </c>
      <c r="D433" s="135">
        <v>1000</v>
      </c>
      <c r="E433" s="135">
        <v>1000</v>
      </c>
      <c r="F433" s="135">
        <v>4000</v>
      </c>
      <c r="G433" s="135">
        <v>25000</v>
      </c>
      <c r="H433" s="135">
        <v>0</v>
      </c>
      <c r="I433" s="135"/>
      <c r="J433" s="135">
        <v>0</v>
      </c>
      <c r="K433" s="135"/>
      <c r="L433" s="135">
        <v>0</v>
      </c>
      <c r="M433" s="135"/>
      <c r="N433" s="135">
        <v>0</v>
      </c>
      <c r="O433" s="135">
        <v>0</v>
      </c>
      <c r="P433" s="135">
        <v>0</v>
      </c>
      <c r="Q433" s="135">
        <v>0</v>
      </c>
      <c r="R433" s="135">
        <v>0</v>
      </c>
      <c r="S433" s="201">
        <f t="shared" si="44"/>
        <v>40000</v>
      </c>
      <c r="T433" s="201"/>
      <c r="U433" s="201">
        <f t="shared" si="45"/>
        <v>40000</v>
      </c>
    </row>
    <row r="434" spans="1:21" ht="15.75" x14ac:dyDescent="0.3">
      <c r="A434" s="199">
        <f t="shared" si="46"/>
        <v>7</v>
      </c>
      <c r="B434" s="168" t="s">
        <v>93</v>
      </c>
      <c r="C434" s="135">
        <v>9000</v>
      </c>
      <c r="D434" s="135">
        <v>1000</v>
      </c>
      <c r="E434" s="135">
        <v>1000</v>
      </c>
      <c r="F434" s="135">
        <v>4000</v>
      </c>
      <c r="G434" s="135">
        <v>25000</v>
      </c>
      <c r="H434" s="135">
        <v>0</v>
      </c>
      <c r="I434" s="135">
        <v>0</v>
      </c>
      <c r="J434" s="135">
        <v>0</v>
      </c>
      <c r="K434" s="135">
        <v>0</v>
      </c>
      <c r="L434" s="135">
        <v>0</v>
      </c>
      <c r="M434" s="135">
        <v>0</v>
      </c>
      <c r="N434" s="135">
        <v>0</v>
      </c>
      <c r="O434" s="135">
        <v>0</v>
      </c>
      <c r="P434" s="135">
        <v>0</v>
      </c>
      <c r="Q434" s="135">
        <v>0</v>
      </c>
      <c r="R434" s="135">
        <v>0</v>
      </c>
      <c r="S434" s="201">
        <f t="shared" si="44"/>
        <v>40000</v>
      </c>
      <c r="T434" s="201"/>
      <c r="U434" s="201">
        <f t="shared" si="45"/>
        <v>40000</v>
      </c>
    </row>
    <row r="435" spans="1:21" ht="15.75" x14ac:dyDescent="0.3">
      <c r="A435" s="199">
        <f t="shared" si="46"/>
        <v>8</v>
      </c>
      <c r="B435" s="200" t="s">
        <v>114</v>
      </c>
      <c r="C435" s="135">
        <v>0</v>
      </c>
      <c r="D435" s="135">
        <v>0</v>
      </c>
      <c r="E435" s="135">
        <v>0</v>
      </c>
      <c r="F435" s="135">
        <v>0</v>
      </c>
      <c r="G435" s="135">
        <v>0</v>
      </c>
      <c r="H435" s="135">
        <v>0</v>
      </c>
      <c r="I435" s="135">
        <v>0</v>
      </c>
      <c r="J435" s="135">
        <v>0</v>
      </c>
      <c r="K435" s="135">
        <v>0</v>
      </c>
      <c r="L435" s="135">
        <v>0</v>
      </c>
      <c r="M435" s="135">
        <v>0</v>
      </c>
      <c r="N435" s="135">
        <v>0</v>
      </c>
      <c r="O435" s="135">
        <v>0</v>
      </c>
      <c r="P435" s="135">
        <v>0</v>
      </c>
      <c r="Q435" s="135">
        <v>0</v>
      </c>
      <c r="R435" s="135">
        <v>0</v>
      </c>
      <c r="S435" s="201">
        <f t="shared" si="44"/>
        <v>0</v>
      </c>
      <c r="T435" s="201"/>
      <c r="U435" s="201">
        <f t="shared" si="45"/>
        <v>0</v>
      </c>
    </row>
    <row r="436" spans="1:21" ht="15.75" x14ac:dyDescent="0.3">
      <c r="A436" s="199">
        <f t="shared" si="46"/>
        <v>9</v>
      </c>
      <c r="B436" s="168" t="s">
        <v>42</v>
      </c>
      <c r="C436" s="135">
        <v>9000</v>
      </c>
      <c r="D436" s="135">
        <v>1000</v>
      </c>
      <c r="E436" s="135">
        <v>1000</v>
      </c>
      <c r="F436" s="135">
        <v>4000</v>
      </c>
      <c r="G436" s="135">
        <v>25000</v>
      </c>
      <c r="H436" s="135">
        <v>0</v>
      </c>
      <c r="I436" s="135">
        <v>75000</v>
      </c>
      <c r="J436" s="135">
        <v>0</v>
      </c>
      <c r="K436" s="135"/>
      <c r="L436" s="135">
        <v>0</v>
      </c>
      <c r="M436" s="135"/>
      <c r="N436" s="135">
        <v>0</v>
      </c>
      <c r="O436" s="135">
        <v>0</v>
      </c>
      <c r="P436" s="135">
        <v>0</v>
      </c>
      <c r="Q436" s="135">
        <v>0</v>
      </c>
      <c r="R436" s="135">
        <v>0</v>
      </c>
      <c r="S436" s="201">
        <f t="shared" si="44"/>
        <v>115000</v>
      </c>
      <c r="T436" s="201"/>
      <c r="U436" s="201">
        <f t="shared" si="45"/>
        <v>115000</v>
      </c>
    </row>
    <row r="437" spans="1:21" ht="15.75" x14ac:dyDescent="0.3">
      <c r="A437" s="199">
        <f t="shared" si="46"/>
        <v>10</v>
      </c>
      <c r="B437" s="168" t="s">
        <v>37</v>
      </c>
      <c r="C437" s="135">
        <v>44000</v>
      </c>
      <c r="D437" s="135">
        <v>1000</v>
      </c>
      <c r="E437" s="135">
        <v>1000</v>
      </c>
      <c r="F437" s="135">
        <v>4000</v>
      </c>
      <c r="G437" s="135">
        <v>25000</v>
      </c>
      <c r="H437" s="135">
        <v>0</v>
      </c>
      <c r="I437" s="135">
        <v>75000</v>
      </c>
      <c r="J437" s="135">
        <v>0</v>
      </c>
      <c r="K437" s="135">
        <v>100000</v>
      </c>
      <c r="L437" s="135">
        <v>202000</v>
      </c>
      <c r="M437" s="135"/>
      <c r="N437" s="135">
        <v>0</v>
      </c>
      <c r="O437" s="135">
        <v>0</v>
      </c>
      <c r="P437" s="135">
        <v>0</v>
      </c>
      <c r="Q437" s="135">
        <v>0</v>
      </c>
      <c r="R437" s="135">
        <v>0</v>
      </c>
      <c r="S437" s="201">
        <f t="shared" si="44"/>
        <v>452000</v>
      </c>
      <c r="T437" s="201"/>
      <c r="U437" s="201">
        <f t="shared" si="45"/>
        <v>452000</v>
      </c>
    </row>
    <row r="438" spans="1:21" ht="15.75" x14ac:dyDescent="0.3">
      <c r="A438" s="199">
        <f t="shared" si="46"/>
        <v>11</v>
      </c>
      <c r="B438" s="168" t="s">
        <v>94</v>
      </c>
      <c r="C438" s="135">
        <v>9000</v>
      </c>
      <c r="D438" s="135">
        <v>1000</v>
      </c>
      <c r="E438" s="135">
        <v>1000</v>
      </c>
      <c r="F438" s="135">
        <v>4000</v>
      </c>
      <c r="G438" s="135">
        <v>25000</v>
      </c>
      <c r="H438" s="135">
        <v>0</v>
      </c>
      <c r="I438" s="135"/>
      <c r="J438" s="135">
        <v>0</v>
      </c>
      <c r="K438" s="135">
        <v>100000</v>
      </c>
      <c r="L438" s="135">
        <v>0</v>
      </c>
      <c r="M438" s="135"/>
      <c r="N438" s="135">
        <v>0</v>
      </c>
      <c r="O438" s="135">
        <v>0</v>
      </c>
      <c r="P438" s="135">
        <v>0</v>
      </c>
      <c r="Q438" s="135">
        <v>0</v>
      </c>
      <c r="R438" s="135">
        <v>0</v>
      </c>
      <c r="S438" s="201">
        <f t="shared" si="44"/>
        <v>140000</v>
      </c>
      <c r="T438" s="201"/>
      <c r="U438" s="201">
        <f t="shared" si="45"/>
        <v>140000</v>
      </c>
    </row>
    <row r="439" spans="1:21" ht="15.75" x14ac:dyDescent="0.3">
      <c r="A439" s="199">
        <f t="shared" si="46"/>
        <v>12</v>
      </c>
      <c r="B439" s="168" t="s">
        <v>95</v>
      </c>
      <c r="C439" s="135">
        <v>9000</v>
      </c>
      <c r="D439" s="135">
        <v>1000</v>
      </c>
      <c r="E439" s="135">
        <v>1000</v>
      </c>
      <c r="F439" s="135">
        <v>4000</v>
      </c>
      <c r="G439" s="135">
        <v>25000</v>
      </c>
      <c r="H439" s="135">
        <v>0</v>
      </c>
      <c r="I439" s="135">
        <v>75000</v>
      </c>
      <c r="J439" s="135">
        <v>152000</v>
      </c>
      <c r="K439" s="135">
        <v>100000</v>
      </c>
      <c r="L439" s="135">
        <v>101000</v>
      </c>
      <c r="M439" s="135">
        <v>150000</v>
      </c>
      <c r="N439" s="135">
        <v>0</v>
      </c>
      <c r="O439" s="135">
        <v>0</v>
      </c>
      <c r="P439" s="135">
        <v>0</v>
      </c>
      <c r="Q439" s="135">
        <v>0</v>
      </c>
      <c r="R439" s="135">
        <v>0</v>
      </c>
      <c r="S439" s="201">
        <f t="shared" si="44"/>
        <v>618000</v>
      </c>
      <c r="T439" s="201">
        <v>10000</v>
      </c>
      <c r="U439" s="201">
        <f t="shared" si="45"/>
        <v>608000</v>
      </c>
    </row>
    <row r="440" spans="1:21" ht="15.75" x14ac:dyDescent="0.3">
      <c r="A440" s="199">
        <f t="shared" si="46"/>
        <v>13</v>
      </c>
      <c r="B440" s="168" t="s">
        <v>96</v>
      </c>
      <c r="C440" s="135">
        <v>9000</v>
      </c>
      <c r="D440" s="135">
        <v>1000</v>
      </c>
      <c r="E440" s="135">
        <v>1000</v>
      </c>
      <c r="F440" s="135">
        <v>4000</v>
      </c>
      <c r="G440" s="135">
        <v>25000</v>
      </c>
      <c r="H440" s="135">
        <v>0</v>
      </c>
      <c r="I440" s="135"/>
      <c r="J440" s="135">
        <v>0</v>
      </c>
      <c r="K440" s="135"/>
      <c r="L440" s="135">
        <v>0</v>
      </c>
      <c r="M440" s="135">
        <v>0</v>
      </c>
      <c r="N440" s="135">
        <v>0</v>
      </c>
      <c r="O440" s="135">
        <v>0</v>
      </c>
      <c r="P440" s="135">
        <v>0</v>
      </c>
      <c r="Q440" s="135">
        <v>0</v>
      </c>
      <c r="R440" s="135">
        <v>0</v>
      </c>
      <c r="S440" s="201">
        <f t="shared" si="44"/>
        <v>40000</v>
      </c>
      <c r="T440" s="201"/>
      <c r="U440" s="201">
        <f t="shared" si="45"/>
        <v>40000</v>
      </c>
    </row>
    <row r="441" spans="1:21" ht="15.75" x14ac:dyDescent="0.3">
      <c r="A441" s="199">
        <f t="shared" si="46"/>
        <v>14</v>
      </c>
      <c r="B441" s="168" t="s">
        <v>97</v>
      </c>
      <c r="C441" s="135">
        <v>9000</v>
      </c>
      <c r="D441" s="135">
        <v>1000</v>
      </c>
      <c r="E441" s="135">
        <v>1000</v>
      </c>
      <c r="F441" s="135">
        <v>4000</v>
      </c>
      <c r="G441" s="135">
        <v>25000</v>
      </c>
      <c r="H441" s="135">
        <v>0</v>
      </c>
      <c r="I441" s="135">
        <v>75000</v>
      </c>
      <c r="J441" s="135">
        <v>152000</v>
      </c>
      <c r="K441" s="135">
        <v>100000</v>
      </c>
      <c r="L441" s="135">
        <v>202000</v>
      </c>
      <c r="M441" s="135"/>
      <c r="N441" s="135">
        <v>0</v>
      </c>
      <c r="O441" s="135">
        <v>0</v>
      </c>
      <c r="P441" s="135">
        <v>0</v>
      </c>
      <c r="Q441" s="135">
        <v>0</v>
      </c>
      <c r="R441" s="135">
        <v>0</v>
      </c>
      <c r="S441" s="201">
        <f t="shared" si="44"/>
        <v>569000</v>
      </c>
      <c r="T441" s="201"/>
      <c r="U441" s="201">
        <f t="shared" si="45"/>
        <v>569000</v>
      </c>
    </row>
    <row r="442" spans="1:21" ht="15.75" x14ac:dyDescent="0.3">
      <c r="A442" s="199">
        <f t="shared" si="46"/>
        <v>15</v>
      </c>
      <c r="B442" s="168" t="s">
        <v>98</v>
      </c>
      <c r="C442" s="135">
        <v>9000</v>
      </c>
      <c r="D442" s="135">
        <v>1000</v>
      </c>
      <c r="E442" s="135">
        <v>1000</v>
      </c>
      <c r="F442" s="135">
        <v>4000</v>
      </c>
      <c r="G442" s="135">
        <v>25000</v>
      </c>
      <c r="H442" s="135">
        <v>0</v>
      </c>
      <c r="I442" s="135"/>
      <c r="J442" s="135">
        <v>0</v>
      </c>
      <c r="K442" s="135"/>
      <c r="L442" s="135">
        <v>0</v>
      </c>
      <c r="M442" s="135"/>
      <c r="N442" s="135">
        <v>0</v>
      </c>
      <c r="O442" s="135">
        <v>0</v>
      </c>
      <c r="P442" s="135">
        <v>0</v>
      </c>
      <c r="Q442" s="135">
        <v>0</v>
      </c>
      <c r="R442" s="135">
        <v>0</v>
      </c>
      <c r="S442" s="201">
        <f t="shared" si="44"/>
        <v>40000</v>
      </c>
      <c r="T442" s="201"/>
      <c r="U442" s="201">
        <f t="shared" si="45"/>
        <v>40000</v>
      </c>
    </row>
    <row r="443" spans="1:21" ht="15.75" x14ac:dyDescent="0.3">
      <c r="A443" s="199">
        <f t="shared" si="46"/>
        <v>16</v>
      </c>
      <c r="B443" s="168" t="s">
        <v>99</v>
      </c>
      <c r="C443" s="135">
        <v>9000</v>
      </c>
      <c r="D443" s="135">
        <v>1000</v>
      </c>
      <c r="E443" s="135">
        <v>1000</v>
      </c>
      <c r="F443" s="135">
        <v>4000</v>
      </c>
      <c r="G443" s="135">
        <v>25000</v>
      </c>
      <c r="H443" s="135">
        <v>0</v>
      </c>
      <c r="I443" s="135">
        <v>75000</v>
      </c>
      <c r="J443" s="135">
        <v>0</v>
      </c>
      <c r="K443" s="135"/>
      <c r="L443" s="135">
        <v>0</v>
      </c>
      <c r="M443" s="135"/>
      <c r="N443" s="135">
        <v>0</v>
      </c>
      <c r="O443" s="135">
        <v>0</v>
      </c>
      <c r="P443" s="135">
        <v>0</v>
      </c>
      <c r="Q443" s="135">
        <v>0</v>
      </c>
      <c r="R443" s="135">
        <v>0</v>
      </c>
      <c r="S443" s="201">
        <f t="shared" si="44"/>
        <v>115000</v>
      </c>
      <c r="T443" s="201"/>
      <c r="U443" s="201">
        <f t="shared" si="45"/>
        <v>115000</v>
      </c>
    </row>
    <row r="444" spans="1:21" ht="15.75" x14ac:dyDescent="0.3">
      <c r="A444" s="199">
        <f t="shared" si="46"/>
        <v>17</v>
      </c>
      <c r="B444" s="168" t="s">
        <v>100</v>
      </c>
      <c r="C444" s="135">
        <v>19000</v>
      </c>
      <c r="D444" s="135">
        <v>1000</v>
      </c>
      <c r="E444" s="135">
        <v>1000</v>
      </c>
      <c r="F444" s="135">
        <v>4000</v>
      </c>
      <c r="G444" s="135">
        <v>25000</v>
      </c>
      <c r="H444" s="135">
        <v>0</v>
      </c>
      <c r="I444" s="135"/>
      <c r="J444" s="135">
        <v>0</v>
      </c>
      <c r="K444" s="135">
        <v>200000</v>
      </c>
      <c r="L444" s="135">
        <v>0</v>
      </c>
      <c r="M444" s="135">
        <v>0</v>
      </c>
      <c r="N444" s="135">
        <v>0</v>
      </c>
      <c r="O444" s="135">
        <v>0</v>
      </c>
      <c r="P444" s="135">
        <v>0</v>
      </c>
      <c r="Q444" s="135">
        <v>0</v>
      </c>
      <c r="R444" s="135">
        <v>0</v>
      </c>
      <c r="S444" s="201">
        <f t="shared" si="44"/>
        <v>250000</v>
      </c>
      <c r="T444" s="201"/>
      <c r="U444" s="201">
        <f t="shared" si="45"/>
        <v>250000</v>
      </c>
    </row>
    <row r="445" spans="1:21" ht="15.75" x14ac:dyDescent="0.3">
      <c r="A445" s="199">
        <f t="shared" si="46"/>
        <v>18</v>
      </c>
      <c r="B445" s="168" t="s">
        <v>38</v>
      </c>
      <c r="C445" s="135">
        <v>9000</v>
      </c>
      <c r="D445" s="135">
        <v>1000</v>
      </c>
      <c r="E445" s="135">
        <v>1000</v>
      </c>
      <c r="F445" s="135">
        <v>4000</v>
      </c>
      <c r="G445" s="135">
        <v>25000</v>
      </c>
      <c r="H445" s="135">
        <v>0</v>
      </c>
      <c r="I445" s="135">
        <v>75000</v>
      </c>
      <c r="J445" s="135">
        <v>0</v>
      </c>
      <c r="K445" s="135">
        <v>100000</v>
      </c>
      <c r="L445" s="135">
        <v>202000</v>
      </c>
      <c r="M445" s="135"/>
      <c r="N445" s="135">
        <v>0</v>
      </c>
      <c r="O445" s="135">
        <v>0</v>
      </c>
      <c r="P445" s="135">
        <v>0</v>
      </c>
      <c r="Q445" s="135">
        <v>0</v>
      </c>
      <c r="R445" s="135">
        <v>0</v>
      </c>
      <c r="S445" s="201">
        <f t="shared" si="44"/>
        <v>417000</v>
      </c>
      <c r="T445" s="201">
        <v>17000</v>
      </c>
      <c r="U445" s="201">
        <f t="shared" si="45"/>
        <v>400000</v>
      </c>
    </row>
    <row r="446" spans="1:21" ht="15.75" x14ac:dyDescent="0.3">
      <c r="A446" s="199">
        <f t="shared" si="46"/>
        <v>19</v>
      </c>
      <c r="B446" s="168" t="s">
        <v>101</v>
      </c>
      <c r="C446" s="135">
        <v>17000</v>
      </c>
      <c r="D446" s="135">
        <v>1000</v>
      </c>
      <c r="E446" s="135">
        <v>1000</v>
      </c>
      <c r="F446" s="135">
        <v>4000</v>
      </c>
      <c r="G446" s="135">
        <v>25000</v>
      </c>
      <c r="H446" s="135">
        <v>0</v>
      </c>
      <c r="I446" s="135">
        <v>150000</v>
      </c>
      <c r="J446" s="135">
        <v>0</v>
      </c>
      <c r="K446" s="135">
        <v>100000</v>
      </c>
      <c r="L446" s="135">
        <v>202000</v>
      </c>
      <c r="M446" s="135"/>
      <c r="N446" s="135">
        <v>0</v>
      </c>
      <c r="O446" s="135">
        <v>0</v>
      </c>
      <c r="P446" s="135">
        <v>0</v>
      </c>
      <c r="Q446" s="135">
        <v>0</v>
      </c>
      <c r="R446" s="135">
        <v>0</v>
      </c>
      <c r="S446" s="201">
        <f t="shared" si="44"/>
        <v>500000</v>
      </c>
      <c r="T446" s="201"/>
      <c r="U446" s="201">
        <f t="shared" si="45"/>
        <v>500000</v>
      </c>
    </row>
    <row r="447" spans="1:21" ht="15.75" x14ac:dyDescent="0.3">
      <c r="A447" s="199">
        <f t="shared" si="46"/>
        <v>20</v>
      </c>
      <c r="B447" s="168" t="s">
        <v>102</v>
      </c>
      <c r="C447" s="135">
        <v>9000</v>
      </c>
      <c r="D447" s="135">
        <v>1000</v>
      </c>
      <c r="E447" s="135">
        <v>1000</v>
      </c>
      <c r="F447" s="135">
        <v>4000</v>
      </c>
      <c r="G447" s="135">
        <v>25000</v>
      </c>
      <c r="H447" s="135">
        <v>17500</v>
      </c>
      <c r="I447" s="135"/>
      <c r="J447" s="135">
        <v>0</v>
      </c>
      <c r="K447" s="135"/>
      <c r="L447" s="135">
        <v>0</v>
      </c>
      <c r="M447" s="135">
        <v>0</v>
      </c>
      <c r="N447" s="135">
        <v>0</v>
      </c>
      <c r="O447" s="135">
        <v>0</v>
      </c>
      <c r="P447" s="135">
        <v>0</v>
      </c>
      <c r="Q447" s="135">
        <v>0</v>
      </c>
      <c r="R447" s="135">
        <v>0</v>
      </c>
      <c r="S447" s="201">
        <f t="shared" si="44"/>
        <v>57500</v>
      </c>
      <c r="T447" s="201">
        <v>57500</v>
      </c>
      <c r="U447" s="201">
        <f t="shared" si="45"/>
        <v>0</v>
      </c>
    </row>
    <row r="448" spans="1:21" ht="15.75" x14ac:dyDescent="0.3">
      <c r="A448" s="199">
        <f t="shared" si="46"/>
        <v>21</v>
      </c>
      <c r="B448" s="200" t="s">
        <v>109</v>
      </c>
      <c r="C448" s="135">
        <v>0</v>
      </c>
      <c r="D448" s="135">
        <v>0</v>
      </c>
      <c r="E448" s="135">
        <v>0</v>
      </c>
      <c r="F448" s="135">
        <v>0</v>
      </c>
      <c r="G448" s="135">
        <v>0</v>
      </c>
      <c r="H448" s="135">
        <v>0</v>
      </c>
      <c r="I448" s="135">
        <v>0</v>
      </c>
      <c r="J448" s="135">
        <v>0</v>
      </c>
      <c r="K448" s="135">
        <v>0</v>
      </c>
      <c r="L448" s="135">
        <v>0</v>
      </c>
      <c r="M448" s="135">
        <v>0</v>
      </c>
      <c r="N448" s="135">
        <v>0</v>
      </c>
      <c r="O448" s="135">
        <v>0</v>
      </c>
      <c r="P448" s="135">
        <v>0</v>
      </c>
      <c r="Q448" s="135">
        <v>0</v>
      </c>
      <c r="R448" s="135">
        <v>0</v>
      </c>
      <c r="S448" s="201">
        <f t="shared" si="44"/>
        <v>0</v>
      </c>
      <c r="T448" s="201"/>
      <c r="U448" s="201">
        <f t="shared" si="45"/>
        <v>0</v>
      </c>
    </row>
    <row r="449" spans="1:21" ht="15.75" x14ac:dyDescent="0.3">
      <c r="A449" s="199">
        <f t="shared" si="46"/>
        <v>22</v>
      </c>
      <c r="B449" s="168" t="s">
        <v>166</v>
      </c>
      <c r="C449" s="135">
        <v>19000</v>
      </c>
      <c r="D449" s="135">
        <v>1000</v>
      </c>
      <c r="E449" s="135">
        <v>1000</v>
      </c>
      <c r="F449" s="135">
        <v>4000</v>
      </c>
      <c r="G449" s="135">
        <v>25000</v>
      </c>
      <c r="H449" s="135">
        <v>0</v>
      </c>
      <c r="I449" s="135"/>
      <c r="J449" s="135">
        <v>0</v>
      </c>
      <c r="K449" s="135"/>
      <c r="L449" s="135">
        <v>0</v>
      </c>
      <c r="M449" s="135"/>
      <c r="N449" s="135">
        <v>0</v>
      </c>
      <c r="O449" s="135">
        <v>0</v>
      </c>
      <c r="P449" s="135">
        <v>0</v>
      </c>
      <c r="Q449" s="135">
        <v>0</v>
      </c>
      <c r="R449" s="135">
        <v>0</v>
      </c>
      <c r="S449" s="201">
        <f t="shared" si="44"/>
        <v>50000</v>
      </c>
      <c r="T449" s="201"/>
      <c r="U449" s="201">
        <f t="shared" si="45"/>
        <v>50000</v>
      </c>
    </row>
    <row r="450" spans="1:21" ht="15.75" x14ac:dyDescent="0.3">
      <c r="A450" s="199">
        <f t="shared" si="46"/>
        <v>23</v>
      </c>
      <c r="B450" s="168" t="s">
        <v>41</v>
      </c>
      <c r="C450" s="135">
        <v>9000</v>
      </c>
      <c r="D450" s="135">
        <v>1000</v>
      </c>
      <c r="E450" s="135">
        <v>1000</v>
      </c>
      <c r="F450" s="135">
        <v>4000</v>
      </c>
      <c r="G450" s="135">
        <v>25000</v>
      </c>
      <c r="H450" s="135">
        <v>0</v>
      </c>
      <c r="I450" s="135">
        <v>75000</v>
      </c>
      <c r="J450" s="135">
        <v>0</v>
      </c>
      <c r="K450" s="135"/>
      <c r="L450" s="135">
        <v>0</v>
      </c>
      <c r="M450" s="135"/>
      <c r="N450" s="135">
        <v>0</v>
      </c>
      <c r="O450" s="135">
        <v>0</v>
      </c>
      <c r="P450" s="135">
        <v>0</v>
      </c>
      <c r="Q450" s="135">
        <v>0</v>
      </c>
      <c r="R450" s="135">
        <v>0</v>
      </c>
      <c r="S450" s="201">
        <f t="shared" si="44"/>
        <v>115000</v>
      </c>
      <c r="T450" s="201"/>
      <c r="U450" s="201">
        <f t="shared" si="45"/>
        <v>115000</v>
      </c>
    </row>
    <row r="451" spans="1:21" ht="15.75" x14ac:dyDescent="0.3">
      <c r="A451" s="199">
        <f t="shared" si="46"/>
        <v>24</v>
      </c>
      <c r="B451" s="168" t="s">
        <v>165</v>
      </c>
      <c r="C451" s="135">
        <v>9000</v>
      </c>
      <c r="D451" s="135">
        <v>1000</v>
      </c>
      <c r="E451" s="135">
        <v>1000</v>
      </c>
      <c r="F451" s="135">
        <v>4000</v>
      </c>
      <c r="G451" s="135">
        <v>25000</v>
      </c>
      <c r="H451" s="135">
        <v>0</v>
      </c>
      <c r="I451" s="135"/>
      <c r="J451" s="135">
        <v>0</v>
      </c>
      <c r="K451" s="135"/>
      <c r="L451" s="135">
        <v>0</v>
      </c>
      <c r="M451" s="135"/>
      <c r="N451" s="135">
        <v>0</v>
      </c>
      <c r="O451" s="135">
        <v>0</v>
      </c>
      <c r="P451" s="135">
        <v>0</v>
      </c>
      <c r="Q451" s="135">
        <v>0</v>
      </c>
      <c r="R451" s="135">
        <v>0</v>
      </c>
      <c r="S451" s="201">
        <f t="shared" si="44"/>
        <v>40000</v>
      </c>
      <c r="T451" s="201"/>
      <c r="U451" s="201">
        <f t="shared" si="45"/>
        <v>40000</v>
      </c>
    </row>
    <row r="452" spans="1:21" ht="15.75" x14ac:dyDescent="0.3">
      <c r="A452" s="199">
        <f t="shared" si="46"/>
        <v>25</v>
      </c>
      <c r="B452" s="168" t="s">
        <v>46</v>
      </c>
      <c r="C452" s="135">
        <v>9000</v>
      </c>
      <c r="D452" s="135">
        <v>1000</v>
      </c>
      <c r="E452" s="135">
        <v>1000</v>
      </c>
      <c r="F452" s="135">
        <v>4000</v>
      </c>
      <c r="G452" s="135">
        <v>25000</v>
      </c>
      <c r="H452" s="135">
        <v>0</v>
      </c>
      <c r="I452" s="135">
        <v>75000</v>
      </c>
      <c r="J452" s="135">
        <v>0</v>
      </c>
      <c r="K452" s="135"/>
      <c r="L452" s="135">
        <v>0</v>
      </c>
      <c r="M452" s="135"/>
      <c r="N452" s="135">
        <v>0</v>
      </c>
      <c r="O452" s="135">
        <v>0</v>
      </c>
      <c r="P452" s="135">
        <v>0</v>
      </c>
      <c r="Q452" s="135">
        <v>0</v>
      </c>
      <c r="R452" s="135">
        <v>0</v>
      </c>
      <c r="S452" s="201">
        <f t="shared" si="44"/>
        <v>115000</v>
      </c>
      <c r="T452" s="201"/>
      <c r="U452" s="201">
        <f t="shared" si="45"/>
        <v>115000</v>
      </c>
    </row>
    <row r="453" spans="1:21" ht="15.75" x14ac:dyDescent="0.3">
      <c r="A453" s="199">
        <f t="shared" si="46"/>
        <v>26</v>
      </c>
      <c r="B453" s="200" t="s">
        <v>104</v>
      </c>
      <c r="C453" s="135">
        <v>0</v>
      </c>
      <c r="D453" s="135">
        <v>0</v>
      </c>
      <c r="E453" s="135">
        <v>0</v>
      </c>
      <c r="F453" s="135">
        <v>0</v>
      </c>
      <c r="G453" s="135">
        <v>0</v>
      </c>
      <c r="H453" s="135">
        <v>0</v>
      </c>
      <c r="I453" s="135">
        <v>0</v>
      </c>
      <c r="J453" s="135">
        <v>0</v>
      </c>
      <c r="K453" s="135">
        <v>0</v>
      </c>
      <c r="L453" s="135">
        <v>0</v>
      </c>
      <c r="M453" s="135">
        <v>0</v>
      </c>
      <c r="N453" s="135">
        <v>0</v>
      </c>
      <c r="O453" s="135">
        <v>0</v>
      </c>
      <c r="P453" s="135">
        <v>0</v>
      </c>
      <c r="Q453" s="135">
        <v>0</v>
      </c>
      <c r="R453" s="135">
        <v>0</v>
      </c>
      <c r="S453" s="201">
        <f t="shared" si="44"/>
        <v>0</v>
      </c>
      <c r="T453" s="201"/>
      <c r="U453" s="201">
        <f t="shared" si="45"/>
        <v>0</v>
      </c>
    </row>
    <row r="454" spans="1:21" ht="15.75" x14ac:dyDescent="0.3">
      <c r="A454" s="199">
        <f t="shared" si="46"/>
        <v>27</v>
      </c>
      <c r="B454" s="168" t="s">
        <v>40</v>
      </c>
      <c r="C454" s="135">
        <v>9000</v>
      </c>
      <c r="D454" s="135">
        <v>1000</v>
      </c>
      <c r="E454" s="135">
        <v>1000</v>
      </c>
      <c r="F454" s="135">
        <v>4000</v>
      </c>
      <c r="G454" s="135">
        <v>25000</v>
      </c>
      <c r="H454" s="135">
        <v>0</v>
      </c>
      <c r="I454" s="135"/>
      <c r="J454" s="135">
        <v>0</v>
      </c>
      <c r="K454" s="135">
        <v>100000</v>
      </c>
      <c r="L454" s="135">
        <v>31000</v>
      </c>
      <c r="M454" s="135"/>
      <c r="N454" s="135">
        <v>0</v>
      </c>
      <c r="O454" s="135">
        <v>0</v>
      </c>
      <c r="P454" s="135">
        <v>0</v>
      </c>
      <c r="Q454" s="135">
        <v>0</v>
      </c>
      <c r="R454" s="135">
        <v>0</v>
      </c>
      <c r="S454" s="201">
        <f t="shared" si="44"/>
        <v>171000</v>
      </c>
      <c r="T454" s="201"/>
      <c r="U454" s="201">
        <f t="shared" si="45"/>
        <v>171000</v>
      </c>
    </row>
    <row r="455" spans="1:21" ht="15.75" x14ac:dyDescent="0.3">
      <c r="A455" s="199">
        <f t="shared" si="46"/>
        <v>28</v>
      </c>
      <c r="B455" s="168" t="s">
        <v>105</v>
      </c>
      <c r="C455" s="135">
        <v>9000</v>
      </c>
      <c r="D455" s="135">
        <v>1000</v>
      </c>
      <c r="E455" s="135">
        <v>1000</v>
      </c>
      <c r="F455" s="135">
        <v>4000</v>
      </c>
      <c r="G455" s="135">
        <v>25000</v>
      </c>
      <c r="H455" s="135">
        <v>0</v>
      </c>
      <c r="I455" s="135">
        <v>75000</v>
      </c>
      <c r="J455" s="135">
        <v>0</v>
      </c>
      <c r="K455" s="135"/>
      <c r="L455" s="135">
        <v>0</v>
      </c>
      <c r="M455" s="135">
        <v>0</v>
      </c>
      <c r="N455" s="135">
        <v>0</v>
      </c>
      <c r="O455" s="135">
        <v>0</v>
      </c>
      <c r="P455" s="135">
        <v>0</v>
      </c>
      <c r="Q455" s="135">
        <v>0</v>
      </c>
      <c r="R455" s="135">
        <v>0</v>
      </c>
      <c r="S455" s="201">
        <f t="shared" si="44"/>
        <v>115000</v>
      </c>
      <c r="T455" s="201"/>
      <c r="U455" s="201">
        <f t="shared" si="45"/>
        <v>115000</v>
      </c>
    </row>
    <row r="456" spans="1:21" ht="15.75" x14ac:dyDescent="0.3">
      <c r="A456" s="199">
        <f t="shared" si="46"/>
        <v>29</v>
      </c>
      <c r="B456" s="200" t="s">
        <v>187</v>
      </c>
      <c r="C456" s="135">
        <v>0</v>
      </c>
      <c r="D456" s="135">
        <v>0</v>
      </c>
      <c r="E456" s="135">
        <v>0</v>
      </c>
      <c r="F456" s="135">
        <v>0</v>
      </c>
      <c r="G456" s="135">
        <v>0</v>
      </c>
      <c r="H456" s="135">
        <v>0</v>
      </c>
      <c r="I456" s="135"/>
      <c r="J456" s="135">
        <v>0</v>
      </c>
      <c r="K456" s="135"/>
      <c r="L456" s="135">
        <v>0</v>
      </c>
      <c r="M456" s="135"/>
      <c r="N456" s="135">
        <v>0</v>
      </c>
      <c r="O456" s="135">
        <v>0</v>
      </c>
      <c r="P456" s="135">
        <v>0</v>
      </c>
      <c r="Q456" s="135">
        <v>0</v>
      </c>
      <c r="R456" s="135">
        <v>0</v>
      </c>
      <c r="S456" s="201">
        <f t="shared" si="44"/>
        <v>0</v>
      </c>
      <c r="T456" s="201"/>
      <c r="U456" s="201">
        <f t="shared" si="45"/>
        <v>0</v>
      </c>
    </row>
    <row r="457" spans="1:21" ht="15.75" x14ac:dyDescent="0.3">
      <c r="A457" s="199">
        <f t="shared" si="46"/>
        <v>30</v>
      </c>
      <c r="B457" s="200" t="s">
        <v>110</v>
      </c>
      <c r="C457" s="135">
        <v>0</v>
      </c>
      <c r="D457" s="135">
        <v>0</v>
      </c>
      <c r="E457" s="135"/>
      <c r="F457" s="135"/>
      <c r="G457" s="135"/>
      <c r="H457" s="135">
        <v>0</v>
      </c>
      <c r="I457" s="135"/>
      <c r="J457" s="135">
        <v>0</v>
      </c>
      <c r="K457" s="135"/>
      <c r="L457" s="135">
        <v>0</v>
      </c>
      <c r="M457" s="135"/>
      <c r="N457" s="135">
        <v>0</v>
      </c>
      <c r="O457" s="135">
        <v>0</v>
      </c>
      <c r="P457" s="135">
        <v>0</v>
      </c>
      <c r="Q457" s="135">
        <v>0</v>
      </c>
      <c r="R457" s="135">
        <v>0</v>
      </c>
      <c r="S457" s="201">
        <f t="shared" si="44"/>
        <v>0</v>
      </c>
      <c r="T457" s="201"/>
      <c r="U457" s="201">
        <f t="shared" si="45"/>
        <v>0</v>
      </c>
    </row>
    <row r="458" spans="1:21" ht="15.75" x14ac:dyDescent="0.3">
      <c r="A458" s="199">
        <f t="shared" si="46"/>
        <v>31</v>
      </c>
      <c r="B458" s="168" t="s">
        <v>106</v>
      </c>
      <c r="C458" s="163">
        <v>9000</v>
      </c>
      <c r="D458" s="163">
        <v>1000</v>
      </c>
      <c r="E458" s="163">
        <v>1000</v>
      </c>
      <c r="F458" s="163">
        <v>4000</v>
      </c>
      <c r="G458" s="163">
        <v>25000</v>
      </c>
      <c r="H458" s="135">
        <v>0</v>
      </c>
      <c r="I458" s="135"/>
      <c r="J458" s="135">
        <v>0</v>
      </c>
      <c r="K458" s="135"/>
      <c r="L458" s="135">
        <v>0</v>
      </c>
      <c r="M458" s="135"/>
      <c r="N458" s="135">
        <v>0</v>
      </c>
      <c r="O458" s="135">
        <v>0</v>
      </c>
      <c r="P458" s="135">
        <v>0</v>
      </c>
      <c r="Q458" s="135">
        <v>0</v>
      </c>
      <c r="R458" s="135">
        <v>0</v>
      </c>
      <c r="S458" s="201">
        <f t="shared" si="44"/>
        <v>40000</v>
      </c>
      <c r="T458" s="201">
        <v>40000</v>
      </c>
      <c r="U458" s="201">
        <f t="shared" si="45"/>
        <v>0</v>
      </c>
    </row>
    <row r="459" spans="1:21" ht="15.75" x14ac:dyDescent="0.3">
      <c r="A459" s="199">
        <f t="shared" si="46"/>
        <v>32</v>
      </c>
      <c r="B459" s="168" t="s">
        <v>107</v>
      </c>
      <c r="C459" s="135">
        <v>9000</v>
      </c>
      <c r="D459" s="135">
        <v>1000</v>
      </c>
      <c r="E459" s="135">
        <v>1000</v>
      </c>
      <c r="F459" s="135">
        <v>4000</v>
      </c>
      <c r="G459" s="135">
        <v>25000</v>
      </c>
      <c r="H459" s="135">
        <v>0</v>
      </c>
      <c r="I459" s="135">
        <v>150000</v>
      </c>
      <c r="J459" s="135">
        <v>0</v>
      </c>
      <c r="K459" s="135">
        <v>100000</v>
      </c>
      <c r="L459" s="135">
        <v>0</v>
      </c>
      <c r="M459" s="135">
        <v>590000</v>
      </c>
      <c r="N459" s="135">
        <v>0</v>
      </c>
      <c r="O459" s="135">
        <v>0</v>
      </c>
      <c r="P459" s="135">
        <v>0</v>
      </c>
      <c r="Q459" s="135">
        <v>0</v>
      </c>
      <c r="R459" s="135">
        <v>0</v>
      </c>
      <c r="S459" s="201">
        <f t="shared" si="44"/>
        <v>880000</v>
      </c>
      <c r="T459" s="201"/>
      <c r="U459" s="201">
        <f t="shared" si="45"/>
        <v>880000</v>
      </c>
    </row>
    <row r="460" spans="1:21" ht="15.75" x14ac:dyDescent="0.3">
      <c r="A460" s="199">
        <f t="shared" si="46"/>
        <v>33</v>
      </c>
      <c r="B460" s="168" t="s">
        <v>111</v>
      </c>
      <c r="C460" s="163">
        <v>9000</v>
      </c>
      <c r="D460" s="163">
        <v>1000</v>
      </c>
      <c r="E460" s="163">
        <v>1000</v>
      </c>
      <c r="F460" s="163">
        <v>4000</v>
      </c>
      <c r="G460" s="163">
        <v>25000</v>
      </c>
      <c r="H460" s="135">
        <v>0</v>
      </c>
      <c r="I460" s="135"/>
      <c r="J460" s="135">
        <v>0</v>
      </c>
      <c r="K460" s="135"/>
      <c r="L460" s="135">
        <v>0</v>
      </c>
      <c r="M460" s="135"/>
      <c r="N460" s="135">
        <v>0</v>
      </c>
      <c r="O460" s="135">
        <v>0</v>
      </c>
      <c r="P460" s="135">
        <v>0</v>
      </c>
      <c r="Q460" s="135">
        <v>0</v>
      </c>
      <c r="R460" s="135">
        <v>0</v>
      </c>
      <c r="S460" s="201">
        <f t="shared" si="44"/>
        <v>40000</v>
      </c>
      <c r="T460" s="201"/>
      <c r="U460" s="201">
        <f t="shared" si="45"/>
        <v>40000</v>
      </c>
    </row>
    <row r="461" spans="1:21" ht="15.75" x14ac:dyDescent="0.3">
      <c r="A461" s="199">
        <f t="shared" si="46"/>
        <v>34</v>
      </c>
      <c r="B461" s="168" t="s">
        <v>224</v>
      </c>
      <c r="C461" s="163">
        <f>49000+227500</f>
        <v>276500</v>
      </c>
      <c r="D461" s="163">
        <v>1000</v>
      </c>
      <c r="E461" s="163">
        <v>1000</v>
      </c>
      <c r="F461" s="163">
        <v>4000</v>
      </c>
      <c r="G461" s="163">
        <v>25000</v>
      </c>
      <c r="H461" s="135">
        <v>0</v>
      </c>
      <c r="I461" s="135"/>
      <c r="J461" s="135">
        <v>0</v>
      </c>
      <c r="K461" s="135"/>
      <c r="L461" s="135">
        <v>0</v>
      </c>
      <c r="M461" s="135"/>
      <c r="N461" s="135">
        <v>0</v>
      </c>
      <c r="O461" s="135">
        <v>0</v>
      </c>
      <c r="P461" s="135">
        <v>0</v>
      </c>
      <c r="Q461" s="135">
        <v>70000</v>
      </c>
      <c r="R461" s="135">
        <v>0</v>
      </c>
      <c r="S461" s="201">
        <f t="shared" si="44"/>
        <v>377500</v>
      </c>
      <c r="T461" s="201"/>
      <c r="U461" s="201">
        <f t="shared" si="45"/>
        <v>377500</v>
      </c>
    </row>
    <row r="462" spans="1:21" ht="15.75" x14ac:dyDescent="0.3">
      <c r="A462" s="161">
        <f t="shared" si="46"/>
        <v>35</v>
      </c>
      <c r="B462" s="162"/>
      <c r="C462" s="135">
        <v>0</v>
      </c>
      <c r="D462" s="135">
        <v>0</v>
      </c>
      <c r="E462" s="135">
        <v>0</v>
      </c>
      <c r="F462" s="135">
        <v>0</v>
      </c>
      <c r="G462" s="135">
        <v>0</v>
      </c>
      <c r="H462" s="135">
        <v>0</v>
      </c>
      <c r="I462" s="135">
        <v>0</v>
      </c>
      <c r="J462" s="135">
        <v>0</v>
      </c>
      <c r="K462" s="135">
        <v>0</v>
      </c>
      <c r="L462" s="135">
        <v>0</v>
      </c>
      <c r="M462" s="135">
        <v>0</v>
      </c>
      <c r="N462" s="135">
        <v>0</v>
      </c>
      <c r="O462" s="135">
        <v>0</v>
      </c>
      <c r="P462" s="135">
        <v>0</v>
      </c>
      <c r="Q462" s="135">
        <v>0</v>
      </c>
      <c r="R462" s="135">
        <v>0</v>
      </c>
      <c r="S462" s="135">
        <f t="shared" si="44"/>
        <v>0</v>
      </c>
      <c r="T462" s="201"/>
      <c r="U462" s="201">
        <f t="shared" si="45"/>
        <v>0</v>
      </c>
    </row>
    <row r="463" spans="1:21" ht="15.75" x14ac:dyDescent="0.3">
      <c r="A463" s="161">
        <f t="shared" si="46"/>
        <v>36</v>
      </c>
      <c r="B463" s="162"/>
      <c r="C463" s="135"/>
      <c r="D463" s="135"/>
      <c r="E463" s="135"/>
      <c r="F463" s="135"/>
      <c r="G463" s="135"/>
      <c r="H463" s="135">
        <v>0</v>
      </c>
      <c r="I463" s="135"/>
      <c r="J463" s="135">
        <v>0</v>
      </c>
      <c r="K463" s="135"/>
      <c r="L463" s="135">
        <v>0</v>
      </c>
      <c r="M463" s="135"/>
      <c r="N463" s="135">
        <v>0</v>
      </c>
      <c r="O463" s="135">
        <v>0</v>
      </c>
      <c r="P463" s="135">
        <v>0</v>
      </c>
      <c r="Q463" s="135">
        <v>0</v>
      </c>
      <c r="R463" s="135">
        <v>0</v>
      </c>
      <c r="S463" s="135">
        <f t="shared" si="44"/>
        <v>0</v>
      </c>
      <c r="T463" s="201"/>
      <c r="U463" s="201">
        <f t="shared" si="45"/>
        <v>0</v>
      </c>
    </row>
    <row r="464" spans="1:21" ht="15.75" x14ac:dyDescent="0.3">
      <c r="A464" s="161">
        <f t="shared" si="46"/>
        <v>37</v>
      </c>
      <c r="B464" s="162"/>
      <c r="C464" s="135">
        <v>0</v>
      </c>
      <c r="D464" s="135">
        <v>0</v>
      </c>
      <c r="E464" s="135">
        <v>0</v>
      </c>
      <c r="F464" s="135">
        <v>0</v>
      </c>
      <c r="G464" s="135">
        <v>0</v>
      </c>
      <c r="H464" s="135">
        <v>0</v>
      </c>
      <c r="I464" s="135">
        <v>0</v>
      </c>
      <c r="J464" s="135">
        <v>0</v>
      </c>
      <c r="K464" s="135">
        <v>0</v>
      </c>
      <c r="L464" s="135">
        <v>0</v>
      </c>
      <c r="M464" s="135">
        <v>0</v>
      </c>
      <c r="N464" s="135">
        <v>0</v>
      </c>
      <c r="O464" s="135">
        <v>0</v>
      </c>
      <c r="P464" s="135">
        <v>0</v>
      </c>
      <c r="Q464" s="135">
        <v>0</v>
      </c>
      <c r="R464" s="135">
        <v>0</v>
      </c>
      <c r="S464" s="135">
        <f t="shared" si="44"/>
        <v>0</v>
      </c>
      <c r="T464" s="201"/>
      <c r="U464" s="201">
        <f t="shared" si="45"/>
        <v>0</v>
      </c>
    </row>
    <row r="465" spans="1:21" ht="15.75" x14ac:dyDescent="0.3">
      <c r="A465" s="161">
        <f t="shared" si="46"/>
        <v>38</v>
      </c>
      <c r="B465" s="162"/>
      <c r="C465" s="135"/>
      <c r="D465" s="135"/>
      <c r="E465" s="135"/>
      <c r="F465" s="135"/>
      <c r="G465" s="135"/>
      <c r="H465" s="135">
        <v>0</v>
      </c>
      <c r="I465" s="135"/>
      <c r="J465" s="135" t="s">
        <v>223</v>
      </c>
      <c r="K465" s="135"/>
      <c r="L465" s="135">
        <v>0</v>
      </c>
      <c r="M465" s="135"/>
      <c r="N465" s="135">
        <v>0</v>
      </c>
      <c r="O465" s="135">
        <v>0</v>
      </c>
      <c r="P465" s="135">
        <v>0</v>
      </c>
      <c r="Q465" s="135">
        <v>0</v>
      </c>
      <c r="R465" s="135">
        <v>0</v>
      </c>
      <c r="S465" s="135" t="e">
        <f t="shared" si="44"/>
        <v>#VALUE!</v>
      </c>
      <c r="T465" s="201"/>
      <c r="U465" s="201" t="e">
        <f t="shared" si="45"/>
        <v>#VALUE!</v>
      </c>
    </row>
    <row r="466" spans="1:21" ht="15.75" x14ac:dyDescent="0.3">
      <c r="A466" s="161">
        <f t="shared" si="46"/>
        <v>39</v>
      </c>
      <c r="B466" s="162"/>
      <c r="C466" s="135"/>
      <c r="D466" s="135"/>
      <c r="E466" s="135"/>
      <c r="F466" s="135"/>
      <c r="G466" s="135"/>
      <c r="H466" s="135">
        <v>0</v>
      </c>
      <c r="I466" s="135"/>
      <c r="J466" s="135">
        <v>0</v>
      </c>
      <c r="K466" s="135"/>
      <c r="L466" s="135">
        <v>0</v>
      </c>
      <c r="M466" s="135"/>
      <c r="N466" s="135">
        <v>0</v>
      </c>
      <c r="O466" s="135">
        <v>0</v>
      </c>
      <c r="P466" s="135">
        <v>0</v>
      </c>
      <c r="Q466" s="135">
        <v>0</v>
      </c>
      <c r="R466" s="135">
        <v>0</v>
      </c>
      <c r="S466" s="135">
        <f t="shared" si="44"/>
        <v>0</v>
      </c>
      <c r="T466" s="201"/>
      <c r="U466" s="201">
        <f t="shared" si="45"/>
        <v>0</v>
      </c>
    </row>
    <row r="467" spans="1:21" ht="15.75" x14ac:dyDescent="0.3">
      <c r="A467" s="161">
        <f t="shared" si="46"/>
        <v>40</v>
      </c>
      <c r="B467" s="162"/>
      <c r="C467" s="135"/>
      <c r="D467" s="135"/>
      <c r="E467" s="135"/>
      <c r="F467" s="135"/>
      <c r="G467" s="135"/>
      <c r="H467" s="135">
        <v>0</v>
      </c>
      <c r="I467" s="135"/>
      <c r="J467" s="135">
        <v>0</v>
      </c>
      <c r="K467" s="135"/>
      <c r="L467" s="135">
        <v>0</v>
      </c>
      <c r="M467" s="135"/>
      <c r="N467" s="135">
        <v>0</v>
      </c>
      <c r="O467" s="135">
        <v>0</v>
      </c>
      <c r="P467" s="135">
        <v>0</v>
      </c>
      <c r="Q467" s="135">
        <v>0</v>
      </c>
      <c r="R467" s="135">
        <v>0</v>
      </c>
      <c r="S467" s="135">
        <f t="shared" si="44"/>
        <v>0</v>
      </c>
      <c r="T467" s="201"/>
      <c r="U467" s="201">
        <f t="shared" si="45"/>
        <v>0</v>
      </c>
    </row>
    <row r="468" spans="1:21" ht="15.75" x14ac:dyDescent="0.3">
      <c r="A468" s="161">
        <f t="shared" si="46"/>
        <v>41</v>
      </c>
      <c r="B468" s="162"/>
      <c r="C468" s="135"/>
      <c r="D468" s="135"/>
      <c r="E468" s="135"/>
      <c r="F468" s="135"/>
      <c r="G468" s="135"/>
      <c r="H468" s="135">
        <v>0</v>
      </c>
      <c r="I468" s="135"/>
      <c r="J468" s="135">
        <v>0</v>
      </c>
      <c r="K468" s="135"/>
      <c r="L468" s="135">
        <v>0</v>
      </c>
      <c r="M468" s="135"/>
      <c r="N468" s="135">
        <v>0</v>
      </c>
      <c r="O468" s="135">
        <v>0</v>
      </c>
      <c r="P468" s="135">
        <v>0</v>
      </c>
      <c r="Q468" s="135">
        <v>0</v>
      </c>
      <c r="R468" s="135">
        <v>0</v>
      </c>
      <c r="S468" s="135">
        <f t="shared" si="44"/>
        <v>0</v>
      </c>
      <c r="T468" s="201"/>
      <c r="U468" s="201">
        <f t="shared" si="45"/>
        <v>0</v>
      </c>
    </row>
    <row r="469" spans="1:21" x14ac:dyDescent="0.25">
      <c r="A469" s="202"/>
      <c r="B469" s="202"/>
      <c r="C469" s="203">
        <f>SUM(C427:C468)</f>
        <v>596500</v>
      </c>
      <c r="D469" s="203">
        <f t="shared" ref="D469:H469" si="47">SUM(D427:D468)</f>
        <v>29000</v>
      </c>
      <c r="E469" s="203">
        <f t="shared" si="47"/>
        <v>29000</v>
      </c>
      <c r="F469" s="203">
        <f t="shared" si="47"/>
        <v>116000</v>
      </c>
      <c r="G469" s="203">
        <f t="shared" si="47"/>
        <v>725000</v>
      </c>
      <c r="H469" s="203">
        <f t="shared" si="47"/>
        <v>17500</v>
      </c>
      <c r="I469" s="203">
        <f>SUM(I428:I468)</f>
        <v>1200000</v>
      </c>
      <c r="J469" s="203">
        <f t="shared" ref="J469:U469" si="48">SUM(J427:J468)</f>
        <v>380000</v>
      </c>
      <c r="K469" s="203">
        <f t="shared" si="48"/>
        <v>1400000</v>
      </c>
      <c r="L469" s="203">
        <f t="shared" si="48"/>
        <v>1344000</v>
      </c>
      <c r="M469" s="203">
        <f t="shared" si="48"/>
        <v>740000</v>
      </c>
      <c r="N469" s="203">
        <f t="shared" si="48"/>
        <v>0</v>
      </c>
      <c r="O469" s="203">
        <f t="shared" si="48"/>
        <v>0</v>
      </c>
      <c r="P469" s="203">
        <f t="shared" si="48"/>
        <v>0</v>
      </c>
      <c r="Q469" s="203">
        <f t="shared" si="48"/>
        <v>140000</v>
      </c>
      <c r="R469" s="203">
        <f t="shared" si="48"/>
        <v>0</v>
      </c>
      <c r="S469" s="203" t="e">
        <f t="shared" si="48"/>
        <v>#VALUE!</v>
      </c>
      <c r="T469" s="203">
        <f t="shared" si="48"/>
        <v>298500</v>
      </c>
      <c r="U469" s="203" t="e">
        <f t="shared" si="48"/>
        <v>#VALUE!</v>
      </c>
    </row>
    <row r="470" spans="1:21" ht="21" x14ac:dyDescent="0.35">
      <c r="A470" s="16"/>
      <c r="B470" s="214" t="s">
        <v>196</v>
      </c>
      <c r="C470" s="214"/>
      <c r="D470" s="214"/>
      <c r="E470" s="214"/>
      <c r="F470" s="214"/>
      <c r="G470" s="214"/>
      <c r="H470" s="214"/>
      <c r="I470" s="214"/>
      <c r="J470" s="134"/>
      <c r="K470" s="134"/>
      <c r="L470" s="134"/>
      <c r="M470" s="134"/>
      <c r="N470" s="134"/>
      <c r="O470" s="134"/>
      <c r="P470" s="134"/>
      <c r="Q470" s="134"/>
      <c r="R470" s="134"/>
      <c r="S470" s="134"/>
      <c r="T470" s="134"/>
      <c r="U470" s="134"/>
    </row>
    <row r="471" spans="1:21" x14ac:dyDescent="0.25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</row>
    <row r="472" spans="1:21" s="128" customFormat="1" x14ac:dyDescent="0.25">
      <c r="A472" s="137"/>
      <c r="B472" s="137"/>
      <c r="C472" s="209" t="s">
        <v>75</v>
      </c>
      <c r="D472" s="209" t="s">
        <v>168</v>
      </c>
      <c r="E472" s="209" t="s">
        <v>169</v>
      </c>
      <c r="F472" s="209" t="s">
        <v>170</v>
      </c>
      <c r="G472" s="211" t="s">
        <v>171</v>
      </c>
      <c r="H472" s="213"/>
      <c r="I472" s="211" t="s">
        <v>200</v>
      </c>
      <c r="J472" s="213"/>
      <c r="K472" s="211" t="s">
        <v>201</v>
      </c>
      <c r="L472" s="213"/>
      <c r="M472" s="209" t="s">
        <v>174</v>
      </c>
      <c r="N472" s="209" t="s">
        <v>175</v>
      </c>
      <c r="O472" s="209" t="s">
        <v>176</v>
      </c>
      <c r="P472" s="209" t="s">
        <v>177</v>
      </c>
      <c r="Q472" s="209" t="s">
        <v>178</v>
      </c>
      <c r="R472" s="209"/>
      <c r="S472" s="211" t="s">
        <v>179</v>
      </c>
      <c r="T472" s="212"/>
      <c r="U472" s="213"/>
    </row>
    <row r="473" spans="1:21" s="128" customFormat="1" x14ac:dyDescent="0.25">
      <c r="A473" s="137"/>
      <c r="B473" s="137"/>
      <c r="C473" s="210"/>
      <c r="D473" s="210"/>
      <c r="E473" s="210"/>
      <c r="F473" s="210"/>
      <c r="G473" s="137" t="s">
        <v>180</v>
      </c>
      <c r="H473" s="137" t="s">
        <v>181</v>
      </c>
      <c r="I473" s="137" t="s">
        <v>180</v>
      </c>
      <c r="J473" s="137" t="s">
        <v>181</v>
      </c>
      <c r="K473" s="137" t="s">
        <v>180</v>
      </c>
      <c r="L473" s="137" t="s">
        <v>181</v>
      </c>
      <c r="M473" s="210"/>
      <c r="N473" s="210"/>
      <c r="O473" s="210"/>
      <c r="P473" s="210"/>
      <c r="Q473" s="210"/>
      <c r="R473" s="210"/>
      <c r="S473" s="137" t="s">
        <v>74</v>
      </c>
      <c r="T473" s="137" t="s">
        <v>182</v>
      </c>
      <c r="U473" s="137" t="s">
        <v>183</v>
      </c>
    </row>
    <row r="474" spans="1:21" ht="15.75" x14ac:dyDescent="0.3">
      <c r="A474" s="137">
        <v>0</v>
      </c>
      <c r="B474" s="138" t="s">
        <v>88</v>
      </c>
      <c r="C474" s="135">
        <v>0</v>
      </c>
      <c r="D474" s="135">
        <v>0</v>
      </c>
      <c r="E474" s="135">
        <v>0</v>
      </c>
      <c r="F474" s="135">
        <v>0</v>
      </c>
      <c r="G474" s="135">
        <v>0</v>
      </c>
      <c r="H474" s="135">
        <v>0</v>
      </c>
      <c r="I474" s="135">
        <v>0</v>
      </c>
      <c r="J474" s="135">
        <v>0</v>
      </c>
      <c r="K474" s="135">
        <v>100000</v>
      </c>
      <c r="L474" s="135">
        <v>0</v>
      </c>
      <c r="M474" s="135">
        <v>0</v>
      </c>
      <c r="N474" s="135">
        <v>0</v>
      </c>
      <c r="O474" s="135">
        <v>0</v>
      </c>
      <c r="P474" s="135">
        <v>0</v>
      </c>
      <c r="Q474" s="135"/>
      <c r="R474" s="135"/>
      <c r="S474" s="131">
        <f>+R474+Q474+P474+O474+N474+M474+L474+K474+J474+I474+H474+G474+F474+E474+D474+C474</f>
        <v>100000</v>
      </c>
      <c r="T474" s="131"/>
      <c r="U474" s="131">
        <f>+S474-T474</f>
        <v>100000</v>
      </c>
    </row>
    <row r="475" spans="1:21" ht="15.75" x14ac:dyDescent="0.3">
      <c r="A475" s="137">
        <f>+A474+1</f>
        <v>1</v>
      </c>
      <c r="B475" s="162" t="s">
        <v>39</v>
      </c>
      <c r="C475" s="135">
        <v>9000</v>
      </c>
      <c r="D475" s="135">
        <v>1000</v>
      </c>
      <c r="E475" s="135">
        <v>1000</v>
      </c>
      <c r="F475" s="135">
        <v>4000</v>
      </c>
      <c r="G475" s="135">
        <v>25000</v>
      </c>
      <c r="H475" s="135">
        <v>0</v>
      </c>
      <c r="I475" s="135">
        <v>75000</v>
      </c>
      <c r="J475" s="135">
        <v>0</v>
      </c>
      <c r="K475" s="135"/>
      <c r="L475" s="135">
        <v>0</v>
      </c>
      <c r="M475" s="135">
        <v>0</v>
      </c>
      <c r="N475" s="135">
        <v>0</v>
      </c>
      <c r="O475" s="135">
        <v>0</v>
      </c>
      <c r="P475" s="135">
        <v>0</v>
      </c>
      <c r="Q475" s="135"/>
      <c r="R475" s="135"/>
      <c r="S475" s="131">
        <f t="shared" ref="S475:S515" si="49">+R475+Q475+P475+O475+N475+M475+L475+K475+J475+I475+H475+G475+F475+E475+D475+C475</f>
        <v>115000</v>
      </c>
      <c r="T475" s="131"/>
      <c r="U475" s="131">
        <f t="shared" ref="U475:U515" si="50">+S475-T475</f>
        <v>115000</v>
      </c>
    </row>
    <row r="476" spans="1:21" ht="15.75" x14ac:dyDescent="0.3">
      <c r="A476" s="137">
        <f t="shared" ref="A476:A515" si="51">+A475+1</f>
        <v>2</v>
      </c>
      <c r="B476" s="162" t="s">
        <v>43</v>
      </c>
      <c r="C476" s="135">
        <v>9000</v>
      </c>
      <c r="D476" s="135">
        <v>1000</v>
      </c>
      <c r="E476" s="135">
        <v>1000</v>
      </c>
      <c r="F476" s="135">
        <v>4000</v>
      </c>
      <c r="G476" s="135">
        <v>25000</v>
      </c>
      <c r="H476" s="135">
        <v>0</v>
      </c>
      <c r="I476" s="135"/>
      <c r="J476" s="135">
        <v>0</v>
      </c>
      <c r="K476" s="135">
        <v>100000</v>
      </c>
      <c r="L476" s="135">
        <v>202000</v>
      </c>
      <c r="M476" s="135"/>
      <c r="N476" s="135">
        <v>0</v>
      </c>
      <c r="O476" s="135">
        <v>0</v>
      </c>
      <c r="P476" s="135">
        <v>0</v>
      </c>
      <c r="Q476" s="135"/>
      <c r="R476" s="135"/>
      <c r="S476" s="131">
        <f t="shared" si="49"/>
        <v>342000</v>
      </c>
      <c r="T476" s="131"/>
      <c r="U476" s="131">
        <f t="shared" si="50"/>
        <v>342000</v>
      </c>
    </row>
    <row r="477" spans="1:21" ht="15.75" x14ac:dyDescent="0.3">
      <c r="A477" s="137">
        <f t="shared" si="51"/>
        <v>3</v>
      </c>
      <c r="B477" s="162" t="s">
        <v>89</v>
      </c>
      <c r="C477" s="135">
        <v>9000</v>
      </c>
      <c r="D477" s="135">
        <v>1000</v>
      </c>
      <c r="E477" s="135">
        <v>1000</v>
      </c>
      <c r="F477" s="135">
        <v>4000</v>
      </c>
      <c r="G477" s="135">
        <v>25000</v>
      </c>
      <c r="H477" s="135">
        <v>0</v>
      </c>
      <c r="I477" s="135"/>
      <c r="J477" s="135">
        <v>0</v>
      </c>
      <c r="K477" s="135"/>
      <c r="L477" s="135">
        <v>0</v>
      </c>
      <c r="M477" s="135"/>
      <c r="N477" s="135">
        <v>0</v>
      </c>
      <c r="O477" s="135">
        <v>0</v>
      </c>
      <c r="P477" s="135">
        <v>0</v>
      </c>
      <c r="Q477" s="135"/>
      <c r="R477" s="135"/>
      <c r="S477" s="131">
        <f t="shared" si="49"/>
        <v>40000</v>
      </c>
      <c r="T477" s="131"/>
      <c r="U477" s="131">
        <f t="shared" si="50"/>
        <v>40000</v>
      </c>
    </row>
    <row r="478" spans="1:21" ht="15.75" x14ac:dyDescent="0.3">
      <c r="A478" s="137">
        <f t="shared" si="51"/>
        <v>4</v>
      </c>
      <c r="B478" s="162" t="s">
        <v>90</v>
      </c>
      <c r="C478" s="135">
        <v>9000</v>
      </c>
      <c r="D478" s="135">
        <v>1000</v>
      </c>
      <c r="E478" s="135">
        <v>1000</v>
      </c>
      <c r="F478" s="135">
        <v>4000</v>
      </c>
      <c r="G478" s="135">
        <v>25000</v>
      </c>
      <c r="H478" s="135">
        <v>0</v>
      </c>
      <c r="I478" s="135">
        <v>75000</v>
      </c>
      <c r="J478" s="135">
        <v>59000</v>
      </c>
      <c r="K478" s="135"/>
      <c r="L478" s="135">
        <v>0</v>
      </c>
      <c r="M478" s="135"/>
      <c r="N478" s="135">
        <v>0</v>
      </c>
      <c r="O478" s="135">
        <v>0</v>
      </c>
      <c r="P478" s="135">
        <v>0</v>
      </c>
      <c r="Q478" s="135"/>
      <c r="R478" s="135"/>
      <c r="S478" s="131">
        <f t="shared" si="49"/>
        <v>174000</v>
      </c>
      <c r="T478" s="131"/>
      <c r="U478" s="131">
        <f t="shared" si="50"/>
        <v>174000</v>
      </c>
    </row>
    <row r="479" spans="1:21" ht="15.75" x14ac:dyDescent="0.3">
      <c r="A479" s="137">
        <f t="shared" si="51"/>
        <v>5</v>
      </c>
      <c r="B479" s="162" t="s">
        <v>91</v>
      </c>
      <c r="C479" s="135">
        <v>14000</v>
      </c>
      <c r="D479" s="135">
        <v>1000</v>
      </c>
      <c r="E479" s="135">
        <v>1000</v>
      </c>
      <c r="F479" s="135">
        <v>4000</v>
      </c>
      <c r="G479" s="135">
        <v>25000</v>
      </c>
      <c r="H479" s="135">
        <v>0</v>
      </c>
      <c r="I479" s="135">
        <v>75000</v>
      </c>
      <c r="J479" s="135">
        <v>0</v>
      </c>
      <c r="K479" s="135">
        <v>200000</v>
      </c>
      <c r="L479" s="135">
        <v>202000</v>
      </c>
      <c r="M479" s="135">
        <v>0</v>
      </c>
      <c r="N479" s="135">
        <v>0</v>
      </c>
      <c r="O479" s="135">
        <v>0</v>
      </c>
      <c r="P479" s="135">
        <v>0</v>
      </c>
      <c r="Q479" s="135"/>
      <c r="R479" s="135"/>
      <c r="S479" s="131">
        <f t="shared" si="49"/>
        <v>522000</v>
      </c>
      <c r="T479" s="131"/>
      <c r="U479" s="131">
        <f t="shared" si="50"/>
        <v>522000</v>
      </c>
    </row>
    <row r="480" spans="1:21" ht="15.75" x14ac:dyDescent="0.3">
      <c r="A480" s="137">
        <f t="shared" si="51"/>
        <v>6</v>
      </c>
      <c r="B480" s="162" t="s">
        <v>92</v>
      </c>
      <c r="C480" s="135">
        <v>9000</v>
      </c>
      <c r="D480" s="135">
        <v>1000</v>
      </c>
      <c r="E480" s="135">
        <v>1000</v>
      </c>
      <c r="F480" s="135">
        <v>4000</v>
      </c>
      <c r="G480" s="135">
        <v>25000</v>
      </c>
      <c r="H480" s="135">
        <v>0</v>
      </c>
      <c r="I480" s="135"/>
      <c r="J480" s="135">
        <v>0</v>
      </c>
      <c r="K480" s="135"/>
      <c r="L480" s="135">
        <v>0</v>
      </c>
      <c r="M480" s="135"/>
      <c r="N480" s="135">
        <v>0</v>
      </c>
      <c r="O480" s="135">
        <v>0</v>
      </c>
      <c r="P480" s="135">
        <v>0</v>
      </c>
      <c r="Q480" s="135"/>
      <c r="R480" s="135"/>
      <c r="S480" s="131">
        <f t="shared" si="49"/>
        <v>40000</v>
      </c>
      <c r="T480" s="131"/>
      <c r="U480" s="131">
        <f t="shared" si="50"/>
        <v>40000</v>
      </c>
    </row>
    <row r="481" spans="1:21" ht="15.75" x14ac:dyDescent="0.3">
      <c r="A481" s="137">
        <f t="shared" si="51"/>
        <v>7</v>
      </c>
      <c r="B481" s="162" t="s">
        <v>93</v>
      </c>
      <c r="C481" s="135">
        <v>9000</v>
      </c>
      <c r="D481" s="135">
        <v>1000</v>
      </c>
      <c r="E481" s="135">
        <v>1000</v>
      </c>
      <c r="F481" s="135">
        <v>4000</v>
      </c>
      <c r="G481" s="135">
        <v>25000</v>
      </c>
      <c r="H481" s="135">
        <v>0</v>
      </c>
      <c r="I481" s="135">
        <v>0</v>
      </c>
      <c r="J481" s="135">
        <v>0</v>
      </c>
      <c r="K481" s="135">
        <v>0</v>
      </c>
      <c r="L481" s="135">
        <v>0</v>
      </c>
      <c r="M481" s="135">
        <v>0</v>
      </c>
      <c r="N481" s="135">
        <v>0</v>
      </c>
      <c r="O481" s="135">
        <v>0</v>
      </c>
      <c r="P481" s="135">
        <v>0</v>
      </c>
      <c r="Q481" s="135">
        <v>70000</v>
      </c>
      <c r="R481" s="135"/>
      <c r="S481" s="131">
        <f t="shared" si="49"/>
        <v>110000</v>
      </c>
      <c r="T481" s="131"/>
      <c r="U481" s="131">
        <f t="shared" si="50"/>
        <v>110000</v>
      </c>
    </row>
    <row r="482" spans="1:21" ht="15.75" x14ac:dyDescent="0.3">
      <c r="A482" s="137">
        <f t="shared" si="51"/>
        <v>8</v>
      </c>
      <c r="B482" s="162" t="s">
        <v>114</v>
      </c>
      <c r="C482" s="135">
        <v>0</v>
      </c>
      <c r="D482" s="135">
        <v>0</v>
      </c>
      <c r="E482" s="135">
        <v>0</v>
      </c>
      <c r="F482" s="135">
        <v>0</v>
      </c>
      <c r="G482" s="135">
        <v>0</v>
      </c>
      <c r="H482" s="135">
        <v>0</v>
      </c>
      <c r="I482" s="135">
        <v>0</v>
      </c>
      <c r="J482" s="135">
        <v>0</v>
      </c>
      <c r="K482" s="135">
        <v>0</v>
      </c>
      <c r="L482" s="135">
        <v>0</v>
      </c>
      <c r="M482" s="135">
        <v>0</v>
      </c>
      <c r="N482" s="135">
        <v>0</v>
      </c>
      <c r="O482" s="135">
        <v>0</v>
      </c>
      <c r="P482" s="135">
        <v>0</v>
      </c>
      <c r="Q482" s="135"/>
      <c r="R482" s="135"/>
      <c r="S482" s="131">
        <f t="shared" si="49"/>
        <v>0</v>
      </c>
      <c r="T482" s="131"/>
      <c r="U482" s="131">
        <f t="shared" si="50"/>
        <v>0</v>
      </c>
    </row>
    <row r="483" spans="1:21" ht="15.75" x14ac:dyDescent="0.3">
      <c r="A483" s="137">
        <f t="shared" si="51"/>
        <v>9</v>
      </c>
      <c r="B483" s="162" t="s">
        <v>42</v>
      </c>
      <c r="C483" s="135">
        <v>9000</v>
      </c>
      <c r="D483" s="135">
        <v>1000</v>
      </c>
      <c r="E483" s="135">
        <v>1000</v>
      </c>
      <c r="F483" s="135">
        <v>4000</v>
      </c>
      <c r="G483" s="135">
        <v>25000</v>
      </c>
      <c r="H483" s="135">
        <v>0</v>
      </c>
      <c r="I483" s="135">
        <v>75000</v>
      </c>
      <c r="J483" s="135">
        <v>0</v>
      </c>
      <c r="K483" s="135"/>
      <c r="L483" s="135">
        <v>0</v>
      </c>
      <c r="M483" s="135"/>
      <c r="N483" s="135">
        <v>0</v>
      </c>
      <c r="O483" s="135">
        <v>0</v>
      </c>
      <c r="P483" s="135">
        <v>0</v>
      </c>
      <c r="Q483" s="135"/>
      <c r="R483" s="135"/>
      <c r="S483" s="131">
        <f t="shared" si="49"/>
        <v>115000</v>
      </c>
      <c r="T483" s="131"/>
      <c r="U483" s="131">
        <f t="shared" si="50"/>
        <v>115000</v>
      </c>
    </row>
    <row r="484" spans="1:21" ht="15.75" x14ac:dyDescent="0.3">
      <c r="A484" s="137">
        <f t="shared" si="51"/>
        <v>10</v>
      </c>
      <c r="B484" s="162" t="s">
        <v>37</v>
      </c>
      <c r="C484" s="135">
        <v>44000</v>
      </c>
      <c r="D484" s="135">
        <v>1000</v>
      </c>
      <c r="E484" s="135">
        <v>1000</v>
      </c>
      <c r="F484" s="135">
        <v>4000</v>
      </c>
      <c r="G484" s="135">
        <v>25000</v>
      </c>
      <c r="H484" s="135">
        <v>0</v>
      </c>
      <c r="I484" s="135">
        <v>75000</v>
      </c>
      <c r="J484" s="135">
        <v>0</v>
      </c>
      <c r="K484" s="135">
        <v>100000</v>
      </c>
      <c r="L484" s="135">
        <v>202000</v>
      </c>
      <c r="M484" s="135"/>
      <c r="N484" s="135">
        <v>0</v>
      </c>
      <c r="O484" s="135">
        <v>0</v>
      </c>
      <c r="P484" s="135">
        <v>0</v>
      </c>
      <c r="Q484" s="135"/>
      <c r="R484" s="135"/>
      <c r="S484" s="131">
        <f t="shared" si="49"/>
        <v>452000</v>
      </c>
      <c r="T484" s="131"/>
      <c r="U484" s="131">
        <f t="shared" si="50"/>
        <v>452000</v>
      </c>
    </row>
    <row r="485" spans="1:21" ht="15.75" x14ac:dyDescent="0.3">
      <c r="A485" s="137">
        <f t="shared" si="51"/>
        <v>11</v>
      </c>
      <c r="B485" s="162" t="s">
        <v>94</v>
      </c>
      <c r="C485" s="135">
        <v>9000</v>
      </c>
      <c r="D485" s="135">
        <v>1000</v>
      </c>
      <c r="E485" s="135">
        <v>1000</v>
      </c>
      <c r="F485" s="135">
        <v>4000</v>
      </c>
      <c r="G485" s="135">
        <v>25000</v>
      </c>
      <c r="H485" s="135">
        <v>0</v>
      </c>
      <c r="I485" s="135"/>
      <c r="J485" s="135">
        <v>0</v>
      </c>
      <c r="K485" s="135">
        <v>100000</v>
      </c>
      <c r="L485" s="135">
        <v>0</v>
      </c>
      <c r="M485" s="135"/>
      <c r="N485" s="135">
        <v>0</v>
      </c>
      <c r="O485" s="135">
        <v>0</v>
      </c>
      <c r="P485" s="135">
        <v>0</v>
      </c>
      <c r="Q485" s="135"/>
      <c r="R485" s="135"/>
      <c r="S485" s="131">
        <f t="shared" si="49"/>
        <v>140000</v>
      </c>
      <c r="T485" s="131"/>
      <c r="U485" s="131">
        <f t="shared" si="50"/>
        <v>140000</v>
      </c>
    </row>
    <row r="486" spans="1:21" ht="15.75" x14ac:dyDescent="0.3">
      <c r="A486" s="137">
        <f t="shared" si="51"/>
        <v>12</v>
      </c>
      <c r="B486" s="162" t="s">
        <v>95</v>
      </c>
      <c r="C486" s="135">
        <v>9000</v>
      </c>
      <c r="D486" s="135">
        <v>1000</v>
      </c>
      <c r="E486" s="135">
        <v>1000</v>
      </c>
      <c r="F486" s="135">
        <v>4000</v>
      </c>
      <c r="G486" s="135">
        <v>25000</v>
      </c>
      <c r="H486" s="135">
        <v>0</v>
      </c>
      <c r="I486" s="135">
        <v>75000</v>
      </c>
      <c r="J486" s="135">
        <v>0</v>
      </c>
      <c r="K486" s="135">
        <v>100000</v>
      </c>
      <c r="L486" s="135">
        <v>101000</v>
      </c>
      <c r="M486" s="135">
        <v>0</v>
      </c>
      <c r="N486" s="135">
        <v>0</v>
      </c>
      <c r="O486" s="135">
        <v>0</v>
      </c>
      <c r="P486" s="135">
        <v>0</v>
      </c>
      <c r="Q486" s="135"/>
      <c r="R486" s="135"/>
      <c r="S486" s="131">
        <f t="shared" si="49"/>
        <v>316000</v>
      </c>
      <c r="T486" s="131"/>
      <c r="U486" s="131">
        <f t="shared" si="50"/>
        <v>316000</v>
      </c>
    </row>
    <row r="487" spans="1:21" ht="15.75" x14ac:dyDescent="0.3">
      <c r="A487" s="137">
        <f t="shared" si="51"/>
        <v>13</v>
      </c>
      <c r="B487" s="162" t="s">
        <v>96</v>
      </c>
      <c r="C487" s="135">
        <v>9000</v>
      </c>
      <c r="D487" s="135">
        <v>1000</v>
      </c>
      <c r="E487" s="135">
        <v>1000</v>
      </c>
      <c r="F487" s="135">
        <v>4000</v>
      </c>
      <c r="G487" s="135">
        <v>25000</v>
      </c>
      <c r="H487" s="135">
        <v>0</v>
      </c>
      <c r="I487" s="135"/>
      <c r="J487" s="135">
        <v>0</v>
      </c>
      <c r="K487" s="135"/>
      <c r="L487" s="135">
        <v>0</v>
      </c>
      <c r="M487" s="135">
        <v>0</v>
      </c>
      <c r="N487" s="135">
        <v>0</v>
      </c>
      <c r="O487" s="135">
        <v>0</v>
      </c>
      <c r="P487" s="135">
        <v>0</v>
      </c>
      <c r="Q487" s="135"/>
      <c r="R487" s="135"/>
      <c r="S487" s="131">
        <f t="shared" si="49"/>
        <v>40000</v>
      </c>
      <c r="T487" s="131"/>
      <c r="U487" s="131">
        <f t="shared" si="50"/>
        <v>40000</v>
      </c>
    </row>
    <row r="488" spans="1:21" ht="15.75" x14ac:dyDescent="0.3">
      <c r="A488" s="137">
        <f t="shared" si="51"/>
        <v>14</v>
      </c>
      <c r="B488" s="162" t="s">
        <v>97</v>
      </c>
      <c r="C488" s="135">
        <v>9000</v>
      </c>
      <c r="D488" s="135">
        <v>1000</v>
      </c>
      <c r="E488" s="135">
        <v>1000</v>
      </c>
      <c r="F488" s="135">
        <v>4000</v>
      </c>
      <c r="G488" s="135">
        <v>25000</v>
      </c>
      <c r="H488" s="135">
        <v>0</v>
      </c>
      <c r="I488" s="135">
        <v>75000</v>
      </c>
      <c r="J488" s="135">
        <v>0</v>
      </c>
      <c r="K488" s="135">
        <v>100000</v>
      </c>
      <c r="L488" s="135">
        <v>202000</v>
      </c>
      <c r="M488" s="135"/>
      <c r="N488" s="135">
        <v>0</v>
      </c>
      <c r="O488" s="135">
        <v>0</v>
      </c>
      <c r="P488" s="135">
        <v>0</v>
      </c>
      <c r="Q488" s="135"/>
      <c r="R488" s="135"/>
      <c r="S488" s="131">
        <f t="shared" si="49"/>
        <v>417000</v>
      </c>
      <c r="T488" s="131"/>
      <c r="U488" s="131">
        <f t="shared" si="50"/>
        <v>417000</v>
      </c>
    </row>
    <row r="489" spans="1:21" ht="15.75" x14ac:dyDescent="0.3">
      <c r="A489" s="137">
        <f t="shared" si="51"/>
        <v>15</v>
      </c>
      <c r="B489" s="162" t="s">
        <v>98</v>
      </c>
      <c r="C489" s="135">
        <v>9000</v>
      </c>
      <c r="D489" s="135">
        <v>1000</v>
      </c>
      <c r="E489" s="135">
        <v>1000</v>
      </c>
      <c r="F489" s="135">
        <v>4000</v>
      </c>
      <c r="G489" s="135">
        <v>25000</v>
      </c>
      <c r="H489" s="135">
        <v>0</v>
      </c>
      <c r="I489" s="135"/>
      <c r="J489" s="135">
        <v>0</v>
      </c>
      <c r="K489" s="135"/>
      <c r="L489" s="135">
        <v>0</v>
      </c>
      <c r="M489" s="135"/>
      <c r="N489" s="135">
        <v>0</v>
      </c>
      <c r="O489" s="135">
        <v>0</v>
      </c>
      <c r="P489" s="135">
        <v>0</v>
      </c>
      <c r="Q489" s="135"/>
      <c r="R489" s="135"/>
      <c r="S489" s="131">
        <f t="shared" si="49"/>
        <v>40000</v>
      </c>
      <c r="T489" s="131"/>
      <c r="U489" s="131">
        <f t="shared" si="50"/>
        <v>40000</v>
      </c>
    </row>
    <row r="490" spans="1:21" ht="15.75" x14ac:dyDescent="0.3">
      <c r="A490" s="137">
        <f t="shared" si="51"/>
        <v>16</v>
      </c>
      <c r="B490" s="162" t="s">
        <v>99</v>
      </c>
      <c r="C490" s="135">
        <v>9000</v>
      </c>
      <c r="D490" s="135">
        <v>1000</v>
      </c>
      <c r="E490" s="135">
        <v>1000</v>
      </c>
      <c r="F490" s="135">
        <v>4000</v>
      </c>
      <c r="G490" s="135">
        <v>25000</v>
      </c>
      <c r="H490" s="135">
        <v>0</v>
      </c>
      <c r="I490" s="135">
        <v>75000</v>
      </c>
      <c r="J490" s="135">
        <v>0</v>
      </c>
      <c r="K490" s="135"/>
      <c r="L490" s="135">
        <v>0</v>
      </c>
      <c r="M490" s="135"/>
      <c r="N490" s="135">
        <v>0</v>
      </c>
      <c r="O490" s="135">
        <v>0</v>
      </c>
      <c r="P490" s="135">
        <v>0</v>
      </c>
      <c r="Q490" s="135"/>
      <c r="R490" s="135"/>
      <c r="S490" s="131">
        <f t="shared" si="49"/>
        <v>115000</v>
      </c>
      <c r="T490" s="131"/>
      <c r="U490" s="131">
        <f t="shared" si="50"/>
        <v>115000</v>
      </c>
    </row>
    <row r="491" spans="1:21" ht="15.75" x14ac:dyDescent="0.3">
      <c r="A491" s="137">
        <f t="shared" si="51"/>
        <v>17</v>
      </c>
      <c r="B491" s="162" t="s">
        <v>100</v>
      </c>
      <c r="C491" s="135">
        <v>19000</v>
      </c>
      <c r="D491" s="135">
        <v>1000</v>
      </c>
      <c r="E491" s="135">
        <v>1000</v>
      </c>
      <c r="F491" s="135">
        <v>4000</v>
      </c>
      <c r="G491" s="135">
        <v>25000</v>
      </c>
      <c r="H491" s="135">
        <v>0</v>
      </c>
      <c r="I491" s="135"/>
      <c r="J491" s="135">
        <v>0</v>
      </c>
      <c r="K491" s="135">
        <v>200000</v>
      </c>
      <c r="L491" s="135">
        <v>0</v>
      </c>
      <c r="M491" s="135">
        <v>0</v>
      </c>
      <c r="N491" s="135">
        <v>0</v>
      </c>
      <c r="O491" s="135">
        <v>0</v>
      </c>
      <c r="P491" s="135">
        <v>0</v>
      </c>
      <c r="Q491" s="135"/>
      <c r="R491" s="135"/>
      <c r="S491" s="131">
        <f t="shared" si="49"/>
        <v>250000</v>
      </c>
      <c r="T491" s="131"/>
      <c r="U491" s="131">
        <f t="shared" si="50"/>
        <v>250000</v>
      </c>
    </row>
    <row r="492" spans="1:21" ht="15.75" x14ac:dyDescent="0.3">
      <c r="A492" s="137">
        <f t="shared" si="51"/>
        <v>18</v>
      </c>
      <c r="B492" s="162" t="s">
        <v>38</v>
      </c>
      <c r="C492" s="135">
        <v>12000</v>
      </c>
      <c r="D492" s="135">
        <v>1000</v>
      </c>
      <c r="E492" s="135">
        <v>1000</v>
      </c>
      <c r="F492" s="135">
        <v>4000</v>
      </c>
      <c r="G492" s="135">
        <v>25000</v>
      </c>
      <c r="H492" s="135">
        <v>0</v>
      </c>
      <c r="I492" s="135">
        <v>75000</v>
      </c>
      <c r="J492" s="135">
        <v>0</v>
      </c>
      <c r="K492" s="135">
        <v>100000</v>
      </c>
      <c r="L492" s="135">
        <v>202000</v>
      </c>
      <c r="M492" s="135"/>
      <c r="N492" s="135">
        <v>0</v>
      </c>
      <c r="O492" s="135">
        <v>0</v>
      </c>
      <c r="P492" s="135">
        <v>0</v>
      </c>
      <c r="Q492" s="135"/>
      <c r="R492" s="135"/>
      <c r="S492" s="131">
        <f t="shared" si="49"/>
        <v>420000</v>
      </c>
      <c r="T492" s="131"/>
      <c r="U492" s="131">
        <f t="shared" si="50"/>
        <v>420000</v>
      </c>
    </row>
    <row r="493" spans="1:21" ht="15.75" x14ac:dyDescent="0.3">
      <c r="A493" s="137">
        <f t="shared" si="51"/>
        <v>19</v>
      </c>
      <c r="B493" s="162" t="s">
        <v>101</v>
      </c>
      <c r="C493" s="135">
        <v>17000</v>
      </c>
      <c r="D493" s="135">
        <v>1000</v>
      </c>
      <c r="E493" s="135">
        <v>1000</v>
      </c>
      <c r="F493" s="135">
        <v>4000</v>
      </c>
      <c r="G493" s="135">
        <v>25000</v>
      </c>
      <c r="H493" s="135">
        <v>0</v>
      </c>
      <c r="I493" s="135">
        <v>150000</v>
      </c>
      <c r="J493" s="135">
        <v>0</v>
      </c>
      <c r="K493" s="135">
        <v>100000</v>
      </c>
      <c r="L493" s="135">
        <v>202000</v>
      </c>
      <c r="M493" s="135"/>
      <c r="N493" s="135">
        <v>0</v>
      </c>
      <c r="O493" s="135">
        <v>0</v>
      </c>
      <c r="P493" s="135">
        <v>0</v>
      </c>
      <c r="Q493" s="135"/>
      <c r="R493" s="135"/>
      <c r="S493" s="131">
        <f t="shared" si="49"/>
        <v>500000</v>
      </c>
      <c r="T493" s="131"/>
      <c r="U493" s="131">
        <f t="shared" si="50"/>
        <v>500000</v>
      </c>
    </row>
    <row r="494" spans="1:21" ht="15.75" x14ac:dyDescent="0.3">
      <c r="A494" s="137">
        <f t="shared" si="51"/>
        <v>20</v>
      </c>
      <c r="B494" s="162" t="s">
        <v>102</v>
      </c>
      <c r="C494" s="135">
        <v>7000</v>
      </c>
      <c r="D494" s="135">
        <v>1000</v>
      </c>
      <c r="E494" s="135">
        <v>1000</v>
      </c>
      <c r="F494" s="135">
        <v>4000</v>
      </c>
      <c r="G494" s="135">
        <v>25000</v>
      </c>
      <c r="H494" s="135">
        <v>17500</v>
      </c>
      <c r="I494" s="135"/>
      <c r="J494" s="135">
        <v>0</v>
      </c>
      <c r="K494" s="135"/>
      <c r="L494" s="135">
        <v>0</v>
      </c>
      <c r="M494" s="135">
        <v>0</v>
      </c>
      <c r="N494" s="135">
        <v>0</v>
      </c>
      <c r="O494" s="135">
        <v>3000</v>
      </c>
      <c r="P494" s="135">
        <v>0</v>
      </c>
      <c r="Q494" s="135"/>
      <c r="R494" s="135"/>
      <c r="S494" s="131">
        <f t="shared" si="49"/>
        <v>58500</v>
      </c>
      <c r="T494" s="131"/>
      <c r="U494" s="131">
        <f t="shared" si="50"/>
        <v>58500</v>
      </c>
    </row>
    <row r="495" spans="1:21" ht="15.75" x14ac:dyDescent="0.3">
      <c r="A495" s="137">
        <f t="shared" si="51"/>
        <v>21</v>
      </c>
      <c r="B495" s="162" t="s">
        <v>109</v>
      </c>
      <c r="C495" s="135">
        <v>0</v>
      </c>
      <c r="D495" s="135">
        <v>0</v>
      </c>
      <c r="E495" s="135">
        <v>0</v>
      </c>
      <c r="F495" s="135">
        <v>0</v>
      </c>
      <c r="G495" s="135">
        <v>0</v>
      </c>
      <c r="H495" s="135">
        <v>0</v>
      </c>
      <c r="I495" s="135">
        <v>0</v>
      </c>
      <c r="J495" s="135">
        <v>0</v>
      </c>
      <c r="K495" s="135">
        <v>0</v>
      </c>
      <c r="L495" s="135">
        <v>0</v>
      </c>
      <c r="M495" s="135">
        <v>0</v>
      </c>
      <c r="N495" s="135">
        <v>0</v>
      </c>
      <c r="O495" s="135">
        <v>0</v>
      </c>
      <c r="P495" s="135">
        <v>0</v>
      </c>
      <c r="Q495" s="135"/>
      <c r="R495" s="135"/>
      <c r="S495" s="131">
        <f t="shared" si="49"/>
        <v>0</v>
      </c>
      <c r="T495" s="131"/>
      <c r="U495" s="131">
        <f t="shared" si="50"/>
        <v>0</v>
      </c>
    </row>
    <row r="496" spans="1:21" ht="15.75" x14ac:dyDescent="0.3">
      <c r="A496" s="137">
        <f t="shared" si="51"/>
        <v>22</v>
      </c>
      <c r="B496" s="162" t="s">
        <v>166</v>
      </c>
      <c r="C496" s="135">
        <v>19000</v>
      </c>
      <c r="D496" s="135">
        <v>1000</v>
      </c>
      <c r="E496" s="135">
        <v>1000</v>
      </c>
      <c r="F496" s="135">
        <v>4000</v>
      </c>
      <c r="G496" s="135">
        <v>25000</v>
      </c>
      <c r="H496" s="135">
        <v>0</v>
      </c>
      <c r="I496" s="135"/>
      <c r="J496" s="135">
        <v>0</v>
      </c>
      <c r="K496" s="135"/>
      <c r="L496" s="135">
        <v>0</v>
      </c>
      <c r="M496" s="135"/>
      <c r="N496" s="135">
        <v>0</v>
      </c>
      <c r="O496" s="135">
        <v>0</v>
      </c>
      <c r="P496" s="135">
        <v>0</v>
      </c>
      <c r="Q496" s="135"/>
      <c r="R496" s="135"/>
      <c r="S496" s="131">
        <f t="shared" si="49"/>
        <v>50000</v>
      </c>
      <c r="T496" s="131"/>
      <c r="U496" s="131">
        <f t="shared" si="50"/>
        <v>50000</v>
      </c>
    </row>
    <row r="497" spans="1:21" ht="15.75" x14ac:dyDescent="0.3">
      <c r="A497" s="137">
        <f t="shared" si="51"/>
        <v>23</v>
      </c>
      <c r="B497" s="162" t="s">
        <v>41</v>
      </c>
      <c r="C497" s="135">
        <v>9000</v>
      </c>
      <c r="D497" s="135">
        <v>1000</v>
      </c>
      <c r="E497" s="135">
        <v>1000</v>
      </c>
      <c r="F497" s="135">
        <v>4000</v>
      </c>
      <c r="G497" s="135">
        <v>25000</v>
      </c>
      <c r="H497" s="135">
        <v>0</v>
      </c>
      <c r="I497" s="135">
        <v>75000</v>
      </c>
      <c r="J497" s="135">
        <v>0</v>
      </c>
      <c r="K497" s="135"/>
      <c r="L497" s="135">
        <v>0</v>
      </c>
      <c r="M497" s="135"/>
      <c r="N497" s="135">
        <v>0</v>
      </c>
      <c r="O497" s="135">
        <v>0</v>
      </c>
      <c r="P497" s="135">
        <v>0</v>
      </c>
      <c r="Q497" s="135">
        <v>70000</v>
      </c>
      <c r="R497" s="135"/>
      <c r="S497" s="131">
        <f t="shared" si="49"/>
        <v>185000</v>
      </c>
      <c r="T497" s="131"/>
      <c r="U497" s="131">
        <f t="shared" si="50"/>
        <v>185000</v>
      </c>
    </row>
    <row r="498" spans="1:21" ht="15.75" x14ac:dyDescent="0.3">
      <c r="A498" s="137">
        <f t="shared" si="51"/>
        <v>24</v>
      </c>
      <c r="B498" s="162" t="s">
        <v>165</v>
      </c>
      <c r="C498" s="135">
        <v>9000</v>
      </c>
      <c r="D498" s="135">
        <v>1000</v>
      </c>
      <c r="E498" s="135">
        <v>1000</v>
      </c>
      <c r="F498" s="135">
        <v>4000</v>
      </c>
      <c r="G498" s="135">
        <v>25000</v>
      </c>
      <c r="H498" s="135">
        <v>0</v>
      </c>
      <c r="I498" s="135"/>
      <c r="J498" s="135">
        <v>0</v>
      </c>
      <c r="K498" s="135"/>
      <c r="L498" s="135">
        <v>0</v>
      </c>
      <c r="M498" s="135"/>
      <c r="N498" s="135">
        <v>0</v>
      </c>
      <c r="O498" s="135">
        <v>0</v>
      </c>
      <c r="P498" s="135">
        <v>0</v>
      </c>
      <c r="Q498" s="135"/>
      <c r="R498" s="135"/>
      <c r="S498" s="131">
        <f t="shared" si="49"/>
        <v>40000</v>
      </c>
      <c r="T498" s="131"/>
      <c r="U498" s="131">
        <f t="shared" si="50"/>
        <v>40000</v>
      </c>
    </row>
    <row r="499" spans="1:21" ht="15.75" x14ac:dyDescent="0.3">
      <c r="A499" s="137">
        <f t="shared" si="51"/>
        <v>25</v>
      </c>
      <c r="B499" s="162" t="s">
        <v>46</v>
      </c>
      <c r="C499" s="135">
        <v>9000</v>
      </c>
      <c r="D499" s="135">
        <v>1000</v>
      </c>
      <c r="E499" s="135">
        <v>1000</v>
      </c>
      <c r="F499" s="135">
        <v>4000</v>
      </c>
      <c r="G499" s="135">
        <v>25000</v>
      </c>
      <c r="H499" s="135">
        <v>0</v>
      </c>
      <c r="I499" s="135">
        <v>75000</v>
      </c>
      <c r="J499" s="135">
        <v>0</v>
      </c>
      <c r="K499" s="135"/>
      <c r="L499" s="135">
        <v>0</v>
      </c>
      <c r="M499" s="135"/>
      <c r="N499" s="135">
        <v>0</v>
      </c>
      <c r="O499" s="135">
        <v>0</v>
      </c>
      <c r="P499" s="135">
        <v>0</v>
      </c>
      <c r="Q499" s="135"/>
      <c r="R499" s="135"/>
      <c r="S499" s="131">
        <f t="shared" si="49"/>
        <v>115000</v>
      </c>
      <c r="T499" s="131"/>
      <c r="U499" s="131">
        <f t="shared" si="50"/>
        <v>115000</v>
      </c>
    </row>
    <row r="500" spans="1:21" ht="15.75" x14ac:dyDescent="0.3">
      <c r="A500" s="137">
        <f t="shared" si="51"/>
        <v>26</v>
      </c>
      <c r="B500" s="162" t="s">
        <v>104</v>
      </c>
      <c r="C500" s="135">
        <v>0</v>
      </c>
      <c r="D500" s="135">
        <v>0</v>
      </c>
      <c r="E500" s="135">
        <v>0</v>
      </c>
      <c r="F500" s="135">
        <v>0</v>
      </c>
      <c r="G500" s="135">
        <v>0</v>
      </c>
      <c r="H500" s="135">
        <v>0</v>
      </c>
      <c r="I500" s="135">
        <v>0</v>
      </c>
      <c r="J500" s="135">
        <v>0</v>
      </c>
      <c r="K500" s="135">
        <v>0</v>
      </c>
      <c r="L500" s="135">
        <v>0</v>
      </c>
      <c r="M500" s="135">
        <v>0</v>
      </c>
      <c r="N500" s="135">
        <v>0</v>
      </c>
      <c r="O500" s="135">
        <v>0</v>
      </c>
      <c r="P500" s="135">
        <v>0</v>
      </c>
      <c r="Q500" s="135"/>
      <c r="R500" s="135"/>
      <c r="S500" s="131">
        <f t="shared" si="49"/>
        <v>0</v>
      </c>
      <c r="T500" s="131"/>
      <c r="U500" s="131">
        <f t="shared" si="50"/>
        <v>0</v>
      </c>
    </row>
    <row r="501" spans="1:21" ht="15.75" x14ac:dyDescent="0.3">
      <c r="A501" s="137">
        <f t="shared" si="51"/>
        <v>27</v>
      </c>
      <c r="B501" s="162" t="s">
        <v>40</v>
      </c>
      <c r="C501" s="135">
        <v>9500</v>
      </c>
      <c r="D501" s="135">
        <v>1000</v>
      </c>
      <c r="E501" s="135">
        <v>1000</v>
      </c>
      <c r="F501" s="135">
        <v>4000</v>
      </c>
      <c r="G501" s="135">
        <v>25000</v>
      </c>
      <c r="H501" s="135">
        <v>0</v>
      </c>
      <c r="I501" s="135"/>
      <c r="J501" s="135">
        <v>0</v>
      </c>
      <c r="K501" s="135">
        <v>100000</v>
      </c>
      <c r="L501" s="135">
        <v>31000</v>
      </c>
      <c r="M501" s="135"/>
      <c r="N501" s="135">
        <v>0</v>
      </c>
      <c r="O501" s="135">
        <v>0</v>
      </c>
      <c r="P501" s="135">
        <v>0</v>
      </c>
      <c r="Q501" s="135"/>
      <c r="R501" s="135"/>
      <c r="S501" s="131">
        <f t="shared" si="49"/>
        <v>171500</v>
      </c>
      <c r="T501" s="131"/>
      <c r="U501" s="131">
        <f t="shared" si="50"/>
        <v>171500</v>
      </c>
    </row>
    <row r="502" spans="1:21" ht="15.75" x14ac:dyDescent="0.3">
      <c r="A502" s="137">
        <f t="shared" si="51"/>
        <v>28</v>
      </c>
      <c r="B502" s="162" t="s">
        <v>105</v>
      </c>
      <c r="C502" s="135">
        <v>9000</v>
      </c>
      <c r="D502" s="135">
        <v>1000</v>
      </c>
      <c r="E502" s="135">
        <v>1000</v>
      </c>
      <c r="F502" s="135">
        <v>4000</v>
      </c>
      <c r="G502" s="135">
        <v>25000</v>
      </c>
      <c r="H502" s="135">
        <v>0</v>
      </c>
      <c r="I502" s="135">
        <v>75000</v>
      </c>
      <c r="J502" s="135">
        <v>0</v>
      </c>
      <c r="K502" s="135"/>
      <c r="L502" s="135">
        <v>0</v>
      </c>
      <c r="M502" s="135">
        <v>0</v>
      </c>
      <c r="N502" s="135">
        <v>0</v>
      </c>
      <c r="O502" s="135">
        <v>0</v>
      </c>
      <c r="P502" s="135">
        <v>0</v>
      </c>
      <c r="Q502" s="135"/>
      <c r="R502" s="135"/>
      <c r="S502" s="131">
        <f t="shared" si="49"/>
        <v>115000</v>
      </c>
      <c r="T502" s="131"/>
      <c r="U502" s="131">
        <f t="shared" si="50"/>
        <v>115000</v>
      </c>
    </row>
    <row r="503" spans="1:21" ht="15.75" x14ac:dyDescent="0.3">
      <c r="A503" s="137">
        <f t="shared" si="51"/>
        <v>29</v>
      </c>
      <c r="B503" s="162" t="s">
        <v>187</v>
      </c>
      <c r="C503" s="135">
        <v>15000</v>
      </c>
      <c r="D503" s="135">
        <v>3000</v>
      </c>
      <c r="E503" s="135">
        <v>3000</v>
      </c>
      <c r="F503" s="135">
        <v>12000</v>
      </c>
      <c r="G503" s="135">
        <v>75000</v>
      </c>
      <c r="H503" s="135">
        <v>0</v>
      </c>
      <c r="I503" s="135"/>
      <c r="J503" s="135">
        <v>0</v>
      </c>
      <c r="K503" s="135"/>
      <c r="L503" s="135">
        <v>0</v>
      </c>
      <c r="M503" s="135"/>
      <c r="N503" s="135">
        <v>0</v>
      </c>
      <c r="O503" s="135">
        <v>12000</v>
      </c>
      <c r="P503" s="135">
        <v>0</v>
      </c>
      <c r="Q503" s="135"/>
      <c r="R503" s="135"/>
      <c r="S503" s="131">
        <f t="shared" si="49"/>
        <v>120000</v>
      </c>
      <c r="T503" s="131"/>
      <c r="U503" s="131">
        <f t="shared" si="50"/>
        <v>120000</v>
      </c>
    </row>
    <row r="504" spans="1:21" ht="15.75" x14ac:dyDescent="0.3">
      <c r="A504" s="137">
        <f t="shared" si="51"/>
        <v>30</v>
      </c>
      <c r="B504" s="162" t="s">
        <v>110</v>
      </c>
      <c r="C504" s="135">
        <v>0</v>
      </c>
      <c r="D504" s="135">
        <v>0</v>
      </c>
      <c r="E504" s="135"/>
      <c r="F504" s="135"/>
      <c r="G504" s="135"/>
      <c r="H504" s="135">
        <v>0</v>
      </c>
      <c r="I504" s="135"/>
      <c r="J504" s="135">
        <v>0</v>
      </c>
      <c r="K504" s="135"/>
      <c r="L504" s="135">
        <v>0</v>
      </c>
      <c r="M504" s="135"/>
      <c r="N504" s="135">
        <v>0</v>
      </c>
      <c r="O504" s="135">
        <v>0</v>
      </c>
      <c r="P504" s="135">
        <v>0</v>
      </c>
      <c r="Q504" s="135"/>
      <c r="R504" s="135"/>
      <c r="S504" s="131">
        <f t="shared" si="49"/>
        <v>0</v>
      </c>
      <c r="T504" s="131"/>
      <c r="U504" s="131">
        <f t="shared" si="50"/>
        <v>0</v>
      </c>
    </row>
    <row r="505" spans="1:21" ht="15.75" x14ac:dyDescent="0.3">
      <c r="A505" s="137">
        <f t="shared" si="51"/>
        <v>31</v>
      </c>
      <c r="B505" s="162" t="s">
        <v>106</v>
      </c>
      <c r="C505" s="163">
        <v>6000</v>
      </c>
      <c r="D505" s="163">
        <v>1000</v>
      </c>
      <c r="E505" s="163">
        <v>1000</v>
      </c>
      <c r="F505" s="163">
        <v>4000</v>
      </c>
      <c r="G505" s="163">
        <v>25000</v>
      </c>
      <c r="H505" s="135">
        <v>0</v>
      </c>
      <c r="I505" s="135"/>
      <c r="J505" s="135">
        <v>0</v>
      </c>
      <c r="K505" s="135"/>
      <c r="L505" s="135">
        <v>0</v>
      </c>
      <c r="M505" s="135"/>
      <c r="N505" s="135">
        <v>0</v>
      </c>
      <c r="O505" s="135">
        <v>3000</v>
      </c>
      <c r="P505" s="135">
        <v>0</v>
      </c>
      <c r="Q505" s="135"/>
      <c r="R505" s="135"/>
      <c r="S505" s="131">
        <f t="shared" si="49"/>
        <v>40000</v>
      </c>
      <c r="T505" s="131"/>
      <c r="U505" s="131">
        <f t="shared" si="50"/>
        <v>40000</v>
      </c>
    </row>
    <row r="506" spans="1:21" ht="15.75" x14ac:dyDescent="0.3">
      <c r="A506" s="137">
        <f t="shared" si="51"/>
        <v>32</v>
      </c>
      <c r="B506" s="162" t="s">
        <v>107</v>
      </c>
      <c r="C506" s="135">
        <v>9000</v>
      </c>
      <c r="D506" s="135">
        <v>1000</v>
      </c>
      <c r="E506" s="135">
        <v>1000</v>
      </c>
      <c r="F506" s="135">
        <v>4000</v>
      </c>
      <c r="G506" s="135">
        <v>25000</v>
      </c>
      <c r="H506" s="135">
        <v>0</v>
      </c>
      <c r="I506" s="135">
        <v>150000</v>
      </c>
      <c r="J506" s="135">
        <v>0</v>
      </c>
      <c r="K506" s="135">
        <v>100000</v>
      </c>
      <c r="L506" s="135">
        <v>0</v>
      </c>
      <c r="M506" s="135">
        <v>303000</v>
      </c>
      <c r="N506" s="135">
        <v>0</v>
      </c>
      <c r="O506" s="135">
        <v>0</v>
      </c>
      <c r="P506" s="135">
        <v>0</v>
      </c>
      <c r="Q506" s="135">
        <v>70000</v>
      </c>
      <c r="R506" s="135"/>
      <c r="S506" s="131">
        <f t="shared" si="49"/>
        <v>663000</v>
      </c>
      <c r="T506" s="131"/>
      <c r="U506" s="131">
        <f t="shared" si="50"/>
        <v>663000</v>
      </c>
    </row>
    <row r="507" spans="1:21" ht="15.75" x14ac:dyDescent="0.3">
      <c r="A507" s="137">
        <f t="shared" si="51"/>
        <v>33</v>
      </c>
      <c r="B507" s="162" t="s">
        <v>111</v>
      </c>
      <c r="C507" s="163">
        <v>9000</v>
      </c>
      <c r="D507" s="163">
        <v>1000</v>
      </c>
      <c r="E507" s="163">
        <v>1000</v>
      </c>
      <c r="F507" s="163">
        <v>4000</v>
      </c>
      <c r="G507" s="163">
        <v>25000</v>
      </c>
      <c r="H507" s="135">
        <v>0</v>
      </c>
      <c r="I507" s="135"/>
      <c r="J507" s="135">
        <v>0</v>
      </c>
      <c r="K507" s="135"/>
      <c r="L507" s="135">
        <v>0</v>
      </c>
      <c r="M507" s="135"/>
      <c r="N507" s="135">
        <v>0</v>
      </c>
      <c r="O507" s="135">
        <v>0</v>
      </c>
      <c r="P507" s="135">
        <v>0</v>
      </c>
      <c r="Q507" s="135"/>
      <c r="R507" s="135"/>
      <c r="S507" s="131">
        <f t="shared" si="49"/>
        <v>40000</v>
      </c>
      <c r="T507" s="131"/>
      <c r="U507" s="131">
        <f t="shared" si="50"/>
        <v>40000</v>
      </c>
    </row>
    <row r="508" spans="1:21" ht="15.75" x14ac:dyDescent="0.3">
      <c r="A508" s="137">
        <f t="shared" si="51"/>
        <v>34</v>
      </c>
      <c r="B508" s="162" t="s">
        <v>224</v>
      </c>
      <c r="C508" s="163">
        <v>39000</v>
      </c>
      <c r="D508" s="163">
        <v>1000</v>
      </c>
      <c r="E508" s="163">
        <v>1000</v>
      </c>
      <c r="F508" s="163">
        <v>4000</v>
      </c>
      <c r="G508" s="163">
        <v>25000</v>
      </c>
      <c r="H508" s="135">
        <v>0</v>
      </c>
      <c r="I508" s="135"/>
      <c r="J508" s="135">
        <v>0</v>
      </c>
      <c r="K508" s="135"/>
      <c r="L508" s="135">
        <v>0</v>
      </c>
      <c r="M508" s="135"/>
      <c r="N508" s="135">
        <v>0</v>
      </c>
      <c r="O508" s="135">
        <v>0</v>
      </c>
      <c r="P508" s="135">
        <v>0</v>
      </c>
      <c r="Q508" s="135"/>
      <c r="R508" s="135"/>
      <c r="S508" s="131">
        <f t="shared" si="49"/>
        <v>70000</v>
      </c>
      <c r="T508" s="131"/>
      <c r="U508" s="131">
        <f t="shared" si="50"/>
        <v>70000</v>
      </c>
    </row>
    <row r="509" spans="1:21" ht="15.75" x14ac:dyDescent="0.3">
      <c r="A509" s="137">
        <f t="shared" si="51"/>
        <v>35</v>
      </c>
      <c r="B509" s="162"/>
      <c r="C509" s="135">
        <v>0</v>
      </c>
      <c r="D509" s="135">
        <v>0</v>
      </c>
      <c r="E509" s="135">
        <v>0</v>
      </c>
      <c r="F509" s="135">
        <v>0</v>
      </c>
      <c r="G509" s="135">
        <v>0</v>
      </c>
      <c r="H509" s="135">
        <v>0</v>
      </c>
      <c r="I509" s="135">
        <v>0</v>
      </c>
      <c r="J509" s="135">
        <v>0</v>
      </c>
      <c r="K509" s="135">
        <v>0</v>
      </c>
      <c r="L509" s="135">
        <v>0</v>
      </c>
      <c r="M509" s="135">
        <v>0</v>
      </c>
      <c r="N509" s="135">
        <v>0</v>
      </c>
      <c r="O509" s="135">
        <v>0</v>
      </c>
      <c r="P509" s="135">
        <v>0</v>
      </c>
      <c r="Q509" s="135"/>
      <c r="R509" s="135"/>
      <c r="S509" s="131">
        <f t="shared" si="49"/>
        <v>0</v>
      </c>
      <c r="T509" s="131"/>
      <c r="U509" s="131">
        <f t="shared" si="50"/>
        <v>0</v>
      </c>
    </row>
    <row r="510" spans="1:21" ht="15.75" x14ac:dyDescent="0.3">
      <c r="A510" s="137">
        <f t="shared" si="51"/>
        <v>36</v>
      </c>
      <c r="B510" s="162"/>
      <c r="C510" s="135"/>
      <c r="D510" s="135"/>
      <c r="E510" s="135"/>
      <c r="F510" s="135"/>
      <c r="G510" s="135"/>
      <c r="H510" s="135">
        <v>0</v>
      </c>
      <c r="I510" s="135"/>
      <c r="J510" s="135">
        <v>0</v>
      </c>
      <c r="K510" s="135"/>
      <c r="L510" s="135">
        <v>0</v>
      </c>
      <c r="M510" s="135"/>
      <c r="N510" s="135">
        <v>0</v>
      </c>
      <c r="O510" s="135">
        <v>0</v>
      </c>
      <c r="P510" s="135">
        <v>0</v>
      </c>
      <c r="Q510" s="135"/>
      <c r="R510" s="135"/>
      <c r="S510" s="131">
        <f t="shared" si="49"/>
        <v>0</v>
      </c>
      <c r="T510" s="131"/>
      <c r="U510" s="131">
        <f t="shared" si="50"/>
        <v>0</v>
      </c>
    </row>
    <row r="511" spans="1:21" ht="15.75" x14ac:dyDescent="0.3">
      <c r="A511" s="137">
        <f t="shared" si="51"/>
        <v>37</v>
      </c>
      <c r="B511" s="162"/>
      <c r="C511" s="135">
        <v>0</v>
      </c>
      <c r="D511" s="135">
        <v>0</v>
      </c>
      <c r="E511" s="135">
        <v>0</v>
      </c>
      <c r="F511" s="135">
        <v>0</v>
      </c>
      <c r="G511" s="135">
        <v>0</v>
      </c>
      <c r="H511" s="135">
        <v>0</v>
      </c>
      <c r="I511" s="135">
        <v>0</v>
      </c>
      <c r="J511" s="135">
        <v>0</v>
      </c>
      <c r="K511" s="135">
        <v>0</v>
      </c>
      <c r="L511" s="135">
        <v>0</v>
      </c>
      <c r="M511" s="135">
        <v>0</v>
      </c>
      <c r="N511" s="135">
        <v>0</v>
      </c>
      <c r="O511" s="135">
        <v>0</v>
      </c>
      <c r="P511" s="135">
        <v>0</v>
      </c>
      <c r="Q511" s="135"/>
      <c r="R511" s="135"/>
      <c r="S511" s="131">
        <f t="shared" si="49"/>
        <v>0</v>
      </c>
      <c r="T511" s="131"/>
      <c r="U511" s="131">
        <f t="shared" si="50"/>
        <v>0</v>
      </c>
    </row>
    <row r="512" spans="1:21" ht="15.75" x14ac:dyDescent="0.3">
      <c r="A512" s="137">
        <f t="shared" si="51"/>
        <v>38</v>
      </c>
      <c r="B512" s="162"/>
      <c r="C512" s="135"/>
      <c r="D512" s="135"/>
      <c r="E512" s="135"/>
      <c r="F512" s="135"/>
      <c r="G512" s="135"/>
      <c r="H512" s="135">
        <v>0</v>
      </c>
      <c r="I512" s="135"/>
      <c r="J512" s="135">
        <v>0</v>
      </c>
      <c r="K512" s="135"/>
      <c r="L512" s="135">
        <v>0</v>
      </c>
      <c r="M512" s="135"/>
      <c r="N512" s="135">
        <v>0</v>
      </c>
      <c r="O512" s="135">
        <v>0</v>
      </c>
      <c r="P512" s="135">
        <v>0</v>
      </c>
      <c r="Q512" s="135"/>
      <c r="R512" s="135"/>
      <c r="S512" s="131">
        <f t="shared" si="49"/>
        <v>0</v>
      </c>
      <c r="T512" s="131"/>
      <c r="U512" s="131">
        <f t="shared" si="50"/>
        <v>0</v>
      </c>
    </row>
    <row r="513" spans="1:21" ht="15.75" x14ac:dyDescent="0.3">
      <c r="A513" s="137">
        <f t="shared" si="51"/>
        <v>39</v>
      </c>
      <c r="B513" s="162"/>
      <c r="C513" s="135"/>
      <c r="D513" s="135"/>
      <c r="E513" s="135"/>
      <c r="F513" s="135"/>
      <c r="G513" s="135"/>
      <c r="H513" s="135">
        <v>0</v>
      </c>
      <c r="I513" s="135"/>
      <c r="J513" s="135">
        <v>0</v>
      </c>
      <c r="K513" s="135"/>
      <c r="L513" s="135">
        <v>0</v>
      </c>
      <c r="M513" s="135"/>
      <c r="N513" s="135">
        <v>0</v>
      </c>
      <c r="O513" s="135">
        <v>0</v>
      </c>
      <c r="P513" s="135">
        <v>0</v>
      </c>
      <c r="Q513" s="135"/>
      <c r="R513" s="135"/>
      <c r="S513" s="131">
        <f t="shared" si="49"/>
        <v>0</v>
      </c>
      <c r="T513" s="131"/>
      <c r="U513" s="131">
        <f t="shared" si="50"/>
        <v>0</v>
      </c>
    </row>
    <row r="514" spans="1:21" ht="15.75" x14ac:dyDescent="0.3">
      <c r="A514" s="137">
        <f t="shared" si="51"/>
        <v>40</v>
      </c>
      <c r="B514" s="162"/>
      <c r="C514" s="135"/>
      <c r="D514" s="135"/>
      <c r="E514" s="135"/>
      <c r="F514" s="135"/>
      <c r="G514" s="135"/>
      <c r="H514" s="135">
        <v>0</v>
      </c>
      <c r="I514" s="135"/>
      <c r="J514" s="135">
        <v>0</v>
      </c>
      <c r="K514" s="135"/>
      <c r="L514" s="135">
        <v>0</v>
      </c>
      <c r="M514" s="135"/>
      <c r="N514" s="135">
        <v>0</v>
      </c>
      <c r="O514" s="135">
        <v>0</v>
      </c>
      <c r="P514" s="135">
        <v>0</v>
      </c>
      <c r="Q514" s="135"/>
      <c r="R514" s="135"/>
      <c r="S514" s="131">
        <f t="shared" si="49"/>
        <v>0</v>
      </c>
      <c r="T514" s="131"/>
      <c r="U514" s="131">
        <f t="shared" si="50"/>
        <v>0</v>
      </c>
    </row>
    <row r="515" spans="1:21" ht="15.75" x14ac:dyDescent="0.3">
      <c r="A515" s="137">
        <f t="shared" si="51"/>
        <v>41</v>
      </c>
      <c r="B515" s="162"/>
      <c r="C515" s="135"/>
      <c r="D515" s="135"/>
      <c r="E515" s="135"/>
      <c r="F515" s="135"/>
      <c r="G515" s="135"/>
      <c r="H515" s="135">
        <v>0</v>
      </c>
      <c r="I515" s="135"/>
      <c r="J515" s="135">
        <v>0</v>
      </c>
      <c r="K515" s="135"/>
      <c r="L515" s="135">
        <v>0</v>
      </c>
      <c r="M515" s="135"/>
      <c r="N515" s="135">
        <v>0</v>
      </c>
      <c r="O515" s="135">
        <v>0</v>
      </c>
      <c r="P515" s="135">
        <v>0</v>
      </c>
      <c r="Q515" s="135"/>
      <c r="R515" s="135"/>
      <c r="S515" s="131">
        <f t="shared" si="49"/>
        <v>0</v>
      </c>
      <c r="T515" s="131"/>
      <c r="U515" s="131">
        <f t="shared" si="50"/>
        <v>0</v>
      </c>
    </row>
    <row r="516" spans="1:21" x14ac:dyDescent="0.25">
      <c r="A516" s="130"/>
      <c r="B516" s="130"/>
      <c r="C516" s="132">
        <f>SUM(C474:C515)</f>
        <v>372500</v>
      </c>
      <c r="D516" s="132">
        <f t="shared" ref="D516:H516" si="52">SUM(D474:D515)</f>
        <v>32000</v>
      </c>
      <c r="E516" s="132">
        <f t="shared" si="52"/>
        <v>32000</v>
      </c>
      <c r="F516" s="132">
        <f t="shared" si="52"/>
        <v>128000</v>
      </c>
      <c r="G516" s="132">
        <f t="shared" si="52"/>
        <v>800000</v>
      </c>
      <c r="H516" s="132">
        <f t="shared" si="52"/>
        <v>17500</v>
      </c>
      <c r="I516" s="132">
        <f>SUM(I475:I515)</f>
        <v>1200000</v>
      </c>
      <c r="J516" s="132">
        <f t="shared" ref="J516:U516" si="53">SUM(J474:J515)</f>
        <v>59000</v>
      </c>
      <c r="K516" s="132">
        <f t="shared" si="53"/>
        <v>1400000</v>
      </c>
      <c r="L516" s="132">
        <f t="shared" si="53"/>
        <v>1344000</v>
      </c>
      <c r="M516" s="132">
        <f t="shared" si="53"/>
        <v>303000</v>
      </c>
      <c r="N516" s="132">
        <f t="shared" si="53"/>
        <v>0</v>
      </c>
      <c r="O516" s="132">
        <f t="shared" si="53"/>
        <v>18000</v>
      </c>
      <c r="P516" s="132">
        <f t="shared" si="53"/>
        <v>0</v>
      </c>
      <c r="Q516" s="132">
        <f t="shared" si="53"/>
        <v>210000</v>
      </c>
      <c r="R516" s="132">
        <f t="shared" si="53"/>
        <v>0</v>
      </c>
      <c r="S516" s="132">
        <f t="shared" si="53"/>
        <v>5916000</v>
      </c>
      <c r="T516" s="133">
        <f t="shared" si="53"/>
        <v>0</v>
      </c>
      <c r="U516" s="133">
        <f t="shared" si="53"/>
        <v>5916000</v>
      </c>
    </row>
    <row r="517" spans="1:21" ht="21" x14ac:dyDescent="0.35">
      <c r="B517" s="214" t="s">
        <v>197</v>
      </c>
      <c r="C517" s="214"/>
      <c r="D517" s="214"/>
      <c r="E517" s="214"/>
      <c r="F517" s="214"/>
      <c r="G517" s="214"/>
      <c r="H517" s="214"/>
      <c r="I517" s="214"/>
      <c r="J517" s="134"/>
      <c r="K517" s="134"/>
      <c r="L517" s="134"/>
      <c r="M517" s="134"/>
      <c r="N517" s="134"/>
      <c r="O517" s="134"/>
      <c r="P517" s="134"/>
      <c r="Q517" s="134"/>
      <c r="R517" s="134"/>
      <c r="S517" s="134"/>
      <c r="T517" s="134"/>
      <c r="U517" s="134"/>
    </row>
    <row r="518" spans="1:21" x14ac:dyDescent="0.25"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</row>
    <row r="519" spans="1:21" s="128" customFormat="1" x14ac:dyDescent="0.25">
      <c r="B519" s="137"/>
      <c r="C519" s="209" t="s">
        <v>75</v>
      </c>
      <c r="D519" s="209" t="s">
        <v>168</v>
      </c>
      <c r="E519" s="209" t="s">
        <v>169</v>
      </c>
      <c r="F519" s="209" t="s">
        <v>170</v>
      </c>
      <c r="G519" s="211" t="s">
        <v>171</v>
      </c>
      <c r="H519" s="213"/>
      <c r="I519" s="211" t="s">
        <v>200</v>
      </c>
      <c r="J519" s="213"/>
      <c r="K519" s="211" t="s">
        <v>201</v>
      </c>
      <c r="L519" s="213"/>
      <c r="M519" s="209" t="s">
        <v>174</v>
      </c>
      <c r="N519" s="209" t="s">
        <v>175</v>
      </c>
      <c r="O519" s="209" t="s">
        <v>176</v>
      </c>
      <c r="P519" s="209" t="s">
        <v>177</v>
      </c>
      <c r="Q519" s="209" t="s">
        <v>178</v>
      </c>
      <c r="R519" s="209"/>
      <c r="S519" s="211" t="s">
        <v>179</v>
      </c>
      <c r="T519" s="212"/>
      <c r="U519" s="213"/>
    </row>
    <row r="520" spans="1:21" s="128" customFormat="1" x14ac:dyDescent="0.25">
      <c r="B520" s="137"/>
      <c r="C520" s="210"/>
      <c r="D520" s="210"/>
      <c r="E520" s="210"/>
      <c r="F520" s="210"/>
      <c r="G520" s="137" t="s">
        <v>180</v>
      </c>
      <c r="H520" s="137" t="s">
        <v>181</v>
      </c>
      <c r="I520" s="137" t="s">
        <v>180</v>
      </c>
      <c r="J520" s="137" t="s">
        <v>181</v>
      </c>
      <c r="K520" s="137" t="s">
        <v>180</v>
      </c>
      <c r="L520" s="137" t="s">
        <v>181</v>
      </c>
      <c r="M520" s="210"/>
      <c r="N520" s="210"/>
      <c r="O520" s="210"/>
      <c r="P520" s="210"/>
      <c r="Q520" s="210"/>
      <c r="R520" s="210"/>
      <c r="S520" s="137" t="s">
        <v>74</v>
      </c>
      <c r="T520" s="137" t="s">
        <v>182</v>
      </c>
      <c r="U520" s="137" t="s">
        <v>183</v>
      </c>
    </row>
    <row r="521" spans="1:21" ht="15.75" x14ac:dyDescent="0.3">
      <c r="A521" s="81">
        <v>0</v>
      </c>
      <c r="B521" s="138" t="s">
        <v>88</v>
      </c>
      <c r="C521" s="135"/>
      <c r="D521" s="135"/>
      <c r="E521" s="135"/>
      <c r="F521" s="135"/>
      <c r="G521" s="135"/>
      <c r="H521" s="135"/>
      <c r="I521" s="135"/>
      <c r="J521" s="135"/>
      <c r="K521" s="135"/>
      <c r="L521" s="135"/>
      <c r="M521" s="135"/>
      <c r="N521" s="135"/>
      <c r="O521" s="135"/>
      <c r="P521" s="135"/>
      <c r="Q521" s="135"/>
      <c r="R521" s="135"/>
      <c r="S521" s="131">
        <f t="shared" ref="S521:S562" si="54">+R521+Q521+P521+O521+N521+M521+L521+K521+J521+I521+H521+G521+F521+E521+D521+C521</f>
        <v>0</v>
      </c>
      <c r="T521" s="131"/>
      <c r="U521" s="131">
        <f t="shared" ref="U521:U562" si="55">+S521-T521</f>
        <v>0</v>
      </c>
    </row>
    <row r="522" spans="1:21" ht="15.75" x14ac:dyDescent="0.3">
      <c r="A522" s="81">
        <f>1+A521</f>
        <v>1</v>
      </c>
      <c r="B522" s="162" t="s">
        <v>39</v>
      </c>
      <c r="C522" s="135"/>
      <c r="D522" s="135"/>
      <c r="E522" s="135"/>
      <c r="F522" s="135"/>
      <c r="G522" s="135"/>
      <c r="H522" s="135"/>
      <c r="I522" s="135"/>
      <c r="J522" s="135"/>
      <c r="K522" s="135"/>
      <c r="L522" s="135"/>
      <c r="M522" s="135"/>
      <c r="N522" s="135"/>
      <c r="O522" s="135"/>
      <c r="P522" s="135"/>
      <c r="Q522" s="135"/>
      <c r="R522" s="135"/>
      <c r="S522" s="131">
        <f t="shared" si="54"/>
        <v>0</v>
      </c>
      <c r="T522" s="131"/>
      <c r="U522" s="131">
        <f t="shared" si="55"/>
        <v>0</v>
      </c>
    </row>
    <row r="523" spans="1:21" ht="15.75" x14ac:dyDescent="0.3">
      <c r="A523" s="81">
        <f t="shared" ref="A523:A562" si="56">1+A522</f>
        <v>2</v>
      </c>
      <c r="B523" s="162" t="s">
        <v>43</v>
      </c>
      <c r="C523" s="135"/>
      <c r="D523" s="135"/>
      <c r="E523" s="135"/>
      <c r="F523" s="135"/>
      <c r="G523" s="135"/>
      <c r="H523" s="135"/>
      <c r="I523" s="135"/>
      <c r="J523" s="135"/>
      <c r="K523" s="135"/>
      <c r="L523" s="135"/>
      <c r="M523" s="135"/>
      <c r="N523" s="135"/>
      <c r="O523" s="135"/>
      <c r="P523" s="135"/>
      <c r="Q523" s="135"/>
      <c r="R523" s="135"/>
      <c r="S523" s="131">
        <f t="shared" si="54"/>
        <v>0</v>
      </c>
      <c r="T523" s="131"/>
      <c r="U523" s="131">
        <f t="shared" si="55"/>
        <v>0</v>
      </c>
    </row>
    <row r="524" spans="1:21" ht="15.75" x14ac:dyDescent="0.3">
      <c r="A524" s="81">
        <f t="shared" si="56"/>
        <v>3</v>
      </c>
      <c r="B524" s="162" t="s">
        <v>89</v>
      </c>
      <c r="C524" s="135"/>
      <c r="D524" s="135"/>
      <c r="E524" s="135"/>
      <c r="F524" s="135"/>
      <c r="G524" s="135"/>
      <c r="H524" s="135"/>
      <c r="I524" s="135"/>
      <c r="J524" s="135"/>
      <c r="K524" s="135"/>
      <c r="L524" s="135"/>
      <c r="M524" s="135"/>
      <c r="N524" s="135"/>
      <c r="O524" s="135"/>
      <c r="P524" s="135"/>
      <c r="Q524" s="135"/>
      <c r="R524" s="135"/>
      <c r="S524" s="131">
        <f t="shared" si="54"/>
        <v>0</v>
      </c>
      <c r="T524" s="131"/>
      <c r="U524" s="131">
        <f t="shared" si="55"/>
        <v>0</v>
      </c>
    </row>
    <row r="525" spans="1:21" ht="15.75" x14ac:dyDescent="0.3">
      <c r="A525" s="81">
        <f t="shared" si="56"/>
        <v>4</v>
      </c>
      <c r="B525" s="162" t="s">
        <v>90</v>
      </c>
      <c r="C525" s="135"/>
      <c r="D525" s="135"/>
      <c r="E525" s="135"/>
      <c r="F525" s="135"/>
      <c r="G525" s="135"/>
      <c r="H525" s="135"/>
      <c r="I525" s="135"/>
      <c r="J525" s="135"/>
      <c r="K525" s="135"/>
      <c r="L525" s="135"/>
      <c r="M525" s="135"/>
      <c r="N525" s="135"/>
      <c r="O525" s="135"/>
      <c r="P525" s="135"/>
      <c r="Q525" s="135"/>
      <c r="R525" s="135"/>
      <c r="S525" s="131">
        <f t="shared" si="54"/>
        <v>0</v>
      </c>
      <c r="T525" s="131"/>
      <c r="U525" s="131">
        <f t="shared" si="55"/>
        <v>0</v>
      </c>
    </row>
    <row r="526" spans="1:21" ht="15.75" x14ac:dyDescent="0.3">
      <c r="A526" s="81">
        <f t="shared" si="56"/>
        <v>5</v>
      </c>
      <c r="B526" s="162" t="s">
        <v>91</v>
      </c>
      <c r="C526" s="135"/>
      <c r="D526" s="135"/>
      <c r="E526" s="135"/>
      <c r="F526" s="135"/>
      <c r="G526" s="135"/>
      <c r="H526" s="135"/>
      <c r="I526" s="135"/>
      <c r="J526" s="135"/>
      <c r="K526" s="135"/>
      <c r="L526" s="135"/>
      <c r="M526" s="135"/>
      <c r="N526" s="135"/>
      <c r="O526" s="135"/>
      <c r="P526" s="135"/>
      <c r="Q526" s="135"/>
      <c r="R526" s="135"/>
      <c r="S526" s="131">
        <f t="shared" si="54"/>
        <v>0</v>
      </c>
      <c r="T526" s="131"/>
      <c r="U526" s="131">
        <f t="shared" si="55"/>
        <v>0</v>
      </c>
    </row>
    <row r="527" spans="1:21" ht="15.75" x14ac:dyDescent="0.3">
      <c r="A527" s="81">
        <f t="shared" si="56"/>
        <v>6</v>
      </c>
      <c r="B527" s="157" t="s">
        <v>92</v>
      </c>
      <c r="C527" s="135"/>
      <c r="D527" s="135"/>
      <c r="E527" s="135"/>
      <c r="F527" s="135"/>
      <c r="G527" s="135"/>
      <c r="H527" s="135"/>
      <c r="I527" s="135"/>
      <c r="J527" s="135"/>
      <c r="K527" s="135"/>
      <c r="L527" s="135"/>
      <c r="M527" s="135"/>
      <c r="N527" s="135"/>
      <c r="O527" s="135"/>
      <c r="P527" s="135"/>
      <c r="Q527" s="135"/>
      <c r="R527" s="135"/>
      <c r="S527" s="131">
        <f t="shared" si="54"/>
        <v>0</v>
      </c>
      <c r="T527" s="131"/>
      <c r="U527" s="131">
        <f t="shared" si="55"/>
        <v>0</v>
      </c>
    </row>
    <row r="528" spans="1:21" ht="15.75" x14ac:dyDescent="0.3">
      <c r="A528" s="81">
        <f t="shared" si="56"/>
        <v>7</v>
      </c>
      <c r="B528" s="162" t="s">
        <v>93</v>
      </c>
      <c r="C528" s="135"/>
      <c r="D528" s="135"/>
      <c r="E528" s="135"/>
      <c r="F528" s="135"/>
      <c r="G528" s="135"/>
      <c r="H528" s="135"/>
      <c r="I528" s="135"/>
      <c r="J528" s="135"/>
      <c r="K528" s="135"/>
      <c r="L528" s="135"/>
      <c r="M528" s="135"/>
      <c r="N528" s="135"/>
      <c r="O528" s="135"/>
      <c r="P528" s="135"/>
      <c r="Q528" s="135"/>
      <c r="R528" s="135"/>
      <c r="S528" s="131">
        <f t="shared" si="54"/>
        <v>0</v>
      </c>
      <c r="T528" s="131"/>
      <c r="U528" s="131">
        <f t="shared" si="55"/>
        <v>0</v>
      </c>
    </row>
    <row r="529" spans="1:21" ht="15.75" x14ac:dyDescent="0.3">
      <c r="A529" s="81">
        <f t="shared" si="56"/>
        <v>8</v>
      </c>
      <c r="B529" s="138" t="s">
        <v>114</v>
      </c>
      <c r="C529" s="135"/>
      <c r="D529" s="135"/>
      <c r="E529" s="135"/>
      <c r="F529" s="135"/>
      <c r="G529" s="135"/>
      <c r="H529" s="135"/>
      <c r="I529" s="135"/>
      <c r="J529" s="135"/>
      <c r="K529" s="135"/>
      <c r="L529" s="135"/>
      <c r="M529" s="135"/>
      <c r="N529" s="135"/>
      <c r="O529" s="135"/>
      <c r="P529" s="135"/>
      <c r="Q529" s="135"/>
      <c r="R529" s="135"/>
      <c r="S529" s="131">
        <f t="shared" si="54"/>
        <v>0</v>
      </c>
      <c r="T529" s="131"/>
      <c r="U529" s="131">
        <f t="shared" si="55"/>
        <v>0</v>
      </c>
    </row>
    <row r="530" spans="1:21" ht="15.75" x14ac:dyDescent="0.3">
      <c r="A530" s="81">
        <f t="shared" si="56"/>
        <v>9</v>
      </c>
      <c r="B530" s="157" t="s">
        <v>42</v>
      </c>
      <c r="C530" s="135"/>
      <c r="D530" s="135"/>
      <c r="E530" s="135"/>
      <c r="F530" s="135"/>
      <c r="G530" s="135"/>
      <c r="H530" s="135"/>
      <c r="I530" s="135"/>
      <c r="J530" s="135"/>
      <c r="K530" s="135"/>
      <c r="L530" s="135"/>
      <c r="M530" s="135"/>
      <c r="N530" s="135"/>
      <c r="O530" s="135"/>
      <c r="P530" s="135"/>
      <c r="Q530" s="135"/>
      <c r="R530" s="135"/>
      <c r="S530" s="131">
        <f t="shared" si="54"/>
        <v>0</v>
      </c>
      <c r="T530" s="131"/>
      <c r="U530" s="131">
        <f t="shared" si="55"/>
        <v>0</v>
      </c>
    </row>
    <row r="531" spans="1:21" ht="15.75" x14ac:dyDescent="0.3">
      <c r="A531" s="81">
        <f t="shared" si="56"/>
        <v>10</v>
      </c>
      <c r="B531" s="157" t="s">
        <v>37</v>
      </c>
      <c r="C531" s="135"/>
      <c r="D531" s="135"/>
      <c r="E531" s="135"/>
      <c r="F531" s="135"/>
      <c r="G531" s="135"/>
      <c r="H531" s="135"/>
      <c r="I531" s="135"/>
      <c r="J531" s="135"/>
      <c r="K531" s="135"/>
      <c r="L531" s="135"/>
      <c r="M531" s="135"/>
      <c r="N531" s="135"/>
      <c r="O531" s="135"/>
      <c r="P531" s="135"/>
      <c r="Q531" s="135"/>
      <c r="R531" s="135"/>
      <c r="S531" s="131">
        <f t="shared" si="54"/>
        <v>0</v>
      </c>
      <c r="T531" s="131"/>
      <c r="U531" s="131">
        <f t="shared" si="55"/>
        <v>0</v>
      </c>
    </row>
    <row r="532" spans="1:21" ht="15.75" x14ac:dyDescent="0.3">
      <c r="A532" s="81">
        <f t="shared" si="56"/>
        <v>11</v>
      </c>
      <c r="B532" s="157" t="s">
        <v>94</v>
      </c>
      <c r="C532" s="135"/>
      <c r="D532" s="135"/>
      <c r="E532" s="135"/>
      <c r="F532" s="135"/>
      <c r="G532" s="135"/>
      <c r="H532" s="135"/>
      <c r="I532" s="135"/>
      <c r="J532" s="135"/>
      <c r="K532" s="135"/>
      <c r="L532" s="135"/>
      <c r="M532" s="135"/>
      <c r="N532" s="135"/>
      <c r="O532" s="135"/>
      <c r="P532" s="135"/>
      <c r="Q532" s="135"/>
      <c r="R532" s="135"/>
      <c r="S532" s="131">
        <f t="shared" si="54"/>
        <v>0</v>
      </c>
      <c r="T532" s="131"/>
      <c r="U532" s="131">
        <f t="shared" si="55"/>
        <v>0</v>
      </c>
    </row>
    <row r="533" spans="1:21" ht="15.75" x14ac:dyDescent="0.3">
      <c r="A533" s="81">
        <f t="shared" si="56"/>
        <v>12</v>
      </c>
      <c r="B533" s="162" t="s">
        <v>95</v>
      </c>
      <c r="C533" s="135"/>
      <c r="D533" s="135"/>
      <c r="E533" s="135"/>
      <c r="F533" s="135"/>
      <c r="G533" s="135"/>
      <c r="H533" s="135"/>
      <c r="I533" s="135"/>
      <c r="J533" s="135"/>
      <c r="K533" s="135"/>
      <c r="L533" s="135"/>
      <c r="M533" s="135"/>
      <c r="N533" s="135"/>
      <c r="O533" s="135"/>
      <c r="P533" s="135"/>
      <c r="Q533" s="135"/>
      <c r="R533" s="135"/>
      <c r="S533" s="131">
        <f t="shared" si="54"/>
        <v>0</v>
      </c>
      <c r="T533" s="131"/>
      <c r="U533" s="131">
        <f t="shared" si="55"/>
        <v>0</v>
      </c>
    </row>
    <row r="534" spans="1:21" ht="15.75" x14ac:dyDescent="0.3">
      <c r="A534" s="81">
        <f t="shared" si="56"/>
        <v>13</v>
      </c>
      <c r="B534" s="162" t="s">
        <v>96</v>
      </c>
      <c r="C534" s="135"/>
      <c r="D534" s="135"/>
      <c r="E534" s="135"/>
      <c r="F534" s="135"/>
      <c r="G534" s="135"/>
      <c r="H534" s="135"/>
      <c r="I534" s="135"/>
      <c r="J534" s="135"/>
      <c r="K534" s="135"/>
      <c r="L534" s="135"/>
      <c r="M534" s="135"/>
      <c r="N534" s="135"/>
      <c r="O534" s="135"/>
      <c r="P534" s="135"/>
      <c r="Q534" s="135"/>
      <c r="R534" s="135"/>
      <c r="S534" s="131">
        <f t="shared" si="54"/>
        <v>0</v>
      </c>
      <c r="T534" s="131"/>
      <c r="U534" s="131">
        <f t="shared" si="55"/>
        <v>0</v>
      </c>
    </row>
    <row r="535" spans="1:21" ht="15.75" x14ac:dyDescent="0.3">
      <c r="A535" s="81">
        <f t="shared" si="56"/>
        <v>14</v>
      </c>
      <c r="B535" s="162" t="s">
        <v>97</v>
      </c>
      <c r="C535" s="135"/>
      <c r="D535" s="135"/>
      <c r="E535" s="135"/>
      <c r="F535" s="135"/>
      <c r="G535" s="135"/>
      <c r="H535" s="135"/>
      <c r="I535" s="135"/>
      <c r="J535" s="135"/>
      <c r="K535" s="135"/>
      <c r="L535" s="135"/>
      <c r="M535" s="135"/>
      <c r="N535" s="135"/>
      <c r="O535" s="135"/>
      <c r="P535" s="135"/>
      <c r="Q535" s="135"/>
      <c r="R535" s="135"/>
      <c r="S535" s="131">
        <f t="shared" si="54"/>
        <v>0</v>
      </c>
      <c r="T535" s="131"/>
      <c r="U535" s="131">
        <f t="shared" si="55"/>
        <v>0</v>
      </c>
    </row>
    <row r="536" spans="1:21" ht="15.75" x14ac:dyDescent="0.3">
      <c r="A536" s="81">
        <f t="shared" si="56"/>
        <v>15</v>
      </c>
      <c r="B536" s="162" t="s">
        <v>98</v>
      </c>
      <c r="C536" s="135"/>
      <c r="D536" s="135"/>
      <c r="E536" s="135"/>
      <c r="F536" s="135"/>
      <c r="G536" s="135"/>
      <c r="H536" s="135"/>
      <c r="I536" s="135"/>
      <c r="J536" s="135"/>
      <c r="K536" s="135"/>
      <c r="L536" s="135"/>
      <c r="M536" s="135"/>
      <c r="N536" s="135"/>
      <c r="O536" s="135"/>
      <c r="P536" s="135"/>
      <c r="Q536" s="135"/>
      <c r="R536" s="135"/>
      <c r="S536" s="131">
        <f t="shared" si="54"/>
        <v>0</v>
      </c>
      <c r="T536" s="131"/>
      <c r="U536" s="131">
        <f t="shared" si="55"/>
        <v>0</v>
      </c>
    </row>
    <row r="537" spans="1:21" ht="15.75" x14ac:dyDescent="0.3">
      <c r="A537" s="81">
        <f t="shared" si="56"/>
        <v>16</v>
      </c>
      <c r="B537" s="162" t="s">
        <v>99</v>
      </c>
      <c r="C537" s="135"/>
      <c r="D537" s="135"/>
      <c r="E537" s="135"/>
      <c r="F537" s="135"/>
      <c r="G537" s="135"/>
      <c r="H537" s="135"/>
      <c r="I537" s="135"/>
      <c r="J537" s="135"/>
      <c r="K537" s="135"/>
      <c r="L537" s="135"/>
      <c r="M537" s="135"/>
      <c r="N537" s="135"/>
      <c r="O537" s="135"/>
      <c r="P537" s="135"/>
      <c r="Q537" s="135"/>
      <c r="R537" s="135"/>
      <c r="S537" s="131">
        <f t="shared" si="54"/>
        <v>0</v>
      </c>
      <c r="T537" s="131"/>
      <c r="U537" s="131">
        <f t="shared" si="55"/>
        <v>0</v>
      </c>
    </row>
    <row r="538" spans="1:21" ht="15.75" x14ac:dyDescent="0.3">
      <c r="A538" s="81">
        <f t="shared" si="56"/>
        <v>17</v>
      </c>
      <c r="B538" s="162" t="s">
        <v>100</v>
      </c>
      <c r="C538" s="135"/>
      <c r="D538" s="135"/>
      <c r="E538" s="135"/>
      <c r="F538" s="135"/>
      <c r="G538" s="135"/>
      <c r="H538" s="135"/>
      <c r="I538" s="135"/>
      <c r="J538" s="135"/>
      <c r="K538" s="135"/>
      <c r="L538" s="135"/>
      <c r="M538" s="135"/>
      <c r="N538" s="135"/>
      <c r="O538" s="135"/>
      <c r="P538" s="135"/>
      <c r="Q538" s="135"/>
      <c r="R538" s="135"/>
      <c r="S538" s="131">
        <f t="shared" si="54"/>
        <v>0</v>
      </c>
      <c r="T538" s="131"/>
      <c r="U538" s="131">
        <f t="shared" si="55"/>
        <v>0</v>
      </c>
    </row>
    <row r="539" spans="1:21" ht="15.75" x14ac:dyDescent="0.3">
      <c r="A539" s="81">
        <f t="shared" si="56"/>
        <v>18</v>
      </c>
      <c r="B539" s="162" t="s">
        <v>38</v>
      </c>
      <c r="C539" s="135"/>
      <c r="D539" s="135"/>
      <c r="E539" s="135"/>
      <c r="F539" s="135"/>
      <c r="G539" s="135"/>
      <c r="H539" s="135"/>
      <c r="I539" s="135"/>
      <c r="J539" s="135"/>
      <c r="K539" s="135"/>
      <c r="L539" s="135"/>
      <c r="M539" s="135"/>
      <c r="N539" s="135"/>
      <c r="O539" s="135"/>
      <c r="P539" s="135"/>
      <c r="Q539" s="135"/>
      <c r="R539" s="135"/>
      <c r="S539" s="131">
        <f t="shared" si="54"/>
        <v>0</v>
      </c>
      <c r="T539" s="131"/>
      <c r="U539" s="131">
        <f t="shared" si="55"/>
        <v>0</v>
      </c>
    </row>
    <row r="540" spans="1:21" ht="15.75" x14ac:dyDescent="0.3">
      <c r="A540" s="81">
        <f t="shared" si="56"/>
        <v>19</v>
      </c>
      <c r="B540" s="157" t="s">
        <v>101</v>
      </c>
      <c r="C540" s="135"/>
      <c r="D540" s="135"/>
      <c r="E540" s="135"/>
      <c r="F540" s="135"/>
      <c r="G540" s="135"/>
      <c r="H540" s="135"/>
      <c r="I540" s="135"/>
      <c r="J540" s="135"/>
      <c r="K540" s="135"/>
      <c r="L540" s="135"/>
      <c r="M540" s="135"/>
      <c r="N540" s="135"/>
      <c r="O540" s="135"/>
      <c r="P540" s="135"/>
      <c r="Q540" s="135"/>
      <c r="R540" s="135"/>
      <c r="S540" s="131">
        <f t="shared" si="54"/>
        <v>0</v>
      </c>
      <c r="T540" s="131"/>
      <c r="U540" s="131">
        <f t="shared" si="55"/>
        <v>0</v>
      </c>
    </row>
    <row r="541" spans="1:21" ht="15.75" x14ac:dyDescent="0.3">
      <c r="A541" s="81">
        <f t="shared" si="56"/>
        <v>20</v>
      </c>
      <c r="B541" s="157" t="s">
        <v>102</v>
      </c>
      <c r="C541" s="135"/>
      <c r="D541" s="135"/>
      <c r="E541" s="135"/>
      <c r="F541" s="135"/>
      <c r="G541" s="135"/>
      <c r="H541" s="135"/>
      <c r="I541" s="135"/>
      <c r="J541" s="135"/>
      <c r="K541" s="135"/>
      <c r="L541" s="135"/>
      <c r="M541" s="135"/>
      <c r="N541" s="135"/>
      <c r="O541" s="135"/>
      <c r="P541" s="135"/>
      <c r="Q541" s="135"/>
      <c r="R541" s="135"/>
      <c r="S541" s="131">
        <f t="shared" si="54"/>
        <v>0</v>
      </c>
      <c r="T541" s="131"/>
      <c r="U541" s="131">
        <f t="shared" si="55"/>
        <v>0</v>
      </c>
    </row>
    <row r="542" spans="1:21" ht="15.75" x14ac:dyDescent="0.3">
      <c r="A542" s="81">
        <f t="shared" si="56"/>
        <v>21</v>
      </c>
      <c r="B542" s="138" t="s">
        <v>109</v>
      </c>
      <c r="C542" s="135"/>
      <c r="D542" s="135"/>
      <c r="E542" s="135"/>
      <c r="F542" s="135"/>
      <c r="G542" s="135"/>
      <c r="H542" s="135"/>
      <c r="I542" s="135"/>
      <c r="J542" s="135"/>
      <c r="K542" s="135"/>
      <c r="L542" s="135"/>
      <c r="M542" s="135"/>
      <c r="N542" s="135"/>
      <c r="O542" s="135"/>
      <c r="P542" s="135"/>
      <c r="Q542" s="135"/>
      <c r="R542" s="135"/>
      <c r="S542" s="131">
        <f t="shared" si="54"/>
        <v>0</v>
      </c>
      <c r="T542" s="131"/>
      <c r="U542" s="131">
        <f t="shared" si="55"/>
        <v>0</v>
      </c>
    </row>
    <row r="543" spans="1:21" ht="15.75" x14ac:dyDescent="0.3">
      <c r="A543" s="81">
        <f t="shared" si="56"/>
        <v>22</v>
      </c>
      <c r="B543" s="157" t="s">
        <v>166</v>
      </c>
      <c r="C543" s="135"/>
      <c r="D543" s="135"/>
      <c r="E543" s="135"/>
      <c r="F543" s="135"/>
      <c r="G543" s="135"/>
      <c r="H543" s="135"/>
      <c r="I543" s="135"/>
      <c r="J543" s="135"/>
      <c r="K543" s="135"/>
      <c r="L543" s="135"/>
      <c r="M543" s="135"/>
      <c r="N543" s="135"/>
      <c r="O543" s="135"/>
      <c r="P543" s="135"/>
      <c r="Q543" s="135"/>
      <c r="R543" s="135"/>
      <c r="S543" s="131">
        <f t="shared" si="54"/>
        <v>0</v>
      </c>
      <c r="T543" s="131"/>
      <c r="U543" s="131">
        <f t="shared" si="55"/>
        <v>0</v>
      </c>
    </row>
    <row r="544" spans="1:21" ht="15.75" x14ac:dyDescent="0.3">
      <c r="A544" s="81">
        <f t="shared" si="56"/>
        <v>23</v>
      </c>
      <c r="B544" s="157" t="s">
        <v>41</v>
      </c>
      <c r="C544" s="135"/>
      <c r="D544" s="135"/>
      <c r="E544" s="135"/>
      <c r="F544" s="135"/>
      <c r="G544" s="135"/>
      <c r="H544" s="135"/>
      <c r="I544" s="135"/>
      <c r="J544" s="135"/>
      <c r="K544" s="135"/>
      <c r="L544" s="135"/>
      <c r="M544" s="135"/>
      <c r="N544" s="135"/>
      <c r="O544" s="135"/>
      <c r="P544" s="135"/>
      <c r="Q544" s="135"/>
      <c r="R544" s="135"/>
      <c r="S544" s="131">
        <f t="shared" si="54"/>
        <v>0</v>
      </c>
      <c r="T544" s="131"/>
      <c r="U544" s="131">
        <f t="shared" si="55"/>
        <v>0</v>
      </c>
    </row>
    <row r="545" spans="1:21" ht="15.75" x14ac:dyDescent="0.3">
      <c r="A545" s="81">
        <f t="shared" si="56"/>
        <v>24</v>
      </c>
      <c r="B545" s="164" t="s">
        <v>165</v>
      </c>
      <c r="C545" s="135"/>
      <c r="D545" s="135"/>
      <c r="E545" s="135"/>
      <c r="F545" s="135"/>
      <c r="G545" s="135"/>
      <c r="H545" s="135"/>
      <c r="I545" s="135"/>
      <c r="J545" s="135"/>
      <c r="K545" s="135"/>
      <c r="L545" s="135"/>
      <c r="M545" s="135"/>
      <c r="N545" s="135"/>
      <c r="O545" s="135"/>
      <c r="P545" s="135"/>
      <c r="Q545" s="135"/>
      <c r="R545" s="135"/>
      <c r="S545" s="131">
        <f t="shared" si="54"/>
        <v>0</v>
      </c>
      <c r="T545" s="131"/>
      <c r="U545" s="131">
        <f t="shared" si="55"/>
        <v>0</v>
      </c>
    </row>
    <row r="546" spans="1:21" ht="15.75" x14ac:dyDescent="0.3">
      <c r="A546" s="81">
        <f t="shared" si="56"/>
        <v>25</v>
      </c>
      <c r="B546" s="164" t="s">
        <v>46</v>
      </c>
      <c r="C546" s="135"/>
      <c r="D546" s="135"/>
      <c r="E546" s="135"/>
      <c r="F546" s="135"/>
      <c r="G546" s="135"/>
      <c r="H546" s="135"/>
      <c r="I546" s="135"/>
      <c r="J546" s="135"/>
      <c r="K546" s="135"/>
      <c r="L546" s="135"/>
      <c r="M546" s="135"/>
      <c r="N546" s="135"/>
      <c r="O546" s="135"/>
      <c r="P546" s="135"/>
      <c r="Q546" s="135"/>
      <c r="R546" s="135"/>
      <c r="S546" s="131">
        <f t="shared" si="54"/>
        <v>0</v>
      </c>
      <c r="T546" s="131"/>
      <c r="U546" s="131">
        <f t="shared" si="55"/>
        <v>0</v>
      </c>
    </row>
    <row r="547" spans="1:21" ht="15.75" x14ac:dyDescent="0.3">
      <c r="A547" s="81">
        <f t="shared" si="56"/>
        <v>26</v>
      </c>
      <c r="B547" s="138" t="s">
        <v>104</v>
      </c>
      <c r="C547" s="135"/>
      <c r="D547" s="135"/>
      <c r="E547" s="135"/>
      <c r="F547" s="135"/>
      <c r="G547" s="135"/>
      <c r="H547" s="135"/>
      <c r="I547" s="135"/>
      <c r="J547" s="135"/>
      <c r="K547" s="135"/>
      <c r="L547" s="135"/>
      <c r="M547" s="135"/>
      <c r="N547" s="135"/>
      <c r="O547" s="135"/>
      <c r="P547" s="135"/>
      <c r="Q547" s="135"/>
      <c r="R547" s="135"/>
      <c r="S547" s="131">
        <f t="shared" si="54"/>
        <v>0</v>
      </c>
      <c r="T547" s="131"/>
      <c r="U547" s="131">
        <f t="shared" si="55"/>
        <v>0</v>
      </c>
    </row>
    <row r="548" spans="1:21" ht="15.75" x14ac:dyDescent="0.3">
      <c r="A548" s="81">
        <f t="shared" si="56"/>
        <v>27</v>
      </c>
      <c r="B548" s="164" t="s">
        <v>40</v>
      </c>
      <c r="C548" s="135"/>
      <c r="D548" s="135"/>
      <c r="E548" s="135"/>
      <c r="F548" s="135"/>
      <c r="G548" s="135"/>
      <c r="H548" s="135"/>
      <c r="I548" s="135"/>
      <c r="J548" s="135"/>
      <c r="K548" s="135"/>
      <c r="L548" s="135"/>
      <c r="M548" s="135"/>
      <c r="N548" s="135"/>
      <c r="O548" s="135"/>
      <c r="P548" s="135"/>
      <c r="Q548" s="135"/>
      <c r="R548" s="135"/>
      <c r="S548" s="131">
        <f t="shared" si="54"/>
        <v>0</v>
      </c>
      <c r="T548" s="131"/>
      <c r="U548" s="131">
        <f t="shared" si="55"/>
        <v>0</v>
      </c>
    </row>
    <row r="549" spans="1:21" ht="15.75" x14ac:dyDescent="0.3">
      <c r="A549" s="81">
        <f t="shared" si="56"/>
        <v>28</v>
      </c>
      <c r="B549" s="164" t="s">
        <v>105</v>
      </c>
      <c r="C549" s="135"/>
      <c r="D549" s="135"/>
      <c r="E549" s="135"/>
      <c r="F549" s="135"/>
      <c r="G549" s="135"/>
      <c r="H549" s="135"/>
      <c r="I549" s="135"/>
      <c r="J549" s="135"/>
      <c r="K549" s="135"/>
      <c r="L549" s="135"/>
      <c r="M549" s="135"/>
      <c r="N549" s="135"/>
      <c r="O549" s="135"/>
      <c r="P549" s="135"/>
      <c r="Q549" s="135"/>
      <c r="R549" s="135"/>
      <c r="S549" s="131">
        <f t="shared" si="54"/>
        <v>0</v>
      </c>
      <c r="T549" s="131"/>
      <c r="U549" s="131">
        <f t="shared" si="55"/>
        <v>0</v>
      </c>
    </row>
    <row r="550" spans="1:21" ht="15.75" x14ac:dyDescent="0.3">
      <c r="A550" s="81">
        <f t="shared" si="56"/>
        <v>29</v>
      </c>
      <c r="B550" s="164" t="s">
        <v>187</v>
      </c>
      <c r="C550" s="135"/>
      <c r="D550" s="135"/>
      <c r="E550" s="135"/>
      <c r="F550" s="135"/>
      <c r="G550" s="135"/>
      <c r="H550" s="135"/>
      <c r="I550" s="135"/>
      <c r="J550" s="135"/>
      <c r="K550" s="135"/>
      <c r="L550" s="135"/>
      <c r="M550" s="135"/>
      <c r="N550" s="135"/>
      <c r="O550" s="135"/>
      <c r="P550" s="135"/>
      <c r="Q550" s="135"/>
      <c r="R550" s="135"/>
      <c r="S550" s="131">
        <f t="shared" si="54"/>
        <v>0</v>
      </c>
      <c r="T550" s="131"/>
      <c r="U550" s="131">
        <f t="shared" si="55"/>
        <v>0</v>
      </c>
    </row>
    <row r="551" spans="1:21" ht="15.75" x14ac:dyDescent="0.3">
      <c r="A551" s="81">
        <f t="shared" si="56"/>
        <v>30</v>
      </c>
      <c r="B551" s="138" t="s">
        <v>110</v>
      </c>
      <c r="C551" s="135"/>
      <c r="D551" s="135"/>
      <c r="E551" s="135"/>
      <c r="F551" s="135"/>
      <c r="G551" s="135"/>
      <c r="H551" s="135"/>
      <c r="I551" s="135"/>
      <c r="J551" s="135"/>
      <c r="K551" s="135"/>
      <c r="L551" s="135"/>
      <c r="M551" s="135"/>
      <c r="N551" s="135"/>
      <c r="O551" s="135"/>
      <c r="P551" s="135"/>
      <c r="Q551" s="135"/>
      <c r="R551" s="135"/>
      <c r="S551" s="131">
        <f t="shared" si="54"/>
        <v>0</v>
      </c>
      <c r="T551" s="131"/>
      <c r="U551" s="131">
        <f t="shared" si="55"/>
        <v>0</v>
      </c>
    </row>
    <row r="552" spans="1:21" ht="15.75" x14ac:dyDescent="0.3">
      <c r="A552" s="81">
        <f t="shared" si="56"/>
        <v>31</v>
      </c>
      <c r="B552" s="164" t="s">
        <v>106</v>
      </c>
      <c r="C552" s="135"/>
      <c r="D552" s="135"/>
      <c r="E552" s="135"/>
      <c r="F552" s="135"/>
      <c r="G552" s="135"/>
      <c r="H552" s="135"/>
      <c r="I552" s="135"/>
      <c r="J552" s="135"/>
      <c r="K552" s="135"/>
      <c r="L552" s="135"/>
      <c r="M552" s="135"/>
      <c r="N552" s="135"/>
      <c r="O552" s="135"/>
      <c r="P552" s="135"/>
      <c r="Q552" s="135"/>
      <c r="R552" s="135"/>
      <c r="S552" s="131">
        <f t="shared" si="54"/>
        <v>0</v>
      </c>
      <c r="T552" s="131"/>
      <c r="U552" s="131">
        <f t="shared" si="55"/>
        <v>0</v>
      </c>
    </row>
    <row r="553" spans="1:21" ht="15.75" x14ac:dyDescent="0.3">
      <c r="A553" s="81">
        <f t="shared" si="56"/>
        <v>32</v>
      </c>
      <c r="B553" s="164" t="s">
        <v>107</v>
      </c>
      <c r="C553" s="135"/>
      <c r="D553" s="135"/>
      <c r="E553" s="135"/>
      <c r="F553" s="135"/>
      <c r="G553" s="135"/>
      <c r="H553" s="135"/>
      <c r="I553" s="135"/>
      <c r="J553" s="135"/>
      <c r="K553" s="135"/>
      <c r="L553" s="135"/>
      <c r="M553" s="135"/>
      <c r="N553" s="135"/>
      <c r="O553" s="135"/>
      <c r="P553" s="135"/>
      <c r="Q553" s="135"/>
      <c r="R553" s="135"/>
      <c r="S553" s="131">
        <f t="shared" si="54"/>
        <v>0</v>
      </c>
      <c r="T553" s="131"/>
      <c r="U553" s="131">
        <f t="shared" si="55"/>
        <v>0</v>
      </c>
    </row>
    <row r="554" spans="1:21" ht="15.75" x14ac:dyDescent="0.3">
      <c r="A554" s="81">
        <f t="shared" si="56"/>
        <v>33</v>
      </c>
      <c r="B554" s="157" t="s">
        <v>111</v>
      </c>
      <c r="C554" s="135"/>
      <c r="D554" s="135"/>
      <c r="E554" s="135"/>
      <c r="F554" s="135"/>
      <c r="G554" s="135"/>
      <c r="H554" s="135"/>
      <c r="I554" s="135"/>
      <c r="J554" s="135"/>
      <c r="K554" s="135"/>
      <c r="L554" s="135"/>
      <c r="M554" s="135"/>
      <c r="N554" s="135"/>
      <c r="O554" s="135"/>
      <c r="P554" s="135"/>
      <c r="Q554" s="135"/>
      <c r="R554" s="135"/>
      <c r="S554" s="131">
        <f t="shared" si="54"/>
        <v>0</v>
      </c>
      <c r="T554" s="131"/>
      <c r="U554" s="131">
        <f t="shared" si="55"/>
        <v>0</v>
      </c>
    </row>
    <row r="555" spans="1:21" ht="15.75" x14ac:dyDescent="0.3">
      <c r="A555" s="81">
        <f t="shared" si="56"/>
        <v>34</v>
      </c>
      <c r="B555" s="162" t="s">
        <v>224</v>
      </c>
      <c r="C555" s="135"/>
      <c r="D555" s="135"/>
      <c r="E555" s="135"/>
      <c r="F555" s="135"/>
      <c r="G555" s="135"/>
      <c r="H555" s="135"/>
      <c r="I555" s="135"/>
      <c r="J555" s="135"/>
      <c r="K555" s="135"/>
      <c r="L555" s="135"/>
      <c r="M555" s="135"/>
      <c r="N555" s="135"/>
      <c r="O555" s="135"/>
      <c r="P555" s="135"/>
      <c r="Q555" s="135"/>
      <c r="R555" s="135"/>
      <c r="S555" s="131">
        <f t="shared" si="54"/>
        <v>0</v>
      </c>
      <c r="T555" s="131"/>
      <c r="U555" s="131">
        <f t="shared" si="55"/>
        <v>0</v>
      </c>
    </row>
    <row r="556" spans="1:21" ht="15.75" x14ac:dyDescent="0.3">
      <c r="A556" s="81">
        <f t="shared" si="56"/>
        <v>35</v>
      </c>
      <c r="B556" s="138" t="s">
        <v>112</v>
      </c>
      <c r="C556" s="135"/>
      <c r="D556" s="135"/>
      <c r="E556" s="135"/>
      <c r="F556" s="135"/>
      <c r="G556" s="135"/>
      <c r="H556" s="135"/>
      <c r="I556" s="135"/>
      <c r="J556" s="135"/>
      <c r="K556" s="135"/>
      <c r="L556" s="135"/>
      <c r="M556" s="135"/>
      <c r="N556" s="135"/>
      <c r="O556" s="135"/>
      <c r="P556" s="135"/>
      <c r="Q556" s="135"/>
      <c r="R556" s="135"/>
      <c r="S556" s="131">
        <f t="shared" si="54"/>
        <v>0</v>
      </c>
      <c r="T556" s="131"/>
      <c r="U556" s="131">
        <f t="shared" si="55"/>
        <v>0</v>
      </c>
    </row>
    <row r="557" spans="1:21" ht="15.75" x14ac:dyDescent="0.3">
      <c r="A557" s="81">
        <f t="shared" si="56"/>
        <v>36</v>
      </c>
      <c r="B557" s="138" t="s">
        <v>184</v>
      </c>
      <c r="C557" s="135"/>
      <c r="D557" s="135"/>
      <c r="E557" s="135"/>
      <c r="F557" s="135"/>
      <c r="G557" s="135"/>
      <c r="H557" s="135"/>
      <c r="I557" s="135"/>
      <c r="J557" s="135"/>
      <c r="K557" s="135"/>
      <c r="L557" s="135"/>
      <c r="M557" s="135"/>
      <c r="N557" s="135"/>
      <c r="O557" s="135"/>
      <c r="P557" s="135"/>
      <c r="Q557" s="135"/>
      <c r="R557" s="135"/>
      <c r="S557" s="131">
        <f t="shared" si="54"/>
        <v>0</v>
      </c>
      <c r="T557" s="131"/>
      <c r="U557" s="131">
        <f t="shared" si="55"/>
        <v>0</v>
      </c>
    </row>
    <row r="558" spans="1:21" ht="15.75" x14ac:dyDescent="0.3">
      <c r="A558" s="81">
        <f t="shared" si="56"/>
        <v>37</v>
      </c>
      <c r="B558" s="139" t="s">
        <v>185</v>
      </c>
      <c r="C558" s="135"/>
      <c r="D558" s="135"/>
      <c r="E558" s="135"/>
      <c r="F558" s="135"/>
      <c r="G558" s="135"/>
      <c r="H558" s="135"/>
      <c r="I558" s="135"/>
      <c r="J558" s="135"/>
      <c r="K558" s="135"/>
      <c r="L558" s="135"/>
      <c r="M558" s="135"/>
      <c r="N558" s="135"/>
      <c r="O558" s="135"/>
      <c r="P558" s="135"/>
      <c r="Q558" s="135"/>
      <c r="R558" s="135"/>
      <c r="S558" s="131">
        <f t="shared" si="54"/>
        <v>0</v>
      </c>
      <c r="T558" s="131"/>
      <c r="U558" s="131">
        <f t="shared" si="55"/>
        <v>0</v>
      </c>
    </row>
    <row r="559" spans="1:21" ht="15.75" x14ac:dyDescent="0.3">
      <c r="A559" s="81">
        <f t="shared" si="56"/>
        <v>38</v>
      </c>
      <c r="B559" s="139" t="s">
        <v>186</v>
      </c>
      <c r="C559" s="135"/>
      <c r="D559" s="135"/>
      <c r="E559" s="135"/>
      <c r="F559" s="135"/>
      <c r="G559" s="135"/>
      <c r="H559" s="135"/>
      <c r="I559" s="135"/>
      <c r="J559" s="135"/>
      <c r="K559" s="135"/>
      <c r="L559" s="135"/>
      <c r="M559" s="135"/>
      <c r="N559" s="135"/>
      <c r="O559" s="135"/>
      <c r="P559" s="135"/>
      <c r="Q559" s="135"/>
      <c r="R559" s="135"/>
      <c r="S559" s="131">
        <f t="shared" si="54"/>
        <v>0</v>
      </c>
      <c r="T559" s="131"/>
      <c r="U559" s="131">
        <f t="shared" si="55"/>
        <v>0</v>
      </c>
    </row>
    <row r="560" spans="1:21" ht="15.75" x14ac:dyDescent="0.3">
      <c r="A560" s="81">
        <f t="shared" si="56"/>
        <v>39</v>
      </c>
      <c r="B560" s="139" t="s">
        <v>129</v>
      </c>
      <c r="C560" s="135"/>
      <c r="D560" s="135"/>
      <c r="E560" s="135"/>
      <c r="F560" s="135"/>
      <c r="G560" s="135"/>
      <c r="H560" s="135"/>
      <c r="I560" s="135"/>
      <c r="J560" s="135"/>
      <c r="K560" s="135"/>
      <c r="L560" s="135"/>
      <c r="M560" s="135"/>
      <c r="N560" s="135"/>
      <c r="O560" s="135"/>
      <c r="P560" s="135"/>
      <c r="Q560" s="135"/>
      <c r="R560" s="135"/>
      <c r="S560" s="131">
        <f t="shared" si="54"/>
        <v>0</v>
      </c>
      <c r="T560" s="131"/>
      <c r="U560" s="131">
        <f t="shared" si="55"/>
        <v>0</v>
      </c>
    </row>
    <row r="561" spans="1:21" ht="15.75" x14ac:dyDescent="0.3">
      <c r="A561" s="81">
        <f t="shared" si="56"/>
        <v>40</v>
      </c>
      <c r="B561" s="139" t="s">
        <v>128</v>
      </c>
      <c r="C561" s="135"/>
      <c r="D561" s="135"/>
      <c r="E561" s="135"/>
      <c r="F561" s="135"/>
      <c r="G561" s="135"/>
      <c r="H561" s="135"/>
      <c r="I561" s="135"/>
      <c r="J561" s="135"/>
      <c r="K561" s="135"/>
      <c r="L561" s="135"/>
      <c r="M561" s="135"/>
      <c r="N561" s="135"/>
      <c r="O561" s="135"/>
      <c r="P561" s="135"/>
      <c r="Q561" s="135"/>
      <c r="R561" s="135"/>
      <c r="S561" s="131">
        <f t="shared" si="54"/>
        <v>0</v>
      </c>
      <c r="T561" s="131"/>
      <c r="U561" s="131">
        <f t="shared" si="55"/>
        <v>0</v>
      </c>
    </row>
    <row r="562" spans="1:21" ht="15.75" x14ac:dyDescent="0.3">
      <c r="A562" s="81">
        <f t="shared" si="56"/>
        <v>41</v>
      </c>
      <c r="B562" s="139" t="s">
        <v>187</v>
      </c>
      <c r="C562" s="135"/>
      <c r="D562" s="135"/>
      <c r="E562" s="135"/>
      <c r="F562" s="135"/>
      <c r="G562" s="135"/>
      <c r="H562" s="135"/>
      <c r="I562" s="135"/>
      <c r="J562" s="135"/>
      <c r="K562" s="135"/>
      <c r="L562" s="135"/>
      <c r="M562" s="135"/>
      <c r="N562" s="135"/>
      <c r="O562" s="135"/>
      <c r="P562" s="135"/>
      <c r="Q562" s="135"/>
      <c r="R562" s="135"/>
      <c r="S562" s="131">
        <f t="shared" si="54"/>
        <v>0</v>
      </c>
      <c r="T562" s="131"/>
      <c r="U562" s="131">
        <f t="shared" si="55"/>
        <v>0</v>
      </c>
    </row>
    <row r="563" spans="1:21" x14ac:dyDescent="0.25">
      <c r="B563" s="130"/>
      <c r="C563" s="132">
        <f t="shared" ref="C563" si="57">SUM(C521:C562)</f>
        <v>0</v>
      </c>
      <c r="D563" s="132">
        <f t="shared" ref="D563:H563" si="58">SUM(D521:D562)</f>
        <v>0</v>
      </c>
      <c r="E563" s="132">
        <f t="shared" si="58"/>
        <v>0</v>
      </c>
      <c r="F563" s="132">
        <f t="shared" si="58"/>
        <v>0</v>
      </c>
      <c r="G563" s="132">
        <f t="shared" si="58"/>
        <v>0</v>
      </c>
      <c r="H563" s="132">
        <f t="shared" si="58"/>
        <v>0</v>
      </c>
      <c r="I563" s="132">
        <f t="shared" ref="I563" si="59">SUM(I522:I562)</f>
        <v>0</v>
      </c>
      <c r="J563" s="132">
        <f t="shared" ref="J563:U563" si="60">SUM(J521:J562)</f>
        <v>0</v>
      </c>
      <c r="K563" s="132">
        <f t="shared" si="60"/>
        <v>0</v>
      </c>
      <c r="L563" s="132">
        <f t="shared" si="60"/>
        <v>0</v>
      </c>
      <c r="M563" s="132">
        <f t="shared" si="60"/>
        <v>0</v>
      </c>
      <c r="N563" s="132">
        <f t="shared" si="60"/>
        <v>0</v>
      </c>
      <c r="O563" s="132">
        <f t="shared" si="60"/>
        <v>0</v>
      </c>
      <c r="P563" s="132">
        <f t="shared" si="60"/>
        <v>0</v>
      </c>
      <c r="Q563" s="132">
        <f t="shared" si="60"/>
        <v>0</v>
      </c>
      <c r="R563" s="132">
        <f t="shared" si="60"/>
        <v>0</v>
      </c>
      <c r="S563" s="132">
        <f t="shared" si="60"/>
        <v>0</v>
      </c>
      <c r="T563" s="133">
        <f t="shared" si="60"/>
        <v>0</v>
      </c>
      <c r="U563" s="133">
        <f t="shared" si="60"/>
        <v>0</v>
      </c>
    </row>
    <row r="564" spans="1:21" ht="21" x14ac:dyDescent="0.35">
      <c r="B564" s="214" t="s">
        <v>198</v>
      </c>
      <c r="C564" s="214"/>
      <c r="D564" s="214"/>
      <c r="E564" s="214"/>
      <c r="F564" s="214"/>
      <c r="G564" s="214"/>
      <c r="H564" s="214"/>
      <c r="I564" s="214"/>
      <c r="J564" s="134"/>
      <c r="K564" s="134"/>
      <c r="L564" s="134"/>
      <c r="M564" s="134"/>
      <c r="N564" s="134"/>
      <c r="O564" s="134"/>
      <c r="P564" s="134"/>
      <c r="Q564" s="134"/>
      <c r="R564" s="134"/>
      <c r="S564" s="134"/>
      <c r="T564" s="134"/>
      <c r="U564" s="134"/>
    </row>
    <row r="565" spans="1:21" x14ac:dyDescent="0.25"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</row>
    <row r="566" spans="1:21" x14ac:dyDescent="0.25">
      <c r="B566" s="226"/>
      <c r="C566" s="209" t="s">
        <v>75</v>
      </c>
      <c r="D566" s="209" t="s">
        <v>168</v>
      </c>
      <c r="E566" s="209" t="s">
        <v>169</v>
      </c>
      <c r="F566" s="209" t="s">
        <v>170</v>
      </c>
      <c r="G566" s="211" t="s">
        <v>171</v>
      </c>
      <c r="H566" s="213"/>
      <c r="I566" s="211" t="s">
        <v>200</v>
      </c>
      <c r="J566" s="213"/>
      <c r="K566" s="211" t="s">
        <v>201</v>
      </c>
      <c r="L566" s="213"/>
      <c r="M566" s="209" t="s">
        <v>174</v>
      </c>
      <c r="N566" s="209" t="s">
        <v>175</v>
      </c>
      <c r="O566" s="209" t="s">
        <v>176</v>
      </c>
      <c r="P566" s="209" t="s">
        <v>177</v>
      </c>
      <c r="Q566" s="209" t="s">
        <v>178</v>
      </c>
      <c r="R566" s="209" t="s">
        <v>225</v>
      </c>
      <c r="S566" s="211" t="s">
        <v>179</v>
      </c>
      <c r="T566" s="212"/>
      <c r="U566" s="213"/>
    </row>
    <row r="567" spans="1:21" x14ac:dyDescent="0.25">
      <c r="B567" s="227"/>
      <c r="C567" s="210"/>
      <c r="D567" s="210"/>
      <c r="E567" s="210"/>
      <c r="F567" s="210"/>
      <c r="G567" s="137" t="s">
        <v>180</v>
      </c>
      <c r="H567" s="137" t="s">
        <v>181</v>
      </c>
      <c r="I567" s="137" t="s">
        <v>180</v>
      </c>
      <c r="J567" s="137" t="s">
        <v>181</v>
      </c>
      <c r="K567" s="137" t="s">
        <v>180</v>
      </c>
      <c r="L567" s="137" t="s">
        <v>181</v>
      </c>
      <c r="M567" s="210"/>
      <c r="N567" s="210"/>
      <c r="O567" s="210"/>
      <c r="P567" s="210"/>
      <c r="Q567" s="210"/>
      <c r="R567" s="210"/>
      <c r="S567" s="137" t="s">
        <v>74</v>
      </c>
      <c r="T567" s="137" t="s">
        <v>182</v>
      </c>
      <c r="U567" s="137" t="s">
        <v>183</v>
      </c>
    </row>
    <row r="568" spans="1:21" ht="15.75" x14ac:dyDescent="0.3">
      <c r="A568" s="81">
        <v>0</v>
      </c>
      <c r="B568" s="138" t="s">
        <v>88</v>
      </c>
      <c r="C568" s="140">
        <f t="shared" ref="C568:R568" si="61">+C521+C474+C427+C380+C333+C287+C240+C193+C146+C99+C52+C5</f>
        <v>0</v>
      </c>
      <c r="D568" s="140">
        <f t="shared" si="61"/>
        <v>3000</v>
      </c>
      <c r="E568" s="140">
        <f t="shared" si="61"/>
        <v>0</v>
      </c>
      <c r="F568" s="140">
        <f t="shared" si="61"/>
        <v>0</v>
      </c>
      <c r="G568" s="140">
        <f t="shared" si="61"/>
        <v>0</v>
      </c>
      <c r="H568" s="140">
        <f t="shared" si="61"/>
        <v>0</v>
      </c>
      <c r="I568" s="140">
        <f t="shared" si="61"/>
        <v>0</v>
      </c>
      <c r="J568" s="140">
        <f t="shared" si="61"/>
        <v>0</v>
      </c>
      <c r="K568" s="140">
        <f t="shared" si="61"/>
        <v>1100000</v>
      </c>
      <c r="L568" s="140">
        <f t="shared" si="61"/>
        <v>0</v>
      </c>
      <c r="M568" s="140">
        <f t="shared" si="61"/>
        <v>0</v>
      </c>
      <c r="N568" s="140">
        <f t="shared" si="61"/>
        <v>0</v>
      </c>
      <c r="O568" s="140">
        <f t="shared" si="61"/>
        <v>0</v>
      </c>
      <c r="P568" s="140">
        <f t="shared" si="61"/>
        <v>0</v>
      </c>
      <c r="Q568" s="140">
        <f t="shared" si="61"/>
        <v>-1750000</v>
      </c>
      <c r="R568" s="140">
        <f t="shared" si="61"/>
        <v>0</v>
      </c>
      <c r="S568" s="140">
        <f t="shared" ref="S568:S609" si="62">+R568+Q568+P568+O568+N568+M568+L568+K568+J568+I568+H568+G568+F568+E568+D568+C568</f>
        <v>-647000</v>
      </c>
      <c r="T568" s="140"/>
      <c r="U568" s="140">
        <f t="shared" ref="U568:U609" si="63">+S568-T568</f>
        <v>-647000</v>
      </c>
    </row>
    <row r="569" spans="1:21" ht="15.75" x14ac:dyDescent="0.3">
      <c r="A569" s="81">
        <f>1+A568</f>
        <v>1</v>
      </c>
      <c r="B569" s="162" t="s">
        <v>39</v>
      </c>
      <c r="C569" s="140">
        <f t="shared" ref="C569:R569" si="64">+C522+C475+C428+C381+C334+C288+C241+C194+C147+C100+C53+C6</f>
        <v>99000</v>
      </c>
      <c r="D569" s="140">
        <f t="shared" si="64"/>
        <v>11000</v>
      </c>
      <c r="E569" s="140">
        <f t="shared" si="64"/>
        <v>11000</v>
      </c>
      <c r="F569" s="140">
        <f t="shared" si="64"/>
        <v>44000</v>
      </c>
      <c r="G569" s="140">
        <f t="shared" si="64"/>
        <v>275000</v>
      </c>
      <c r="H569" s="140">
        <f t="shared" si="64"/>
        <v>0</v>
      </c>
      <c r="I569" s="140">
        <f t="shared" si="64"/>
        <v>825000</v>
      </c>
      <c r="J569" s="140">
        <f t="shared" si="64"/>
        <v>0</v>
      </c>
      <c r="K569" s="140">
        <f t="shared" si="64"/>
        <v>0</v>
      </c>
      <c r="L569" s="140">
        <f t="shared" si="64"/>
        <v>0</v>
      </c>
      <c r="M569" s="140">
        <f t="shared" si="64"/>
        <v>1000000</v>
      </c>
      <c r="N569" s="140">
        <f t="shared" si="64"/>
        <v>0</v>
      </c>
      <c r="O569" s="140">
        <f t="shared" si="64"/>
        <v>0</v>
      </c>
      <c r="P569" s="140">
        <f t="shared" si="64"/>
        <v>10000</v>
      </c>
      <c r="Q569" s="140">
        <f t="shared" si="64"/>
        <v>70000</v>
      </c>
      <c r="R569" s="140">
        <f t="shared" si="64"/>
        <v>0</v>
      </c>
      <c r="S569" s="140">
        <f t="shared" si="62"/>
        <v>2345000</v>
      </c>
      <c r="T569" s="140"/>
      <c r="U569" s="140">
        <f t="shared" si="63"/>
        <v>2345000</v>
      </c>
    </row>
    <row r="570" spans="1:21" ht="15.75" x14ac:dyDescent="0.3">
      <c r="A570" s="81">
        <f t="shared" ref="A570:A609" si="65">1+A569</f>
        <v>2</v>
      </c>
      <c r="B570" s="162" t="s">
        <v>43</v>
      </c>
      <c r="C570" s="140">
        <f t="shared" ref="C570:R570" si="66">+C523+C476+C429+C382+C335+C289+C242+C195+C148+C101+C54+C7</f>
        <v>135000</v>
      </c>
      <c r="D570" s="140">
        <f t="shared" si="66"/>
        <v>11000</v>
      </c>
      <c r="E570" s="140">
        <f t="shared" si="66"/>
        <v>11000</v>
      </c>
      <c r="F570" s="140">
        <f t="shared" si="66"/>
        <v>44000</v>
      </c>
      <c r="G570" s="140">
        <f t="shared" si="66"/>
        <v>275000</v>
      </c>
      <c r="H570" s="140">
        <f t="shared" si="66"/>
        <v>23000</v>
      </c>
      <c r="I570" s="140">
        <f t="shared" si="66"/>
        <v>0</v>
      </c>
      <c r="J570" s="140">
        <f t="shared" si="66"/>
        <v>0</v>
      </c>
      <c r="K570" s="140">
        <f t="shared" si="66"/>
        <v>1100000</v>
      </c>
      <c r="L570" s="140">
        <f t="shared" si="66"/>
        <v>995500</v>
      </c>
      <c r="M570" s="140">
        <f t="shared" si="66"/>
        <v>0</v>
      </c>
      <c r="N570" s="140">
        <f t="shared" si="66"/>
        <v>0</v>
      </c>
      <c r="O570" s="140">
        <f t="shared" si="66"/>
        <v>3000</v>
      </c>
      <c r="P570" s="140">
        <f t="shared" si="66"/>
        <v>0</v>
      </c>
      <c r="Q570" s="140">
        <f t="shared" si="66"/>
        <v>140000</v>
      </c>
      <c r="R570" s="140">
        <f t="shared" si="66"/>
        <v>0</v>
      </c>
      <c r="S570" s="140">
        <f t="shared" si="62"/>
        <v>2737500</v>
      </c>
      <c r="T570" s="140"/>
      <c r="U570" s="140">
        <f t="shared" si="63"/>
        <v>2737500</v>
      </c>
    </row>
    <row r="571" spans="1:21" ht="15.75" x14ac:dyDescent="0.3">
      <c r="A571" s="81">
        <f t="shared" si="65"/>
        <v>3</v>
      </c>
      <c r="B571" s="162" t="s">
        <v>89</v>
      </c>
      <c r="C571" s="140">
        <f t="shared" ref="C571:R571" si="67">+C524+C477+C430+C383+C336+C290+C243+C196+C149+C102+C55+C8</f>
        <v>97000</v>
      </c>
      <c r="D571" s="140">
        <f t="shared" si="67"/>
        <v>11000</v>
      </c>
      <c r="E571" s="140">
        <f t="shared" si="67"/>
        <v>11000</v>
      </c>
      <c r="F571" s="140">
        <f t="shared" si="67"/>
        <v>44000</v>
      </c>
      <c r="G571" s="140">
        <f t="shared" si="67"/>
        <v>275000</v>
      </c>
      <c r="H571" s="140">
        <f t="shared" si="67"/>
        <v>166000</v>
      </c>
      <c r="I571" s="140">
        <f t="shared" si="67"/>
        <v>0</v>
      </c>
      <c r="J571" s="140">
        <f t="shared" si="67"/>
        <v>0</v>
      </c>
      <c r="K571" s="140">
        <f t="shared" si="67"/>
        <v>0</v>
      </c>
      <c r="L571" s="140">
        <f t="shared" si="67"/>
        <v>0</v>
      </c>
      <c r="M571" s="140">
        <f t="shared" si="67"/>
        <v>0</v>
      </c>
      <c r="N571" s="140">
        <f t="shared" si="67"/>
        <v>0</v>
      </c>
      <c r="O571" s="140">
        <f t="shared" si="67"/>
        <v>12000</v>
      </c>
      <c r="P571" s="140">
        <f t="shared" si="67"/>
        <v>0</v>
      </c>
      <c r="Q571" s="140">
        <f t="shared" si="67"/>
        <v>70000</v>
      </c>
      <c r="R571" s="140">
        <f t="shared" si="67"/>
        <v>0</v>
      </c>
      <c r="S571" s="140">
        <f t="shared" si="62"/>
        <v>686000</v>
      </c>
      <c r="T571" s="140"/>
      <c r="U571" s="140">
        <f t="shared" si="63"/>
        <v>686000</v>
      </c>
    </row>
    <row r="572" spans="1:21" ht="15.75" x14ac:dyDescent="0.3">
      <c r="A572" s="81">
        <f t="shared" si="65"/>
        <v>4</v>
      </c>
      <c r="B572" s="162" t="s">
        <v>90</v>
      </c>
      <c r="C572" s="140">
        <f t="shared" ref="C572:R572" si="68">+C525+C478+C431+C384+C337+C291+C244+C197+C150+C103+C56+C9</f>
        <v>108500</v>
      </c>
      <c r="D572" s="140">
        <f t="shared" si="68"/>
        <v>11000</v>
      </c>
      <c r="E572" s="140">
        <f t="shared" si="68"/>
        <v>11000</v>
      </c>
      <c r="F572" s="140">
        <f t="shared" si="68"/>
        <v>44000</v>
      </c>
      <c r="G572" s="140">
        <f t="shared" si="68"/>
        <v>275000</v>
      </c>
      <c r="H572" s="140">
        <f t="shared" si="68"/>
        <v>186000</v>
      </c>
      <c r="I572" s="140">
        <f t="shared" si="68"/>
        <v>825000</v>
      </c>
      <c r="J572" s="140">
        <f t="shared" si="68"/>
        <v>760000</v>
      </c>
      <c r="K572" s="140">
        <f t="shared" si="68"/>
        <v>0</v>
      </c>
      <c r="L572" s="140">
        <f t="shared" si="68"/>
        <v>0</v>
      </c>
      <c r="M572" s="140">
        <f t="shared" si="68"/>
        <v>0</v>
      </c>
      <c r="N572" s="140">
        <f t="shared" si="68"/>
        <v>0</v>
      </c>
      <c r="O572" s="140">
        <f t="shared" si="68"/>
        <v>3000</v>
      </c>
      <c r="P572" s="140">
        <f t="shared" si="68"/>
        <v>80000</v>
      </c>
      <c r="Q572" s="140">
        <f t="shared" si="68"/>
        <v>70000</v>
      </c>
      <c r="R572" s="140">
        <f t="shared" si="68"/>
        <v>0</v>
      </c>
      <c r="S572" s="140">
        <f t="shared" si="62"/>
        <v>2373500</v>
      </c>
      <c r="T572" s="140"/>
      <c r="U572" s="140">
        <f t="shared" si="63"/>
        <v>2373500</v>
      </c>
    </row>
    <row r="573" spans="1:21" ht="15.75" x14ac:dyDescent="0.3">
      <c r="A573" s="81">
        <f t="shared" si="65"/>
        <v>5</v>
      </c>
      <c r="B573" s="162" t="s">
        <v>91</v>
      </c>
      <c r="C573" s="140">
        <f t="shared" ref="C573:R573" si="69">+C526+C479+C432+C385+C338+C292+C245+C198+C151+C104+C57+C10</f>
        <v>294800</v>
      </c>
      <c r="D573" s="140">
        <f t="shared" si="69"/>
        <v>11000</v>
      </c>
      <c r="E573" s="140">
        <f t="shared" si="69"/>
        <v>11000</v>
      </c>
      <c r="F573" s="140">
        <f t="shared" si="69"/>
        <v>44000</v>
      </c>
      <c r="G573" s="140">
        <f t="shared" si="69"/>
        <v>275000</v>
      </c>
      <c r="H573" s="140">
        <f t="shared" si="69"/>
        <v>30500</v>
      </c>
      <c r="I573" s="140">
        <f t="shared" si="69"/>
        <v>825000</v>
      </c>
      <c r="J573" s="140">
        <f t="shared" si="69"/>
        <v>39000</v>
      </c>
      <c r="K573" s="140">
        <f t="shared" si="69"/>
        <v>2200000</v>
      </c>
      <c r="L573" s="140">
        <f t="shared" si="69"/>
        <v>606000</v>
      </c>
      <c r="M573" s="140">
        <f t="shared" si="69"/>
        <v>1000000</v>
      </c>
      <c r="N573" s="140">
        <f t="shared" si="69"/>
        <v>0</v>
      </c>
      <c r="O573" s="140">
        <f t="shared" si="69"/>
        <v>0</v>
      </c>
      <c r="P573" s="140">
        <f t="shared" si="69"/>
        <v>0</v>
      </c>
      <c r="Q573" s="140">
        <f t="shared" si="69"/>
        <v>0</v>
      </c>
      <c r="R573" s="140">
        <f t="shared" si="69"/>
        <v>0</v>
      </c>
      <c r="S573" s="140">
        <f t="shared" si="62"/>
        <v>5336300</v>
      </c>
      <c r="T573" s="140"/>
      <c r="U573" s="140">
        <f t="shared" si="63"/>
        <v>5336300</v>
      </c>
    </row>
    <row r="574" spans="1:21" ht="15.75" x14ac:dyDescent="0.3">
      <c r="A574" s="81">
        <f t="shared" si="65"/>
        <v>6</v>
      </c>
      <c r="B574" s="157" t="s">
        <v>92</v>
      </c>
      <c r="C574" s="140">
        <f t="shared" ref="C574:R574" si="70">+C527+C480+C433+C386+C339+C293+C246+C199+C152+C105+C58+C11</f>
        <v>99000</v>
      </c>
      <c r="D574" s="140">
        <f t="shared" si="70"/>
        <v>11000</v>
      </c>
      <c r="E574" s="140">
        <f t="shared" si="70"/>
        <v>11000</v>
      </c>
      <c r="F574" s="140">
        <f t="shared" si="70"/>
        <v>44000</v>
      </c>
      <c r="G574" s="140">
        <f t="shared" si="70"/>
        <v>275000</v>
      </c>
      <c r="H574" s="140">
        <f t="shared" si="70"/>
        <v>0</v>
      </c>
      <c r="I574" s="140">
        <f t="shared" si="70"/>
        <v>0</v>
      </c>
      <c r="J574" s="140">
        <f t="shared" si="70"/>
        <v>0</v>
      </c>
      <c r="K574" s="140">
        <f t="shared" si="70"/>
        <v>0</v>
      </c>
      <c r="L574" s="140">
        <f t="shared" si="70"/>
        <v>0</v>
      </c>
      <c r="M574" s="140">
        <f t="shared" si="70"/>
        <v>0</v>
      </c>
      <c r="N574" s="140">
        <f t="shared" si="70"/>
        <v>0</v>
      </c>
      <c r="O574" s="140">
        <f t="shared" si="70"/>
        <v>0</v>
      </c>
      <c r="P574" s="140">
        <f t="shared" si="70"/>
        <v>0</v>
      </c>
      <c r="Q574" s="140">
        <f t="shared" si="70"/>
        <v>70000</v>
      </c>
      <c r="R574" s="140">
        <f t="shared" si="70"/>
        <v>0</v>
      </c>
      <c r="S574" s="140">
        <f t="shared" si="62"/>
        <v>510000</v>
      </c>
      <c r="T574" s="140"/>
      <c r="U574" s="140">
        <f t="shared" si="63"/>
        <v>510000</v>
      </c>
    </row>
    <row r="575" spans="1:21" ht="15.75" x14ac:dyDescent="0.3">
      <c r="A575" s="81">
        <f t="shared" si="65"/>
        <v>7</v>
      </c>
      <c r="B575" s="162" t="s">
        <v>93</v>
      </c>
      <c r="C575" s="140">
        <f t="shared" ref="C575:R575" si="71">+C528+C481+C434+C387+C340+C294+C247+C200+C153+C106+C59+C12</f>
        <v>99000</v>
      </c>
      <c r="D575" s="140">
        <f t="shared" si="71"/>
        <v>11000</v>
      </c>
      <c r="E575" s="140">
        <f t="shared" si="71"/>
        <v>11000</v>
      </c>
      <c r="F575" s="140">
        <f t="shared" si="71"/>
        <v>44000</v>
      </c>
      <c r="G575" s="140">
        <f t="shared" si="71"/>
        <v>275000</v>
      </c>
      <c r="H575" s="140">
        <f t="shared" si="71"/>
        <v>0</v>
      </c>
      <c r="I575" s="140">
        <f t="shared" si="71"/>
        <v>0</v>
      </c>
      <c r="J575" s="140">
        <f t="shared" si="71"/>
        <v>0</v>
      </c>
      <c r="K575" s="140">
        <f t="shared" si="71"/>
        <v>0</v>
      </c>
      <c r="L575" s="140">
        <f t="shared" si="71"/>
        <v>0</v>
      </c>
      <c r="M575" s="140">
        <f t="shared" si="71"/>
        <v>0</v>
      </c>
      <c r="N575" s="140">
        <f t="shared" si="71"/>
        <v>0</v>
      </c>
      <c r="O575" s="140">
        <f t="shared" si="71"/>
        <v>0</v>
      </c>
      <c r="P575" s="140">
        <f t="shared" si="71"/>
        <v>0</v>
      </c>
      <c r="Q575" s="140">
        <f t="shared" si="71"/>
        <v>70000</v>
      </c>
      <c r="R575" s="140">
        <f t="shared" si="71"/>
        <v>0</v>
      </c>
      <c r="S575" s="140">
        <f t="shared" si="62"/>
        <v>510000</v>
      </c>
      <c r="T575" s="140"/>
      <c r="U575" s="140">
        <f t="shared" si="63"/>
        <v>510000</v>
      </c>
    </row>
    <row r="576" spans="1:21" ht="15.75" x14ac:dyDescent="0.3">
      <c r="A576" s="81">
        <f t="shared" si="65"/>
        <v>8</v>
      </c>
      <c r="B576" s="138" t="s">
        <v>114</v>
      </c>
      <c r="C576" s="140">
        <f t="shared" ref="C576:R576" si="72">+C529+C482+C435+C388+C341+C295+C248+C201+C154+C107+C60+C13</f>
        <v>0</v>
      </c>
      <c r="D576" s="140">
        <f t="shared" si="72"/>
        <v>0</v>
      </c>
      <c r="E576" s="140">
        <f t="shared" si="72"/>
        <v>0</v>
      </c>
      <c r="F576" s="140">
        <f t="shared" si="72"/>
        <v>0</v>
      </c>
      <c r="G576" s="140">
        <f t="shared" si="72"/>
        <v>0</v>
      </c>
      <c r="H576" s="140">
        <f t="shared" si="72"/>
        <v>0</v>
      </c>
      <c r="I576" s="140">
        <f t="shared" si="72"/>
        <v>0</v>
      </c>
      <c r="J576" s="140">
        <f t="shared" si="72"/>
        <v>0</v>
      </c>
      <c r="K576" s="140">
        <f t="shared" si="72"/>
        <v>0</v>
      </c>
      <c r="L576" s="140">
        <f t="shared" si="72"/>
        <v>0</v>
      </c>
      <c r="M576" s="140">
        <f t="shared" si="72"/>
        <v>0</v>
      </c>
      <c r="N576" s="140">
        <f t="shared" si="72"/>
        <v>0</v>
      </c>
      <c r="O576" s="140">
        <f t="shared" si="72"/>
        <v>0</v>
      </c>
      <c r="P576" s="140">
        <f t="shared" si="72"/>
        <v>0</v>
      </c>
      <c r="Q576" s="140">
        <f t="shared" si="72"/>
        <v>0</v>
      </c>
      <c r="R576" s="140">
        <f t="shared" si="72"/>
        <v>0</v>
      </c>
      <c r="S576" s="140">
        <f t="shared" si="62"/>
        <v>0</v>
      </c>
      <c r="T576" s="140"/>
      <c r="U576" s="140">
        <f t="shared" si="63"/>
        <v>0</v>
      </c>
    </row>
    <row r="577" spans="1:21" ht="15.75" x14ac:dyDescent="0.3">
      <c r="A577" s="81">
        <f t="shared" si="65"/>
        <v>9</v>
      </c>
      <c r="B577" s="157" t="s">
        <v>42</v>
      </c>
      <c r="C577" s="140">
        <f t="shared" ref="C577:R577" si="73">+C530+C483+C436+C389+C342+C296+C249+C202+C155+C108+C61+C14</f>
        <v>99000</v>
      </c>
      <c r="D577" s="140">
        <f t="shared" si="73"/>
        <v>11000</v>
      </c>
      <c r="E577" s="140">
        <f t="shared" si="73"/>
        <v>11000</v>
      </c>
      <c r="F577" s="140">
        <f t="shared" si="73"/>
        <v>44000</v>
      </c>
      <c r="G577" s="140">
        <f t="shared" si="73"/>
        <v>275000</v>
      </c>
      <c r="H577" s="140">
        <f t="shared" si="73"/>
        <v>0</v>
      </c>
      <c r="I577" s="140">
        <f t="shared" si="73"/>
        <v>825000</v>
      </c>
      <c r="J577" s="140">
        <f t="shared" si="73"/>
        <v>0</v>
      </c>
      <c r="K577" s="140">
        <f t="shared" si="73"/>
        <v>0</v>
      </c>
      <c r="L577" s="140">
        <f t="shared" si="73"/>
        <v>0</v>
      </c>
      <c r="M577" s="140">
        <f t="shared" si="73"/>
        <v>0</v>
      </c>
      <c r="N577" s="140">
        <f t="shared" si="73"/>
        <v>0</v>
      </c>
      <c r="O577" s="140">
        <f t="shared" si="73"/>
        <v>3000</v>
      </c>
      <c r="P577" s="140">
        <f t="shared" si="73"/>
        <v>0</v>
      </c>
      <c r="Q577" s="140">
        <f t="shared" si="73"/>
        <v>0</v>
      </c>
      <c r="R577" s="140">
        <f t="shared" si="73"/>
        <v>0</v>
      </c>
      <c r="S577" s="140">
        <f t="shared" si="62"/>
        <v>1268000</v>
      </c>
      <c r="T577" s="140"/>
      <c r="U577" s="140">
        <f t="shared" si="63"/>
        <v>1268000</v>
      </c>
    </row>
    <row r="578" spans="1:21" ht="15.75" x14ac:dyDescent="0.3">
      <c r="A578" s="81">
        <f t="shared" si="65"/>
        <v>10</v>
      </c>
      <c r="B578" s="157" t="s">
        <v>37</v>
      </c>
      <c r="C578" s="140">
        <f t="shared" ref="C578:R578" si="74">+C531+C484+C437+C390+C343+C297+C250+C203+C156+C109+C62+C15</f>
        <v>464000</v>
      </c>
      <c r="D578" s="140">
        <f t="shared" si="74"/>
        <v>11000</v>
      </c>
      <c r="E578" s="140">
        <f t="shared" si="74"/>
        <v>11000</v>
      </c>
      <c r="F578" s="140">
        <f t="shared" si="74"/>
        <v>44000</v>
      </c>
      <c r="G578" s="140">
        <f t="shared" si="74"/>
        <v>275000</v>
      </c>
      <c r="H578" s="140">
        <f t="shared" si="74"/>
        <v>0</v>
      </c>
      <c r="I578" s="140">
        <f t="shared" si="74"/>
        <v>825000</v>
      </c>
      <c r="J578" s="140">
        <f t="shared" si="74"/>
        <v>0</v>
      </c>
      <c r="K578" s="140">
        <f t="shared" si="74"/>
        <v>1100000</v>
      </c>
      <c r="L578" s="140">
        <f t="shared" si="74"/>
        <v>670000</v>
      </c>
      <c r="M578" s="140">
        <f t="shared" si="74"/>
        <v>1000000</v>
      </c>
      <c r="N578" s="140">
        <f t="shared" si="74"/>
        <v>0</v>
      </c>
      <c r="O578" s="140">
        <f t="shared" si="74"/>
        <v>0</v>
      </c>
      <c r="P578" s="140">
        <f t="shared" si="74"/>
        <v>0</v>
      </c>
      <c r="Q578" s="140">
        <f t="shared" si="74"/>
        <v>0</v>
      </c>
      <c r="R578" s="140">
        <f t="shared" si="74"/>
        <v>0</v>
      </c>
      <c r="S578" s="140">
        <f t="shared" si="62"/>
        <v>4400000</v>
      </c>
      <c r="T578" s="140"/>
      <c r="U578" s="140">
        <f t="shared" si="63"/>
        <v>4400000</v>
      </c>
    </row>
    <row r="579" spans="1:21" ht="15.75" x14ac:dyDescent="0.3">
      <c r="A579" s="81">
        <f t="shared" si="65"/>
        <v>11</v>
      </c>
      <c r="B579" s="157" t="s">
        <v>94</v>
      </c>
      <c r="C579" s="140">
        <f t="shared" ref="C579:R579" si="75">+C532+C485+C438+C391+C344+C298+C251+C204+C157+C110+C63+C16</f>
        <v>99000</v>
      </c>
      <c r="D579" s="140">
        <f t="shared" si="75"/>
        <v>11000</v>
      </c>
      <c r="E579" s="140">
        <f t="shared" si="75"/>
        <v>11000</v>
      </c>
      <c r="F579" s="140">
        <f t="shared" si="75"/>
        <v>44000</v>
      </c>
      <c r="G579" s="140">
        <f t="shared" si="75"/>
        <v>275000</v>
      </c>
      <c r="H579" s="140">
        <f t="shared" si="75"/>
        <v>0</v>
      </c>
      <c r="I579" s="140">
        <f t="shared" si="75"/>
        <v>0</v>
      </c>
      <c r="J579" s="140">
        <f t="shared" si="75"/>
        <v>0</v>
      </c>
      <c r="K579" s="140">
        <f t="shared" si="75"/>
        <v>1100000</v>
      </c>
      <c r="L579" s="140">
        <f t="shared" si="75"/>
        <v>101000</v>
      </c>
      <c r="M579" s="140">
        <f t="shared" si="75"/>
        <v>0</v>
      </c>
      <c r="N579" s="140">
        <f t="shared" si="75"/>
        <v>0</v>
      </c>
      <c r="O579" s="140">
        <f t="shared" si="75"/>
        <v>0</v>
      </c>
      <c r="P579" s="140">
        <f t="shared" si="75"/>
        <v>0</v>
      </c>
      <c r="Q579" s="140">
        <f t="shared" si="75"/>
        <v>70000</v>
      </c>
      <c r="R579" s="140">
        <f t="shared" si="75"/>
        <v>0</v>
      </c>
      <c r="S579" s="140">
        <f t="shared" si="62"/>
        <v>1711000</v>
      </c>
      <c r="T579" s="140"/>
      <c r="U579" s="140">
        <f t="shared" si="63"/>
        <v>1711000</v>
      </c>
    </row>
    <row r="580" spans="1:21" ht="15.75" x14ac:dyDescent="0.3">
      <c r="A580" s="81">
        <f t="shared" si="65"/>
        <v>12</v>
      </c>
      <c r="B580" s="162" t="s">
        <v>95</v>
      </c>
      <c r="C580" s="140">
        <f t="shared" ref="C580:R580" si="76">+C533+C486+C439+C392+C345+C299+C252+C205+C158+C111+C64+C17</f>
        <v>99000</v>
      </c>
      <c r="D580" s="140">
        <f t="shared" si="76"/>
        <v>11000</v>
      </c>
      <c r="E580" s="140">
        <f t="shared" si="76"/>
        <v>11000</v>
      </c>
      <c r="F580" s="140">
        <f t="shared" si="76"/>
        <v>44000</v>
      </c>
      <c r="G580" s="140">
        <f t="shared" si="76"/>
        <v>275000</v>
      </c>
      <c r="H580" s="140">
        <f t="shared" si="76"/>
        <v>0</v>
      </c>
      <c r="I580" s="140">
        <f t="shared" si="76"/>
        <v>825000</v>
      </c>
      <c r="J580" s="140">
        <f t="shared" si="76"/>
        <v>357000</v>
      </c>
      <c r="K580" s="140">
        <f t="shared" si="76"/>
        <v>1100000</v>
      </c>
      <c r="L580" s="140">
        <f t="shared" si="76"/>
        <v>404000</v>
      </c>
      <c r="M580" s="140">
        <f t="shared" si="76"/>
        <v>1250000</v>
      </c>
      <c r="N580" s="140">
        <f t="shared" si="76"/>
        <v>0</v>
      </c>
      <c r="O580" s="140">
        <f t="shared" si="76"/>
        <v>0</v>
      </c>
      <c r="P580" s="140">
        <f t="shared" si="76"/>
        <v>0</v>
      </c>
      <c r="Q580" s="140">
        <f t="shared" si="76"/>
        <v>70000</v>
      </c>
      <c r="R580" s="140">
        <f t="shared" si="76"/>
        <v>0</v>
      </c>
      <c r="S580" s="140">
        <f t="shared" si="62"/>
        <v>4446000</v>
      </c>
      <c r="T580" s="140"/>
      <c r="U580" s="140">
        <f t="shared" si="63"/>
        <v>4446000</v>
      </c>
    </row>
    <row r="581" spans="1:21" ht="15.75" x14ac:dyDescent="0.3">
      <c r="A581" s="81">
        <f t="shared" si="65"/>
        <v>13</v>
      </c>
      <c r="B581" s="162" t="s">
        <v>96</v>
      </c>
      <c r="C581" s="140">
        <f t="shared" ref="C581:R581" si="77">+C534+C487+C440+C393+C346+C300+C253+C206+C159+C112+C65+C18</f>
        <v>99000</v>
      </c>
      <c r="D581" s="140">
        <f t="shared" si="77"/>
        <v>11000</v>
      </c>
      <c r="E581" s="140">
        <f t="shared" si="77"/>
        <v>11000</v>
      </c>
      <c r="F581" s="140">
        <f t="shared" si="77"/>
        <v>44000</v>
      </c>
      <c r="G581" s="140">
        <f t="shared" si="77"/>
        <v>275000</v>
      </c>
      <c r="H581" s="140">
        <f t="shared" si="77"/>
        <v>0</v>
      </c>
      <c r="I581" s="140">
        <f t="shared" si="77"/>
        <v>0</v>
      </c>
      <c r="J581" s="140">
        <f t="shared" si="77"/>
        <v>0</v>
      </c>
      <c r="K581" s="140">
        <f t="shared" si="77"/>
        <v>0</v>
      </c>
      <c r="L581" s="140">
        <f t="shared" si="77"/>
        <v>0</v>
      </c>
      <c r="M581" s="140">
        <f t="shared" si="77"/>
        <v>1000000</v>
      </c>
      <c r="N581" s="140">
        <f t="shared" si="77"/>
        <v>0</v>
      </c>
      <c r="O581" s="140">
        <f t="shared" si="77"/>
        <v>0</v>
      </c>
      <c r="P581" s="140">
        <f t="shared" si="77"/>
        <v>12000</v>
      </c>
      <c r="Q581" s="140">
        <f t="shared" si="77"/>
        <v>0</v>
      </c>
      <c r="R581" s="140">
        <f t="shared" si="77"/>
        <v>0</v>
      </c>
      <c r="S581" s="140">
        <f t="shared" si="62"/>
        <v>1452000</v>
      </c>
      <c r="T581" s="140"/>
      <c r="U581" s="140">
        <f t="shared" si="63"/>
        <v>1452000</v>
      </c>
    </row>
    <row r="582" spans="1:21" ht="15.75" x14ac:dyDescent="0.3">
      <c r="A582" s="81">
        <f t="shared" si="65"/>
        <v>14</v>
      </c>
      <c r="B582" s="162" t="s">
        <v>97</v>
      </c>
      <c r="C582" s="140">
        <f t="shared" ref="C582:R582" si="78">+C535+C488+C441+C394+C347+C301+C254+C207+C160+C113+C66+C19</f>
        <v>100000</v>
      </c>
      <c r="D582" s="140">
        <f t="shared" si="78"/>
        <v>11000</v>
      </c>
      <c r="E582" s="140">
        <f t="shared" si="78"/>
        <v>11000</v>
      </c>
      <c r="F582" s="140">
        <f t="shared" si="78"/>
        <v>44000</v>
      </c>
      <c r="G582" s="140">
        <f t="shared" si="78"/>
        <v>275000</v>
      </c>
      <c r="H582" s="140">
        <f t="shared" si="78"/>
        <v>61000</v>
      </c>
      <c r="I582" s="140">
        <f t="shared" si="78"/>
        <v>825000</v>
      </c>
      <c r="J582" s="140">
        <f t="shared" si="78"/>
        <v>591000</v>
      </c>
      <c r="K582" s="140">
        <f t="shared" si="78"/>
        <v>1100000</v>
      </c>
      <c r="L582" s="140">
        <f t="shared" si="78"/>
        <v>909000</v>
      </c>
      <c r="M582" s="140">
        <f t="shared" si="78"/>
        <v>0</v>
      </c>
      <c r="N582" s="140">
        <f t="shared" si="78"/>
        <v>0</v>
      </c>
      <c r="O582" s="140">
        <f t="shared" si="78"/>
        <v>0</v>
      </c>
      <c r="P582" s="140">
        <f t="shared" si="78"/>
        <v>0</v>
      </c>
      <c r="Q582" s="140">
        <f t="shared" si="78"/>
        <v>70000</v>
      </c>
      <c r="R582" s="140">
        <f t="shared" si="78"/>
        <v>0</v>
      </c>
      <c r="S582" s="140">
        <f t="shared" si="62"/>
        <v>3997000</v>
      </c>
      <c r="T582" s="140"/>
      <c r="U582" s="140">
        <f t="shared" si="63"/>
        <v>3997000</v>
      </c>
    </row>
    <row r="583" spans="1:21" ht="15.75" x14ac:dyDescent="0.3">
      <c r="A583" s="81">
        <f t="shared" si="65"/>
        <v>15</v>
      </c>
      <c r="B583" s="162" t="s">
        <v>98</v>
      </c>
      <c r="C583" s="140">
        <f t="shared" ref="C583:R583" si="79">+C536+C489+C442+C395+C348+C302+C255+C208+C161+C114+C67+C20</f>
        <v>99000</v>
      </c>
      <c r="D583" s="140">
        <f t="shared" si="79"/>
        <v>11000</v>
      </c>
      <c r="E583" s="140">
        <f t="shared" si="79"/>
        <v>11000</v>
      </c>
      <c r="F583" s="140">
        <f t="shared" si="79"/>
        <v>44000</v>
      </c>
      <c r="G583" s="140">
        <f t="shared" si="79"/>
        <v>275000</v>
      </c>
      <c r="H583" s="140">
        <f t="shared" si="79"/>
        <v>0</v>
      </c>
      <c r="I583" s="140">
        <f t="shared" si="79"/>
        <v>0</v>
      </c>
      <c r="J583" s="140">
        <f t="shared" si="79"/>
        <v>0</v>
      </c>
      <c r="K583" s="140">
        <f t="shared" si="79"/>
        <v>0</v>
      </c>
      <c r="L583" s="140">
        <f t="shared" si="79"/>
        <v>0</v>
      </c>
      <c r="M583" s="140">
        <f t="shared" si="79"/>
        <v>0</v>
      </c>
      <c r="N583" s="140">
        <f t="shared" si="79"/>
        <v>0</v>
      </c>
      <c r="O583" s="140">
        <f t="shared" si="79"/>
        <v>0</v>
      </c>
      <c r="P583" s="140">
        <f t="shared" si="79"/>
        <v>0</v>
      </c>
      <c r="Q583" s="140">
        <f t="shared" si="79"/>
        <v>70000</v>
      </c>
      <c r="R583" s="140">
        <f t="shared" si="79"/>
        <v>0</v>
      </c>
      <c r="S583" s="140">
        <f t="shared" si="62"/>
        <v>510000</v>
      </c>
      <c r="T583" s="140"/>
      <c r="U583" s="140">
        <f t="shared" si="63"/>
        <v>510000</v>
      </c>
    </row>
    <row r="584" spans="1:21" ht="15.75" x14ac:dyDescent="0.3">
      <c r="A584" s="81">
        <f t="shared" si="65"/>
        <v>16</v>
      </c>
      <c r="B584" s="162" t="s">
        <v>99</v>
      </c>
      <c r="C584" s="140">
        <f t="shared" ref="C584:R584" si="80">+C537+C490+C443+C396+C349+C303+C256+C209+C162+C115+C68+C21</f>
        <v>99000</v>
      </c>
      <c r="D584" s="140">
        <f t="shared" si="80"/>
        <v>11000</v>
      </c>
      <c r="E584" s="140">
        <f t="shared" si="80"/>
        <v>11000</v>
      </c>
      <c r="F584" s="140">
        <f t="shared" si="80"/>
        <v>44000</v>
      </c>
      <c r="G584" s="140">
        <f t="shared" si="80"/>
        <v>275000</v>
      </c>
      <c r="H584" s="140">
        <f t="shared" si="80"/>
        <v>0</v>
      </c>
      <c r="I584" s="140">
        <f t="shared" si="80"/>
        <v>825000</v>
      </c>
      <c r="J584" s="140">
        <f t="shared" si="80"/>
        <v>0</v>
      </c>
      <c r="K584" s="140">
        <f t="shared" si="80"/>
        <v>0</v>
      </c>
      <c r="L584" s="140">
        <f t="shared" si="80"/>
        <v>0</v>
      </c>
      <c r="M584" s="140">
        <f t="shared" si="80"/>
        <v>0</v>
      </c>
      <c r="N584" s="140">
        <f t="shared" si="80"/>
        <v>0</v>
      </c>
      <c r="O584" s="140">
        <f t="shared" si="80"/>
        <v>0</v>
      </c>
      <c r="P584" s="140">
        <f t="shared" si="80"/>
        <v>0</v>
      </c>
      <c r="Q584" s="140">
        <f t="shared" si="80"/>
        <v>0</v>
      </c>
      <c r="R584" s="140">
        <f t="shared" si="80"/>
        <v>0</v>
      </c>
      <c r="S584" s="140">
        <f t="shared" si="62"/>
        <v>1265000</v>
      </c>
      <c r="T584" s="140"/>
      <c r="U584" s="140">
        <f t="shared" si="63"/>
        <v>1265000</v>
      </c>
    </row>
    <row r="585" spans="1:21" ht="15.75" x14ac:dyDescent="0.3">
      <c r="A585" s="81">
        <f t="shared" si="65"/>
        <v>17</v>
      </c>
      <c r="B585" s="162" t="s">
        <v>100</v>
      </c>
      <c r="C585" s="140">
        <f t="shared" ref="C585:R585" si="81">+C538+C491+C444+C397+C350+C304+C257+C210+C163+C116+C69+C22</f>
        <v>205000</v>
      </c>
      <c r="D585" s="140">
        <f t="shared" si="81"/>
        <v>11000</v>
      </c>
      <c r="E585" s="140">
        <f t="shared" si="81"/>
        <v>11000</v>
      </c>
      <c r="F585" s="140">
        <f t="shared" si="81"/>
        <v>44000</v>
      </c>
      <c r="G585" s="140">
        <f t="shared" si="81"/>
        <v>275000</v>
      </c>
      <c r="H585" s="140">
        <f t="shared" si="81"/>
        <v>0</v>
      </c>
      <c r="I585" s="140">
        <f t="shared" si="81"/>
        <v>0</v>
      </c>
      <c r="J585" s="140">
        <f t="shared" si="81"/>
        <v>0</v>
      </c>
      <c r="K585" s="140">
        <f t="shared" si="81"/>
        <v>2200000</v>
      </c>
      <c r="L585" s="140">
        <f t="shared" si="81"/>
        <v>606000</v>
      </c>
      <c r="M585" s="140">
        <f t="shared" si="81"/>
        <v>0</v>
      </c>
      <c r="N585" s="140">
        <f t="shared" si="81"/>
        <v>0</v>
      </c>
      <c r="O585" s="140">
        <f t="shared" si="81"/>
        <v>0</v>
      </c>
      <c r="P585" s="140">
        <f t="shared" si="81"/>
        <v>0</v>
      </c>
      <c r="Q585" s="140">
        <f t="shared" si="81"/>
        <v>0</v>
      </c>
      <c r="R585" s="140">
        <f t="shared" si="81"/>
        <v>0</v>
      </c>
      <c r="S585" s="140">
        <f t="shared" si="62"/>
        <v>3352000</v>
      </c>
      <c r="T585" s="140"/>
      <c r="U585" s="140">
        <f t="shared" si="63"/>
        <v>3352000</v>
      </c>
    </row>
    <row r="586" spans="1:21" ht="15.75" x14ac:dyDescent="0.3">
      <c r="A586" s="81">
        <f t="shared" si="65"/>
        <v>18</v>
      </c>
      <c r="B586" s="162" t="s">
        <v>38</v>
      </c>
      <c r="C586" s="140">
        <f t="shared" ref="C586:R586" si="82">+C539+C492+C445+C398+C351+C305+C258+C211+C164+C117+C70+C23</f>
        <v>108000</v>
      </c>
      <c r="D586" s="140">
        <f t="shared" si="82"/>
        <v>11000</v>
      </c>
      <c r="E586" s="140">
        <f t="shared" si="82"/>
        <v>11000</v>
      </c>
      <c r="F586" s="140">
        <f t="shared" si="82"/>
        <v>44000</v>
      </c>
      <c r="G586" s="140">
        <f t="shared" si="82"/>
        <v>275000</v>
      </c>
      <c r="H586" s="140">
        <f t="shared" si="82"/>
        <v>26000</v>
      </c>
      <c r="I586" s="140">
        <f t="shared" si="82"/>
        <v>825000</v>
      </c>
      <c r="J586" s="140">
        <f t="shared" si="82"/>
        <v>273000</v>
      </c>
      <c r="K586" s="140">
        <f t="shared" si="82"/>
        <v>1100000</v>
      </c>
      <c r="L586" s="140">
        <f t="shared" si="82"/>
        <v>426000</v>
      </c>
      <c r="M586" s="140">
        <f t="shared" si="82"/>
        <v>0</v>
      </c>
      <c r="N586" s="140">
        <f t="shared" si="82"/>
        <v>0</v>
      </c>
      <c r="O586" s="140">
        <f t="shared" si="82"/>
        <v>3000</v>
      </c>
      <c r="P586" s="140">
        <f t="shared" si="82"/>
        <v>0</v>
      </c>
      <c r="Q586" s="140">
        <f t="shared" si="82"/>
        <v>0</v>
      </c>
      <c r="R586" s="140">
        <f t="shared" si="82"/>
        <v>0</v>
      </c>
      <c r="S586" s="140">
        <f t="shared" si="62"/>
        <v>3102000</v>
      </c>
      <c r="T586" s="140"/>
      <c r="U586" s="140">
        <f t="shared" si="63"/>
        <v>3102000</v>
      </c>
    </row>
    <row r="587" spans="1:21" ht="15.75" x14ac:dyDescent="0.3">
      <c r="A587" s="81">
        <f t="shared" si="65"/>
        <v>19</v>
      </c>
      <c r="B587" s="157" t="s">
        <v>101</v>
      </c>
      <c r="C587" s="140">
        <f t="shared" ref="C587:R587" si="83">+C540+C493+C446+C399+C352+C306+C259+C212+C165+C118+C71+C24</f>
        <v>291000</v>
      </c>
      <c r="D587" s="140">
        <f t="shared" si="83"/>
        <v>11000</v>
      </c>
      <c r="E587" s="140">
        <f t="shared" si="83"/>
        <v>11000</v>
      </c>
      <c r="F587" s="140">
        <f t="shared" si="83"/>
        <v>44000</v>
      </c>
      <c r="G587" s="140">
        <f t="shared" si="83"/>
        <v>275000</v>
      </c>
      <c r="H587" s="140">
        <f t="shared" si="83"/>
        <v>10000</v>
      </c>
      <c r="I587" s="140">
        <f t="shared" si="83"/>
        <v>1650000</v>
      </c>
      <c r="J587" s="140">
        <f t="shared" si="83"/>
        <v>255000</v>
      </c>
      <c r="K587" s="140">
        <f t="shared" si="83"/>
        <v>1100000</v>
      </c>
      <c r="L587" s="140">
        <f t="shared" si="83"/>
        <v>581000</v>
      </c>
      <c r="M587" s="140">
        <f t="shared" si="83"/>
        <v>0</v>
      </c>
      <c r="N587" s="140">
        <f t="shared" si="83"/>
        <v>0</v>
      </c>
      <c r="O587" s="140">
        <f t="shared" si="83"/>
        <v>0</v>
      </c>
      <c r="P587" s="140">
        <f t="shared" si="83"/>
        <v>0</v>
      </c>
      <c r="Q587" s="140">
        <f t="shared" si="83"/>
        <v>70000</v>
      </c>
      <c r="R587" s="140">
        <f t="shared" si="83"/>
        <v>0</v>
      </c>
      <c r="S587" s="140">
        <f t="shared" si="62"/>
        <v>4298000</v>
      </c>
      <c r="T587" s="140"/>
      <c r="U587" s="140">
        <f t="shared" si="63"/>
        <v>4298000</v>
      </c>
    </row>
    <row r="588" spans="1:21" ht="15.75" x14ac:dyDescent="0.3">
      <c r="A588" s="81">
        <f t="shared" si="65"/>
        <v>20</v>
      </c>
      <c r="B588" s="157" t="s">
        <v>102</v>
      </c>
      <c r="C588" s="140">
        <f t="shared" ref="C588:R588" si="84">+C541+C494+C447+C400+C353+C307+C260+C213+C166+C119+C72+C25</f>
        <v>97000</v>
      </c>
      <c r="D588" s="140">
        <f t="shared" si="84"/>
        <v>11000</v>
      </c>
      <c r="E588" s="140">
        <f t="shared" si="84"/>
        <v>11000</v>
      </c>
      <c r="F588" s="140">
        <f t="shared" si="84"/>
        <v>44000</v>
      </c>
      <c r="G588" s="140">
        <f t="shared" si="84"/>
        <v>275000</v>
      </c>
      <c r="H588" s="140">
        <f t="shared" si="84"/>
        <v>260000</v>
      </c>
      <c r="I588" s="140">
        <f t="shared" si="84"/>
        <v>0</v>
      </c>
      <c r="J588" s="140">
        <f t="shared" si="84"/>
        <v>0</v>
      </c>
      <c r="K588" s="140">
        <f t="shared" si="84"/>
        <v>0</v>
      </c>
      <c r="L588" s="140">
        <f t="shared" si="84"/>
        <v>0</v>
      </c>
      <c r="M588" s="140">
        <f t="shared" si="84"/>
        <v>2000000</v>
      </c>
      <c r="N588" s="140">
        <f t="shared" si="84"/>
        <v>0</v>
      </c>
      <c r="O588" s="140">
        <f t="shared" si="84"/>
        <v>18000</v>
      </c>
      <c r="P588" s="140">
        <f t="shared" si="84"/>
        <v>30000</v>
      </c>
      <c r="Q588" s="140">
        <f t="shared" si="84"/>
        <v>70000</v>
      </c>
      <c r="R588" s="140">
        <f t="shared" si="84"/>
        <v>0</v>
      </c>
      <c r="S588" s="140">
        <f t="shared" si="62"/>
        <v>2816000</v>
      </c>
      <c r="T588" s="140"/>
      <c r="U588" s="140">
        <f t="shared" si="63"/>
        <v>2816000</v>
      </c>
    </row>
    <row r="589" spans="1:21" ht="15.75" x14ac:dyDescent="0.3">
      <c r="A589" s="81">
        <f t="shared" si="65"/>
        <v>21</v>
      </c>
      <c r="B589" s="138" t="s">
        <v>109</v>
      </c>
      <c r="C589" s="140">
        <f t="shared" ref="C589:R589" si="85">+C542+C495+C448+C401+C354+C308+C261+C214+C167+C120+C73+C26</f>
        <v>0</v>
      </c>
      <c r="D589" s="140">
        <f t="shared" si="85"/>
        <v>0</v>
      </c>
      <c r="E589" s="140">
        <f t="shared" si="85"/>
        <v>0</v>
      </c>
      <c r="F589" s="140">
        <f t="shared" si="85"/>
        <v>0</v>
      </c>
      <c r="G589" s="140">
        <f t="shared" si="85"/>
        <v>0</v>
      </c>
      <c r="H589" s="140">
        <f t="shared" si="85"/>
        <v>0</v>
      </c>
      <c r="I589" s="140">
        <f t="shared" si="85"/>
        <v>0</v>
      </c>
      <c r="J589" s="140">
        <f t="shared" si="85"/>
        <v>0</v>
      </c>
      <c r="K589" s="140">
        <f t="shared" si="85"/>
        <v>0</v>
      </c>
      <c r="L589" s="140">
        <f t="shared" si="85"/>
        <v>0</v>
      </c>
      <c r="M589" s="140">
        <f t="shared" si="85"/>
        <v>0</v>
      </c>
      <c r="N589" s="140">
        <f t="shared" si="85"/>
        <v>0</v>
      </c>
      <c r="O589" s="140">
        <f t="shared" si="85"/>
        <v>0</v>
      </c>
      <c r="P589" s="140">
        <f t="shared" si="85"/>
        <v>0</v>
      </c>
      <c r="Q589" s="140">
        <f t="shared" si="85"/>
        <v>0</v>
      </c>
      <c r="R589" s="140">
        <f t="shared" si="85"/>
        <v>0</v>
      </c>
      <c r="S589" s="140">
        <f t="shared" si="62"/>
        <v>0</v>
      </c>
      <c r="T589" s="140"/>
      <c r="U589" s="140">
        <f t="shared" si="63"/>
        <v>0</v>
      </c>
    </row>
    <row r="590" spans="1:21" ht="15.75" x14ac:dyDescent="0.3">
      <c r="A590" s="81">
        <f t="shared" si="65"/>
        <v>22</v>
      </c>
      <c r="B590" s="157" t="s">
        <v>166</v>
      </c>
      <c r="C590" s="140">
        <f t="shared" ref="C590:R590" si="86">+C543+C496+C449+C402+C355+C309+C262+C215+C168+C121+C74+C27</f>
        <v>701500</v>
      </c>
      <c r="D590" s="140">
        <f t="shared" si="86"/>
        <v>11000</v>
      </c>
      <c r="E590" s="140">
        <f t="shared" si="86"/>
        <v>11000</v>
      </c>
      <c r="F590" s="140">
        <f t="shared" si="86"/>
        <v>44000</v>
      </c>
      <c r="G590" s="140">
        <f t="shared" si="86"/>
        <v>275000</v>
      </c>
      <c r="H590" s="140">
        <f t="shared" si="86"/>
        <v>0</v>
      </c>
      <c r="I590" s="140">
        <f t="shared" si="86"/>
        <v>0</v>
      </c>
      <c r="J590" s="140">
        <f t="shared" si="86"/>
        <v>0</v>
      </c>
      <c r="K590" s="140">
        <f t="shared" si="86"/>
        <v>0</v>
      </c>
      <c r="L590" s="140">
        <f t="shared" si="86"/>
        <v>0</v>
      </c>
      <c r="M590" s="140">
        <f t="shared" si="86"/>
        <v>0</v>
      </c>
      <c r="N590" s="140">
        <f t="shared" si="86"/>
        <v>25000</v>
      </c>
      <c r="O590" s="140">
        <f t="shared" si="86"/>
        <v>0</v>
      </c>
      <c r="P590" s="140">
        <f t="shared" si="86"/>
        <v>0</v>
      </c>
      <c r="Q590" s="140">
        <f t="shared" si="86"/>
        <v>0</v>
      </c>
      <c r="R590" s="140">
        <f t="shared" si="86"/>
        <v>120000</v>
      </c>
      <c r="S590" s="140">
        <f t="shared" si="62"/>
        <v>1187500</v>
      </c>
      <c r="T590" s="140"/>
      <c r="U590" s="140">
        <f t="shared" si="63"/>
        <v>1187500</v>
      </c>
    </row>
    <row r="591" spans="1:21" ht="15.75" x14ac:dyDescent="0.3">
      <c r="A591" s="81">
        <f t="shared" si="65"/>
        <v>23</v>
      </c>
      <c r="B591" s="157" t="s">
        <v>41</v>
      </c>
      <c r="C591" s="140">
        <f t="shared" ref="C591:R591" si="87">+C544+C497+C450+C403+C356+C310+C263+C216+C169+C122+C75+C28</f>
        <v>99000</v>
      </c>
      <c r="D591" s="140">
        <f t="shared" si="87"/>
        <v>11000</v>
      </c>
      <c r="E591" s="140">
        <f t="shared" si="87"/>
        <v>11000</v>
      </c>
      <c r="F591" s="140">
        <f t="shared" si="87"/>
        <v>44000</v>
      </c>
      <c r="G591" s="140">
        <f t="shared" si="87"/>
        <v>275000</v>
      </c>
      <c r="H591" s="140">
        <f t="shared" si="87"/>
        <v>0</v>
      </c>
      <c r="I591" s="140">
        <f t="shared" si="87"/>
        <v>825000</v>
      </c>
      <c r="J591" s="140">
        <f t="shared" si="87"/>
        <v>0</v>
      </c>
      <c r="K591" s="140">
        <f t="shared" si="87"/>
        <v>0</v>
      </c>
      <c r="L591" s="140">
        <f t="shared" si="87"/>
        <v>0</v>
      </c>
      <c r="M591" s="140">
        <f t="shared" si="87"/>
        <v>0</v>
      </c>
      <c r="N591" s="140">
        <f t="shared" si="87"/>
        <v>0</v>
      </c>
      <c r="O591" s="140">
        <f t="shared" si="87"/>
        <v>0</v>
      </c>
      <c r="P591" s="140">
        <f t="shared" si="87"/>
        <v>0</v>
      </c>
      <c r="Q591" s="140">
        <f t="shared" si="87"/>
        <v>70000</v>
      </c>
      <c r="R591" s="140">
        <f t="shared" si="87"/>
        <v>0</v>
      </c>
      <c r="S591" s="140">
        <f t="shared" si="62"/>
        <v>1335000</v>
      </c>
      <c r="T591" s="140"/>
      <c r="U591" s="140">
        <f t="shared" si="63"/>
        <v>1335000</v>
      </c>
    </row>
    <row r="592" spans="1:21" ht="15.75" x14ac:dyDescent="0.3">
      <c r="A592" s="81">
        <f t="shared" si="65"/>
        <v>24</v>
      </c>
      <c r="B592" s="164" t="s">
        <v>165</v>
      </c>
      <c r="C592" s="140">
        <f t="shared" ref="C592:R592" si="88">+C545+C498+C451+C404+C357+C311+C264+C217+C170+C123+C76+C29</f>
        <v>276500</v>
      </c>
      <c r="D592" s="140">
        <f t="shared" si="88"/>
        <v>11000</v>
      </c>
      <c r="E592" s="140">
        <f t="shared" si="88"/>
        <v>11000</v>
      </c>
      <c r="F592" s="140">
        <f t="shared" si="88"/>
        <v>44000</v>
      </c>
      <c r="G592" s="140">
        <f t="shared" si="88"/>
        <v>275000</v>
      </c>
      <c r="H592" s="140">
        <f t="shared" si="88"/>
        <v>32500</v>
      </c>
      <c r="I592" s="140">
        <f t="shared" si="88"/>
        <v>0</v>
      </c>
      <c r="J592" s="140">
        <f t="shared" si="88"/>
        <v>0</v>
      </c>
      <c r="K592" s="140">
        <f t="shared" si="88"/>
        <v>0</v>
      </c>
      <c r="L592" s="140">
        <f t="shared" si="88"/>
        <v>0</v>
      </c>
      <c r="M592" s="140">
        <f t="shared" si="88"/>
        <v>0</v>
      </c>
      <c r="N592" s="140">
        <f t="shared" si="88"/>
        <v>25000</v>
      </c>
      <c r="O592" s="140">
        <f t="shared" si="88"/>
        <v>0</v>
      </c>
      <c r="P592" s="140">
        <f t="shared" si="88"/>
        <v>0</v>
      </c>
      <c r="Q592" s="140">
        <f t="shared" si="88"/>
        <v>0</v>
      </c>
      <c r="R592" s="140">
        <f t="shared" si="88"/>
        <v>120000</v>
      </c>
      <c r="S592" s="140">
        <f t="shared" si="62"/>
        <v>795000</v>
      </c>
      <c r="T592" s="140"/>
      <c r="U592" s="140">
        <f t="shared" si="63"/>
        <v>795000</v>
      </c>
    </row>
    <row r="593" spans="1:21" ht="15.75" x14ac:dyDescent="0.3">
      <c r="A593" s="81">
        <f t="shared" si="65"/>
        <v>25</v>
      </c>
      <c r="B593" s="164" t="s">
        <v>46</v>
      </c>
      <c r="C593" s="140">
        <f t="shared" ref="C593:R593" si="89">+C546+C499+C452+C405+C358+C312+C265+C218+C171+C124+C77+C30</f>
        <v>99000</v>
      </c>
      <c r="D593" s="140">
        <f t="shared" si="89"/>
        <v>11000</v>
      </c>
      <c r="E593" s="140">
        <f t="shared" si="89"/>
        <v>11000</v>
      </c>
      <c r="F593" s="140">
        <f t="shared" si="89"/>
        <v>44000</v>
      </c>
      <c r="G593" s="140">
        <f t="shared" si="89"/>
        <v>275000</v>
      </c>
      <c r="H593" s="140">
        <f t="shared" si="89"/>
        <v>0</v>
      </c>
      <c r="I593" s="140">
        <f t="shared" si="89"/>
        <v>825000</v>
      </c>
      <c r="J593" s="140">
        <f t="shared" si="89"/>
        <v>0</v>
      </c>
      <c r="K593" s="140">
        <f t="shared" si="89"/>
        <v>0</v>
      </c>
      <c r="L593" s="140">
        <f t="shared" si="89"/>
        <v>0</v>
      </c>
      <c r="M593" s="140">
        <f t="shared" si="89"/>
        <v>0</v>
      </c>
      <c r="N593" s="140">
        <f t="shared" si="89"/>
        <v>0</v>
      </c>
      <c r="O593" s="140">
        <f t="shared" si="89"/>
        <v>0</v>
      </c>
      <c r="P593" s="140">
        <f t="shared" si="89"/>
        <v>0</v>
      </c>
      <c r="Q593" s="140">
        <f t="shared" si="89"/>
        <v>70000</v>
      </c>
      <c r="R593" s="140">
        <f t="shared" si="89"/>
        <v>0</v>
      </c>
      <c r="S593" s="140">
        <f t="shared" si="62"/>
        <v>1335000</v>
      </c>
      <c r="T593" s="140"/>
      <c r="U593" s="140">
        <f t="shared" si="63"/>
        <v>1335000</v>
      </c>
    </row>
    <row r="594" spans="1:21" ht="15.75" x14ac:dyDescent="0.3">
      <c r="A594" s="81">
        <f t="shared" si="65"/>
        <v>26</v>
      </c>
      <c r="B594" s="138" t="s">
        <v>104</v>
      </c>
      <c r="C594" s="140">
        <f t="shared" ref="C594:R594" si="90">+C547+C500+C453+C406+C359+C313+C266+C219+C172+C125+C78+C31</f>
        <v>153468</v>
      </c>
      <c r="D594" s="140">
        <f t="shared" si="90"/>
        <v>0</v>
      </c>
      <c r="E594" s="140">
        <f t="shared" si="90"/>
        <v>0</v>
      </c>
      <c r="F594" s="140">
        <f t="shared" si="90"/>
        <v>0</v>
      </c>
      <c r="G594" s="140">
        <f t="shared" si="90"/>
        <v>0</v>
      </c>
      <c r="H594" s="140">
        <f t="shared" si="90"/>
        <v>0</v>
      </c>
      <c r="I594" s="140">
        <f t="shared" si="90"/>
        <v>0</v>
      </c>
      <c r="J594" s="140">
        <f t="shared" si="90"/>
        <v>0</v>
      </c>
      <c r="K594" s="140">
        <f t="shared" si="90"/>
        <v>0</v>
      </c>
      <c r="L594" s="140">
        <f t="shared" si="90"/>
        <v>0</v>
      </c>
      <c r="M594" s="140">
        <f t="shared" si="90"/>
        <v>846532</v>
      </c>
      <c r="N594" s="140">
        <f t="shared" si="90"/>
        <v>0</v>
      </c>
      <c r="O594" s="140">
        <f t="shared" si="90"/>
        <v>0</v>
      </c>
      <c r="P594" s="140">
        <f t="shared" si="90"/>
        <v>0</v>
      </c>
      <c r="Q594" s="140">
        <f t="shared" si="90"/>
        <v>0</v>
      </c>
      <c r="R594" s="140">
        <f t="shared" si="90"/>
        <v>0</v>
      </c>
      <c r="S594" s="140">
        <f t="shared" si="62"/>
        <v>1000000</v>
      </c>
      <c r="T594" s="140"/>
      <c r="U594" s="140">
        <f t="shared" si="63"/>
        <v>1000000</v>
      </c>
    </row>
    <row r="595" spans="1:21" ht="15.75" x14ac:dyDescent="0.3">
      <c r="A595" s="81">
        <f t="shared" si="65"/>
        <v>27</v>
      </c>
      <c r="B595" s="164" t="s">
        <v>40</v>
      </c>
      <c r="C595" s="140">
        <f t="shared" ref="C595:R595" si="91">+C548+C501+C454+C407+C360+C314+C267+C220+C173+C126+C79+C32</f>
        <v>209500</v>
      </c>
      <c r="D595" s="140">
        <f t="shared" si="91"/>
        <v>11000</v>
      </c>
      <c r="E595" s="140">
        <f t="shared" si="91"/>
        <v>11000</v>
      </c>
      <c r="F595" s="140">
        <f t="shared" si="91"/>
        <v>44000</v>
      </c>
      <c r="G595" s="140">
        <f t="shared" si="91"/>
        <v>275000</v>
      </c>
      <c r="H595" s="140">
        <f t="shared" si="91"/>
        <v>0</v>
      </c>
      <c r="I595" s="140">
        <f t="shared" si="91"/>
        <v>0</v>
      </c>
      <c r="J595" s="140">
        <f t="shared" si="91"/>
        <v>0</v>
      </c>
      <c r="K595" s="140">
        <f t="shared" si="91"/>
        <v>1100000</v>
      </c>
      <c r="L595" s="140">
        <f t="shared" si="91"/>
        <v>62000</v>
      </c>
      <c r="M595" s="140">
        <f t="shared" si="91"/>
        <v>0</v>
      </c>
      <c r="N595" s="140">
        <f t="shared" si="91"/>
        <v>0</v>
      </c>
      <c r="O595" s="140">
        <f t="shared" si="91"/>
        <v>0</v>
      </c>
      <c r="P595" s="140">
        <f t="shared" si="91"/>
        <v>0</v>
      </c>
      <c r="Q595" s="140">
        <f t="shared" si="91"/>
        <v>70000</v>
      </c>
      <c r="R595" s="140">
        <f t="shared" si="91"/>
        <v>0</v>
      </c>
      <c r="S595" s="140">
        <f t="shared" si="62"/>
        <v>1782500</v>
      </c>
      <c r="T595" s="140"/>
      <c r="U595" s="140">
        <f t="shared" si="63"/>
        <v>1782500</v>
      </c>
    </row>
    <row r="596" spans="1:21" ht="15.75" x14ac:dyDescent="0.3">
      <c r="A596" s="81">
        <f t="shared" si="65"/>
        <v>28</v>
      </c>
      <c r="B596" s="164" t="s">
        <v>105</v>
      </c>
      <c r="C596" s="140">
        <f t="shared" ref="C596:R596" si="92">+C549+C502+C455+C408+C361+C315+C268+C221+C174+C127+C80+C33</f>
        <v>99000</v>
      </c>
      <c r="D596" s="140">
        <f t="shared" si="92"/>
        <v>11000</v>
      </c>
      <c r="E596" s="140">
        <f t="shared" si="92"/>
        <v>11000</v>
      </c>
      <c r="F596" s="140">
        <f t="shared" si="92"/>
        <v>44000</v>
      </c>
      <c r="G596" s="140">
        <f t="shared" si="92"/>
        <v>275000</v>
      </c>
      <c r="H596" s="140">
        <f t="shared" si="92"/>
        <v>0</v>
      </c>
      <c r="I596" s="140">
        <f t="shared" si="92"/>
        <v>825000</v>
      </c>
      <c r="J596" s="140">
        <f t="shared" si="92"/>
        <v>596000</v>
      </c>
      <c r="K596" s="140">
        <f t="shared" si="92"/>
        <v>0</v>
      </c>
      <c r="L596" s="140">
        <f t="shared" si="92"/>
        <v>0</v>
      </c>
      <c r="M596" s="140">
        <f t="shared" si="92"/>
        <v>1500000</v>
      </c>
      <c r="N596" s="140">
        <f t="shared" si="92"/>
        <v>0</v>
      </c>
      <c r="O596" s="140">
        <f t="shared" si="92"/>
        <v>0</v>
      </c>
      <c r="P596" s="140">
        <f t="shared" si="92"/>
        <v>48000</v>
      </c>
      <c r="Q596" s="140">
        <f t="shared" si="92"/>
        <v>0</v>
      </c>
      <c r="R596" s="140">
        <f t="shared" si="92"/>
        <v>0</v>
      </c>
      <c r="S596" s="140">
        <f t="shared" si="62"/>
        <v>3409000</v>
      </c>
      <c r="T596" s="140"/>
      <c r="U596" s="140">
        <f t="shared" si="63"/>
        <v>3409000</v>
      </c>
    </row>
    <row r="597" spans="1:21" ht="15.75" x14ac:dyDescent="0.3">
      <c r="A597" s="81">
        <f t="shared" si="65"/>
        <v>29</v>
      </c>
      <c r="B597" s="164" t="s">
        <v>187</v>
      </c>
      <c r="C597" s="140">
        <f t="shared" ref="C597:R597" si="93">+C550+C503+C456+C409+C362+C316+C269+C222+C175+C128+C81+C34</f>
        <v>75000</v>
      </c>
      <c r="D597" s="140">
        <f t="shared" si="93"/>
        <v>10000</v>
      </c>
      <c r="E597" s="140">
        <f t="shared" si="93"/>
        <v>10000</v>
      </c>
      <c r="F597" s="140">
        <f t="shared" si="93"/>
        <v>40000</v>
      </c>
      <c r="G597" s="140">
        <f t="shared" si="93"/>
        <v>250000</v>
      </c>
      <c r="H597" s="140">
        <f t="shared" si="93"/>
        <v>0</v>
      </c>
      <c r="I597" s="140">
        <f t="shared" si="93"/>
        <v>0</v>
      </c>
      <c r="J597" s="140">
        <f t="shared" si="93"/>
        <v>0</v>
      </c>
      <c r="K597" s="140">
        <f t="shared" si="93"/>
        <v>0</v>
      </c>
      <c r="L597" s="140">
        <f t="shared" si="93"/>
        <v>0</v>
      </c>
      <c r="M597" s="140">
        <f t="shared" si="93"/>
        <v>0</v>
      </c>
      <c r="N597" s="140">
        <f t="shared" si="93"/>
        <v>0</v>
      </c>
      <c r="O597" s="140">
        <f t="shared" si="93"/>
        <v>18000</v>
      </c>
      <c r="P597" s="140">
        <f t="shared" si="93"/>
        <v>0</v>
      </c>
      <c r="Q597" s="140">
        <f t="shared" si="93"/>
        <v>0</v>
      </c>
      <c r="R597" s="140">
        <f t="shared" si="93"/>
        <v>0</v>
      </c>
      <c r="S597" s="140">
        <f t="shared" si="62"/>
        <v>403000</v>
      </c>
      <c r="T597" s="140"/>
      <c r="U597" s="140">
        <f t="shared" si="63"/>
        <v>403000</v>
      </c>
    </row>
    <row r="598" spans="1:21" ht="15.75" x14ac:dyDescent="0.3">
      <c r="A598" s="81">
        <f t="shared" si="65"/>
        <v>30</v>
      </c>
      <c r="B598" s="138" t="s">
        <v>110</v>
      </c>
      <c r="C598" s="140">
        <f t="shared" ref="C598:R598" si="94">+C551+C504+C457+C410+C363+C317+C270+C223+C176+C129+C82+C35</f>
        <v>0</v>
      </c>
      <c r="D598" s="140">
        <f t="shared" si="94"/>
        <v>0</v>
      </c>
      <c r="E598" s="140">
        <f t="shared" si="94"/>
        <v>0</v>
      </c>
      <c r="F598" s="140">
        <f t="shared" si="94"/>
        <v>0</v>
      </c>
      <c r="G598" s="140">
        <f t="shared" si="94"/>
        <v>0</v>
      </c>
      <c r="H598" s="140">
        <f t="shared" si="94"/>
        <v>0</v>
      </c>
      <c r="I598" s="140">
        <f t="shared" si="94"/>
        <v>0</v>
      </c>
      <c r="J598" s="140">
        <f t="shared" si="94"/>
        <v>0</v>
      </c>
      <c r="K598" s="140">
        <f t="shared" si="94"/>
        <v>0</v>
      </c>
      <c r="L598" s="140">
        <f t="shared" si="94"/>
        <v>0</v>
      </c>
      <c r="M598" s="140">
        <f t="shared" si="94"/>
        <v>0</v>
      </c>
      <c r="N598" s="140">
        <f t="shared" si="94"/>
        <v>0</v>
      </c>
      <c r="O598" s="140">
        <f t="shared" si="94"/>
        <v>0</v>
      </c>
      <c r="P598" s="140">
        <f t="shared" si="94"/>
        <v>0</v>
      </c>
      <c r="Q598" s="140">
        <f t="shared" si="94"/>
        <v>0</v>
      </c>
      <c r="R598" s="140">
        <f t="shared" si="94"/>
        <v>0</v>
      </c>
      <c r="S598" s="140">
        <f t="shared" si="62"/>
        <v>0</v>
      </c>
      <c r="T598" s="140"/>
      <c r="U598" s="140">
        <f t="shared" si="63"/>
        <v>0</v>
      </c>
    </row>
    <row r="599" spans="1:21" ht="15.75" x14ac:dyDescent="0.3">
      <c r="A599" s="81">
        <f t="shared" si="65"/>
        <v>31</v>
      </c>
      <c r="B599" s="164" t="s">
        <v>106</v>
      </c>
      <c r="C599" s="140">
        <f t="shared" ref="C599:R599" si="95">+C552+C505+C458+C411+C364+C318+C271+C224+C177+C130+C83+C36</f>
        <v>89000</v>
      </c>
      <c r="D599" s="140">
        <f t="shared" si="95"/>
        <v>11000</v>
      </c>
      <c r="E599" s="140">
        <f t="shared" si="95"/>
        <v>11000</v>
      </c>
      <c r="F599" s="140">
        <f t="shared" si="95"/>
        <v>48000</v>
      </c>
      <c r="G599" s="140">
        <f t="shared" si="95"/>
        <v>300000</v>
      </c>
      <c r="H599" s="140">
        <f t="shared" si="95"/>
        <v>0</v>
      </c>
      <c r="I599" s="140">
        <f t="shared" si="95"/>
        <v>0</v>
      </c>
      <c r="J599" s="140">
        <f t="shared" si="95"/>
        <v>0</v>
      </c>
      <c r="K599" s="140">
        <f t="shared" si="95"/>
        <v>0</v>
      </c>
      <c r="L599" s="140">
        <f t="shared" si="95"/>
        <v>0</v>
      </c>
      <c r="M599" s="140">
        <f t="shared" si="95"/>
        <v>0</v>
      </c>
      <c r="N599" s="140">
        <f t="shared" si="95"/>
        <v>0</v>
      </c>
      <c r="O599" s="140">
        <f t="shared" si="95"/>
        <v>10000</v>
      </c>
      <c r="P599" s="140">
        <f t="shared" si="95"/>
        <v>0</v>
      </c>
      <c r="Q599" s="140">
        <f t="shared" si="95"/>
        <v>0</v>
      </c>
      <c r="R599" s="140">
        <f t="shared" si="95"/>
        <v>0</v>
      </c>
      <c r="S599" s="140">
        <f t="shared" si="62"/>
        <v>469000</v>
      </c>
      <c r="T599" s="140"/>
      <c r="U599" s="140">
        <f t="shared" si="63"/>
        <v>469000</v>
      </c>
    </row>
    <row r="600" spans="1:21" ht="15.75" x14ac:dyDescent="0.3">
      <c r="A600" s="81">
        <f t="shared" si="65"/>
        <v>32</v>
      </c>
      <c r="B600" s="164" t="s">
        <v>107</v>
      </c>
      <c r="C600" s="140">
        <f t="shared" ref="C600:R600" si="96">+C553+C506+C459+C412+C365+C319+C272+C225+C178+C131+C84+C37</f>
        <v>99000</v>
      </c>
      <c r="D600" s="140">
        <f t="shared" si="96"/>
        <v>11000</v>
      </c>
      <c r="E600" s="140">
        <f t="shared" si="96"/>
        <v>11000</v>
      </c>
      <c r="F600" s="140">
        <f t="shared" si="96"/>
        <v>44000</v>
      </c>
      <c r="G600" s="140">
        <f t="shared" si="96"/>
        <v>275000</v>
      </c>
      <c r="H600" s="140">
        <f t="shared" si="96"/>
        <v>0</v>
      </c>
      <c r="I600" s="140">
        <f t="shared" si="96"/>
        <v>1650000</v>
      </c>
      <c r="J600" s="140">
        <f t="shared" si="96"/>
        <v>0</v>
      </c>
      <c r="K600" s="140">
        <f t="shared" si="96"/>
        <v>1100000</v>
      </c>
      <c r="L600" s="140">
        <f t="shared" si="96"/>
        <v>0</v>
      </c>
      <c r="M600" s="140">
        <f t="shared" si="96"/>
        <v>1003000</v>
      </c>
      <c r="N600" s="140">
        <f t="shared" si="96"/>
        <v>0</v>
      </c>
      <c r="O600" s="140">
        <f t="shared" si="96"/>
        <v>0</v>
      </c>
      <c r="P600" s="140">
        <f t="shared" si="96"/>
        <v>60000</v>
      </c>
      <c r="Q600" s="140">
        <f t="shared" si="96"/>
        <v>70000</v>
      </c>
      <c r="R600" s="140">
        <f t="shared" si="96"/>
        <v>0</v>
      </c>
      <c r="S600" s="140">
        <f t="shared" si="62"/>
        <v>4323000</v>
      </c>
      <c r="T600" s="140"/>
      <c r="U600" s="140">
        <f t="shared" si="63"/>
        <v>4323000</v>
      </c>
    </row>
    <row r="601" spans="1:21" ht="15.75" x14ac:dyDescent="0.3">
      <c r="A601" s="81">
        <f t="shared" si="65"/>
        <v>33</v>
      </c>
      <c r="B601" s="157" t="s">
        <v>111</v>
      </c>
      <c r="C601" s="140">
        <f t="shared" ref="C601:R601" si="97">+C554+C507+C460+C413+C366+C320+C273+C226+C179+C132+C85+C38</f>
        <v>160000</v>
      </c>
      <c r="D601" s="140">
        <f t="shared" si="97"/>
        <v>11000</v>
      </c>
      <c r="E601" s="140">
        <f t="shared" si="97"/>
        <v>11000</v>
      </c>
      <c r="F601" s="140">
        <f t="shared" si="97"/>
        <v>44000</v>
      </c>
      <c r="G601" s="140">
        <f t="shared" si="97"/>
        <v>275000</v>
      </c>
      <c r="H601" s="140">
        <f t="shared" si="97"/>
        <v>30500</v>
      </c>
      <c r="I601" s="140">
        <f t="shared" si="97"/>
        <v>0</v>
      </c>
      <c r="J601" s="140">
        <f t="shared" si="97"/>
        <v>0</v>
      </c>
      <c r="K601" s="140">
        <f t="shared" si="97"/>
        <v>0</v>
      </c>
      <c r="L601" s="140">
        <f t="shared" si="97"/>
        <v>0</v>
      </c>
      <c r="M601" s="140">
        <f t="shared" si="97"/>
        <v>0</v>
      </c>
      <c r="N601" s="140">
        <f t="shared" si="97"/>
        <v>0</v>
      </c>
      <c r="O601" s="140">
        <f t="shared" si="97"/>
        <v>3000</v>
      </c>
      <c r="P601" s="140">
        <f t="shared" si="97"/>
        <v>0</v>
      </c>
      <c r="Q601" s="140">
        <f t="shared" si="97"/>
        <v>0</v>
      </c>
      <c r="R601" s="140">
        <f t="shared" si="97"/>
        <v>0</v>
      </c>
      <c r="S601" s="140">
        <f t="shared" si="62"/>
        <v>534500</v>
      </c>
      <c r="T601" s="140"/>
      <c r="U601" s="140">
        <f t="shared" si="63"/>
        <v>534500</v>
      </c>
    </row>
    <row r="602" spans="1:21" ht="15.75" x14ac:dyDescent="0.3">
      <c r="A602" s="81">
        <f t="shared" si="65"/>
        <v>34</v>
      </c>
      <c r="B602" s="162" t="s">
        <v>224</v>
      </c>
      <c r="C602" s="140">
        <f t="shared" ref="C602:R602" si="98">+C555+C508+C461+C414+C367+C321+C274+C227+C180+C133+C86+C39</f>
        <v>728500</v>
      </c>
      <c r="D602" s="140">
        <f t="shared" si="98"/>
        <v>11000</v>
      </c>
      <c r="E602" s="140">
        <f t="shared" si="98"/>
        <v>11000</v>
      </c>
      <c r="F602" s="140">
        <f t="shared" si="98"/>
        <v>44000</v>
      </c>
      <c r="G602" s="140">
        <f t="shared" si="98"/>
        <v>275000</v>
      </c>
      <c r="H602" s="140">
        <f t="shared" si="98"/>
        <v>0</v>
      </c>
      <c r="I602" s="140">
        <f t="shared" si="98"/>
        <v>0</v>
      </c>
      <c r="J602" s="140">
        <f t="shared" si="98"/>
        <v>0</v>
      </c>
      <c r="K602" s="140">
        <f t="shared" si="98"/>
        <v>0</v>
      </c>
      <c r="L602" s="140">
        <f t="shared" si="98"/>
        <v>0</v>
      </c>
      <c r="M602" s="140">
        <f t="shared" si="98"/>
        <v>0</v>
      </c>
      <c r="N602" s="140">
        <f t="shared" si="98"/>
        <v>25000</v>
      </c>
      <c r="O602" s="140">
        <f t="shared" si="98"/>
        <v>3000</v>
      </c>
      <c r="P602" s="140">
        <f t="shared" si="98"/>
        <v>0</v>
      </c>
      <c r="Q602" s="140">
        <f t="shared" si="98"/>
        <v>70000</v>
      </c>
      <c r="R602" s="140">
        <f t="shared" si="98"/>
        <v>120000</v>
      </c>
      <c r="S602" s="140">
        <f t="shared" si="62"/>
        <v>1287500</v>
      </c>
      <c r="T602" s="140"/>
      <c r="U602" s="140">
        <f t="shared" si="63"/>
        <v>1287500</v>
      </c>
    </row>
    <row r="603" spans="1:21" ht="15.75" x14ac:dyDescent="0.3">
      <c r="A603" s="81">
        <f t="shared" si="65"/>
        <v>35</v>
      </c>
      <c r="B603" s="138"/>
      <c r="C603" s="140">
        <f t="shared" ref="C603:R603" si="99">+C556+C509+C462+C415+C368+C322+C275+C228+C181+C134+C87+C40</f>
        <v>0</v>
      </c>
      <c r="D603" s="140">
        <f t="shared" si="99"/>
        <v>0</v>
      </c>
      <c r="E603" s="140">
        <f t="shared" si="99"/>
        <v>0</v>
      </c>
      <c r="F603" s="140">
        <f t="shared" si="99"/>
        <v>0</v>
      </c>
      <c r="G603" s="140">
        <f t="shared" si="99"/>
        <v>0</v>
      </c>
      <c r="H603" s="140">
        <f t="shared" si="99"/>
        <v>0</v>
      </c>
      <c r="I603" s="140">
        <f t="shared" si="99"/>
        <v>0</v>
      </c>
      <c r="J603" s="140">
        <f t="shared" si="99"/>
        <v>0</v>
      </c>
      <c r="K603" s="140">
        <f t="shared" si="99"/>
        <v>0</v>
      </c>
      <c r="L603" s="140">
        <f t="shared" si="99"/>
        <v>0</v>
      </c>
      <c r="M603" s="140">
        <f t="shared" si="99"/>
        <v>0</v>
      </c>
      <c r="N603" s="140">
        <f t="shared" si="99"/>
        <v>0</v>
      </c>
      <c r="O603" s="140">
        <f t="shared" si="99"/>
        <v>0</v>
      </c>
      <c r="P603" s="140">
        <f t="shared" si="99"/>
        <v>0</v>
      </c>
      <c r="Q603" s="140">
        <f t="shared" si="99"/>
        <v>0</v>
      </c>
      <c r="R603" s="140">
        <f t="shared" si="99"/>
        <v>0</v>
      </c>
      <c r="S603" s="140">
        <f t="shared" si="62"/>
        <v>0</v>
      </c>
      <c r="T603" s="140"/>
      <c r="U603" s="140">
        <f t="shared" si="63"/>
        <v>0</v>
      </c>
    </row>
    <row r="604" spans="1:21" ht="15.75" x14ac:dyDescent="0.3">
      <c r="A604" s="81">
        <f t="shared" si="65"/>
        <v>36</v>
      </c>
      <c r="B604" s="138"/>
      <c r="C604" s="140">
        <f t="shared" ref="C604:R604" si="100">+C557+C510+C463+C416+C369+C323+C276+C229+C182+C135+C88+C41</f>
        <v>0</v>
      </c>
      <c r="D604" s="140">
        <f t="shared" si="100"/>
        <v>0</v>
      </c>
      <c r="E604" s="140">
        <f t="shared" si="100"/>
        <v>0</v>
      </c>
      <c r="F604" s="140">
        <f t="shared" si="100"/>
        <v>0</v>
      </c>
      <c r="G604" s="140">
        <f t="shared" si="100"/>
        <v>0</v>
      </c>
      <c r="H604" s="140">
        <f t="shared" si="100"/>
        <v>0</v>
      </c>
      <c r="I604" s="140">
        <f t="shared" si="100"/>
        <v>0</v>
      </c>
      <c r="J604" s="140">
        <f t="shared" si="100"/>
        <v>0</v>
      </c>
      <c r="K604" s="140">
        <f t="shared" si="100"/>
        <v>0</v>
      </c>
      <c r="L604" s="140">
        <f t="shared" si="100"/>
        <v>0</v>
      </c>
      <c r="M604" s="140">
        <f t="shared" si="100"/>
        <v>0</v>
      </c>
      <c r="N604" s="140">
        <f t="shared" si="100"/>
        <v>0</v>
      </c>
      <c r="O604" s="140">
        <f t="shared" si="100"/>
        <v>0</v>
      </c>
      <c r="P604" s="140">
        <f t="shared" si="100"/>
        <v>0</v>
      </c>
      <c r="Q604" s="140">
        <f t="shared" si="100"/>
        <v>0</v>
      </c>
      <c r="R604" s="140">
        <f t="shared" si="100"/>
        <v>0</v>
      </c>
      <c r="S604" s="140">
        <f t="shared" si="62"/>
        <v>0</v>
      </c>
      <c r="T604" s="140"/>
      <c r="U604" s="140">
        <f t="shared" si="63"/>
        <v>0</v>
      </c>
    </row>
    <row r="605" spans="1:21" ht="15.75" x14ac:dyDescent="0.3">
      <c r="A605" s="81">
        <f t="shared" si="65"/>
        <v>37</v>
      </c>
      <c r="B605" s="139"/>
      <c r="C605" s="140">
        <v>0</v>
      </c>
      <c r="D605" s="140">
        <v>0</v>
      </c>
      <c r="E605" s="140">
        <v>0</v>
      </c>
      <c r="F605" s="140">
        <v>0</v>
      </c>
      <c r="G605" s="140">
        <v>0</v>
      </c>
      <c r="H605" s="140">
        <v>0</v>
      </c>
      <c r="I605" s="140">
        <v>0</v>
      </c>
      <c r="J605" s="140">
        <v>0</v>
      </c>
      <c r="K605" s="140">
        <v>0</v>
      </c>
      <c r="L605" s="140">
        <v>0</v>
      </c>
      <c r="M605" s="140">
        <v>0</v>
      </c>
      <c r="N605" s="140">
        <v>0</v>
      </c>
      <c r="O605" s="140">
        <v>0</v>
      </c>
      <c r="P605" s="140">
        <v>0</v>
      </c>
      <c r="Q605" s="140">
        <v>0</v>
      </c>
      <c r="R605" s="140">
        <v>0</v>
      </c>
      <c r="S605" s="140">
        <f t="shared" si="62"/>
        <v>0</v>
      </c>
      <c r="T605" s="140"/>
      <c r="U605" s="140">
        <f t="shared" si="63"/>
        <v>0</v>
      </c>
    </row>
    <row r="606" spans="1:21" ht="15.75" x14ac:dyDescent="0.3">
      <c r="A606" s="81">
        <f t="shared" si="65"/>
        <v>38</v>
      </c>
      <c r="B606" s="139"/>
      <c r="C606" s="140">
        <f t="shared" ref="C606:R606" si="101">+C559+C512+C465+C418+C371+C324+C278+C231+C184+C137+C90+C43</f>
        <v>0</v>
      </c>
      <c r="D606" s="140">
        <f t="shared" si="101"/>
        <v>0</v>
      </c>
      <c r="E606" s="140">
        <f t="shared" si="101"/>
        <v>0</v>
      </c>
      <c r="F606" s="140">
        <f t="shared" si="101"/>
        <v>0</v>
      </c>
      <c r="G606" s="140">
        <f t="shared" si="101"/>
        <v>0</v>
      </c>
      <c r="H606" s="140">
        <f t="shared" si="101"/>
        <v>0</v>
      </c>
      <c r="I606" s="140">
        <f t="shared" si="101"/>
        <v>0</v>
      </c>
      <c r="J606" s="140" t="e">
        <f t="shared" si="101"/>
        <v>#VALUE!</v>
      </c>
      <c r="K606" s="140">
        <f t="shared" si="101"/>
        <v>0</v>
      </c>
      <c r="L606" s="140">
        <f t="shared" si="101"/>
        <v>0</v>
      </c>
      <c r="M606" s="140">
        <f t="shared" si="101"/>
        <v>0</v>
      </c>
      <c r="N606" s="140">
        <f t="shared" si="101"/>
        <v>0</v>
      </c>
      <c r="O606" s="140">
        <f t="shared" si="101"/>
        <v>0</v>
      </c>
      <c r="P606" s="140">
        <f t="shared" si="101"/>
        <v>0</v>
      </c>
      <c r="Q606" s="140">
        <f t="shared" si="101"/>
        <v>0</v>
      </c>
      <c r="R606" s="140">
        <f t="shared" si="101"/>
        <v>0</v>
      </c>
      <c r="S606" s="140" t="e">
        <f t="shared" si="62"/>
        <v>#VALUE!</v>
      </c>
      <c r="T606" s="140"/>
      <c r="U606" s="140" t="e">
        <f t="shared" si="63"/>
        <v>#VALUE!</v>
      </c>
    </row>
    <row r="607" spans="1:21" ht="15.75" x14ac:dyDescent="0.3">
      <c r="A607" s="81">
        <f t="shared" si="65"/>
        <v>39</v>
      </c>
      <c r="B607" s="139"/>
      <c r="C607" s="140">
        <f t="shared" ref="C607:R607" si="102">+C560+C513+C466+C419+C372+C325+C279+C232+C185+C138+C91+C44</f>
        <v>0</v>
      </c>
      <c r="D607" s="140">
        <f t="shared" si="102"/>
        <v>0</v>
      </c>
      <c r="E607" s="140">
        <f t="shared" si="102"/>
        <v>0</v>
      </c>
      <c r="F607" s="140">
        <f t="shared" si="102"/>
        <v>0</v>
      </c>
      <c r="G607" s="140">
        <f t="shared" si="102"/>
        <v>0</v>
      </c>
      <c r="H607" s="140">
        <f t="shared" si="102"/>
        <v>0</v>
      </c>
      <c r="I607" s="140">
        <f t="shared" si="102"/>
        <v>0</v>
      </c>
      <c r="J607" s="140">
        <f t="shared" si="102"/>
        <v>0</v>
      </c>
      <c r="K607" s="140">
        <f t="shared" si="102"/>
        <v>0</v>
      </c>
      <c r="L607" s="140">
        <f t="shared" si="102"/>
        <v>0</v>
      </c>
      <c r="M607" s="140">
        <f t="shared" si="102"/>
        <v>0</v>
      </c>
      <c r="N607" s="140">
        <f t="shared" si="102"/>
        <v>0</v>
      </c>
      <c r="O607" s="140">
        <f t="shared" si="102"/>
        <v>0</v>
      </c>
      <c r="P607" s="140">
        <f t="shared" si="102"/>
        <v>0</v>
      </c>
      <c r="Q607" s="140">
        <f t="shared" si="102"/>
        <v>0</v>
      </c>
      <c r="R607" s="140">
        <f t="shared" si="102"/>
        <v>0</v>
      </c>
      <c r="S607" s="140">
        <f t="shared" si="62"/>
        <v>0</v>
      </c>
      <c r="T607" s="140"/>
      <c r="U607" s="140">
        <f t="shared" si="63"/>
        <v>0</v>
      </c>
    </row>
    <row r="608" spans="1:21" ht="15.75" x14ac:dyDescent="0.3">
      <c r="A608" s="81">
        <f t="shared" si="65"/>
        <v>40</v>
      </c>
      <c r="B608" s="139"/>
      <c r="C608" s="140">
        <f t="shared" ref="C608:R608" si="103">+C561+C514+C467+C420+C373+C326+C280+C233+C186+C139+C92+C45</f>
        <v>0</v>
      </c>
      <c r="D608" s="140">
        <f t="shared" si="103"/>
        <v>0</v>
      </c>
      <c r="E608" s="140">
        <f t="shared" si="103"/>
        <v>0</v>
      </c>
      <c r="F608" s="140">
        <f t="shared" si="103"/>
        <v>0</v>
      </c>
      <c r="G608" s="140">
        <f t="shared" si="103"/>
        <v>0</v>
      </c>
      <c r="H608" s="140">
        <f t="shared" si="103"/>
        <v>0</v>
      </c>
      <c r="I608" s="140">
        <f t="shared" si="103"/>
        <v>0</v>
      </c>
      <c r="J608" s="140">
        <f t="shared" si="103"/>
        <v>0</v>
      </c>
      <c r="K608" s="140">
        <f t="shared" si="103"/>
        <v>0</v>
      </c>
      <c r="L608" s="140">
        <f t="shared" si="103"/>
        <v>0</v>
      </c>
      <c r="M608" s="140">
        <f t="shared" si="103"/>
        <v>0</v>
      </c>
      <c r="N608" s="140">
        <f t="shared" si="103"/>
        <v>0</v>
      </c>
      <c r="O608" s="140">
        <f t="shared" si="103"/>
        <v>0</v>
      </c>
      <c r="P608" s="140">
        <f t="shared" si="103"/>
        <v>0</v>
      </c>
      <c r="Q608" s="140">
        <f t="shared" si="103"/>
        <v>0</v>
      </c>
      <c r="R608" s="140">
        <f t="shared" si="103"/>
        <v>0</v>
      </c>
      <c r="S608" s="140">
        <f t="shared" si="62"/>
        <v>0</v>
      </c>
      <c r="T608" s="140"/>
      <c r="U608" s="140">
        <f t="shared" si="63"/>
        <v>0</v>
      </c>
    </row>
    <row r="609" spans="1:21" ht="15.75" x14ac:dyDescent="0.3">
      <c r="A609" s="81">
        <f t="shared" si="65"/>
        <v>41</v>
      </c>
      <c r="B609" s="139"/>
      <c r="C609" s="140">
        <f t="shared" ref="C609:R609" si="104">+C562+C515+C468+C421+C374+C327+C281+C234+C187+C140+C93+C46</f>
        <v>0</v>
      </c>
      <c r="D609" s="140">
        <f t="shared" si="104"/>
        <v>0</v>
      </c>
      <c r="E609" s="140">
        <f t="shared" si="104"/>
        <v>0</v>
      </c>
      <c r="F609" s="140">
        <f t="shared" si="104"/>
        <v>0</v>
      </c>
      <c r="G609" s="140">
        <f t="shared" si="104"/>
        <v>0</v>
      </c>
      <c r="H609" s="140">
        <f t="shared" si="104"/>
        <v>0</v>
      </c>
      <c r="I609" s="140">
        <f t="shared" si="104"/>
        <v>0</v>
      </c>
      <c r="J609" s="140">
        <f t="shared" si="104"/>
        <v>0</v>
      </c>
      <c r="K609" s="140">
        <f t="shared" si="104"/>
        <v>0</v>
      </c>
      <c r="L609" s="140">
        <f t="shared" si="104"/>
        <v>0</v>
      </c>
      <c r="M609" s="140">
        <f t="shared" si="104"/>
        <v>0</v>
      </c>
      <c r="N609" s="140">
        <f t="shared" si="104"/>
        <v>0</v>
      </c>
      <c r="O609" s="140">
        <f t="shared" si="104"/>
        <v>0</v>
      </c>
      <c r="P609" s="140">
        <f t="shared" si="104"/>
        <v>0</v>
      </c>
      <c r="Q609" s="140">
        <f t="shared" si="104"/>
        <v>0</v>
      </c>
      <c r="R609" s="140">
        <f t="shared" si="104"/>
        <v>0</v>
      </c>
      <c r="S609" s="140">
        <f t="shared" si="62"/>
        <v>0</v>
      </c>
      <c r="T609" s="140"/>
      <c r="U609" s="140">
        <f t="shared" si="63"/>
        <v>0</v>
      </c>
    </row>
    <row r="610" spans="1:21" x14ac:dyDescent="0.25">
      <c r="B610" s="130"/>
      <c r="C610" s="132">
        <f t="shared" ref="C610" si="105">SUM(C568:C609)</f>
        <v>5580768</v>
      </c>
      <c r="D610" s="132">
        <f t="shared" ref="D610:H610" si="106">SUM(D568:D609)</f>
        <v>332000</v>
      </c>
      <c r="E610" s="132">
        <f t="shared" si="106"/>
        <v>329000</v>
      </c>
      <c r="F610" s="132">
        <f t="shared" si="106"/>
        <v>1320000</v>
      </c>
      <c r="G610" s="132">
        <f t="shared" si="106"/>
        <v>8250000</v>
      </c>
      <c r="H610" s="132">
        <f t="shared" si="106"/>
        <v>825500</v>
      </c>
      <c r="I610" s="132">
        <f t="shared" ref="I610" si="107">SUM(I569:I609)</f>
        <v>13200000</v>
      </c>
      <c r="J610" s="132" t="e">
        <f t="shared" ref="J610:U610" si="108">SUM(J568:J609)</f>
        <v>#VALUE!</v>
      </c>
      <c r="K610" s="132">
        <f t="shared" si="108"/>
        <v>15400000</v>
      </c>
      <c r="L610" s="132">
        <f t="shared" si="108"/>
        <v>5360500</v>
      </c>
      <c r="M610" s="132">
        <f t="shared" si="108"/>
        <v>10599532</v>
      </c>
      <c r="N610" s="132">
        <f t="shared" si="108"/>
        <v>75000</v>
      </c>
      <c r="O610" s="132">
        <f t="shared" si="108"/>
        <v>76000</v>
      </c>
      <c r="P610" s="132">
        <f t="shared" si="108"/>
        <v>240000</v>
      </c>
      <c r="Q610" s="132">
        <f t="shared" si="108"/>
        <v>-490000</v>
      </c>
      <c r="R610" s="132">
        <f t="shared" si="108"/>
        <v>360000</v>
      </c>
      <c r="S610" s="132" t="e">
        <f t="shared" si="108"/>
        <v>#VALUE!</v>
      </c>
      <c r="T610" s="133">
        <f t="shared" si="108"/>
        <v>0</v>
      </c>
      <c r="U610" s="133" t="e">
        <f t="shared" si="108"/>
        <v>#VALUE!</v>
      </c>
    </row>
  </sheetData>
  <sortState ref="B6:G38">
    <sortCondition ref="B6"/>
  </sortState>
  <mergeCells count="196">
    <mergeCell ref="R566:R567"/>
    <mergeCell ref="S566:U566"/>
    <mergeCell ref="K566:L566"/>
    <mergeCell ref="M566:M567"/>
    <mergeCell ref="N566:N567"/>
    <mergeCell ref="O566:O567"/>
    <mergeCell ref="P566:P567"/>
    <mergeCell ref="Q566:Q567"/>
    <mergeCell ref="B564:I564"/>
    <mergeCell ref="C566:C567"/>
    <mergeCell ref="D566:D567"/>
    <mergeCell ref="E566:E567"/>
    <mergeCell ref="F566:F567"/>
    <mergeCell ref="G566:H566"/>
    <mergeCell ref="I566:J566"/>
    <mergeCell ref="B566:B567"/>
    <mergeCell ref="N519:N520"/>
    <mergeCell ref="O519:O520"/>
    <mergeCell ref="P519:P520"/>
    <mergeCell ref="Q519:Q520"/>
    <mergeCell ref="R519:R520"/>
    <mergeCell ref="S519:U519"/>
    <mergeCell ref="S472:U472"/>
    <mergeCell ref="B517:I517"/>
    <mergeCell ref="C519:C520"/>
    <mergeCell ref="D519:D520"/>
    <mergeCell ref="E519:E520"/>
    <mergeCell ref="F519:F520"/>
    <mergeCell ref="G519:H519"/>
    <mergeCell ref="I519:J519"/>
    <mergeCell ref="K519:L519"/>
    <mergeCell ref="M519:M520"/>
    <mergeCell ref="M472:M473"/>
    <mergeCell ref="N472:N473"/>
    <mergeCell ref="O472:O473"/>
    <mergeCell ref="P472:P473"/>
    <mergeCell ref="Q472:Q473"/>
    <mergeCell ref="R472:R473"/>
    <mergeCell ref="R425:R426"/>
    <mergeCell ref="S425:U425"/>
    <mergeCell ref="B470:I470"/>
    <mergeCell ref="C472:C473"/>
    <mergeCell ref="D472:D473"/>
    <mergeCell ref="E472:E473"/>
    <mergeCell ref="F472:F473"/>
    <mergeCell ref="G472:H472"/>
    <mergeCell ref="I472:J472"/>
    <mergeCell ref="K472:L472"/>
    <mergeCell ref="K425:L425"/>
    <mergeCell ref="M425:M426"/>
    <mergeCell ref="N425:N426"/>
    <mergeCell ref="O425:O426"/>
    <mergeCell ref="P425:P426"/>
    <mergeCell ref="Q425:Q426"/>
    <mergeCell ref="B423:I423"/>
    <mergeCell ref="C425:C426"/>
    <mergeCell ref="D425:D426"/>
    <mergeCell ref="E425:E426"/>
    <mergeCell ref="F425:F426"/>
    <mergeCell ref="G425:H425"/>
    <mergeCell ref="I425:J425"/>
    <mergeCell ref="N378:N379"/>
    <mergeCell ref="O378:O379"/>
    <mergeCell ref="P378:P379"/>
    <mergeCell ref="Q378:Q379"/>
    <mergeCell ref="R378:R379"/>
    <mergeCell ref="S378:U378"/>
    <mergeCell ref="S331:U331"/>
    <mergeCell ref="B376:I376"/>
    <mergeCell ref="C378:C379"/>
    <mergeCell ref="D378:D379"/>
    <mergeCell ref="E378:E379"/>
    <mergeCell ref="F378:F379"/>
    <mergeCell ref="G378:H378"/>
    <mergeCell ref="I378:J378"/>
    <mergeCell ref="K378:L378"/>
    <mergeCell ref="M378:M379"/>
    <mergeCell ref="M331:M332"/>
    <mergeCell ref="N331:N332"/>
    <mergeCell ref="O331:O332"/>
    <mergeCell ref="P331:P332"/>
    <mergeCell ref="Q331:Q332"/>
    <mergeCell ref="R331:R332"/>
    <mergeCell ref="R285:R286"/>
    <mergeCell ref="S285:U285"/>
    <mergeCell ref="B329:I329"/>
    <mergeCell ref="C331:C332"/>
    <mergeCell ref="D331:D332"/>
    <mergeCell ref="E331:E332"/>
    <mergeCell ref="F331:F332"/>
    <mergeCell ref="G331:H331"/>
    <mergeCell ref="I331:J331"/>
    <mergeCell ref="K331:L331"/>
    <mergeCell ref="K285:L285"/>
    <mergeCell ref="M285:M286"/>
    <mergeCell ref="N285:N286"/>
    <mergeCell ref="O285:O286"/>
    <mergeCell ref="P285:P286"/>
    <mergeCell ref="Q285:Q286"/>
    <mergeCell ref="B283:I283"/>
    <mergeCell ref="C285:C286"/>
    <mergeCell ref="D285:D286"/>
    <mergeCell ref="E285:E286"/>
    <mergeCell ref="F285:F286"/>
    <mergeCell ref="G285:H285"/>
    <mergeCell ref="I285:J285"/>
    <mergeCell ref="N238:N239"/>
    <mergeCell ref="O238:O239"/>
    <mergeCell ref="P238:P239"/>
    <mergeCell ref="Q238:Q239"/>
    <mergeCell ref="R238:R239"/>
    <mergeCell ref="S238:U238"/>
    <mergeCell ref="S191:U191"/>
    <mergeCell ref="B236:I236"/>
    <mergeCell ref="C238:C239"/>
    <mergeCell ref="D238:D239"/>
    <mergeCell ref="E238:E239"/>
    <mergeCell ref="F238:F239"/>
    <mergeCell ref="G238:H238"/>
    <mergeCell ref="I238:J238"/>
    <mergeCell ref="K238:L238"/>
    <mergeCell ref="M238:M239"/>
    <mergeCell ref="M191:M192"/>
    <mergeCell ref="N191:N192"/>
    <mergeCell ref="O191:O192"/>
    <mergeCell ref="P191:P192"/>
    <mergeCell ref="Q191:Q192"/>
    <mergeCell ref="R191:R192"/>
    <mergeCell ref="R144:R145"/>
    <mergeCell ref="S144:U144"/>
    <mergeCell ref="B189:I189"/>
    <mergeCell ref="C191:C192"/>
    <mergeCell ref="D191:D192"/>
    <mergeCell ref="E191:E192"/>
    <mergeCell ref="F191:F192"/>
    <mergeCell ref="G191:H191"/>
    <mergeCell ref="I191:J191"/>
    <mergeCell ref="K191:L191"/>
    <mergeCell ref="K144:L144"/>
    <mergeCell ref="M144:M145"/>
    <mergeCell ref="N144:N145"/>
    <mergeCell ref="O144:O145"/>
    <mergeCell ref="P144:P145"/>
    <mergeCell ref="Q144:Q145"/>
    <mergeCell ref="B142:I142"/>
    <mergeCell ref="C144:C145"/>
    <mergeCell ref="D144:D145"/>
    <mergeCell ref="E144:E145"/>
    <mergeCell ref="F144:F145"/>
    <mergeCell ref="G144:H144"/>
    <mergeCell ref="I144:J144"/>
    <mergeCell ref="N97:N98"/>
    <mergeCell ref="O97:O98"/>
    <mergeCell ref="P97:P98"/>
    <mergeCell ref="Q97:Q98"/>
    <mergeCell ref="R97:R98"/>
    <mergeCell ref="S97:U97"/>
    <mergeCell ref="S50:U50"/>
    <mergeCell ref="B95:I95"/>
    <mergeCell ref="C97:C98"/>
    <mergeCell ref="D97:D98"/>
    <mergeCell ref="E97:E98"/>
    <mergeCell ref="F97:F98"/>
    <mergeCell ref="G97:H97"/>
    <mergeCell ref="I97:J97"/>
    <mergeCell ref="K97:L97"/>
    <mergeCell ref="M97:M98"/>
    <mergeCell ref="M50:M51"/>
    <mergeCell ref="N50:N51"/>
    <mergeCell ref="O50:O51"/>
    <mergeCell ref="P50:P51"/>
    <mergeCell ref="Q50:Q51"/>
    <mergeCell ref="R50:R51"/>
    <mergeCell ref="B1:I1"/>
    <mergeCell ref="B48:I48"/>
    <mergeCell ref="C50:C51"/>
    <mergeCell ref="D50:D51"/>
    <mergeCell ref="E50:E51"/>
    <mergeCell ref="F50:F51"/>
    <mergeCell ref="G50:H50"/>
    <mergeCell ref="I50:J50"/>
    <mergeCell ref="K50:L50"/>
    <mergeCell ref="R3:R4"/>
    <mergeCell ref="S3:U3"/>
    <mergeCell ref="K3:L3"/>
    <mergeCell ref="M3:M4"/>
    <mergeCell ref="N3:N4"/>
    <mergeCell ref="O3:O4"/>
    <mergeCell ref="P3:P4"/>
    <mergeCell ref="Q3:Q4"/>
    <mergeCell ref="C3:C4"/>
    <mergeCell ref="D3:D4"/>
    <mergeCell ref="E3:E4"/>
    <mergeCell ref="F3:F4"/>
    <mergeCell ref="G3:H3"/>
    <mergeCell ref="I3:J3"/>
  </mergeCells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64"/>
  <sheetViews>
    <sheetView topLeftCell="A28" zoomScaleNormal="100" workbookViewId="0">
      <pane xSplit="2" topLeftCell="Q1" activePane="topRight" state="frozen"/>
      <selection activeCell="A2" sqref="A2"/>
      <selection pane="topRight" activeCell="AB38" sqref="AB38"/>
    </sheetView>
  </sheetViews>
  <sheetFormatPr baseColWidth="10" defaultRowHeight="15" x14ac:dyDescent="0.25"/>
  <cols>
    <col min="1" max="1" width="7" style="16" customWidth="1"/>
    <col min="2" max="2" width="26.42578125" style="16" customWidth="1"/>
    <col min="3" max="3" width="18.85546875" style="16" customWidth="1"/>
    <col min="4" max="4" width="11.7109375" style="16" customWidth="1"/>
    <col min="5" max="5" width="12" style="16" customWidth="1"/>
    <col min="6" max="6" width="11.7109375" style="16" customWidth="1"/>
    <col min="7" max="7" width="12.5703125" style="16" customWidth="1"/>
    <col min="8" max="8" width="11.7109375" style="16" customWidth="1"/>
    <col min="9" max="9" width="12.28515625" style="16" customWidth="1"/>
    <col min="10" max="10" width="14.7109375" style="16" customWidth="1"/>
    <col min="11" max="11" width="13.5703125" style="16" customWidth="1"/>
    <col min="12" max="12" width="11.7109375" style="16" customWidth="1"/>
    <col min="13" max="13" width="12.7109375" style="16" customWidth="1"/>
    <col min="14" max="14" width="9.140625" style="16" customWidth="1"/>
    <col min="15" max="15" width="18.140625" style="16" customWidth="1"/>
    <col min="16" max="16" width="13.42578125" style="16" customWidth="1"/>
    <col min="17" max="17" width="12" style="16" customWidth="1"/>
    <col min="18" max="18" width="14.7109375" style="16" customWidth="1"/>
    <col min="19" max="19" width="12.140625" style="16" customWidth="1"/>
    <col min="20" max="27" width="11.7109375" style="16" customWidth="1"/>
    <col min="28" max="28" width="14.28515625" style="16" customWidth="1"/>
    <col min="29" max="35" width="11.7109375" style="16" customWidth="1"/>
    <col min="36" max="36" width="11.42578125" style="16"/>
    <col min="37" max="37" width="15.28515625" style="16" customWidth="1"/>
    <col min="38" max="16384" width="11.42578125" style="16"/>
  </cols>
  <sheetData>
    <row r="1" spans="1:37" x14ac:dyDescent="0.25">
      <c r="B1" s="1" t="s">
        <v>47</v>
      </c>
    </row>
    <row r="2" spans="1:37" ht="18.75" x14ac:dyDescent="0.3">
      <c r="B2" s="1"/>
      <c r="F2" s="259" t="s">
        <v>35</v>
      </c>
      <c r="G2" s="259"/>
      <c r="H2" s="259"/>
    </row>
    <row r="3" spans="1:37" ht="15.75" x14ac:dyDescent="0.25">
      <c r="B3" s="10" t="s">
        <v>9</v>
      </c>
      <c r="C3" s="242">
        <v>44941</v>
      </c>
      <c r="D3" s="242"/>
      <c r="E3" s="258" t="s">
        <v>262</v>
      </c>
      <c r="F3" s="258"/>
      <c r="G3" s="242">
        <v>45004</v>
      </c>
      <c r="H3" s="242"/>
      <c r="I3" s="258">
        <v>45032</v>
      </c>
      <c r="J3" s="258"/>
      <c r="K3" s="242">
        <v>45067</v>
      </c>
      <c r="L3" s="242"/>
      <c r="M3" s="258">
        <v>45095</v>
      </c>
      <c r="N3" s="258"/>
      <c r="O3" s="242">
        <v>45123</v>
      </c>
      <c r="P3" s="242"/>
      <c r="Q3" s="258" t="s">
        <v>385</v>
      </c>
      <c r="R3" s="258"/>
      <c r="S3" s="242">
        <v>45186</v>
      </c>
      <c r="T3" s="242"/>
      <c r="U3" s="242">
        <v>45214</v>
      </c>
      <c r="V3" s="242"/>
      <c r="W3" s="242">
        <v>45249</v>
      </c>
      <c r="X3" s="242"/>
      <c r="Y3" s="242" t="s">
        <v>51</v>
      </c>
      <c r="Z3" s="242"/>
      <c r="AA3" s="65"/>
      <c r="AB3" s="73"/>
      <c r="AC3" s="65"/>
      <c r="AD3" s="65"/>
      <c r="AE3" s="65"/>
      <c r="AF3" s="73"/>
      <c r="AG3" s="65"/>
      <c r="AH3" s="73"/>
      <c r="AI3" s="243"/>
      <c r="AJ3" s="243"/>
    </row>
    <row r="4" spans="1:37" ht="15.75" x14ac:dyDescent="0.25">
      <c r="B4" s="10" t="s">
        <v>8</v>
      </c>
      <c r="C4" s="14" t="s">
        <v>10</v>
      </c>
      <c r="D4" s="13" t="s">
        <v>11</v>
      </c>
      <c r="E4" s="14" t="s">
        <v>10</v>
      </c>
      <c r="F4" s="13" t="s">
        <v>11</v>
      </c>
      <c r="G4" s="14" t="s">
        <v>10</v>
      </c>
      <c r="H4" s="13" t="s">
        <v>11</v>
      </c>
      <c r="I4" s="14" t="s">
        <v>10</v>
      </c>
      <c r="J4" s="13" t="s">
        <v>11</v>
      </c>
      <c r="K4" s="14" t="s">
        <v>10</v>
      </c>
      <c r="L4" s="13" t="s">
        <v>11</v>
      </c>
      <c r="M4" s="14" t="s">
        <v>10</v>
      </c>
      <c r="N4" s="13" t="s">
        <v>11</v>
      </c>
      <c r="O4" s="14" t="s">
        <v>10</v>
      </c>
      <c r="P4" s="13" t="s">
        <v>11</v>
      </c>
      <c r="Q4" s="14" t="s">
        <v>10</v>
      </c>
      <c r="R4" s="13" t="s">
        <v>11</v>
      </c>
      <c r="S4" s="14" t="s">
        <v>10</v>
      </c>
      <c r="T4" s="13" t="s">
        <v>11</v>
      </c>
      <c r="U4" s="13" t="s">
        <v>16</v>
      </c>
      <c r="V4" s="13" t="s">
        <v>33</v>
      </c>
      <c r="W4" s="13" t="s">
        <v>16</v>
      </c>
      <c r="X4" s="13" t="s">
        <v>33</v>
      </c>
      <c r="Y4" s="13" t="s">
        <v>16</v>
      </c>
      <c r="Z4" s="13" t="s">
        <v>33</v>
      </c>
      <c r="AA4" s="13"/>
      <c r="AB4" s="13"/>
      <c r="AC4" s="13"/>
      <c r="AD4" s="13"/>
      <c r="AE4" s="13"/>
      <c r="AF4" s="13"/>
      <c r="AG4" s="13"/>
      <c r="AH4" s="13"/>
      <c r="AI4" s="14"/>
      <c r="AJ4" s="13"/>
      <c r="AK4" s="18"/>
    </row>
    <row r="5" spans="1:37" x14ac:dyDescent="0.25">
      <c r="A5" s="81">
        <v>1</v>
      </c>
      <c r="B5" s="151" t="s">
        <v>39</v>
      </c>
      <c r="C5" s="152">
        <v>25000</v>
      </c>
      <c r="D5" s="153"/>
      <c r="E5" s="152">
        <v>25000</v>
      </c>
      <c r="F5" s="153"/>
      <c r="G5" s="152">
        <v>25000</v>
      </c>
      <c r="H5" s="153"/>
      <c r="I5" s="152">
        <v>25000</v>
      </c>
      <c r="J5" s="153"/>
      <c r="K5" s="152">
        <v>25000</v>
      </c>
      <c r="L5" s="153"/>
      <c r="M5" s="152">
        <v>25000</v>
      </c>
      <c r="N5" s="153"/>
      <c r="O5" s="152">
        <v>25000</v>
      </c>
      <c r="P5" s="153"/>
      <c r="Q5" s="152">
        <v>25000</v>
      </c>
      <c r="R5" s="153"/>
      <c r="S5" s="152">
        <v>25000</v>
      </c>
      <c r="T5" s="153"/>
      <c r="U5" s="152">
        <v>25000</v>
      </c>
      <c r="V5" s="153">
        <v>2500</v>
      </c>
      <c r="W5" s="152">
        <v>25000</v>
      </c>
      <c r="X5" s="74"/>
      <c r="Y5" s="74"/>
      <c r="Z5" s="74"/>
      <c r="AA5" s="77"/>
      <c r="AB5" s="77"/>
      <c r="AC5" s="77"/>
      <c r="AD5" s="77"/>
      <c r="AE5" s="77"/>
      <c r="AF5" s="78"/>
    </row>
    <row r="6" spans="1:37" x14ac:dyDescent="0.25">
      <c r="A6" s="81">
        <f>1+A5</f>
        <v>2</v>
      </c>
      <c r="B6" s="151" t="s">
        <v>216</v>
      </c>
      <c r="C6" s="152">
        <v>25000</v>
      </c>
      <c r="D6" s="153">
        <v>22500</v>
      </c>
      <c r="E6" s="152">
        <v>25000</v>
      </c>
      <c r="F6" s="153"/>
      <c r="G6" s="152">
        <v>25000</v>
      </c>
      <c r="H6" s="153"/>
      <c r="I6" s="152">
        <v>25000</v>
      </c>
      <c r="J6" s="74"/>
      <c r="K6" s="152">
        <v>25000</v>
      </c>
      <c r="L6" s="74"/>
      <c r="M6" s="152">
        <v>25000</v>
      </c>
      <c r="N6" s="74"/>
      <c r="O6" s="152">
        <v>25000</v>
      </c>
      <c r="P6" s="74"/>
      <c r="Q6" s="152">
        <v>25000</v>
      </c>
      <c r="R6" s="74"/>
      <c r="S6" s="152">
        <v>25000</v>
      </c>
      <c r="T6" s="74"/>
      <c r="U6" s="152">
        <v>25000</v>
      </c>
      <c r="V6" s="74"/>
      <c r="W6" s="152">
        <v>25000</v>
      </c>
      <c r="X6" s="74"/>
      <c r="Y6" s="74"/>
      <c r="Z6" s="74"/>
      <c r="AA6" s="77"/>
      <c r="AB6" s="77"/>
      <c r="AC6" s="77"/>
      <c r="AD6" s="77"/>
      <c r="AE6" s="77"/>
      <c r="AF6" s="78"/>
    </row>
    <row r="7" spans="1:37" x14ac:dyDescent="0.25">
      <c r="A7" s="81">
        <f t="shared" ref="A7:A27" si="0">1+A6</f>
        <v>3</v>
      </c>
      <c r="B7" s="151" t="s">
        <v>226</v>
      </c>
      <c r="C7" s="152">
        <v>25000</v>
      </c>
      <c r="D7" s="153"/>
      <c r="E7" s="152">
        <v>25000</v>
      </c>
      <c r="F7" s="153"/>
      <c r="G7" s="152">
        <v>25000</v>
      </c>
      <c r="H7" s="153"/>
      <c r="I7" s="152">
        <v>25000</v>
      </c>
      <c r="J7" s="153">
        <v>11000</v>
      </c>
      <c r="K7" s="152">
        <v>25000</v>
      </c>
      <c r="L7" s="74"/>
      <c r="M7" s="152">
        <v>25000</v>
      </c>
      <c r="N7" s="74"/>
      <c r="O7" s="152">
        <v>25000</v>
      </c>
      <c r="P7" s="74"/>
      <c r="Q7" s="152">
        <v>25000</v>
      </c>
      <c r="R7" s="74"/>
      <c r="S7" s="152">
        <v>25000</v>
      </c>
      <c r="T7" s="76"/>
      <c r="U7" s="152">
        <v>25000</v>
      </c>
      <c r="V7" s="74"/>
      <c r="W7" s="152">
        <v>25000</v>
      </c>
      <c r="X7" s="74"/>
      <c r="Y7" s="74"/>
      <c r="Z7" s="74"/>
      <c r="AA7" s="77"/>
      <c r="AB7" s="77"/>
      <c r="AC7" s="77"/>
      <c r="AD7" s="77"/>
      <c r="AE7" s="77"/>
      <c r="AF7" s="78"/>
    </row>
    <row r="8" spans="1:37" x14ac:dyDescent="0.25">
      <c r="A8" s="81">
        <f t="shared" si="0"/>
        <v>4</v>
      </c>
      <c r="B8" s="151" t="s">
        <v>227</v>
      </c>
      <c r="C8" s="152">
        <v>25000</v>
      </c>
      <c r="D8" s="153"/>
      <c r="E8" s="152">
        <v>25000</v>
      </c>
      <c r="F8" s="153"/>
      <c r="G8" s="152">
        <v>25000</v>
      </c>
      <c r="H8" s="153"/>
      <c r="I8" s="152">
        <v>25000</v>
      </c>
      <c r="J8" s="153">
        <v>10000</v>
      </c>
      <c r="K8" s="152">
        <v>25000</v>
      </c>
      <c r="L8" s="74"/>
      <c r="M8" s="152">
        <v>25000</v>
      </c>
      <c r="N8" s="74"/>
      <c r="O8" s="152">
        <v>25000</v>
      </c>
      <c r="P8" s="74"/>
      <c r="Q8" s="152">
        <v>25000</v>
      </c>
      <c r="R8" s="74"/>
      <c r="S8" s="152">
        <v>25000</v>
      </c>
      <c r="T8" s="74"/>
      <c r="U8" s="152">
        <v>25000</v>
      </c>
      <c r="V8" s="74"/>
      <c r="W8" s="152">
        <v>25000</v>
      </c>
      <c r="X8" s="74"/>
      <c r="Y8" s="74"/>
      <c r="Z8" s="74"/>
      <c r="AA8" s="77"/>
      <c r="AB8" s="77"/>
      <c r="AC8" s="77"/>
      <c r="AD8" s="77"/>
      <c r="AE8" s="77"/>
      <c r="AF8" s="78"/>
    </row>
    <row r="9" spans="1:37" x14ac:dyDescent="0.25">
      <c r="A9" s="81">
        <f t="shared" si="0"/>
        <v>5</v>
      </c>
      <c r="B9" s="151" t="s">
        <v>208</v>
      </c>
      <c r="C9" s="152">
        <v>25000</v>
      </c>
      <c r="D9" s="153"/>
      <c r="E9" s="152">
        <v>25000</v>
      </c>
      <c r="F9" s="153"/>
      <c r="G9" s="152">
        <v>25000</v>
      </c>
      <c r="H9" s="153"/>
      <c r="I9" s="152">
        <v>25000</v>
      </c>
      <c r="J9" s="153"/>
      <c r="K9" s="152">
        <v>25000</v>
      </c>
      <c r="L9" s="153"/>
      <c r="M9" s="152">
        <v>25000</v>
      </c>
      <c r="N9" s="153">
        <v>5000</v>
      </c>
      <c r="O9" s="152">
        <v>25000</v>
      </c>
      <c r="P9" s="74"/>
      <c r="Q9" s="152">
        <v>25000</v>
      </c>
      <c r="R9" s="74"/>
      <c r="S9" s="152">
        <v>25000</v>
      </c>
      <c r="T9" s="74"/>
      <c r="U9" s="152">
        <v>25000</v>
      </c>
      <c r="V9" s="74"/>
      <c r="W9" s="152">
        <v>25000</v>
      </c>
      <c r="X9" s="74"/>
      <c r="Y9" s="74"/>
      <c r="Z9" s="74"/>
      <c r="AA9" s="77"/>
      <c r="AB9" s="77"/>
      <c r="AC9" s="77"/>
      <c r="AD9" s="77"/>
      <c r="AE9" s="77"/>
      <c r="AF9" s="78"/>
    </row>
    <row r="10" spans="1:37" x14ac:dyDescent="0.25">
      <c r="A10" s="81">
        <f t="shared" si="0"/>
        <v>6</v>
      </c>
      <c r="B10" s="151" t="s">
        <v>92</v>
      </c>
      <c r="C10" s="152">
        <v>25000</v>
      </c>
      <c r="D10" s="153"/>
      <c r="E10" s="152">
        <v>25000</v>
      </c>
      <c r="F10" s="153"/>
      <c r="G10" s="152">
        <v>25000</v>
      </c>
      <c r="H10" s="153">
        <v>10000</v>
      </c>
      <c r="I10" s="152">
        <v>25000</v>
      </c>
      <c r="J10" s="74"/>
      <c r="K10" s="152">
        <v>25000</v>
      </c>
      <c r="L10" s="74"/>
      <c r="M10" s="152">
        <v>25000</v>
      </c>
      <c r="N10" s="74"/>
      <c r="O10" s="152">
        <v>25000</v>
      </c>
      <c r="P10" s="74"/>
      <c r="Q10" s="152">
        <v>25000</v>
      </c>
      <c r="R10" s="74"/>
      <c r="S10" s="152">
        <v>25000</v>
      </c>
      <c r="T10" s="74"/>
      <c r="U10" s="152">
        <v>25000</v>
      </c>
      <c r="V10" s="74"/>
      <c r="W10" s="152">
        <v>25000</v>
      </c>
      <c r="X10" s="74"/>
      <c r="Y10" s="74"/>
      <c r="Z10" s="74"/>
      <c r="AA10" s="77"/>
      <c r="AB10" s="77"/>
      <c r="AC10" s="77"/>
      <c r="AD10" s="77"/>
      <c r="AE10" s="77"/>
      <c r="AF10" s="78"/>
    </row>
    <row r="11" spans="1:37" x14ac:dyDescent="0.25">
      <c r="A11" s="81">
        <f t="shared" si="0"/>
        <v>7</v>
      </c>
      <c r="B11" s="151" t="s">
        <v>93</v>
      </c>
      <c r="C11" s="152">
        <v>25000</v>
      </c>
      <c r="D11" s="153"/>
      <c r="E11" s="152">
        <v>25000</v>
      </c>
      <c r="F11" s="153"/>
      <c r="G11" s="152">
        <v>25000</v>
      </c>
      <c r="H11" s="153"/>
      <c r="I11" s="152">
        <v>25000</v>
      </c>
      <c r="J11" s="153"/>
      <c r="K11" s="152">
        <v>25000</v>
      </c>
      <c r="L11" s="153"/>
      <c r="M11" s="152">
        <v>25000</v>
      </c>
      <c r="N11" s="153"/>
      <c r="O11" s="152">
        <v>25000</v>
      </c>
      <c r="P11" s="153"/>
      <c r="Q11" s="152">
        <v>25000</v>
      </c>
      <c r="R11" s="153"/>
      <c r="S11" s="152">
        <v>25000</v>
      </c>
      <c r="T11" s="153"/>
      <c r="U11" s="152">
        <v>25000</v>
      </c>
      <c r="V11" s="153"/>
      <c r="W11" s="152">
        <v>25000</v>
      </c>
      <c r="X11" s="153">
        <v>2500</v>
      </c>
      <c r="Y11" s="74"/>
      <c r="Z11" s="74"/>
      <c r="AA11" s="77"/>
      <c r="AB11" s="77"/>
      <c r="AC11" s="77"/>
      <c r="AD11" s="77"/>
      <c r="AE11" s="77"/>
      <c r="AF11" s="78"/>
    </row>
    <row r="12" spans="1:37" x14ac:dyDescent="0.25">
      <c r="A12" s="81">
        <f t="shared" si="0"/>
        <v>8</v>
      </c>
      <c r="B12" s="151" t="s">
        <v>42</v>
      </c>
      <c r="C12" s="152">
        <v>25000</v>
      </c>
      <c r="D12" s="153"/>
      <c r="E12" s="152">
        <v>25000</v>
      </c>
      <c r="F12" s="153"/>
      <c r="G12" s="152">
        <v>25000</v>
      </c>
      <c r="H12" s="167"/>
      <c r="I12" s="152">
        <v>25000</v>
      </c>
      <c r="J12" s="153"/>
      <c r="K12" s="152">
        <v>25000</v>
      </c>
      <c r="L12" s="153"/>
      <c r="M12" s="152">
        <v>25000</v>
      </c>
      <c r="N12" s="153"/>
      <c r="O12" s="152">
        <v>25000</v>
      </c>
      <c r="P12" s="153">
        <v>2500</v>
      </c>
      <c r="Q12" s="152">
        <v>25000</v>
      </c>
      <c r="R12" s="74"/>
      <c r="S12" s="152">
        <v>25000</v>
      </c>
      <c r="T12" s="74"/>
      <c r="U12" s="152">
        <v>25000</v>
      </c>
      <c r="V12" s="74"/>
      <c r="W12" s="152">
        <v>25000</v>
      </c>
      <c r="X12" s="74"/>
      <c r="Y12" s="74"/>
      <c r="Z12" s="74"/>
      <c r="AA12" s="77"/>
      <c r="AB12" s="77"/>
      <c r="AC12" s="77"/>
      <c r="AD12" s="77"/>
      <c r="AE12" s="77"/>
      <c r="AF12" s="78"/>
    </row>
    <row r="13" spans="1:37" x14ac:dyDescent="0.25">
      <c r="A13" s="81">
        <f t="shared" si="0"/>
        <v>9</v>
      </c>
      <c r="B13" s="151" t="s">
        <v>37</v>
      </c>
      <c r="C13" s="152">
        <v>25000</v>
      </c>
      <c r="D13" s="153"/>
      <c r="E13" s="152">
        <v>25000</v>
      </c>
      <c r="F13" s="153"/>
      <c r="G13" s="152">
        <v>25000</v>
      </c>
      <c r="H13" s="167"/>
      <c r="I13" s="152">
        <v>25000</v>
      </c>
      <c r="J13" s="153"/>
      <c r="K13" s="152">
        <v>25000</v>
      </c>
      <c r="L13" s="74">
        <v>2500</v>
      </c>
      <c r="M13" s="152">
        <v>25000</v>
      </c>
      <c r="N13" s="74"/>
      <c r="O13" s="152">
        <v>25000</v>
      </c>
      <c r="P13" s="74"/>
      <c r="Q13" s="152">
        <v>25000</v>
      </c>
      <c r="R13" s="74"/>
      <c r="S13" s="152">
        <v>25000</v>
      </c>
      <c r="T13" s="74"/>
      <c r="U13" s="152">
        <v>25000</v>
      </c>
      <c r="V13" s="74"/>
      <c r="W13" s="152">
        <v>25000</v>
      </c>
      <c r="X13" s="74"/>
      <c r="Y13" s="74"/>
      <c r="Z13" s="74"/>
      <c r="AA13" s="77"/>
      <c r="AB13" s="77"/>
      <c r="AC13" s="77"/>
      <c r="AD13" s="77"/>
      <c r="AE13" s="77"/>
      <c r="AF13" s="78"/>
    </row>
    <row r="14" spans="1:37" x14ac:dyDescent="0.25">
      <c r="A14" s="81">
        <f t="shared" si="0"/>
        <v>10</v>
      </c>
      <c r="B14" s="151" t="s">
        <v>94</v>
      </c>
      <c r="C14" s="152">
        <v>25000</v>
      </c>
      <c r="D14" s="153"/>
      <c r="E14" s="152">
        <v>25000</v>
      </c>
      <c r="F14" s="153">
        <v>6500</v>
      </c>
      <c r="G14" s="152">
        <v>25000</v>
      </c>
      <c r="H14" s="167"/>
      <c r="I14" s="152">
        <v>25000</v>
      </c>
      <c r="J14" s="74"/>
      <c r="K14" s="152">
        <v>25000</v>
      </c>
      <c r="L14" s="74"/>
      <c r="M14" s="152">
        <v>25000</v>
      </c>
      <c r="N14" s="74"/>
      <c r="O14" s="152">
        <v>25000</v>
      </c>
      <c r="P14" s="74"/>
      <c r="Q14" s="152">
        <v>25000</v>
      </c>
      <c r="R14" s="74"/>
      <c r="S14" s="152">
        <v>25000</v>
      </c>
      <c r="T14" s="74"/>
      <c r="U14" s="152">
        <v>25000</v>
      </c>
      <c r="V14" s="74"/>
      <c r="W14" s="152">
        <v>25000</v>
      </c>
      <c r="X14" s="74"/>
      <c r="Y14" s="74"/>
      <c r="Z14" s="74"/>
      <c r="AA14" s="77"/>
      <c r="AB14" s="77"/>
      <c r="AC14" s="77"/>
      <c r="AD14" s="77"/>
      <c r="AE14" s="77"/>
      <c r="AF14" s="78"/>
    </row>
    <row r="15" spans="1:37" x14ac:dyDescent="0.25">
      <c r="A15" s="81">
        <f t="shared" si="0"/>
        <v>11</v>
      </c>
      <c r="B15" s="151" t="s">
        <v>36</v>
      </c>
      <c r="C15" s="152">
        <v>25000</v>
      </c>
      <c r="D15" s="153">
        <v>17500</v>
      </c>
      <c r="E15" s="152">
        <v>25000</v>
      </c>
      <c r="F15" s="153"/>
      <c r="G15" s="152">
        <v>25000</v>
      </c>
      <c r="H15" s="167"/>
      <c r="I15" s="152">
        <v>25000</v>
      </c>
      <c r="J15" s="74"/>
      <c r="K15" s="152">
        <v>25000</v>
      </c>
      <c r="L15" s="74"/>
      <c r="M15" s="152">
        <v>25000</v>
      </c>
      <c r="N15" s="74"/>
      <c r="O15" s="152">
        <v>25000</v>
      </c>
      <c r="P15" s="74"/>
      <c r="Q15" s="152">
        <v>25000</v>
      </c>
      <c r="R15" s="74"/>
      <c r="S15" s="152">
        <v>25000</v>
      </c>
      <c r="T15" s="74"/>
      <c r="U15" s="152">
        <v>25000</v>
      </c>
      <c r="V15" s="74"/>
      <c r="W15" s="152">
        <v>25000</v>
      </c>
      <c r="X15" s="74"/>
      <c r="Y15" s="74"/>
      <c r="Z15" s="74"/>
      <c r="AA15" s="77"/>
      <c r="AB15" s="77"/>
      <c r="AC15" s="77"/>
      <c r="AD15" s="77"/>
      <c r="AE15" s="77"/>
      <c r="AF15" s="78"/>
    </row>
    <row r="16" spans="1:37" x14ac:dyDescent="0.25">
      <c r="A16" s="81">
        <f t="shared" si="0"/>
        <v>12</v>
      </c>
      <c r="B16" s="151" t="s">
        <v>96</v>
      </c>
      <c r="C16" s="152">
        <v>25000</v>
      </c>
      <c r="D16" s="153"/>
      <c r="E16" s="152">
        <v>25000</v>
      </c>
      <c r="F16" s="153"/>
      <c r="G16" s="152">
        <v>25000</v>
      </c>
      <c r="H16" s="167"/>
      <c r="I16" s="152">
        <v>25000</v>
      </c>
      <c r="J16" s="153"/>
      <c r="K16" s="152">
        <v>25000</v>
      </c>
      <c r="L16" s="74">
        <v>3000</v>
      </c>
      <c r="M16" s="152">
        <v>25000</v>
      </c>
      <c r="N16" s="74"/>
      <c r="O16" s="152">
        <v>25000</v>
      </c>
      <c r="P16" s="74"/>
      <c r="Q16" s="152">
        <v>25000</v>
      </c>
      <c r="R16" s="74"/>
      <c r="S16" s="152">
        <v>25000</v>
      </c>
      <c r="T16" s="74"/>
      <c r="U16" s="152">
        <v>25000</v>
      </c>
      <c r="V16" s="74"/>
      <c r="W16" s="152">
        <v>25000</v>
      </c>
      <c r="X16" s="74"/>
      <c r="Y16" s="74"/>
      <c r="Z16" s="74"/>
      <c r="AA16" s="77"/>
      <c r="AB16" s="77"/>
      <c r="AC16" s="77"/>
      <c r="AD16" s="77"/>
      <c r="AE16" s="77"/>
      <c r="AF16" s="78"/>
    </row>
    <row r="17" spans="1:36" x14ac:dyDescent="0.25">
      <c r="A17" s="81">
        <f t="shared" si="0"/>
        <v>13</v>
      </c>
      <c r="B17" s="151" t="s">
        <v>97</v>
      </c>
      <c r="C17" s="152">
        <v>25000</v>
      </c>
      <c r="D17" s="153"/>
      <c r="E17" s="152">
        <v>25000</v>
      </c>
      <c r="F17" s="153"/>
      <c r="G17" s="152">
        <v>25000</v>
      </c>
      <c r="H17" s="167">
        <v>11000</v>
      </c>
      <c r="I17" s="152">
        <v>25000</v>
      </c>
      <c r="J17" s="74"/>
      <c r="K17" s="152">
        <v>25000</v>
      </c>
      <c r="L17" s="74"/>
      <c r="M17" s="152">
        <v>25000</v>
      </c>
      <c r="N17" s="74"/>
      <c r="O17" s="152">
        <v>25000</v>
      </c>
      <c r="P17" s="74"/>
      <c r="Q17" s="152">
        <v>25000</v>
      </c>
      <c r="R17" s="74"/>
      <c r="S17" s="152">
        <v>25000</v>
      </c>
      <c r="T17" s="74"/>
      <c r="U17" s="152">
        <v>25000</v>
      </c>
      <c r="V17" s="74"/>
      <c r="W17" s="152">
        <v>25000</v>
      </c>
      <c r="X17" s="74"/>
      <c r="Y17" s="74"/>
      <c r="Z17" s="74"/>
      <c r="AA17" s="77"/>
      <c r="AB17" s="77"/>
      <c r="AC17" s="77"/>
      <c r="AD17" s="77"/>
      <c r="AE17" s="77"/>
      <c r="AF17" s="78"/>
    </row>
    <row r="18" spans="1:36" x14ac:dyDescent="0.25">
      <c r="A18" s="81">
        <f t="shared" si="0"/>
        <v>14</v>
      </c>
      <c r="B18" s="151" t="s">
        <v>98</v>
      </c>
      <c r="C18" s="152">
        <v>25000</v>
      </c>
      <c r="D18" s="153"/>
      <c r="E18" s="152">
        <v>25000</v>
      </c>
      <c r="F18" s="153"/>
      <c r="G18" s="152">
        <v>25000</v>
      </c>
      <c r="H18" s="167"/>
      <c r="I18" s="152">
        <v>25000</v>
      </c>
      <c r="J18" s="153"/>
      <c r="K18" s="152">
        <v>25000</v>
      </c>
      <c r="L18" s="153"/>
      <c r="M18" s="152">
        <v>25000</v>
      </c>
      <c r="N18" s="153"/>
      <c r="O18" s="152">
        <v>25000</v>
      </c>
      <c r="P18" s="153"/>
      <c r="Q18" s="152">
        <v>25000</v>
      </c>
      <c r="R18" s="153">
        <v>2500</v>
      </c>
      <c r="S18" s="152">
        <v>25000</v>
      </c>
      <c r="T18" s="74"/>
      <c r="U18" s="152">
        <v>25000</v>
      </c>
      <c r="V18" s="74"/>
      <c r="W18" s="152">
        <v>25000</v>
      </c>
      <c r="X18" s="74"/>
      <c r="Y18" s="74"/>
      <c r="Z18" s="74"/>
      <c r="AA18" s="77"/>
      <c r="AB18" s="77"/>
      <c r="AC18" s="77"/>
      <c r="AD18" s="77"/>
      <c r="AE18" s="77"/>
      <c r="AF18" s="78"/>
    </row>
    <row r="19" spans="1:36" x14ac:dyDescent="0.25">
      <c r="A19" s="81">
        <f t="shared" si="0"/>
        <v>15</v>
      </c>
      <c r="B19" s="151" t="s">
        <v>99</v>
      </c>
      <c r="C19" s="152">
        <v>25000</v>
      </c>
      <c r="D19" s="153"/>
      <c r="E19" s="152">
        <v>25000</v>
      </c>
      <c r="F19" s="153"/>
      <c r="G19" s="152">
        <v>25000</v>
      </c>
      <c r="H19" s="167"/>
      <c r="I19" s="152">
        <v>25000</v>
      </c>
      <c r="J19" s="153"/>
      <c r="K19" s="152">
        <v>25000</v>
      </c>
      <c r="L19" s="153"/>
      <c r="M19" s="152">
        <v>25000</v>
      </c>
      <c r="N19" s="153">
        <v>4500</v>
      </c>
      <c r="O19" s="152">
        <v>25000</v>
      </c>
      <c r="P19" s="74"/>
      <c r="Q19" s="152">
        <v>25000</v>
      </c>
      <c r="R19" s="74"/>
      <c r="S19" s="152">
        <v>25000</v>
      </c>
      <c r="T19" s="74"/>
      <c r="U19" s="152">
        <v>25000</v>
      </c>
      <c r="V19" s="74"/>
      <c r="W19" s="152">
        <v>25000</v>
      </c>
      <c r="X19" s="74"/>
      <c r="Y19" s="74"/>
      <c r="Z19" s="74"/>
      <c r="AA19" s="77"/>
      <c r="AB19" s="77"/>
      <c r="AC19" s="77"/>
      <c r="AD19" s="77"/>
      <c r="AE19" s="77"/>
      <c r="AF19" s="78"/>
    </row>
    <row r="20" spans="1:36" x14ac:dyDescent="0.25">
      <c r="A20" s="81">
        <f t="shared" si="0"/>
        <v>16</v>
      </c>
      <c r="B20" s="151" t="s">
        <v>100</v>
      </c>
      <c r="C20" s="152">
        <v>25000</v>
      </c>
      <c r="D20" s="153"/>
      <c r="E20" s="152">
        <v>25000</v>
      </c>
      <c r="F20" s="153"/>
      <c r="G20" s="152">
        <v>25000</v>
      </c>
      <c r="H20" s="167"/>
      <c r="I20" s="152">
        <v>25000</v>
      </c>
      <c r="J20" s="153"/>
      <c r="K20" s="152">
        <v>25000</v>
      </c>
      <c r="L20" s="153"/>
      <c r="M20" s="152">
        <v>25000</v>
      </c>
      <c r="N20" s="153"/>
      <c r="O20" s="152">
        <v>25000</v>
      </c>
      <c r="P20" s="153"/>
      <c r="Q20" s="152">
        <v>25000</v>
      </c>
      <c r="R20" s="153"/>
      <c r="S20" s="152">
        <v>25000</v>
      </c>
      <c r="T20" s="153">
        <v>2500</v>
      </c>
      <c r="U20" s="152">
        <v>25000</v>
      </c>
      <c r="V20" s="74"/>
      <c r="W20" s="152">
        <v>25000</v>
      </c>
      <c r="X20" s="74"/>
      <c r="Y20" s="74"/>
      <c r="Z20" s="74"/>
      <c r="AA20" s="77"/>
      <c r="AB20" s="77"/>
      <c r="AC20" s="77"/>
      <c r="AD20" s="77"/>
      <c r="AE20" s="77"/>
      <c r="AF20" s="78"/>
    </row>
    <row r="21" spans="1:36" x14ac:dyDescent="0.25">
      <c r="A21" s="81">
        <f t="shared" si="0"/>
        <v>17</v>
      </c>
      <c r="B21" s="151" t="s">
        <v>38</v>
      </c>
      <c r="C21" s="152">
        <v>25000</v>
      </c>
      <c r="D21" s="153"/>
      <c r="E21" s="152">
        <v>25000</v>
      </c>
      <c r="F21" s="153"/>
      <c r="G21" s="152">
        <v>25000</v>
      </c>
      <c r="H21" s="167"/>
      <c r="I21" s="152">
        <v>25000</v>
      </c>
      <c r="J21" s="153"/>
      <c r="K21" s="152">
        <v>25000</v>
      </c>
      <c r="L21" s="74">
        <v>3000</v>
      </c>
      <c r="M21" s="152">
        <v>25000</v>
      </c>
      <c r="N21" s="74"/>
      <c r="O21" s="152">
        <v>25000</v>
      </c>
      <c r="P21" s="74"/>
      <c r="Q21" s="152">
        <v>25000</v>
      </c>
      <c r="R21" s="74"/>
      <c r="S21" s="152">
        <v>25000</v>
      </c>
      <c r="T21" s="74"/>
      <c r="U21" s="152">
        <v>25000</v>
      </c>
      <c r="V21" s="74"/>
      <c r="W21" s="152">
        <v>25000</v>
      </c>
      <c r="X21" s="74"/>
      <c r="Y21" s="74"/>
      <c r="Z21" s="74"/>
      <c r="AA21" s="77"/>
      <c r="AB21" s="77"/>
      <c r="AC21" s="77"/>
      <c r="AD21" s="77"/>
      <c r="AE21" s="77"/>
      <c r="AF21" s="78"/>
    </row>
    <row r="22" spans="1:36" x14ac:dyDescent="0.25">
      <c r="A22" s="81">
        <f t="shared" si="0"/>
        <v>18</v>
      </c>
      <c r="B22" s="151" t="s">
        <v>228</v>
      </c>
      <c r="C22" s="152">
        <v>25000</v>
      </c>
      <c r="D22" s="153"/>
      <c r="E22" s="152">
        <v>25000</v>
      </c>
      <c r="F22" s="153">
        <v>7500</v>
      </c>
      <c r="G22" s="152">
        <v>25000</v>
      </c>
      <c r="H22" s="153"/>
      <c r="I22" s="152">
        <v>25000</v>
      </c>
      <c r="J22" s="74"/>
      <c r="K22" s="152">
        <v>25000</v>
      </c>
      <c r="L22" s="74"/>
      <c r="M22" s="152">
        <v>25000</v>
      </c>
      <c r="N22" s="74"/>
      <c r="O22" s="152">
        <v>25000</v>
      </c>
      <c r="P22" s="74"/>
      <c r="Q22" s="152">
        <v>25000</v>
      </c>
      <c r="R22" s="74"/>
      <c r="S22" s="152">
        <v>25000</v>
      </c>
      <c r="T22" s="74"/>
      <c r="U22" s="152">
        <v>25000</v>
      </c>
      <c r="V22" s="74"/>
      <c r="W22" s="152">
        <v>25000</v>
      </c>
      <c r="X22" s="74"/>
      <c r="Y22" s="74"/>
      <c r="Z22" s="74"/>
      <c r="AA22" s="77"/>
      <c r="AB22" s="77"/>
      <c r="AC22" s="77"/>
      <c r="AD22" s="77"/>
      <c r="AE22" s="77"/>
      <c r="AF22" s="78"/>
      <c r="AJ22" s="21"/>
    </row>
    <row r="23" spans="1:36" x14ac:dyDescent="0.25">
      <c r="A23" s="81">
        <f t="shared" si="0"/>
        <v>19</v>
      </c>
      <c r="B23" s="151" t="s">
        <v>102</v>
      </c>
      <c r="C23" s="152">
        <v>25000</v>
      </c>
      <c r="D23" s="153"/>
      <c r="E23" s="152">
        <v>25000</v>
      </c>
      <c r="F23" s="153">
        <v>3500</v>
      </c>
      <c r="G23" s="152">
        <v>25000</v>
      </c>
      <c r="H23" s="153"/>
      <c r="I23" s="152">
        <v>25000</v>
      </c>
      <c r="J23" s="74"/>
      <c r="K23" s="152">
        <v>25000</v>
      </c>
      <c r="L23" s="74"/>
      <c r="M23" s="152">
        <v>25000</v>
      </c>
      <c r="N23" s="74"/>
      <c r="O23" s="152">
        <v>25000</v>
      </c>
      <c r="P23" s="74"/>
      <c r="Q23" s="152">
        <v>25000</v>
      </c>
      <c r="R23" s="74"/>
      <c r="S23" s="152">
        <v>25000</v>
      </c>
      <c r="T23" s="74"/>
      <c r="U23" s="152">
        <v>25000</v>
      </c>
      <c r="V23" s="74"/>
      <c r="W23" s="152">
        <v>25000</v>
      </c>
      <c r="X23" s="74"/>
      <c r="Y23" s="74"/>
      <c r="Z23" s="74"/>
      <c r="AA23" s="77"/>
      <c r="AB23" s="77"/>
      <c r="AC23" s="77"/>
      <c r="AD23" s="77"/>
      <c r="AE23" s="77"/>
      <c r="AF23" s="78"/>
      <c r="AJ23" s="21"/>
    </row>
    <row r="24" spans="1:36" x14ac:dyDescent="0.25">
      <c r="A24" s="81">
        <f t="shared" si="0"/>
        <v>20</v>
      </c>
      <c r="B24" s="151" t="s">
        <v>41</v>
      </c>
      <c r="C24" s="152">
        <v>25000</v>
      </c>
      <c r="D24" s="153"/>
      <c r="E24" s="152">
        <v>25000</v>
      </c>
      <c r="F24" s="153"/>
      <c r="G24" s="152">
        <v>25000</v>
      </c>
      <c r="H24" s="153"/>
      <c r="I24" s="152">
        <v>25000</v>
      </c>
      <c r="J24" s="153"/>
      <c r="K24" s="152">
        <v>25000</v>
      </c>
      <c r="L24" s="153"/>
      <c r="M24" s="152">
        <v>25000</v>
      </c>
      <c r="N24" s="153"/>
      <c r="O24" s="152">
        <v>25000</v>
      </c>
      <c r="P24" s="153"/>
      <c r="Q24" s="152">
        <v>25000</v>
      </c>
      <c r="R24" s="153"/>
      <c r="S24" s="152">
        <v>25000</v>
      </c>
      <c r="T24" s="153"/>
      <c r="U24" s="152">
        <v>25000</v>
      </c>
      <c r="V24" s="153"/>
      <c r="W24" s="152">
        <v>25000</v>
      </c>
      <c r="X24" s="153">
        <v>2500</v>
      </c>
      <c r="Y24" s="74"/>
      <c r="Z24" s="74"/>
      <c r="AA24" s="77"/>
      <c r="AB24" s="77"/>
      <c r="AC24" s="77"/>
      <c r="AD24" s="77"/>
      <c r="AE24" s="77"/>
      <c r="AF24" s="78"/>
    </row>
    <row r="25" spans="1:36" x14ac:dyDescent="0.25">
      <c r="A25" s="81">
        <f t="shared" si="0"/>
        <v>21</v>
      </c>
      <c r="B25" s="151" t="s">
        <v>46</v>
      </c>
      <c r="C25" s="152">
        <v>25000</v>
      </c>
      <c r="D25" s="153"/>
      <c r="E25" s="152">
        <v>25000</v>
      </c>
      <c r="F25" s="153"/>
      <c r="G25" s="152">
        <v>25000</v>
      </c>
      <c r="H25" s="153"/>
      <c r="I25" s="152">
        <v>25000</v>
      </c>
      <c r="J25" s="153"/>
      <c r="K25" s="152">
        <v>25000</v>
      </c>
      <c r="L25" s="153"/>
      <c r="M25" s="152">
        <v>25000</v>
      </c>
      <c r="N25" s="153"/>
      <c r="O25" s="152">
        <v>25000</v>
      </c>
      <c r="P25" s="153" t="s">
        <v>223</v>
      </c>
      <c r="Q25" s="152">
        <v>25000</v>
      </c>
      <c r="R25" s="153">
        <v>3000</v>
      </c>
      <c r="S25" s="152">
        <v>25000</v>
      </c>
      <c r="T25" s="74"/>
      <c r="U25" s="152">
        <v>25000</v>
      </c>
      <c r="V25" s="74"/>
      <c r="W25" s="152">
        <v>25000</v>
      </c>
      <c r="X25" s="74"/>
      <c r="Y25" s="74"/>
      <c r="Z25" s="74"/>
      <c r="AA25" s="77"/>
      <c r="AB25" s="77"/>
      <c r="AC25" s="77"/>
      <c r="AD25" s="77"/>
      <c r="AE25" s="77"/>
      <c r="AF25" s="78"/>
    </row>
    <row r="26" spans="1:36" x14ac:dyDescent="0.25">
      <c r="A26" s="81">
        <f t="shared" si="0"/>
        <v>22</v>
      </c>
      <c r="B26" s="151" t="s">
        <v>229</v>
      </c>
      <c r="C26" s="152">
        <v>25000</v>
      </c>
      <c r="D26" s="153"/>
      <c r="E26" s="152">
        <v>25000</v>
      </c>
      <c r="F26" s="153"/>
      <c r="G26" s="152">
        <v>25000</v>
      </c>
      <c r="H26" s="153"/>
      <c r="I26" s="152">
        <v>25000</v>
      </c>
      <c r="J26" s="153"/>
      <c r="K26" s="152">
        <v>25000</v>
      </c>
      <c r="L26" s="153"/>
      <c r="M26" s="152">
        <v>25000</v>
      </c>
      <c r="N26" s="153"/>
      <c r="O26" s="152">
        <v>25000</v>
      </c>
      <c r="P26" s="153">
        <v>3000</v>
      </c>
      <c r="Q26" s="152">
        <v>25000</v>
      </c>
      <c r="R26" s="74"/>
      <c r="S26" s="152">
        <v>25000</v>
      </c>
      <c r="T26" s="74"/>
      <c r="U26" s="152">
        <v>25000</v>
      </c>
      <c r="V26" s="74"/>
      <c r="W26" s="152">
        <v>25000</v>
      </c>
      <c r="X26" s="74"/>
      <c r="Y26" s="74"/>
      <c r="Z26" s="74"/>
      <c r="AA26" s="77"/>
      <c r="AB26" s="77"/>
      <c r="AC26" s="77"/>
      <c r="AD26" s="77"/>
      <c r="AE26" s="77"/>
      <c r="AF26" s="78"/>
    </row>
    <row r="27" spans="1:36" x14ac:dyDescent="0.25">
      <c r="A27" s="81">
        <f t="shared" si="0"/>
        <v>23</v>
      </c>
      <c r="B27" s="151" t="s">
        <v>222</v>
      </c>
      <c r="C27" s="152">
        <v>25000</v>
      </c>
      <c r="D27" s="153"/>
      <c r="E27" s="152">
        <v>25000</v>
      </c>
      <c r="F27" s="153"/>
      <c r="G27" s="152">
        <v>25000</v>
      </c>
      <c r="H27" s="153">
        <v>11000</v>
      </c>
      <c r="I27" s="152">
        <v>25000</v>
      </c>
      <c r="J27" s="74"/>
      <c r="K27" s="152">
        <v>25000</v>
      </c>
      <c r="L27" s="74"/>
      <c r="M27" s="152">
        <v>25000</v>
      </c>
      <c r="N27" s="74"/>
      <c r="O27" s="152">
        <v>25000</v>
      </c>
      <c r="P27" s="74"/>
      <c r="Q27" s="152">
        <v>25000</v>
      </c>
      <c r="R27" s="74"/>
      <c r="S27" s="152">
        <v>25000</v>
      </c>
      <c r="T27" s="74"/>
      <c r="U27" s="152">
        <v>25000</v>
      </c>
      <c r="V27" s="74"/>
      <c r="W27" s="152">
        <v>25000</v>
      </c>
      <c r="X27" s="74"/>
      <c r="Y27" s="74"/>
      <c r="Z27" s="74"/>
      <c r="AA27" s="77"/>
      <c r="AB27" s="77"/>
      <c r="AC27" s="77"/>
      <c r="AD27" s="77"/>
      <c r="AE27" s="77"/>
      <c r="AF27" s="78"/>
    </row>
    <row r="28" spans="1:36" x14ac:dyDescent="0.25">
      <c r="A28" s="81">
        <f t="shared" ref="A28:A34" si="1">1+A27</f>
        <v>24</v>
      </c>
      <c r="B28" s="151" t="s">
        <v>105</v>
      </c>
      <c r="C28" s="152">
        <v>25000</v>
      </c>
      <c r="D28" s="153"/>
      <c r="E28" s="152">
        <v>25000</v>
      </c>
      <c r="F28" s="153"/>
      <c r="G28" s="152">
        <v>25000</v>
      </c>
      <c r="H28" s="167"/>
      <c r="I28" s="152">
        <v>25000</v>
      </c>
      <c r="J28" s="153"/>
      <c r="K28" s="152">
        <v>25000</v>
      </c>
      <c r="L28" s="153"/>
      <c r="M28" s="152">
        <v>25000</v>
      </c>
      <c r="N28" s="153"/>
      <c r="O28" s="152">
        <v>25000</v>
      </c>
      <c r="P28" s="153">
        <v>2500</v>
      </c>
      <c r="Q28" s="152">
        <v>25000</v>
      </c>
      <c r="R28" s="74"/>
      <c r="S28" s="152">
        <v>25000</v>
      </c>
      <c r="T28" s="74"/>
      <c r="U28" s="152">
        <v>25000</v>
      </c>
      <c r="V28" s="74"/>
      <c r="W28" s="152">
        <v>25000</v>
      </c>
      <c r="X28" s="74"/>
      <c r="Y28" s="74"/>
      <c r="Z28" s="74"/>
      <c r="AA28" s="77"/>
      <c r="AB28" s="77"/>
      <c r="AC28" s="77"/>
      <c r="AD28" s="77"/>
      <c r="AE28" s="77"/>
      <c r="AF28" s="78"/>
    </row>
    <row r="29" spans="1:36" x14ac:dyDescent="0.25">
      <c r="A29" s="81">
        <f t="shared" si="1"/>
        <v>25</v>
      </c>
      <c r="B29" s="80" t="s">
        <v>230</v>
      </c>
      <c r="C29" s="121">
        <v>25000</v>
      </c>
      <c r="D29" s="74"/>
      <c r="E29" s="121">
        <v>25000</v>
      </c>
      <c r="F29" s="74"/>
      <c r="G29" s="121">
        <v>25000</v>
      </c>
      <c r="H29" s="74"/>
      <c r="I29" s="121">
        <v>0</v>
      </c>
      <c r="J29" s="74"/>
      <c r="K29" s="121">
        <v>50000</v>
      </c>
      <c r="L29" s="74"/>
      <c r="M29" s="121">
        <v>25000</v>
      </c>
      <c r="N29" s="74"/>
      <c r="O29" s="121">
        <v>25000</v>
      </c>
      <c r="P29" s="74"/>
      <c r="Q29" s="121">
        <v>25000</v>
      </c>
      <c r="R29" s="74"/>
      <c r="S29" s="121">
        <v>25000</v>
      </c>
      <c r="T29" s="74"/>
      <c r="U29" s="121">
        <v>25000</v>
      </c>
      <c r="V29" s="74"/>
      <c r="W29" s="121">
        <v>25000</v>
      </c>
      <c r="X29" s="74"/>
      <c r="Y29" s="74"/>
      <c r="Z29" s="74">
        <v>2500</v>
      </c>
      <c r="AA29" s="77"/>
      <c r="AB29" s="77"/>
      <c r="AC29" s="77"/>
      <c r="AD29" s="77"/>
      <c r="AE29" s="77"/>
      <c r="AF29" s="78"/>
    </row>
    <row r="30" spans="1:36" x14ac:dyDescent="0.25">
      <c r="A30" s="81">
        <f t="shared" si="1"/>
        <v>26</v>
      </c>
      <c r="B30" s="151" t="s">
        <v>107</v>
      </c>
      <c r="C30" s="152">
        <v>25000</v>
      </c>
      <c r="D30" s="153"/>
      <c r="E30" s="152">
        <v>25000</v>
      </c>
      <c r="F30" s="153"/>
      <c r="G30" s="152">
        <v>25000</v>
      </c>
      <c r="H30" s="153"/>
      <c r="I30" s="152">
        <v>25000</v>
      </c>
      <c r="J30" s="153"/>
      <c r="K30" s="152">
        <v>25000</v>
      </c>
      <c r="L30" s="153"/>
      <c r="M30" s="152">
        <v>25000</v>
      </c>
      <c r="N30" s="153"/>
      <c r="O30" s="152">
        <v>25000</v>
      </c>
      <c r="P30" s="153"/>
      <c r="Q30" s="152">
        <v>25000</v>
      </c>
      <c r="R30" s="153"/>
      <c r="S30" s="152">
        <v>25000</v>
      </c>
      <c r="T30" s="153"/>
      <c r="U30" s="152">
        <v>25000</v>
      </c>
      <c r="V30" s="153"/>
      <c r="W30" s="152">
        <v>25000</v>
      </c>
      <c r="X30" s="153">
        <v>2500</v>
      </c>
      <c r="Y30" s="74"/>
      <c r="Z30" s="74"/>
      <c r="AA30" s="77"/>
      <c r="AB30" s="77"/>
      <c r="AC30" s="77"/>
      <c r="AD30" s="77"/>
      <c r="AE30" s="77"/>
      <c r="AF30" s="78"/>
    </row>
    <row r="31" spans="1:36" x14ac:dyDescent="0.25">
      <c r="A31" s="81">
        <f t="shared" si="1"/>
        <v>27</v>
      </c>
      <c r="B31" s="151" t="s">
        <v>165</v>
      </c>
      <c r="C31" s="152">
        <v>25000</v>
      </c>
      <c r="D31" s="153"/>
      <c r="E31" s="152">
        <v>25000</v>
      </c>
      <c r="F31" s="153"/>
      <c r="G31" s="152">
        <v>25000</v>
      </c>
      <c r="H31" s="153"/>
      <c r="I31" s="152">
        <v>25000</v>
      </c>
      <c r="J31" s="153"/>
      <c r="K31" s="152">
        <v>25000</v>
      </c>
      <c r="L31" s="153"/>
      <c r="M31" s="152">
        <v>25000</v>
      </c>
      <c r="N31" s="153"/>
      <c r="O31" s="152">
        <v>25000</v>
      </c>
      <c r="P31" s="153"/>
      <c r="Q31" s="152">
        <v>25000</v>
      </c>
      <c r="R31" s="153"/>
      <c r="S31" s="152">
        <v>25000</v>
      </c>
      <c r="T31" s="153">
        <v>2500</v>
      </c>
      <c r="U31" s="152">
        <v>25000</v>
      </c>
      <c r="V31" s="74"/>
      <c r="W31" s="152">
        <v>25000</v>
      </c>
      <c r="X31" s="74"/>
      <c r="Y31" s="74"/>
      <c r="Z31" s="74"/>
      <c r="AA31" s="77"/>
      <c r="AB31" s="77"/>
      <c r="AC31" s="77"/>
      <c r="AD31" s="77"/>
      <c r="AE31" s="77"/>
      <c r="AF31" s="78"/>
    </row>
    <row r="32" spans="1:36" x14ac:dyDescent="0.25">
      <c r="A32" s="81">
        <f t="shared" si="1"/>
        <v>28</v>
      </c>
      <c r="B32" s="151" t="s">
        <v>166</v>
      </c>
      <c r="C32" s="152">
        <v>25000</v>
      </c>
      <c r="D32" s="153"/>
      <c r="E32" s="152">
        <v>25000</v>
      </c>
      <c r="F32" s="153"/>
      <c r="G32" s="152">
        <v>25000</v>
      </c>
      <c r="H32" s="153"/>
      <c r="I32" s="152">
        <v>25000</v>
      </c>
      <c r="J32" s="153"/>
      <c r="K32" s="152">
        <v>25000</v>
      </c>
      <c r="L32" s="153"/>
      <c r="M32" s="152">
        <v>25000</v>
      </c>
      <c r="N32" s="153"/>
      <c r="O32" s="152">
        <v>25000</v>
      </c>
      <c r="P32" s="153"/>
      <c r="Q32" s="152">
        <v>25000</v>
      </c>
      <c r="R32" s="153"/>
      <c r="S32" s="152">
        <v>25000</v>
      </c>
      <c r="T32" s="153">
        <v>2500</v>
      </c>
      <c r="U32" s="152">
        <v>25000</v>
      </c>
      <c r="V32" s="74"/>
      <c r="W32" s="152">
        <v>25000</v>
      </c>
      <c r="X32" s="74"/>
      <c r="Y32" s="74"/>
      <c r="Z32" s="74"/>
      <c r="AA32" s="77"/>
      <c r="AB32" s="77"/>
      <c r="AC32" s="77"/>
      <c r="AD32" s="77"/>
      <c r="AE32" s="77"/>
      <c r="AF32" s="78"/>
    </row>
    <row r="33" spans="1:36" x14ac:dyDescent="0.25">
      <c r="A33" s="81">
        <f t="shared" si="1"/>
        <v>29</v>
      </c>
      <c r="B33" s="80" t="s">
        <v>231</v>
      </c>
      <c r="C33" s="121">
        <v>25000</v>
      </c>
      <c r="D33" s="74"/>
      <c r="E33" s="121">
        <v>25000</v>
      </c>
      <c r="F33" s="74"/>
      <c r="G33" s="121">
        <v>25000</v>
      </c>
      <c r="H33" s="74"/>
      <c r="I33" s="121">
        <v>25000</v>
      </c>
      <c r="J33" s="74"/>
      <c r="K33" s="121">
        <v>25000</v>
      </c>
      <c r="L33" s="74"/>
      <c r="M33" s="121">
        <v>25000</v>
      </c>
      <c r="N33" s="74"/>
      <c r="O33" s="121">
        <v>25000</v>
      </c>
      <c r="P33" s="74"/>
      <c r="Q33" s="121">
        <v>0</v>
      </c>
      <c r="R33" s="74"/>
      <c r="S33" s="121">
        <v>0</v>
      </c>
      <c r="T33" s="74"/>
      <c r="U33" s="121">
        <v>0</v>
      </c>
      <c r="V33" s="74"/>
      <c r="W33" s="121">
        <v>75000</v>
      </c>
      <c r="X33" s="74"/>
      <c r="Y33" s="74"/>
      <c r="Z33" s="74"/>
      <c r="AA33" s="77"/>
      <c r="AB33" s="77"/>
      <c r="AC33" s="77"/>
      <c r="AD33" s="77"/>
      <c r="AE33" s="77"/>
      <c r="AF33" s="78"/>
    </row>
    <row r="34" spans="1:36" x14ac:dyDescent="0.25">
      <c r="A34" s="81">
        <f t="shared" si="1"/>
        <v>30</v>
      </c>
      <c r="B34" s="151" t="s">
        <v>224</v>
      </c>
      <c r="C34" s="152">
        <v>25000</v>
      </c>
      <c r="D34" s="153"/>
      <c r="E34" s="152">
        <v>25000</v>
      </c>
      <c r="F34" s="153"/>
      <c r="G34" s="152">
        <v>25000</v>
      </c>
      <c r="H34" s="153"/>
      <c r="I34" s="152">
        <v>25000</v>
      </c>
      <c r="J34" s="153"/>
      <c r="K34" s="152">
        <v>25000</v>
      </c>
      <c r="L34" s="153"/>
      <c r="M34" s="152">
        <v>25000</v>
      </c>
      <c r="N34" s="153"/>
      <c r="O34" s="152">
        <v>25000</v>
      </c>
      <c r="P34" s="153"/>
      <c r="Q34" s="152">
        <v>25000</v>
      </c>
      <c r="R34" s="153"/>
      <c r="S34" s="152">
        <v>25000</v>
      </c>
      <c r="T34" s="153"/>
      <c r="U34" s="152">
        <v>25000</v>
      </c>
      <c r="V34" s="153">
        <v>2500</v>
      </c>
      <c r="W34" s="152">
        <v>25000</v>
      </c>
      <c r="X34" s="74"/>
      <c r="Y34" s="74"/>
      <c r="Z34" s="74">
        <v>2500</v>
      </c>
      <c r="AA34" s="77"/>
      <c r="AB34" s="77"/>
      <c r="AC34" s="77"/>
      <c r="AD34" s="77"/>
      <c r="AE34" s="77"/>
      <c r="AF34" s="78"/>
    </row>
    <row r="35" spans="1:36" ht="15.75" x14ac:dyDescent="0.25">
      <c r="B35" s="9" t="s">
        <v>0</v>
      </c>
      <c r="C35" s="11">
        <f t="shared" ref="C35:Z35" si="2">SUM(C5:C34)</f>
        <v>750000</v>
      </c>
      <c r="D35" s="12">
        <f t="shared" si="2"/>
        <v>40000</v>
      </c>
      <c r="E35" s="11">
        <f t="shared" si="2"/>
        <v>750000</v>
      </c>
      <c r="F35" s="12">
        <f t="shared" si="2"/>
        <v>17500</v>
      </c>
      <c r="G35" s="11">
        <f t="shared" si="2"/>
        <v>750000</v>
      </c>
      <c r="H35" s="12">
        <f t="shared" si="2"/>
        <v>32000</v>
      </c>
      <c r="I35" s="11">
        <f t="shared" si="2"/>
        <v>725000</v>
      </c>
      <c r="J35" s="12">
        <f t="shared" si="2"/>
        <v>21000</v>
      </c>
      <c r="K35" s="11">
        <f t="shared" si="2"/>
        <v>775000</v>
      </c>
      <c r="L35" s="12">
        <f t="shared" si="2"/>
        <v>8500</v>
      </c>
      <c r="M35" s="11">
        <f t="shared" si="2"/>
        <v>750000</v>
      </c>
      <c r="N35" s="12">
        <f t="shared" si="2"/>
        <v>9500</v>
      </c>
      <c r="O35" s="11">
        <f t="shared" si="2"/>
        <v>750000</v>
      </c>
      <c r="P35" s="12">
        <f t="shared" si="2"/>
        <v>8000</v>
      </c>
      <c r="Q35" s="11">
        <f t="shared" si="2"/>
        <v>725000</v>
      </c>
      <c r="R35" s="12">
        <f t="shared" si="2"/>
        <v>5500</v>
      </c>
      <c r="S35" s="11">
        <f t="shared" si="2"/>
        <v>725000</v>
      </c>
      <c r="T35" s="12">
        <f t="shared" si="2"/>
        <v>7500</v>
      </c>
      <c r="U35" s="11">
        <f t="shared" si="2"/>
        <v>725000</v>
      </c>
      <c r="V35" s="12">
        <f t="shared" si="2"/>
        <v>5000</v>
      </c>
      <c r="W35" s="11">
        <f t="shared" si="2"/>
        <v>800000</v>
      </c>
      <c r="X35" s="12">
        <f t="shared" si="2"/>
        <v>7500</v>
      </c>
      <c r="Y35" s="11">
        <f t="shared" si="2"/>
        <v>0</v>
      </c>
      <c r="Z35" s="12">
        <f t="shared" si="2"/>
        <v>5000</v>
      </c>
      <c r="AA35" s="12">
        <f t="shared" ref="AA35:AF35" si="3">SUM(AA5:AA34)</f>
        <v>0</v>
      </c>
      <c r="AB35" s="12">
        <f>+Z35+X35+V35+T35+R35+P35+N35+L35+J35+H35+F35+D35</f>
        <v>167000</v>
      </c>
      <c r="AC35" s="12">
        <f t="shared" si="3"/>
        <v>0</v>
      </c>
      <c r="AD35" s="12">
        <f t="shared" si="3"/>
        <v>0</v>
      </c>
      <c r="AE35" s="12">
        <f t="shared" si="3"/>
        <v>0</v>
      </c>
      <c r="AF35" s="12">
        <f t="shared" si="3"/>
        <v>0</v>
      </c>
      <c r="AG35" s="12"/>
      <c r="AH35" s="12"/>
      <c r="AI35" s="11">
        <f>SUM(AI5:AI26)</f>
        <v>0</v>
      </c>
      <c r="AJ35" s="12">
        <f>SUM(AJ5:AJ26)</f>
        <v>0</v>
      </c>
    </row>
    <row r="36" spans="1:36" x14ac:dyDescent="0.25">
      <c r="C36" s="1" t="s">
        <v>211</v>
      </c>
      <c r="E36" s="16" t="s">
        <v>212</v>
      </c>
      <c r="G36" s="16" t="s">
        <v>213</v>
      </c>
      <c r="I36" s="16" t="s">
        <v>214</v>
      </c>
      <c r="K36" s="16" t="s">
        <v>215</v>
      </c>
      <c r="L36" s="16">
        <v>85500</v>
      </c>
      <c r="M36" s="16" t="s">
        <v>30</v>
      </c>
      <c r="N36" s="16">
        <v>93500</v>
      </c>
      <c r="O36" s="16" t="s">
        <v>31</v>
      </c>
      <c r="P36" s="16">
        <v>240500</v>
      </c>
      <c r="Q36" s="16" t="s">
        <v>32</v>
      </c>
      <c r="R36" s="16">
        <v>-53500</v>
      </c>
      <c r="S36" s="16" t="s">
        <v>32</v>
      </c>
      <c r="T36" s="16">
        <v>0</v>
      </c>
      <c r="U36" s="16" t="s">
        <v>32</v>
      </c>
      <c r="AB36" s="204">
        <f>+F53+F69+F85+F100+F117+F131+F146+F161+F176+F191+F212+F228</f>
        <v>26000</v>
      </c>
      <c r="AI36" s="16" t="s">
        <v>13</v>
      </c>
      <c r="AJ36" s="16">
        <v>0</v>
      </c>
    </row>
    <row r="37" spans="1:36" x14ac:dyDescent="0.25">
      <c r="AB37" s="16">
        <f>SUM(AB35:AB36)</f>
        <v>193000</v>
      </c>
    </row>
    <row r="38" spans="1:36" ht="21" x14ac:dyDescent="0.35">
      <c r="B38" s="4"/>
      <c r="C38" s="244" t="s">
        <v>19</v>
      </c>
      <c r="D38" s="245"/>
      <c r="E38" s="245"/>
      <c r="F38" s="245"/>
      <c r="G38" s="246"/>
      <c r="H38" s="8"/>
      <c r="I38" s="4"/>
      <c r="O38" s="247" t="s">
        <v>29</v>
      </c>
      <c r="P38" s="247"/>
      <c r="Q38" s="247"/>
      <c r="R38" s="247"/>
      <c r="AB38" s="205">
        <f>+AB37/30</f>
        <v>6433.333333333333</v>
      </c>
    </row>
    <row r="39" spans="1:36" ht="31.5" x14ac:dyDescent="0.25">
      <c r="B39" s="248" t="s">
        <v>5</v>
      </c>
      <c r="C39" s="250" t="s">
        <v>6</v>
      </c>
      <c r="D39" s="251"/>
      <c r="E39" s="252" t="s">
        <v>2</v>
      </c>
      <c r="F39" s="254" t="s">
        <v>4</v>
      </c>
      <c r="G39" s="254" t="s">
        <v>7</v>
      </c>
      <c r="H39" s="256" t="s">
        <v>15</v>
      </c>
      <c r="I39" s="240" t="s">
        <v>14</v>
      </c>
      <c r="K39" s="241">
        <v>44941</v>
      </c>
      <c r="L39" s="241"/>
      <c r="M39" s="241"/>
      <c r="O39" s="30" t="s">
        <v>23</v>
      </c>
      <c r="P39" s="30" t="s">
        <v>25</v>
      </c>
      <c r="Q39" s="31" t="s">
        <v>26</v>
      </c>
      <c r="R39" s="32" t="s">
        <v>27</v>
      </c>
      <c r="S39" s="29"/>
    </row>
    <row r="40" spans="1:36" ht="15.75" x14ac:dyDescent="0.25">
      <c r="B40" s="249"/>
      <c r="C40" s="5" t="s">
        <v>12</v>
      </c>
      <c r="D40" s="6" t="s">
        <v>3</v>
      </c>
      <c r="E40" s="253"/>
      <c r="F40" s="255"/>
      <c r="G40" s="255"/>
      <c r="H40" s="257"/>
      <c r="I40" s="240"/>
      <c r="J40" s="26" t="s">
        <v>23</v>
      </c>
      <c r="K40" s="26" t="s">
        <v>22</v>
      </c>
      <c r="L40" s="26" t="s">
        <v>20</v>
      </c>
      <c r="M40" s="26" t="s">
        <v>21</v>
      </c>
      <c r="N40" s="16">
        <v>1</v>
      </c>
      <c r="O40" s="3"/>
      <c r="P40" s="16">
        <v>1</v>
      </c>
      <c r="Q40" s="28">
        <f>D258/P74</f>
        <v>25806.451612903227</v>
      </c>
      <c r="R40" s="24">
        <f>P40*$Q$40</f>
        <v>25806.451612903227</v>
      </c>
    </row>
    <row r="41" spans="1:36" ht="15.75" x14ac:dyDescent="0.25">
      <c r="B41" s="79">
        <v>44941</v>
      </c>
      <c r="C41" s="15" t="s">
        <v>18</v>
      </c>
      <c r="D41" s="72">
        <f>C35-M44</f>
        <v>235000</v>
      </c>
      <c r="E41" s="72"/>
      <c r="F41" s="72"/>
      <c r="G41" s="72"/>
      <c r="H41" s="72"/>
      <c r="J41" s="26" t="s">
        <v>238</v>
      </c>
      <c r="K41" s="26">
        <v>300000</v>
      </c>
      <c r="L41" s="26">
        <v>45000</v>
      </c>
      <c r="M41" s="26">
        <f>K41-L41</f>
        <v>255000</v>
      </c>
      <c r="N41" s="16">
        <f>1+N40</f>
        <v>2</v>
      </c>
      <c r="O41" s="3"/>
      <c r="P41" s="16">
        <v>1</v>
      </c>
      <c r="Q41" s="28">
        <v>0</v>
      </c>
      <c r="R41" s="24">
        <f t="shared" ref="R41:R72" si="4">P41*$Q$40</f>
        <v>25806.451612903227</v>
      </c>
    </row>
    <row r="42" spans="1:36" ht="15.75" x14ac:dyDescent="0.25">
      <c r="B42" s="79"/>
      <c r="C42" s="72" t="s">
        <v>239</v>
      </c>
      <c r="D42" s="72">
        <v>0</v>
      </c>
      <c r="E42" s="72">
        <v>30000</v>
      </c>
      <c r="F42" s="72">
        <v>1000</v>
      </c>
      <c r="G42" s="72">
        <f>E42+F42</f>
        <v>31000</v>
      </c>
      <c r="H42" s="72">
        <v>31000</v>
      </c>
      <c r="J42" s="26" t="s">
        <v>206</v>
      </c>
      <c r="K42" s="26">
        <v>300000</v>
      </c>
      <c r="L42" s="26">
        <v>40000</v>
      </c>
      <c r="M42" s="26">
        <f t="shared" ref="M42:M43" si="5">K42-L42</f>
        <v>260000</v>
      </c>
      <c r="N42" s="16">
        <f t="shared" ref="N42:N70" si="6">1+N41</f>
        <v>3</v>
      </c>
      <c r="O42" s="3"/>
      <c r="P42" s="16">
        <v>1</v>
      </c>
      <c r="Q42" s="28">
        <v>0</v>
      </c>
      <c r="R42" s="24">
        <f t="shared" si="4"/>
        <v>25806.451612903227</v>
      </c>
    </row>
    <row r="43" spans="1:36" ht="15.75" x14ac:dyDescent="0.25">
      <c r="B43" s="79"/>
      <c r="C43" s="72" t="s">
        <v>235</v>
      </c>
      <c r="D43" s="72">
        <v>0</v>
      </c>
      <c r="E43" s="72">
        <v>30000</v>
      </c>
      <c r="F43" s="72">
        <v>1000</v>
      </c>
      <c r="G43" s="72">
        <f t="shared" ref="G43:G52" si="7">E43+F43</f>
        <v>31000</v>
      </c>
      <c r="H43" s="72">
        <v>31000</v>
      </c>
      <c r="J43" s="26"/>
      <c r="K43" s="26">
        <v>0</v>
      </c>
      <c r="L43" s="26">
        <v>0</v>
      </c>
      <c r="M43" s="26">
        <f t="shared" si="5"/>
        <v>0</v>
      </c>
      <c r="N43" s="16">
        <f t="shared" si="6"/>
        <v>4</v>
      </c>
      <c r="O43" s="3"/>
      <c r="P43" s="16">
        <v>1</v>
      </c>
      <c r="Q43" s="28">
        <v>0</v>
      </c>
      <c r="R43" s="24">
        <f t="shared" si="4"/>
        <v>25806.451612903227</v>
      </c>
    </row>
    <row r="44" spans="1:36" ht="15.75" x14ac:dyDescent="0.25">
      <c r="B44" s="79"/>
      <c r="C44" s="72" t="s">
        <v>239</v>
      </c>
      <c r="D44" s="72">
        <v>0</v>
      </c>
      <c r="E44" s="72">
        <v>30000</v>
      </c>
      <c r="F44" s="72">
        <v>1000</v>
      </c>
      <c r="G44" s="72">
        <f t="shared" si="7"/>
        <v>31000</v>
      </c>
      <c r="H44" s="72">
        <v>31000</v>
      </c>
      <c r="J44" s="26"/>
      <c r="K44" s="26"/>
      <c r="L44" s="27">
        <f>SUM(L41:L43)</f>
        <v>85000</v>
      </c>
      <c r="M44" s="27">
        <f>SUM(M41:M43)</f>
        <v>515000</v>
      </c>
      <c r="N44" s="16">
        <f t="shared" si="6"/>
        <v>5</v>
      </c>
      <c r="O44" s="3"/>
      <c r="P44" s="16">
        <v>1</v>
      </c>
      <c r="Q44" s="28">
        <v>0</v>
      </c>
      <c r="R44" s="24">
        <f t="shared" si="4"/>
        <v>25806.451612903227</v>
      </c>
    </row>
    <row r="45" spans="1:36" ht="15.75" x14ac:dyDescent="0.25">
      <c r="B45" s="79"/>
      <c r="C45" s="72" t="s">
        <v>240</v>
      </c>
      <c r="D45" s="72">
        <v>0</v>
      </c>
      <c r="E45" s="72">
        <v>30000</v>
      </c>
      <c r="F45" s="72">
        <v>1000</v>
      </c>
      <c r="G45" s="72">
        <f t="shared" si="7"/>
        <v>31000</v>
      </c>
      <c r="H45" s="72">
        <v>31000</v>
      </c>
      <c r="N45" s="16">
        <f t="shared" si="6"/>
        <v>6</v>
      </c>
      <c r="O45" s="3"/>
      <c r="P45" s="16">
        <v>1</v>
      </c>
      <c r="Q45" s="28">
        <v>0</v>
      </c>
      <c r="R45" s="24">
        <f t="shared" si="4"/>
        <v>25806.451612903227</v>
      </c>
    </row>
    <row r="46" spans="1:36" ht="15.75" x14ac:dyDescent="0.25">
      <c r="B46" s="79"/>
      <c r="C46" s="72" t="s">
        <v>240</v>
      </c>
      <c r="D46" s="72">
        <v>0</v>
      </c>
      <c r="E46" s="72">
        <v>30000</v>
      </c>
      <c r="F46" s="72">
        <v>1000</v>
      </c>
      <c r="G46" s="72">
        <f t="shared" si="7"/>
        <v>31000</v>
      </c>
      <c r="H46" s="72">
        <v>31000</v>
      </c>
      <c r="N46" s="16">
        <f t="shared" si="6"/>
        <v>7</v>
      </c>
      <c r="O46" s="3"/>
      <c r="P46" s="16">
        <v>1</v>
      </c>
      <c r="Q46" s="28">
        <v>0</v>
      </c>
      <c r="R46" s="24">
        <f t="shared" si="4"/>
        <v>25806.451612903227</v>
      </c>
    </row>
    <row r="47" spans="1:36" ht="15.75" x14ac:dyDescent="0.25">
      <c r="B47" s="79"/>
      <c r="C47" s="72" t="s">
        <v>241</v>
      </c>
      <c r="D47" s="72">
        <v>0</v>
      </c>
      <c r="E47" s="72">
        <v>30000</v>
      </c>
      <c r="F47" s="72">
        <v>1000</v>
      </c>
      <c r="G47" s="72">
        <f t="shared" si="7"/>
        <v>31000</v>
      </c>
      <c r="H47" s="72">
        <v>31000</v>
      </c>
      <c r="N47" s="16">
        <f t="shared" si="6"/>
        <v>8</v>
      </c>
      <c r="O47" s="3"/>
      <c r="P47" s="16">
        <v>1</v>
      </c>
      <c r="Q47" s="28">
        <v>0</v>
      </c>
      <c r="R47" s="24">
        <f t="shared" si="4"/>
        <v>25806.451612903227</v>
      </c>
    </row>
    <row r="48" spans="1:36" ht="15.75" x14ac:dyDescent="0.25">
      <c r="B48" s="79"/>
      <c r="C48" s="72" t="s">
        <v>241</v>
      </c>
      <c r="D48" s="72">
        <v>0</v>
      </c>
      <c r="E48" s="72">
        <v>30000</v>
      </c>
      <c r="F48" s="72">
        <v>2000</v>
      </c>
      <c r="G48" s="72">
        <f t="shared" si="7"/>
        <v>32000</v>
      </c>
      <c r="H48" s="72">
        <v>32000</v>
      </c>
      <c r="N48" s="16">
        <f t="shared" si="6"/>
        <v>9</v>
      </c>
      <c r="O48" s="3"/>
      <c r="P48" s="16">
        <v>1</v>
      </c>
      <c r="Q48" s="28">
        <v>0</v>
      </c>
      <c r="R48" s="24">
        <f t="shared" si="4"/>
        <v>25806.451612903227</v>
      </c>
    </row>
    <row r="49" spans="2:18" ht="15.75" x14ac:dyDescent="0.25">
      <c r="B49" s="79"/>
      <c r="C49" s="72" t="s">
        <v>236</v>
      </c>
      <c r="D49" s="72">
        <v>0</v>
      </c>
      <c r="E49" s="72">
        <v>25000</v>
      </c>
      <c r="F49" s="72">
        <v>1000</v>
      </c>
      <c r="G49" s="72">
        <f t="shared" si="7"/>
        <v>26000</v>
      </c>
      <c r="H49" s="72">
        <v>26000</v>
      </c>
      <c r="N49" s="16">
        <f t="shared" si="6"/>
        <v>10</v>
      </c>
      <c r="O49" s="3"/>
      <c r="P49" s="16">
        <v>1</v>
      </c>
      <c r="Q49" s="28">
        <v>0</v>
      </c>
      <c r="R49" s="24">
        <f t="shared" si="4"/>
        <v>25806.451612903227</v>
      </c>
    </row>
    <row r="50" spans="2:18" ht="15.75" x14ac:dyDescent="0.25">
      <c r="B50" s="79"/>
      <c r="C50" s="72"/>
      <c r="D50" s="72">
        <v>0</v>
      </c>
      <c r="E50" s="72">
        <v>0</v>
      </c>
      <c r="F50" s="72">
        <v>0</v>
      </c>
      <c r="G50" s="72">
        <f t="shared" si="7"/>
        <v>0</v>
      </c>
      <c r="H50" s="72"/>
      <c r="N50" s="16">
        <f t="shared" si="6"/>
        <v>11</v>
      </c>
      <c r="O50" s="3"/>
      <c r="P50" s="16">
        <v>1</v>
      </c>
      <c r="Q50" s="28">
        <v>0</v>
      </c>
      <c r="R50" s="24">
        <f t="shared" si="4"/>
        <v>25806.451612903227</v>
      </c>
    </row>
    <row r="51" spans="2:18" ht="15.75" x14ac:dyDescent="0.25">
      <c r="B51" s="79"/>
      <c r="C51" s="72"/>
      <c r="D51" s="72">
        <v>0</v>
      </c>
      <c r="E51" s="72">
        <v>0</v>
      </c>
      <c r="F51" s="72">
        <v>0</v>
      </c>
      <c r="G51" s="72">
        <f t="shared" si="7"/>
        <v>0</v>
      </c>
      <c r="H51" s="72"/>
      <c r="N51" s="16">
        <f t="shared" si="6"/>
        <v>12</v>
      </c>
      <c r="O51" s="3"/>
      <c r="P51" s="16">
        <v>1</v>
      </c>
      <c r="Q51" s="28">
        <v>0</v>
      </c>
      <c r="R51" s="24">
        <f t="shared" si="4"/>
        <v>25806.451612903227</v>
      </c>
    </row>
    <row r="52" spans="2:18" ht="15.75" x14ac:dyDescent="0.25">
      <c r="B52" s="79"/>
      <c r="C52" s="72" t="s">
        <v>45</v>
      </c>
      <c r="D52" s="72">
        <v>0</v>
      </c>
      <c r="E52" s="72">
        <v>0</v>
      </c>
      <c r="F52" s="72">
        <v>0</v>
      </c>
      <c r="G52" s="72">
        <f t="shared" si="7"/>
        <v>0</v>
      </c>
      <c r="H52" s="72"/>
      <c r="N52" s="16">
        <f t="shared" si="6"/>
        <v>13</v>
      </c>
      <c r="O52" s="3"/>
      <c r="P52" s="16">
        <v>1</v>
      </c>
      <c r="Q52" s="28">
        <v>0</v>
      </c>
      <c r="R52" s="24">
        <f t="shared" si="4"/>
        <v>25806.451612903227</v>
      </c>
    </row>
    <row r="53" spans="2:18" ht="15.75" x14ac:dyDescent="0.25">
      <c r="B53" s="79"/>
      <c r="C53" s="19" t="s">
        <v>17</v>
      </c>
      <c r="D53" s="19">
        <f>SUM(D42:D52)</f>
        <v>0</v>
      </c>
      <c r="E53" s="19">
        <f>SUM(E42:E52)</f>
        <v>235000</v>
      </c>
      <c r="F53" s="19">
        <f>SUM(F42:F52)</f>
        <v>9000</v>
      </c>
      <c r="G53" s="19">
        <f>SUM(G42:G52)</f>
        <v>244000</v>
      </c>
      <c r="H53" s="19">
        <f>SUM(H42:H52)</f>
        <v>244000</v>
      </c>
      <c r="I53" s="20">
        <f>E35+D53+H53</f>
        <v>994000</v>
      </c>
      <c r="K53" s="231" t="s">
        <v>49</v>
      </c>
      <c r="L53" s="231"/>
      <c r="M53" s="231"/>
      <c r="N53" s="16">
        <f t="shared" si="6"/>
        <v>14</v>
      </c>
      <c r="O53" s="3"/>
      <c r="P53" s="16">
        <v>1</v>
      </c>
      <c r="Q53" s="28">
        <v>0</v>
      </c>
      <c r="R53" s="24">
        <f t="shared" si="4"/>
        <v>25806.451612903227</v>
      </c>
    </row>
    <row r="54" spans="2:18" ht="15.75" x14ac:dyDescent="0.25">
      <c r="B54" s="228" t="s">
        <v>262</v>
      </c>
      <c r="C54" s="15" t="s">
        <v>18</v>
      </c>
      <c r="D54" s="72">
        <f>I53-M59</f>
        <v>111500</v>
      </c>
      <c r="E54" s="72"/>
      <c r="F54" s="72"/>
      <c r="G54" s="72"/>
      <c r="H54" s="72"/>
      <c r="J54" s="26" t="s">
        <v>23</v>
      </c>
      <c r="K54" s="26" t="s">
        <v>22</v>
      </c>
      <c r="L54" s="26" t="s">
        <v>20</v>
      </c>
      <c r="M54" s="26" t="s">
        <v>21</v>
      </c>
      <c r="N54" s="16">
        <f t="shared" si="6"/>
        <v>15</v>
      </c>
      <c r="O54" s="3"/>
      <c r="P54" s="16">
        <v>1</v>
      </c>
      <c r="Q54" s="28">
        <v>0</v>
      </c>
      <c r="R54" s="24">
        <f t="shared" si="4"/>
        <v>25806.451612903227</v>
      </c>
    </row>
    <row r="55" spans="2:18" ht="15.75" x14ac:dyDescent="0.25">
      <c r="B55" s="229"/>
      <c r="C55" s="72" t="s">
        <v>239</v>
      </c>
      <c r="D55" s="72">
        <v>0</v>
      </c>
      <c r="E55" s="72">
        <v>40000</v>
      </c>
      <c r="F55" s="72">
        <v>1000</v>
      </c>
      <c r="G55" s="72">
        <f>E55+F55</f>
        <v>41000</v>
      </c>
      <c r="H55" s="72">
        <v>41000</v>
      </c>
      <c r="J55" s="26" t="s">
        <v>266</v>
      </c>
      <c r="K55" s="26">
        <v>300000</v>
      </c>
      <c r="L55" s="26">
        <v>3500</v>
      </c>
      <c r="M55" s="26">
        <f>K55-L55</f>
        <v>296500</v>
      </c>
      <c r="N55" s="16">
        <f t="shared" si="6"/>
        <v>16</v>
      </c>
      <c r="O55" s="3"/>
      <c r="P55" s="16">
        <v>1</v>
      </c>
      <c r="Q55" s="28">
        <v>0</v>
      </c>
      <c r="R55" s="24">
        <f t="shared" si="4"/>
        <v>25806.451612903227</v>
      </c>
    </row>
    <row r="56" spans="2:18" ht="15.75" x14ac:dyDescent="0.25">
      <c r="B56" s="229"/>
      <c r="C56" s="72" t="s">
        <v>241</v>
      </c>
      <c r="D56" s="72">
        <v>0</v>
      </c>
      <c r="E56" s="72">
        <v>40000</v>
      </c>
      <c r="F56" s="72">
        <v>1000</v>
      </c>
      <c r="G56" s="72">
        <f t="shared" ref="G56:G68" si="8">E56+F56</f>
        <v>41000</v>
      </c>
      <c r="H56" s="72">
        <v>41000</v>
      </c>
      <c r="J56" s="26" t="s">
        <v>94</v>
      </c>
      <c r="K56" s="26">
        <v>300000</v>
      </c>
      <c r="L56" s="26">
        <v>6500</v>
      </c>
      <c r="M56" s="26">
        <f t="shared" ref="M56:M57" si="9">K56-L56</f>
        <v>293500</v>
      </c>
      <c r="N56" s="16">
        <f t="shared" si="6"/>
        <v>17</v>
      </c>
      <c r="O56" s="3"/>
      <c r="P56" s="16">
        <v>1</v>
      </c>
      <c r="Q56" s="28">
        <v>0</v>
      </c>
      <c r="R56" s="24">
        <f t="shared" si="4"/>
        <v>25806.451612903227</v>
      </c>
    </row>
    <row r="57" spans="2:18" ht="15.75" x14ac:dyDescent="0.25">
      <c r="B57" s="229"/>
      <c r="C57" s="72" t="s">
        <v>237</v>
      </c>
      <c r="D57" s="72">
        <v>0</v>
      </c>
      <c r="E57" s="72">
        <v>31500</v>
      </c>
      <c r="F57" s="72">
        <v>1000</v>
      </c>
      <c r="G57" s="72">
        <f t="shared" si="8"/>
        <v>32500</v>
      </c>
      <c r="H57" s="72">
        <v>32500</v>
      </c>
      <c r="J57" s="26" t="s">
        <v>267</v>
      </c>
      <c r="K57" s="26">
        <v>300000</v>
      </c>
      <c r="L57" s="26">
        <v>7500</v>
      </c>
      <c r="M57" s="26">
        <f t="shared" si="9"/>
        <v>292500</v>
      </c>
      <c r="N57" s="16">
        <f t="shared" si="6"/>
        <v>18</v>
      </c>
      <c r="O57" s="3"/>
      <c r="P57" s="16">
        <v>1</v>
      </c>
      <c r="Q57" s="28">
        <v>0</v>
      </c>
      <c r="R57" s="24">
        <f t="shared" si="4"/>
        <v>25806.451612903227</v>
      </c>
    </row>
    <row r="58" spans="2:18" ht="15.75" x14ac:dyDescent="0.25">
      <c r="B58" s="229"/>
      <c r="C58" s="72"/>
      <c r="D58" s="72">
        <v>0</v>
      </c>
      <c r="E58" s="72">
        <v>0</v>
      </c>
      <c r="F58" s="72">
        <v>0</v>
      </c>
      <c r="G58" s="72">
        <f t="shared" si="8"/>
        <v>0</v>
      </c>
      <c r="H58" s="72"/>
      <c r="J58" s="26"/>
      <c r="K58" s="26">
        <v>0</v>
      </c>
      <c r="L58" s="26">
        <v>0</v>
      </c>
      <c r="M58" s="26">
        <v>0</v>
      </c>
      <c r="N58" s="16">
        <f t="shared" si="6"/>
        <v>19</v>
      </c>
      <c r="O58" s="3"/>
      <c r="P58" s="16">
        <v>1</v>
      </c>
      <c r="Q58" s="28">
        <v>0</v>
      </c>
      <c r="R58" s="24">
        <f t="shared" si="4"/>
        <v>25806.451612903227</v>
      </c>
    </row>
    <row r="59" spans="2:18" ht="15.75" x14ac:dyDescent="0.25">
      <c r="B59" s="229"/>
      <c r="C59" s="72"/>
      <c r="D59" s="72">
        <v>0</v>
      </c>
      <c r="E59" s="72">
        <v>0</v>
      </c>
      <c r="F59" s="72">
        <v>0</v>
      </c>
      <c r="G59" s="72">
        <f t="shared" si="8"/>
        <v>0</v>
      </c>
      <c r="H59" s="72"/>
      <c r="J59" s="26"/>
      <c r="K59" s="26"/>
      <c r="L59" s="27">
        <f>SUM(L55:L58)</f>
        <v>17500</v>
      </c>
      <c r="M59" s="27">
        <f>SUM(M55:M58)</f>
        <v>882500</v>
      </c>
      <c r="N59" s="16">
        <f t="shared" si="6"/>
        <v>20</v>
      </c>
      <c r="O59" s="3"/>
      <c r="P59" s="16">
        <v>1</v>
      </c>
      <c r="Q59" s="28">
        <v>0</v>
      </c>
      <c r="R59" s="24">
        <f t="shared" si="4"/>
        <v>25806.451612903227</v>
      </c>
    </row>
    <row r="60" spans="2:18" ht="15.75" x14ac:dyDescent="0.25">
      <c r="B60" s="229"/>
      <c r="C60" s="72"/>
      <c r="D60" s="72">
        <v>0</v>
      </c>
      <c r="E60" s="72">
        <v>0</v>
      </c>
      <c r="F60" s="72">
        <v>0</v>
      </c>
      <c r="G60" s="72">
        <f t="shared" si="8"/>
        <v>0</v>
      </c>
      <c r="H60" s="72"/>
      <c r="J60" s="26"/>
      <c r="K60" s="26"/>
      <c r="L60" s="27"/>
      <c r="M60" s="27"/>
      <c r="N60" s="16">
        <f>1+N59</f>
        <v>21</v>
      </c>
      <c r="O60" s="3"/>
      <c r="P60" s="16">
        <v>1</v>
      </c>
      <c r="Q60" s="28">
        <v>0</v>
      </c>
      <c r="R60" s="24">
        <f t="shared" si="4"/>
        <v>25806.451612903227</v>
      </c>
    </row>
    <row r="61" spans="2:18" ht="15.75" x14ac:dyDescent="0.25">
      <c r="B61" s="229"/>
      <c r="C61" s="72"/>
      <c r="D61" s="72">
        <v>0</v>
      </c>
      <c r="E61" s="72">
        <v>0</v>
      </c>
      <c r="F61" s="72">
        <v>0</v>
      </c>
      <c r="G61" s="72">
        <f t="shared" si="8"/>
        <v>0</v>
      </c>
      <c r="H61" s="72"/>
      <c r="J61" s="26"/>
      <c r="K61" s="26"/>
      <c r="L61" s="27"/>
      <c r="M61" s="27"/>
      <c r="N61" s="16">
        <f t="shared" si="6"/>
        <v>22</v>
      </c>
      <c r="O61" s="3"/>
      <c r="P61" s="16">
        <v>1</v>
      </c>
      <c r="Q61" s="28">
        <v>0</v>
      </c>
      <c r="R61" s="24">
        <f t="shared" si="4"/>
        <v>25806.451612903227</v>
      </c>
    </row>
    <row r="62" spans="2:18" ht="15.75" x14ac:dyDescent="0.25">
      <c r="B62" s="229"/>
      <c r="C62" s="72"/>
      <c r="D62" s="72">
        <v>0</v>
      </c>
      <c r="E62" s="72">
        <v>0</v>
      </c>
      <c r="F62" s="72">
        <v>0</v>
      </c>
      <c r="G62" s="72">
        <f t="shared" si="8"/>
        <v>0</v>
      </c>
      <c r="H62" s="72"/>
      <c r="J62" s="26"/>
      <c r="K62" s="26"/>
      <c r="L62" s="27"/>
      <c r="M62" s="27"/>
      <c r="N62" s="16">
        <f t="shared" si="6"/>
        <v>23</v>
      </c>
      <c r="O62" s="3"/>
      <c r="P62" s="16">
        <v>1</v>
      </c>
      <c r="Q62" s="28">
        <v>0</v>
      </c>
      <c r="R62" s="24">
        <v>0</v>
      </c>
    </row>
    <row r="63" spans="2:18" ht="15.75" x14ac:dyDescent="0.25">
      <c r="B63" s="229"/>
      <c r="C63" s="72"/>
      <c r="D63" s="72">
        <v>0</v>
      </c>
      <c r="E63" s="72">
        <v>0</v>
      </c>
      <c r="F63" s="72">
        <v>0</v>
      </c>
      <c r="G63" s="72">
        <f t="shared" si="8"/>
        <v>0</v>
      </c>
      <c r="H63" s="72"/>
      <c r="J63" s="26"/>
      <c r="K63" s="26"/>
      <c r="L63" s="27"/>
      <c r="M63" s="27"/>
      <c r="N63" s="16">
        <f t="shared" si="6"/>
        <v>24</v>
      </c>
      <c r="O63" s="3"/>
      <c r="P63" s="16">
        <v>1</v>
      </c>
      <c r="Q63" s="28">
        <v>0</v>
      </c>
      <c r="R63" s="24"/>
    </row>
    <row r="64" spans="2:18" ht="15.75" x14ac:dyDescent="0.25">
      <c r="B64" s="229"/>
      <c r="C64" s="72"/>
      <c r="D64" s="72">
        <v>0</v>
      </c>
      <c r="E64" s="72">
        <v>0</v>
      </c>
      <c r="F64" s="72">
        <v>0</v>
      </c>
      <c r="G64" s="72">
        <f t="shared" si="8"/>
        <v>0</v>
      </c>
      <c r="H64" s="72"/>
      <c r="J64" s="26"/>
      <c r="K64" s="26"/>
      <c r="L64" s="27"/>
      <c r="M64" s="27"/>
      <c r="N64" s="16">
        <f t="shared" si="6"/>
        <v>25</v>
      </c>
      <c r="O64" s="3"/>
      <c r="P64" s="16">
        <v>1</v>
      </c>
      <c r="Q64" s="28">
        <v>0</v>
      </c>
      <c r="R64" s="24"/>
    </row>
    <row r="65" spans="2:18" ht="15.75" x14ac:dyDescent="0.25">
      <c r="B65" s="229"/>
      <c r="C65" s="72"/>
      <c r="D65" s="72">
        <v>0</v>
      </c>
      <c r="E65" s="72">
        <v>0</v>
      </c>
      <c r="F65" s="72">
        <v>0</v>
      </c>
      <c r="G65" s="72">
        <f t="shared" si="8"/>
        <v>0</v>
      </c>
      <c r="H65" s="72"/>
      <c r="J65" s="26"/>
      <c r="K65" s="26"/>
      <c r="L65" s="27"/>
      <c r="M65" s="27"/>
      <c r="N65" s="16">
        <f t="shared" si="6"/>
        <v>26</v>
      </c>
      <c r="O65" s="3"/>
      <c r="P65" s="16">
        <v>1</v>
      </c>
      <c r="Q65" s="28">
        <v>0</v>
      </c>
      <c r="R65" s="24"/>
    </row>
    <row r="66" spans="2:18" ht="15.75" x14ac:dyDescent="0.25">
      <c r="B66" s="229"/>
      <c r="C66" s="72"/>
      <c r="D66" s="72">
        <v>0</v>
      </c>
      <c r="E66" s="72">
        <v>0</v>
      </c>
      <c r="F66" s="72">
        <v>0</v>
      </c>
      <c r="G66" s="72">
        <f t="shared" si="8"/>
        <v>0</v>
      </c>
      <c r="H66" s="72"/>
      <c r="J66" s="26"/>
      <c r="K66" s="26"/>
      <c r="L66" s="27"/>
      <c r="M66" s="27"/>
      <c r="N66" s="16">
        <f t="shared" si="6"/>
        <v>27</v>
      </c>
      <c r="O66" s="3"/>
      <c r="P66" s="16">
        <v>1</v>
      </c>
      <c r="Q66" s="28">
        <v>0</v>
      </c>
      <c r="R66" s="24"/>
    </row>
    <row r="67" spans="2:18" ht="15.75" x14ac:dyDescent="0.25">
      <c r="B67" s="229"/>
      <c r="C67" s="72"/>
      <c r="D67" s="72">
        <v>0</v>
      </c>
      <c r="E67" s="72">
        <v>0</v>
      </c>
      <c r="F67" s="72">
        <v>0</v>
      </c>
      <c r="G67" s="72">
        <f t="shared" si="8"/>
        <v>0</v>
      </c>
      <c r="H67" s="72"/>
      <c r="J67" s="26"/>
      <c r="K67" s="26"/>
      <c r="L67" s="27"/>
      <c r="M67" s="27"/>
      <c r="N67" s="16">
        <f t="shared" si="6"/>
        <v>28</v>
      </c>
      <c r="O67" s="3"/>
      <c r="P67" s="16">
        <v>1</v>
      </c>
      <c r="Q67" s="28">
        <v>0</v>
      </c>
      <c r="R67" s="24"/>
    </row>
    <row r="68" spans="2:18" ht="15.75" x14ac:dyDescent="0.25">
      <c r="B68" s="229"/>
      <c r="C68" s="72"/>
      <c r="D68" s="72">
        <v>0</v>
      </c>
      <c r="E68" s="72">
        <v>0</v>
      </c>
      <c r="F68" s="72">
        <v>0</v>
      </c>
      <c r="G68" s="72">
        <f t="shared" si="8"/>
        <v>0</v>
      </c>
      <c r="H68" s="72"/>
      <c r="N68" s="16">
        <f t="shared" si="6"/>
        <v>29</v>
      </c>
      <c r="O68" s="3"/>
      <c r="P68" s="16">
        <v>1</v>
      </c>
      <c r="Q68" s="28">
        <v>0</v>
      </c>
      <c r="R68" s="24">
        <f t="shared" si="4"/>
        <v>25806.451612903227</v>
      </c>
    </row>
    <row r="69" spans="2:18" ht="15.75" x14ac:dyDescent="0.25">
      <c r="B69" s="230"/>
      <c r="C69" s="19" t="s">
        <v>17</v>
      </c>
      <c r="D69" s="19">
        <f>SUM(D55:D68)</f>
        <v>0</v>
      </c>
      <c r="E69" s="19">
        <f>SUM(E55:E68)</f>
        <v>111500</v>
      </c>
      <c r="F69" s="19">
        <f>SUM(F55:F68)</f>
        <v>3000</v>
      </c>
      <c r="G69" s="19">
        <f>SUM(G55:G68)</f>
        <v>114500</v>
      </c>
      <c r="H69" s="19">
        <f>SUM(H55:H68)</f>
        <v>114500</v>
      </c>
      <c r="I69" s="20">
        <f>G35+D69+H69</f>
        <v>864500</v>
      </c>
      <c r="K69" s="241">
        <v>45004</v>
      </c>
      <c r="L69" s="241"/>
      <c r="M69" s="241"/>
      <c r="N69" s="16">
        <f t="shared" si="6"/>
        <v>30</v>
      </c>
      <c r="O69" s="3"/>
      <c r="P69" s="16">
        <v>1</v>
      </c>
      <c r="Q69" s="28">
        <v>0</v>
      </c>
      <c r="R69" s="24">
        <f t="shared" si="4"/>
        <v>25806.451612903227</v>
      </c>
    </row>
    <row r="70" spans="2:18" ht="15.75" x14ac:dyDescent="0.25">
      <c r="B70" s="228">
        <v>45004</v>
      </c>
      <c r="C70" s="15" t="s">
        <v>18</v>
      </c>
      <c r="D70" s="72">
        <f>I69-M78</f>
        <v>-3500</v>
      </c>
      <c r="E70" s="72"/>
      <c r="F70" s="72"/>
      <c r="G70" s="72"/>
      <c r="H70" s="72"/>
      <c r="J70" s="26" t="s">
        <v>23</v>
      </c>
      <c r="K70" s="26" t="s">
        <v>22</v>
      </c>
      <c r="L70" s="26" t="s">
        <v>20</v>
      </c>
      <c r="M70" s="26" t="s">
        <v>21</v>
      </c>
      <c r="N70" s="16">
        <f t="shared" si="6"/>
        <v>31</v>
      </c>
      <c r="O70" s="3"/>
      <c r="P70" s="16">
        <v>1</v>
      </c>
      <c r="Q70" s="28">
        <v>0</v>
      </c>
      <c r="R70" s="24">
        <f t="shared" si="4"/>
        <v>25806.451612903227</v>
      </c>
    </row>
    <row r="71" spans="2:18" x14ac:dyDescent="0.25">
      <c r="B71" s="229"/>
      <c r="C71" s="72"/>
      <c r="D71" s="72">
        <v>0</v>
      </c>
      <c r="E71" s="72">
        <v>0</v>
      </c>
      <c r="F71" s="72">
        <v>0</v>
      </c>
      <c r="G71" s="72">
        <f>E71+F71</f>
        <v>0</v>
      </c>
      <c r="H71" s="72"/>
      <c r="J71" s="37" t="s">
        <v>222</v>
      </c>
      <c r="K71" s="26">
        <v>300000</v>
      </c>
      <c r="L71" s="26">
        <v>11000</v>
      </c>
      <c r="M71" s="26">
        <f>K71-L71</f>
        <v>289000</v>
      </c>
      <c r="O71" s="3" t="s">
        <v>34</v>
      </c>
      <c r="Q71" s="24">
        <v>0</v>
      </c>
      <c r="R71" s="24">
        <v>0</v>
      </c>
    </row>
    <row r="72" spans="2:18" x14ac:dyDescent="0.25">
      <c r="B72" s="229"/>
      <c r="C72" s="72"/>
      <c r="D72" s="72">
        <v>0</v>
      </c>
      <c r="E72" s="72">
        <v>0</v>
      </c>
      <c r="F72" s="72">
        <v>0</v>
      </c>
      <c r="G72" s="72">
        <f>E72+F72</f>
        <v>0</v>
      </c>
      <c r="H72" s="72"/>
      <c r="J72" s="26" t="s">
        <v>237</v>
      </c>
      <c r="K72" s="26">
        <v>300000</v>
      </c>
      <c r="L72" s="26">
        <v>11000</v>
      </c>
      <c r="M72" s="26">
        <f t="shared" ref="M72:M73" si="10">K72-L72</f>
        <v>289000</v>
      </c>
      <c r="O72" s="3"/>
      <c r="Q72" s="24">
        <v>0</v>
      </c>
      <c r="R72" s="24">
        <f t="shared" si="4"/>
        <v>0</v>
      </c>
    </row>
    <row r="73" spans="2:18" x14ac:dyDescent="0.25">
      <c r="B73" s="229"/>
      <c r="C73" s="72"/>
      <c r="D73" s="72">
        <v>0</v>
      </c>
      <c r="E73" s="72">
        <v>0</v>
      </c>
      <c r="F73" s="72">
        <v>0</v>
      </c>
      <c r="G73" s="72">
        <f>E73+F73</f>
        <v>0</v>
      </c>
      <c r="H73" s="72"/>
      <c r="J73" s="26" t="s">
        <v>92</v>
      </c>
      <c r="K73" s="26">
        <v>300000</v>
      </c>
      <c r="L73" s="26">
        <v>10000</v>
      </c>
      <c r="M73" s="26">
        <f t="shared" si="10"/>
        <v>290000</v>
      </c>
      <c r="O73" s="3"/>
      <c r="Q73" s="24"/>
      <c r="R73" s="24"/>
    </row>
    <row r="74" spans="2:18" ht="15.75" x14ac:dyDescent="0.25">
      <c r="B74" s="229"/>
      <c r="C74" s="72"/>
      <c r="D74" s="72">
        <v>0</v>
      </c>
      <c r="E74" s="72">
        <v>0</v>
      </c>
      <c r="F74" s="72">
        <v>0</v>
      </c>
      <c r="G74" s="72">
        <f t="shared" ref="G74:G84" si="11">E74+F74</f>
        <v>0</v>
      </c>
      <c r="H74" s="72"/>
      <c r="J74" s="26"/>
      <c r="K74" s="26">
        <v>0</v>
      </c>
      <c r="L74" s="26">
        <v>0</v>
      </c>
      <c r="M74" s="26">
        <v>0</v>
      </c>
      <c r="O74" s="12" t="s">
        <v>1</v>
      </c>
      <c r="P74" s="22">
        <f>SUM(P40:P72)</f>
        <v>31</v>
      </c>
      <c r="Q74" s="16" t="s">
        <v>28</v>
      </c>
      <c r="R74" s="23">
        <f>SUM(R40:R72)</f>
        <v>645161.29032258072</v>
      </c>
    </row>
    <row r="75" spans="2:18" ht="15.75" x14ac:dyDescent="0.25">
      <c r="B75" s="229"/>
      <c r="C75" s="72"/>
      <c r="D75" s="72">
        <v>0</v>
      </c>
      <c r="E75" s="72">
        <v>0</v>
      </c>
      <c r="F75" s="72">
        <v>0</v>
      </c>
      <c r="G75" s="72">
        <f t="shared" si="11"/>
        <v>0</v>
      </c>
      <c r="H75" s="72"/>
      <c r="J75" s="26"/>
      <c r="K75" s="26"/>
      <c r="L75" s="26"/>
      <c r="M75" s="26"/>
      <c r="O75" s="12"/>
      <c r="P75" s="22"/>
      <c r="R75" s="23"/>
    </row>
    <row r="76" spans="2:18" ht="15.75" x14ac:dyDescent="0.25">
      <c r="B76" s="229"/>
      <c r="C76" s="72"/>
      <c r="D76" s="72">
        <v>0</v>
      </c>
      <c r="E76" s="72">
        <v>0</v>
      </c>
      <c r="F76" s="72">
        <v>0</v>
      </c>
      <c r="G76" s="72">
        <f t="shared" si="11"/>
        <v>0</v>
      </c>
      <c r="H76" s="72"/>
      <c r="J76" s="26"/>
      <c r="K76" s="26"/>
      <c r="L76" s="26"/>
      <c r="M76" s="26"/>
      <c r="O76" s="12"/>
      <c r="P76" s="22"/>
      <c r="R76" s="23"/>
    </row>
    <row r="77" spans="2:18" ht="15.75" x14ac:dyDescent="0.25">
      <c r="B77" s="229"/>
      <c r="C77" s="72"/>
      <c r="D77" s="72">
        <v>0</v>
      </c>
      <c r="E77" s="72">
        <v>0</v>
      </c>
      <c r="F77" s="72">
        <v>0</v>
      </c>
      <c r="G77" s="72">
        <f t="shared" si="11"/>
        <v>0</v>
      </c>
      <c r="H77" s="72"/>
      <c r="J77" s="26"/>
      <c r="K77" s="26"/>
      <c r="L77" s="26"/>
      <c r="M77" s="26"/>
      <c r="O77" s="12"/>
      <c r="P77" s="22"/>
      <c r="R77" s="23"/>
    </row>
    <row r="78" spans="2:18" x14ac:dyDescent="0.25">
      <c r="B78" s="229"/>
      <c r="C78" s="72"/>
      <c r="D78" s="72">
        <v>0</v>
      </c>
      <c r="E78" s="72">
        <v>0</v>
      </c>
      <c r="F78" s="72">
        <v>0</v>
      </c>
      <c r="G78" s="72">
        <f t="shared" si="11"/>
        <v>0</v>
      </c>
      <c r="H78" s="72"/>
      <c r="J78" s="26"/>
      <c r="K78" s="26"/>
      <c r="L78" s="27">
        <f>SUM(L71:L74)</f>
        <v>32000</v>
      </c>
      <c r="M78" s="27">
        <f>SUM(M71:M74)</f>
        <v>868000</v>
      </c>
    </row>
    <row r="79" spans="2:18" x14ac:dyDescent="0.25">
      <c r="B79" s="229"/>
      <c r="C79" s="72"/>
      <c r="D79" s="72">
        <v>0</v>
      </c>
      <c r="E79" s="72">
        <v>0</v>
      </c>
      <c r="F79" s="72">
        <v>0</v>
      </c>
      <c r="G79" s="72">
        <f t="shared" si="11"/>
        <v>0</v>
      </c>
      <c r="H79" s="72"/>
      <c r="J79" s="26"/>
      <c r="K79" s="26"/>
      <c r="L79" s="27"/>
      <c r="M79" s="27"/>
    </row>
    <row r="80" spans="2:18" x14ac:dyDescent="0.25">
      <c r="B80" s="229"/>
      <c r="C80" s="72"/>
      <c r="D80" s="72">
        <v>0</v>
      </c>
      <c r="E80" s="72">
        <v>0</v>
      </c>
      <c r="F80" s="72">
        <v>0</v>
      </c>
      <c r="G80" s="72">
        <f t="shared" si="11"/>
        <v>0</v>
      </c>
      <c r="H80" s="72"/>
      <c r="J80" s="26"/>
      <c r="K80" s="26"/>
      <c r="L80" s="27"/>
      <c r="M80" s="27"/>
    </row>
    <row r="81" spans="2:13" x14ac:dyDescent="0.25">
      <c r="B81" s="229"/>
      <c r="C81" s="72"/>
      <c r="D81" s="72">
        <v>0</v>
      </c>
      <c r="E81" s="72">
        <v>0</v>
      </c>
      <c r="F81" s="72">
        <v>0</v>
      </c>
      <c r="G81" s="72">
        <v>0</v>
      </c>
      <c r="H81" s="72"/>
      <c r="J81" s="26"/>
      <c r="K81" s="26"/>
      <c r="L81" s="27"/>
      <c r="M81" s="27"/>
    </row>
    <row r="82" spans="2:13" x14ac:dyDescent="0.25">
      <c r="B82" s="229"/>
      <c r="C82" s="72"/>
      <c r="D82" s="72">
        <v>0</v>
      </c>
      <c r="E82" s="72">
        <v>0</v>
      </c>
      <c r="F82" s="72">
        <v>0</v>
      </c>
      <c r="G82" s="72">
        <f t="shared" si="11"/>
        <v>0</v>
      </c>
      <c r="H82" s="72"/>
      <c r="J82" s="26"/>
      <c r="K82" s="26"/>
      <c r="L82" s="27"/>
      <c r="M82" s="27"/>
    </row>
    <row r="83" spans="2:13" x14ac:dyDescent="0.25">
      <c r="B83" s="229"/>
      <c r="C83" s="72"/>
      <c r="D83" s="72">
        <v>0</v>
      </c>
      <c r="E83" s="72">
        <v>0</v>
      </c>
      <c r="F83" s="72">
        <v>0</v>
      </c>
      <c r="G83" s="72">
        <f t="shared" si="11"/>
        <v>0</v>
      </c>
      <c r="H83" s="72"/>
      <c r="J83" s="26"/>
      <c r="K83" s="26"/>
      <c r="L83" s="27"/>
      <c r="M83" s="27"/>
    </row>
    <row r="84" spans="2:13" x14ac:dyDescent="0.25">
      <c r="B84" s="229"/>
      <c r="C84" s="72"/>
      <c r="D84" s="72">
        <v>0</v>
      </c>
      <c r="E84" s="72">
        <v>0</v>
      </c>
      <c r="F84" s="72">
        <v>0</v>
      </c>
      <c r="G84" s="72">
        <f t="shared" si="11"/>
        <v>0</v>
      </c>
      <c r="H84" s="72"/>
      <c r="J84" s="26"/>
      <c r="K84" s="26"/>
      <c r="L84" s="27"/>
      <c r="M84" s="27"/>
    </row>
    <row r="85" spans="2:13" ht="15.75" x14ac:dyDescent="0.25">
      <c r="B85" s="230"/>
      <c r="C85" s="19" t="s">
        <v>17</v>
      </c>
      <c r="D85" s="19">
        <f>SUM(D71:D84)</f>
        <v>0</v>
      </c>
      <c r="E85" s="19">
        <f>SUM(E71:E84)</f>
        <v>0</v>
      </c>
      <c r="F85" s="19">
        <f>SUM(F71:F84)</f>
        <v>0</v>
      </c>
      <c r="G85" s="19">
        <f>SUM(G71:G84)</f>
        <v>0</v>
      </c>
      <c r="H85" s="19">
        <f>D70-E85</f>
        <v>-3500</v>
      </c>
      <c r="I85" s="20">
        <f>I35+D85+H85</f>
        <v>721500</v>
      </c>
      <c r="K85" s="241">
        <v>45032</v>
      </c>
      <c r="L85" s="241"/>
      <c r="M85" s="241"/>
    </row>
    <row r="86" spans="2:13" ht="15.75" x14ac:dyDescent="0.25">
      <c r="B86" s="233">
        <v>45032</v>
      </c>
      <c r="C86" s="15" t="s">
        <v>18</v>
      </c>
      <c r="D86" s="72">
        <f>I85-M99</f>
        <v>142500</v>
      </c>
      <c r="E86" s="72"/>
      <c r="F86" s="72"/>
      <c r="G86" s="72"/>
      <c r="H86" s="72"/>
      <c r="J86" s="26" t="s">
        <v>23</v>
      </c>
      <c r="K86" s="26" t="s">
        <v>22</v>
      </c>
      <c r="L86" s="26" t="s">
        <v>20</v>
      </c>
      <c r="M86" s="26" t="s">
        <v>21</v>
      </c>
    </row>
    <row r="87" spans="2:13" ht="15" customHeight="1" x14ac:dyDescent="0.25">
      <c r="B87" s="234"/>
      <c r="C87" s="72" t="s">
        <v>239</v>
      </c>
      <c r="D87" s="72">
        <v>0</v>
      </c>
      <c r="E87" s="72">
        <v>30000</v>
      </c>
      <c r="F87" s="72">
        <v>500</v>
      </c>
      <c r="G87" s="72">
        <f>E87+F87</f>
        <v>30500</v>
      </c>
      <c r="H87" s="72">
        <v>30500</v>
      </c>
      <c r="I87" s="190"/>
      <c r="J87" s="26" t="s">
        <v>304</v>
      </c>
      <c r="K87" s="171">
        <v>300000</v>
      </c>
      <c r="L87" s="171">
        <v>10000</v>
      </c>
      <c r="M87" s="171">
        <f>K87-L87</f>
        <v>290000</v>
      </c>
    </row>
    <row r="88" spans="2:13" ht="15" customHeight="1" x14ac:dyDescent="0.25">
      <c r="B88" s="234"/>
      <c r="C88" s="72" t="s">
        <v>239</v>
      </c>
      <c r="D88" s="72">
        <v>0</v>
      </c>
      <c r="E88" s="72">
        <v>30000</v>
      </c>
      <c r="F88" s="72">
        <v>500</v>
      </c>
      <c r="G88" s="72">
        <f>E88+F88</f>
        <v>30500</v>
      </c>
      <c r="H88" s="72">
        <v>30500</v>
      </c>
      <c r="I88" s="190"/>
      <c r="J88" s="26" t="s">
        <v>305</v>
      </c>
      <c r="K88" s="171">
        <v>300000</v>
      </c>
      <c r="L88" s="171">
        <v>11000</v>
      </c>
      <c r="M88" s="171">
        <f t="shared" ref="M88" si="12">K88-L88</f>
        <v>289000</v>
      </c>
    </row>
    <row r="89" spans="2:13" ht="15" customHeight="1" x14ac:dyDescent="0.25">
      <c r="B89" s="234"/>
      <c r="C89" s="72" t="s">
        <v>241</v>
      </c>
      <c r="D89" s="72">
        <v>0</v>
      </c>
      <c r="E89" s="72">
        <v>30000</v>
      </c>
      <c r="F89" s="72">
        <v>1000</v>
      </c>
      <c r="G89" s="72">
        <f t="shared" ref="G89:G99" si="13">E89+F89</f>
        <v>31000</v>
      </c>
      <c r="H89" s="72">
        <v>31000</v>
      </c>
      <c r="I89" s="190"/>
      <c r="J89" s="26"/>
      <c r="K89" s="171">
        <v>0</v>
      </c>
      <c r="L89" s="171">
        <v>0</v>
      </c>
      <c r="M89" s="171">
        <v>0</v>
      </c>
    </row>
    <row r="90" spans="2:13" ht="15" customHeight="1" x14ac:dyDescent="0.25">
      <c r="B90" s="234"/>
      <c r="C90" s="72" t="s">
        <v>241</v>
      </c>
      <c r="D90" s="72">
        <v>0</v>
      </c>
      <c r="E90" s="72">
        <v>30000</v>
      </c>
      <c r="F90" s="72">
        <v>1000</v>
      </c>
      <c r="G90" s="72">
        <f t="shared" si="13"/>
        <v>31000</v>
      </c>
      <c r="H90" s="72">
        <v>31000</v>
      </c>
      <c r="I90" s="190"/>
      <c r="J90" s="26"/>
      <c r="K90" s="171"/>
      <c r="L90" s="171"/>
      <c r="M90" s="171"/>
    </row>
    <row r="91" spans="2:13" ht="15" customHeight="1" x14ac:dyDescent="0.25">
      <c r="B91" s="234"/>
      <c r="C91" s="72" t="s">
        <v>306</v>
      </c>
      <c r="D91" s="72">
        <v>0</v>
      </c>
      <c r="E91" s="72">
        <v>22500</v>
      </c>
      <c r="F91" s="72">
        <v>500</v>
      </c>
      <c r="G91" s="72">
        <f t="shared" si="13"/>
        <v>23000</v>
      </c>
      <c r="H91" s="72">
        <v>23000</v>
      </c>
      <c r="I91" s="190"/>
      <c r="J91" s="26"/>
      <c r="K91" s="171"/>
      <c r="L91" s="171"/>
      <c r="M91" s="171"/>
    </row>
    <row r="92" spans="2:13" ht="15" customHeight="1" x14ac:dyDescent="0.25">
      <c r="B92" s="234"/>
      <c r="C92" s="72"/>
      <c r="D92" s="72">
        <v>0</v>
      </c>
      <c r="E92" s="72">
        <v>0</v>
      </c>
      <c r="F92" s="72">
        <v>0</v>
      </c>
      <c r="G92" s="72">
        <f t="shared" si="13"/>
        <v>0</v>
      </c>
      <c r="H92" s="72"/>
      <c r="I92" s="176"/>
      <c r="J92" s="26"/>
      <c r="K92" s="171"/>
      <c r="L92" s="171"/>
      <c r="M92" s="171"/>
    </row>
    <row r="93" spans="2:13" ht="15" customHeight="1" x14ac:dyDescent="0.25">
      <c r="B93" s="234"/>
      <c r="C93" s="72"/>
      <c r="D93" s="72">
        <v>0</v>
      </c>
      <c r="E93" s="72">
        <v>0</v>
      </c>
      <c r="F93" s="72">
        <v>0</v>
      </c>
      <c r="G93" s="72">
        <f t="shared" si="13"/>
        <v>0</v>
      </c>
      <c r="H93" s="72"/>
      <c r="J93" s="26"/>
      <c r="K93" s="171"/>
      <c r="L93" s="171"/>
      <c r="M93" s="171"/>
    </row>
    <row r="94" spans="2:13" ht="15" customHeight="1" x14ac:dyDescent="0.25">
      <c r="B94" s="234"/>
      <c r="C94" s="72"/>
      <c r="D94" s="72">
        <v>0</v>
      </c>
      <c r="E94" s="72">
        <v>0</v>
      </c>
      <c r="F94" s="72">
        <v>0</v>
      </c>
      <c r="G94" s="72">
        <f t="shared" si="13"/>
        <v>0</v>
      </c>
      <c r="H94" s="72"/>
      <c r="J94" s="26"/>
      <c r="K94" s="171"/>
      <c r="L94" s="171"/>
      <c r="M94" s="171"/>
    </row>
    <row r="95" spans="2:13" ht="15" customHeight="1" x14ac:dyDescent="0.25">
      <c r="B95" s="234"/>
      <c r="C95" s="72"/>
      <c r="D95" s="72">
        <v>0</v>
      </c>
      <c r="E95" s="72">
        <v>0</v>
      </c>
      <c r="F95" s="72">
        <v>0</v>
      </c>
      <c r="G95" s="72">
        <f t="shared" si="13"/>
        <v>0</v>
      </c>
      <c r="H95" s="72"/>
      <c r="J95" s="26"/>
      <c r="K95" s="171"/>
      <c r="L95" s="171"/>
      <c r="M95" s="171"/>
    </row>
    <row r="96" spans="2:13" ht="15" customHeight="1" x14ac:dyDescent="0.25">
      <c r="B96" s="234"/>
      <c r="C96" s="72"/>
      <c r="D96" s="72">
        <v>0</v>
      </c>
      <c r="E96" s="72">
        <v>0</v>
      </c>
      <c r="F96" s="72">
        <v>0</v>
      </c>
      <c r="G96" s="72">
        <f t="shared" si="13"/>
        <v>0</v>
      </c>
      <c r="H96" s="72"/>
      <c r="J96" s="26"/>
      <c r="K96" s="171"/>
      <c r="L96" s="171"/>
      <c r="M96" s="171"/>
    </row>
    <row r="97" spans="2:13" ht="15" customHeight="1" x14ac:dyDescent="0.25">
      <c r="B97" s="234"/>
      <c r="C97" s="72"/>
      <c r="D97" s="72">
        <v>0</v>
      </c>
      <c r="E97" s="72">
        <v>0</v>
      </c>
      <c r="F97" s="72">
        <v>0</v>
      </c>
      <c r="G97" s="72">
        <f t="shared" si="13"/>
        <v>0</v>
      </c>
      <c r="H97" s="72"/>
      <c r="J97" s="26"/>
      <c r="K97" s="171"/>
      <c r="L97" s="171"/>
      <c r="M97" s="171"/>
    </row>
    <row r="98" spans="2:13" ht="15" customHeight="1" x14ac:dyDescent="0.25">
      <c r="B98" s="234"/>
      <c r="C98" s="72"/>
      <c r="D98" s="72">
        <v>0</v>
      </c>
      <c r="E98" s="72">
        <v>0</v>
      </c>
      <c r="F98" s="72">
        <v>0</v>
      </c>
      <c r="G98" s="72">
        <f t="shared" si="13"/>
        <v>0</v>
      </c>
      <c r="H98" s="72"/>
      <c r="J98" s="26"/>
      <c r="K98" s="171"/>
      <c r="L98" s="171"/>
      <c r="M98" s="171"/>
    </row>
    <row r="99" spans="2:13" ht="15" customHeight="1" x14ac:dyDescent="0.25">
      <c r="B99" s="234"/>
      <c r="C99" s="72"/>
      <c r="D99" s="72">
        <v>0</v>
      </c>
      <c r="E99" s="72">
        <v>0</v>
      </c>
      <c r="F99" s="72">
        <v>0</v>
      </c>
      <c r="G99" s="72">
        <f t="shared" si="13"/>
        <v>0</v>
      </c>
      <c r="H99" s="72"/>
      <c r="J99" s="26"/>
      <c r="K99" s="26"/>
      <c r="L99" s="27">
        <f>SUM(L87:L89)</f>
        <v>21000</v>
      </c>
      <c r="M99" s="27">
        <f>SUM(M87:M89)</f>
        <v>579000</v>
      </c>
    </row>
    <row r="100" spans="2:13" ht="15.75" x14ac:dyDescent="0.25">
      <c r="B100" s="235"/>
      <c r="C100" s="19" t="s">
        <v>17</v>
      </c>
      <c r="D100" s="19">
        <f>SUM(D87:D99)</f>
        <v>0</v>
      </c>
      <c r="E100" s="19">
        <f>SUM(E87:E99)</f>
        <v>142500</v>
      </c>
      <c r="F100" s="19">
        <f>SUM(F87:F99)</f>
        <v>3500</v>
      </c>
      <c r="G100" s="19">
        <f>SUM(G87:G99)</f>
        <v>146000</v>
      </c>
      <c r="H100" s="19">
        <f>SUM(H87:H99)</f>
        <v>146000</v>
      </c>
      <c r="I100" s="20">
        <f>K35+D100+H100</f>
        <v>921000</v>
      </c>
      <c r="K100" s="236">
        <v>45067</v>
      </c>
      <c r="L100" s="236"/>
      <c r="M100" s="236"/>
    </row>
    <row r="101" spans="2:13" ht="15.75" x14ac:dyDescent="0.25">
      <c r="B101" s="237">
        <v>45067</v>
      </c>
      <c r="C101" s="15" t="s">
        <v>18</v>
      </c>
      <c r="D101" s="72">
        <f>+I100-M109</f>
        <v>29500</v>
      </c>
      <c r="E101" s="72"/>
      <c r="F101" s="72"/>
      <c r="G101" s="72"/>
      <c r="H101" s="72"/>
      <c r="J101" s="26" t="s">
        <v>23</v>
      </c>
      <c r="K101" s="26" t="s">
        <v>22</v>
      </c>
      <c r="L101" s="26" t="s">
        <v>20</v>
      </c>
      <c r="M101" s="26" t="s">
        <v>21</v>
      </c>
    </row>
    <row r="102" spans="2:13" ht="15" customHeight="1" x14ac:dyDescent="0.25">
      <c r="B102" s="238"/>
      <c r="C102" s="72" t="s">
        <v>240</v>
      </c>
      <c r="D102" s="72"/>
      <c r="E102" s="72">
        <v>29500</v>
      </c>
      <c r="F102" s="72">
        <v>1500</v>
      </c>
      <c r="G102" s="72">
        <f>E102+F102</f>
        <v>31000</v>
      </c>
      <c r="H102" s="72">
        <v>31000</v>
      </c>
      <c r="J102" s="26" t="s">
        <v>317</v>
      </c>
      <c r="K102" s="26">
        <v>300000</v>
      </c>
      <c r="L102" s="26">
        <v>3000</v>
      </c>
      <c r="M102" s="26">
        <f>K102-L102</f>
        <v>297000</v>
      </c>
    </row>
    <row r="103" spans="2:13" ht="15" customHeight="1" x14ac:dyDescent="0.25">
      <c r="B103" s="238"/>
      <c r="C103" s="72"/>
      <c r="D103" s="72">
        <v>0</v>
      </c>
      <c r="E103" s="72">
        <v>0</v>
      </c>
      <c r="F103" s="72">
        <v>0</v>
      </c>
      <c r="G103" s="72">
        <f t="shared" ref="G103:G116" si="14">E103+F103</f>
        <v>0</v>
      </c>
      <c r="H103" s="72"/>
      <c r="J103" s="26" t="s">
        <v>318</v>
      </c>
      <c r="K103" s="26">
        <v>300000</v>
      </c>
      <c r="L103" s="26">
        <v>3000</v>
      </c>
      <c r="M103" s="26">
        <f t="shared" ref="M103:M105" si="15">K103-L103</f>
        <v>297000</v>
      </c>
    </row>
    <row r="104" spans="2:13" ht="15" customHeight="1" x14ac:dyDescent="0.25">
      <c r="B104" s="238"/>
      <c r="C104" s="72"/>
      <c r="D104" s="72">
        <v>0</v>
      </c>
      <c r="E104" s="72">
        <v>0</v>
      </c>
      <c r="F104" s="72">
        <v>0</v>
      </c>
      <c r="G104" s="72">
        <f t="shared" si="14"/>
        <v>0</v>
      </c>
      <c r="H104" s="72"/>
      <c r="J104" s="26" t="s">
        <v>319</v>
      </c>
      <c r="K104" s="26">
        <v>300000</v>
      </c>
      <c r="L104" s="26">
        <v>2500</v>
      </c>
      <c r="M104" s="26">
        <f t="shared" si="15"/>
        <v>297500</v>
      </c>
    </row>
    <row r="105" spans="2:13" ht="15" customHeight="1" x14ac:dyDescent="0.25">
      <c r="B105" s="238"/>
      <c r="C105" s="72"/>
      <c r="D105" s="72">
        <v>0</v>
      </c>
      <c r="E105" s="72">
        <v>0</v>
      </c>
      <c r="F105" s="72">
        <v>0</v>
      </c>
      <c r="G105" s="72">
        <f t="shared" si="14"/>
        <v>0</v>
      </c>
      <c r="H105" s="72"/>
      <c r="J105" s="26"/>
      <c r="K105" s="26">
        <v>0</v>
      </c>
      <c r="L105" s="26">
        <v>0</v>
      </c>
      <c r="M105" s="26">
        <f t="shared" si="15"/>
        <v>0</v>
      </c>
    </row>
    <row r="106" spans="2:13" ht="15" customHeight="1" x14ac:dyDescent="0.25">
      <c r="B106" s="238"/>
      <c r="C106" s="72"/>
      <c r="D106" s="72">
        <v>0</v>
      </c>
      <c r="E106" s="72">
        <v>0</v>
      </c>
      <c r="F106" s="72">
        <v>0</v>
      </c>
      <c r="G106" s="72">
        <f t="shared" si="14"/>
        <v>0</v>
      </c>
      <c r="H106" s="72"/>
      <c r="J106" s="26"/>
      <c r="K106" s="26"/>
      <c r="L106" s="26"/>
      <c r="M106" s="26"/>
    </row>
    <row r="107" spans="2:13" ht="15" customHeight="1" x14ac:dyDescent="0.25">
      <c r="B107" s="238"/>
      <c r="C107" s="72"/>
      <c r="D107" s="72">
        <v>0</v>
      </c>
      <c r="E107" s="72">
        <v>0</v>
      </c>
      <c r="F107" s="72">
        <v>0</v>
      </c>
      <c r="G107" s="72">
        <f t="shared" si="14"/>
        <v>0</v>
      </c>
      <c r="H107" s="72"/>
      <c r="J107" s="26"/>
      <c r="K107" s="26"/>
      <c r="L107" s="26"/>
      <c r="M107" s="26"/>
    </row>
    <row r="108" spans="2:13" ht="15" customHeight="1" x14ac:dyDescent="0.25">
      <c r="B108" s="238"/>
      <c r="C108" s="72"/>
      <c r="D108" s="72">
        <v>0</v>
      </c>
      <c r="E108" s="72">
        <v>0</v>
      </c>
      <c r="F108" s="72">
        <v>0</v>
      </c>
      <c r="G108" s="72">
        <f t="shared" si="14"/>
        <v>0</v>
      </c>
      <c r="H108" s="72"/>
      <c r="J108" s="26"/>
      <c r="K108" s="26"/>
      <c r="L108" s="26"/>
      <c r="M108" s="26"/>
    </row>
    <row r="109" spans="2:13" ht="15" customHeight="1" x14ac:dyDescent="0.25">
      <c r="B109" s="238"/>
      <c r="C109" s="72"/>
      <c r="D109" s="72">
        <v>0</v>
      </c>
      <c r="E109" s="72">
        <v>0</v>
      </c>
      <c r="F109" s="72">
        <v>0</v>
      </c>
      <c r="G109" s="72">
        <f t="shared" si="14"/>
        <v>0</v>
      </c>
      <c r="H109" s="72"/>
      <c r="L109" s="27">
        <f>SUM(L102:L105)</f>
        <v>8500</v>
      </c>
      <c r="M109" s="27">
        <f>SUM(M102:M105)</f>
        <v>891500</v>
      </c>
    </row>
    <row r="110" spans="2:13" ht="15" customHeight="1" x14ac:dyDescent="0.25">
      <c r="B110" s="238"/>
      <c r="C110" s="72"/>
      <c r="D110" s="72">
        <v>0</v>
      </c>
      <c r="E110" s="72">
        <v>0</v>
      </c>
      <c r="F110" s="72">
        <v>0</v>
      </c>
      <c r="G110" s="72">
        <f t="shared" si="14"/>
        <v>0</v>
      </c>
      <c r="H110" s="72"/>
      <c r="L110" s="27"/>
      <c r="M110" s="27"/>
    </row>
    <row r="111" spans="2:13" ht="15" customHeight="1" x14ac:dyDescent="0.25">
      <c r="B111" s="238"/>
      <c r="C111" s="72"/>
      <c r="D111" s="72">
        <v>0</v>
      </c>
      <c r="E111" s="72">
        <v>0</v>
      </c>
      <c r="F111" s="72">
        <v>0</v>
      </c>
      <c r="G111" s="72">
        <f t="shared" si="14"/>
        <v>0</v>
      </c>
      <c r="H111" s="72"/>
      <c r="L111" s="27"/>
      <c r="M111" s="27"/>
    </row>
    <row r="112" spans="2:13" ht="15" customHeight="1" x14ac:dyDescent="0.25">
      <c r="B112" s="238"/>
      <c r="C112" s="72"/>
      <c r="D112" s="72">
        <v>0</v>
      </c>
      <c r="E112" s="72">
        <v>0</v>
      </c>
      <c r="F112" s="72">
        <v>0</v>
      </c>
      <c r="G112" s="72">
        <f t="shared" si="14"/>
        <v>0</v>
      </c>
      <c r="H112" s="72"/>
      <c r="L112" s="27"/>
      <c r="M112" s="27"/>
    </row>
    <row r="113" spans="2:13" ht="15" customHeight="1" x14ac:dyDescent="0.25">
      <c r="B113" s="238"/>
      <c r="C113" s="72"/>
      <c r="D113" s="72">
        <v>0</v>
      </c>
      <c r="E113" s="72">
        <v>0</v>
      </c>
      <c r="F113" s="72">
        <v>0</v>
      </c>
      <c r="G113" s="72">
        <f t="shared" si="14"/>
        <v>0</v>
      </c>
      <c r="H113" s="72"/>
      <c r="L113" s="27"/>
      <c r="M113" s="27"/>
    </row>
    <row r="114" spans="2:13" ht="15" customHeight="1" x14ac:dyDescent="0.25">
      <c r="B114" s="238"/>
      <c r="C114" s="72"/>
      <c r="D114" s="72">
        <v>0</v>
      </c>
      <c r="E114" s="72">
        <v>0</v>
      </c>
      <c r="F114" s="72">
        <v>0</v>
      </c>
      <c r="G114" s="72">
        <f t="shared" si="14"/>
        <v>0</v>
      </c>
      <c r="H114" s="72"/>
      <c r="L114" s="27"/>
      <c r="M114" s="27"/>
    </row>
    <row r="115" spans="2:13" ht="15" customHeight="1" x14ac:dyDescent="0.25">
      <c r="B115" s="238"/>
      <c r="C115" s="72"/>
      <c r="D115" s="72">
        <v>0</v>
      </c>
      <c r="E115" s="72">
        <v>0</v>
      </c>
      <c r="F115" s="72">
        <v>0</v>
      </c>
      <c r="G115" s="72">
        <f t="shared" si="14"/>
        <v>0</v>
      </c>
      <c r="H115" s="72"/>
      <c r="L115" s="27"/>
      <c r="M115" s="27"/>
    </row>
    <row r="116" spans="2:13" ht="15" customHeight="1" x14ac:dyDescent="0.25">
      <c r="B116" s="238"/>
      <c r="C116" s="72"/>
      <c r="D116" s="72">
        <v>0</v>
      </c>
      <c r="E116" s="72">
        <v>0</v>
      </c>
      <c r="F116" s="72">
        <v>0</v>
      </c>
      <c r="G116" s="72">
        <f t="shared" si="14"/>
        <v>0</v>
      </c>
      <c r="H116" s="72"/>
      <c r="L116" s="27"/>
      <c r="M116" s="27"/>
    </row>
    <row r="117" spans="2:13" ht="15.75" x14ac:dyDescent="0.25">
      <c r="B117" s="239"/>
      <c r="C117" s="19" t="s">
        <v>17</v>
      </c>
      <c r="D117" s="19">
        <f>SUM(D102:D116)</f>
        <v>0</v>
      </c>
      <c r="E117" s="19">
        <f>SUM(E102:E116)</f>
        <v>29500</v>
      </c>
      <c r="F117" s="19">
        <f>SUM(F102:F110)</f>
        <v>1500</v>
      </c>
      <c r="G117" s="19">
        <f>SUM(G102:G116)</f>
        <v>31000</v>
      </c>
      <c r="H117" s="19">
        <f>SUM(H102:H116)</f>
        <v>31000</v>
      </c>
      <c r="I117" s="20">
        <f>M35+D117+H117</f>
        <v>781000</v>
      </c>
      <c r="K117" s="232">
        <v>45095</v>
      </c>
      <c r="L117" s="231"/>
      <c r="M117" s="231"/>
    </row>
    <row r="118" spans="2:13" ht="15.75" x14ac:dyDescent="0.25">
      <c r="B118" s="228">
        <v>45095</v>
      </c>
      <c r="C118" s="15" t="s">
        <v>18</v>
      </c>
      <c r="D118" s="72">
        <f>+I117-M128</f>
        <v>190500</v>
      </c>
      <c r="E118" s="72"/>
      <c r="F118" s="72"/>
      <c r="G118" s="72"/>
      <c r="H118" s="72"/>
      <c r="J118" s="26" t="s">
        <v>23</v>
      </c>
      <c r="K118" s="26" t="s">
        <v>22</v>
      </c>
      <c r="L118" s="26" t="s">
        <v>20</v>
      </c>
      <c r="M118" s="26" t="s">
        <v>21</v>
      </c>
    </row>
    <row r="119" spans="2:13" x14ac:dyDescent="0.25">
      <c r="B119" s="229"/>
      <c r="C119" s="72" t="s">
        <v>236</v>
      </c>
      <c r="D119" s="72">
        <v>0</v>
      </c>
      <c r="E119" s="72">
        <v>30000</v>
      </c>
      <c r="F119" s="72">
        <v>500</v>
      </c>
      <c r="G119" s="72">
        <f>E119+F119</f>
        <v>30500</v>
      </c>
      <c r="H119" s="72">
        <v>30500</v>
      </c>
      <c r="J119" s="26" t="s">
        <v>358</v>
      </c>
      <c r="K119" s="26">
        <v>300000</v>
      </c>
      <c r="L119" s="26">
        <v>5000</v>
      </c>
      <c r="M119" s="26">
        <f>K119-L119</f>
        <v>295000</v>
      </c>
    </row>
    <row r="120" spans="2:13" x14ac:dyDescent="0.25">
      <c r="B120" s="229"/>
      <c r="C120" s="72" t="s">
        <v>236</v>
      </c>
      <c r="D120" s="72">
        <v>0</v>
      </c>
      <c r="E120" s="72">
        <v>30000</v>
      </c>
      <c r="F120" s="72">
        <v>500</v>
      </c>
      <c r="G120" s="72">
        <f t="shared" ref="G120:G130" si="16">E120+F120</f>
        <v>30500</v>
      </c>
      <c r="H120" s="72">
        <v>30500</v>
      </c>
      <c r="J120" s="26" t="s">
        <v>359</v>
      </c>
      <c r="K120" s="26">
        <v>300000</v>
      </c>
      <c r="L120" s="26">
        <v>4500</v>
      </c>
      <c r="M120" s="26">
        <f t="shared" ref="M120:M121" si="17">K120-L120</f>
        <v>295500</v>
      </c>
    </row>
    <row r="121" spans="2:13" x14ac:dyDescent="0.25">
      <c r="B121" s="229"/>
      <c r="C121" s="17" t="s">
        <v>360</v>
      </c>
      <c r="D121" s="72">
        <v>0</v>
      </c>
      <c r="E121" s="72">
        <v>30000</v>
      </c>
      <c r="F121" s="72">
        <v>500</v>
      </c>
      <c r="G121" s="72">
        <f t="shared" si="16"/>
        <v>30500</v>
      </c>
      <c r="H121" s="72">
        <v>30500</v>
      </c>
      <c r="I121" s="166"/>
      <c r="J121" s="26"/>
      <c r="K121" s="26">
        <v>0</v>
      </c>
      <c r="L121" s="26">
        <v>0</v>
      </c>
      <c r="M121" s="26">
        <f t="shared" si="17"/>
        <v>0</v>
      </c>
    </row>
    <row r="122" spans="2:13" x14ac:dyDescent="0.25">
      <c r="B122" s="229"/>
      <c r="C122" s="72" t="s">
        <v>240</v>
      </c>
      <c r="D122" s="72">
        <v>0</v>
      </c>
      <c r="E122" s="72">
        <v>30000</v>
      </c>
      <c r="F122" s="72">
        <v>500</v>
      </c>
      <c r="G122" s="72">
        <f t="shared" si="16"/>
        <v>30500</v>
      </c>
      <c r="H122" s="72">
        <v>30500</v>
      </c>
      <c r="J122" s="26"/>
      <c r="K122" s="26">
        <v>0</v>
      </c>
      <c r="L122" s="26">
        <v>0</v>
      </c>
      <c r="M122" s="26">
        <f>K122-L122</f>
        <v>0</v>
      </c>
    </row>
    <row r="123" spans="2:13" x14ac:dyDescent="0.25">
      <c r="B123" s="229"/>
      <c r="C123" s="72" t="s">
        <v>362</v>
      </c>
      <c r="D123" s="72">
        <v>0</v>
      </c>
      <c r="E123" s="72">
        <v>30000</v>
      </c>
      <c r="F123" s="72">
        <v>500</v>
      </c>
      <c r="G123" s="72">
        <f t="shared" si="16"/>
        <v>30500</v>
      </c>
      <c r="H123" s="72">
        <v>30500</v>
      </c>
      <c r="J123" s="26"/>
      <c r="K123" s="26"/>
      <c r="L123" s="26"/>
      <c r="M123" s="26"/>
    </row>
    <row r="124" spans="2:13" x14ac:dyDescent="0.25">
      <c r="B124" s="229"/>
      <c r="C124" s="72" t="s">
        <v>361</v>
      </c>
      <c r="D124" s="72">
        <v>0</v>
      </c>
      <c r="E124" s="72">
        <v>40500</v>
      </c>
      <c r="F124" s="72">
        <v>0</v>
      </c>
      <c r="G124" s="72">
        <f t="shared" si="16"/>
        <v>40500</v>
      </c>
      <c r="H124" s="72">
        <v>40500</v>
      </c>
      <c r="J124" s="26"/>
      <c r="K124" s="26"/>
      <c r="L124" s="26"/>
      <c r="M124" s="26"/>
    </row>
    <row r="125" spans="2:13" x14ac:dyDescent="0.25">
      <c r="B125" s="229"/>
      <c r="C125" s="72"/>
      <c r="D125" s="72">
        <v>0</v>
      </c>
      <c r="E125" s="72">
        <v>0</v>
      </c>
      <c r="F125" s="72">
        <v>0</v>
      </c>
      <c r="G125" s="72">
        <f t="shared" si="16"/>
        <v>0</v>
      </c>
      <c r="H125" s="72"/>
      <c r="J125" s="26"/>
      <c r="K125" s="26"/>
      <c r="L125" s="26"/>
      <c r="M125" s="26"/>
    </row>
    <row r="126" spans="2:13" x14ac:dyDescent="0.25">
      <c r="B126" s="229"/>
      <c r="C126" s="72"/>
      <c r="D126" s="72">
        <v>0</v>
      </c>
      <c r="E126" s="72">
        <v>0</v>
      </c>
      <c r="F126" s="72">
        <v>0</v>
      </c>
      <c r="G126" s="72">
        <f t="shared" si="16"/>
        <v>0</v>
      </c>
      <c r="H126" s="72"/>
      <c r="J126" s="26"/>
      <c r="K126" s="26"/>
      <c r="L126" s="26"/>
      <c r="M126" s="26"/>
    </row>
    <row r="127" spans="2:13" x14ac:dyDescent="0.25">
      <c r="B127" s="229"/>
      <c r="C127" s="72"/>
      <c r="D127" s="72">
        <v>0</v>
      </c>
      <c r="E127" s="72">
        <v>0</v>
      </c>
      <c r="F127" s="72">
        <v>0</v>
      </c>
      <c r="G127" s="72">
        <f t="shared" si="16"/>
        <v>0</v>
      </c>
      <c r="H127" s="72"/>
      <c r="J127" s="26"/>
      <c r="K127" s="26"/>
      <c r="L127" s="26"/>
      <c r="M127" s="26"/>
    </row>
    <row r="128" spans="2:13" x14ac:dyDescent="0.25">
      <c r="B128" s="229"/>
      <c r="C128" s="72"/>
      <c r="D128" s="72">
        <v>0</v>
      </c>
      <c r="E128" s="72">
        <v>0</v>
      </c>
      <c r="F128" s="72">
        <v>0</v>
      </c>
      <c r="G128" s="72">
        <f t="shared" si="16"/>
        <v>0</v>
      </c>
      <c r="H128" s="72"/>
      <c r="L128" s="27">
        <f>SUM(L119:L122)</f>
        <v>9500</v>
      </c>
      <c r="M128" s="27">
        <f>SUM(M119:M122)</f>
        <v>590500</v>
      </c>
    </row>
    <row r="129" spans="2:13" x14ac:dyDescent="0.25">
      <c r="B129" s="229"/>
      <c r="C129" s="72"/>
      <c r="D129" s="72">
        <v>0</v>
      </c>
      <c r="E129" s="72">
        <v>0</v>
      </c>
      <c r="F129" s="72">
        <v>0</v>
      </c>
      <c r="G129" s="72">
        <f t="shared" si="16"/>
        <v>0</v>
      </c>
      <c r="H129" s="72"/>
      <c r="L129" s="27"/>
      <c r="M129" s="27"/>
    </row>
    <row r="130" spans="2:13" x14ac:dyDescent="0.25">
      <c r="B130" s="229"/>
      <c r="C130" s="72"/>
      <c r="D130" s="72">
        <v>0</v>
      </c>
      <c r="E130" s="72">
        <v>0</v>
      </c>
      <c r="F130" s="72">
        <v>0</v>
      </c>
      <c r="G130" s="72">
        <f t="shared" si="16"/>
        <v>0</v>
      </c>
      <c r="H130" s="72"/>
      <c r="L130" s="27"/>
      <c r="M130" s="27"/>
    </row>
    <row r="131" spans="2:13" ht="15.75" x14ac:dyDescent="0.25">
      <c r="B131" s="230"/>
      <c r="C131" s="19" t="s">
        <v>17</v>
      </c>
      <c r="D131" s="19">
        <f>SUM(D119:D130)</f>
        <v>0</v>
      </c>
      <c r="E131" s="19">
        <f>SUM(E119:E130)</f>
        <v>190500</v>
      </c>
      <c r="F131" s="19">
        <f>SUM(F119:F130)</f>
        <v>2500</v>
      </c>
      <c r="G131" s="19">
        <f>SUM(G119:G130)</f>
        <v>193000</v>
      </c>
      <c r="H131" s="19">
        <f>SUM(H119:H130)</f>
        <v>193000</v>
      </c>
      <c r="I131" s="20">
        <f>O35+D131+H131</f>
        <v>943000</v>
      </c>
      <c r="K131" s="232">
        <v>45123</v>
      </c>
      <c r="L131" s="231"/>
      <c r="M131" s="231"/>
    </row>
    <row r="132" spans="2:13" ht="15.75" x14ac:dyDescent="0.25">
      <c r="B132" s="228">
        <v>45123</v>
      </c>
      <c r="C132" s="15" t="s">
        <v>18</v>
      </c>
      <c r="D132" s="72">
        <f>+I131-M137</f>
        <v>51000</v>
      </c>
      <c r="E132" s="72"/>
      <c r="F132" s="72"/>
      <c r="G132" s="72"/>
      <c r="H132" s="72"/>
      <c r="J132" s="26" t="s">
        <v>23</v>
      </c>
      <c r="K132" s="26" t="s">
        <v>22</v>
      </c>
      <c r="L132" s="26" t="s">
        <v>20</v>
      </c>
      <c r="M132" s="26" t="s">
        <v>21</v>
      </c>
    </row>
    <row r="133" spans="2:13" x14ac:dyDescent="0.25">
      <c r="B133" s="229"/>
      <c r="C133" s="72" t="s">
        <v>361</v>
      </c>
      <c r="D133" s="72">
        <v>0</v>
      </c>
      <c r="E133" s="72">
        <v>51000</v>
      </c>
      <c r="F133" s="72">
        <v>0</v>
      </c>
      <c r="G133" s="72">
        <f t="shared" ref="G133:G142" si="18">E133+F133</f>
        <v>51000</v>
      </c>
      <c r="H133" s="72">
        <v>51000</v>
      </c>
      <c r="J133" s="26" t="s">
        <v>376</v>
      </c>
      <c r="K133" s="26">
        <v>300000</v>
      </c>
      <c r="L133" s="26">
        <v>2500</v>
      </c>
      <c r="M133" s="26">
        <f>K133-L133</f>
        <v>297500</v>
      </c>
    </row>
    <row r="134" spans="2:13" x14ac:dyDescent="0.25">
      <c r="B134" s="229"/>
      <c r="C134" s="72"/>
      <c r="D134" s="72">
        <v>0</v>
      </c>
      <c r="E134" s="72">
        <v>0</v>
      </c>
      <c r="F134" s="72">
        <v>0</v>
      </c>
      <c r="G134" s="72">
        <f t="shared" si="18"/>
        <v>0</v>
      </c>
      <c r="H134" s="72"/>
      <c r="J134" s="26" t="s">
        <v>362</v>
      </c>
      <c r="K134" s="26">
        <v>300000</v>
      </c>
      <c r="L134" s="26">
        <v>3000</v>
      </c>
      <c r="M134" s="26">
        <f t="shared" ref="M134:M136" si="19">K134-L134</f>
        <v>297000</v>
      </c>
    </row>
    <row r="135" spans="2:13" x14ac:dyDescent="0.25">
      <c r="B135" s="229"/>
      <c r="C135" s="72"/>
      <c r="D135" s="72">
        <v>0</v>
      </c>
      <c r="E135" s="72">
        <v>0</v>
      </c>
      <c r="F135" s="72">
        <v>0</v>
      </c>
      <c r="G135" s="72">
        <f t="shared" si="18"/>
        <v>0</v>
      </c>
      <c r="H135" s="72"/>
      <c r="J135" s="26" t="s">
        <v>287</v>
      </c>
      <c r="K135" s="26">
        <v>300000</v>
      </c>
      <c r="L135" s="26">
        <v>2500</v>
      </c>
      <c r="M135" s="26">
        <f t="shared" si="19"/>
        <v>297500</v>
      </c>
    </row>
    <row r="136" spans="2:13" x14ac:dyDescent="0.25">
      <c r="B136" s="229"/>
      <c r="C136" s="72"/>
      <c r="D136" s="72">
        <v>0</v>
      </c>
      <c r="E136" s="72">
        <v>0</v>
      </c>
      <c r="F136" s="72">
        <v>0</v>
      </c>
      <c r="G136" s="72">
        <f t="shared" si="18"/>
        <v>0</v>
      </c>
      <c r="H136" s="72"/>
      <c r="J136" s="26"/>
      <c r="K136" s="26">
        <v>0</v>
      </c>
      <c r="L136" s="26">
        <v>0</v>
      </c>
      <c r="M136" s="26">
        <f t="shared" si="19"/>
        <v>0</v>
      </c>
    </row>
    <row r="137" spans="2:13" x14ac:dyDescent="0.25">
      <c r="B137" s="229"/>
      <c r="C137" s="72"/>
      <c r="D137" s="72">
        <v>0</v>
      </c>
      <c r="E137" s="72">
        <v>0</v>
      </c>
      <c r="F137" s="72">
        <v>0</v>
      </c>
      <c r="G137" s="72">
        <f t="shared" si="18"/>
        <v>0</v>
      </c>
      <c r="H137" s="72"/>
      <c r="J137" s="26"/>
      <c r="K137" s="26"/>
      <c r="L137" s="27">
        <f>SUM(L133:L136)</f>
        <v>8000</v>
      </c>
      <c r="M137" s="27">
        <f>SUM(M133:M136)</f>
        <v>892000</v>
      </c>
    </row>
    <row r="138" spans="2:13" x14ac:dyDescent="0.25">
      <c r="B138" s="229"/>
      <c r="C138" s="72"/>
      <c r="D138" s="72">
        <v>0</v>
      </c>
      <c r="E138" s="72">
        <v>0</v>
      </c>
      <c r="F138" s="72">
        <v>0</v>
      </c>
      <c r="G138" s="72">
        <f t="shared" si="18"/>
        <v>0</v>
      </c>
      <c r="H138" s="72"/>
      <c r="J138" s="26"/>
      <c r="K138" s="26"/>
      <c r="L138" s="27"/>
      <c r="M138" s="27"/>
    </row>
    <row r="139" spans="2:13" x14ac:dyDescent="0.25">
      <c r="B139" s="229"/>
      <c r="C139" s="72"/>
      <c r="D139" s="72">
        <v>0</v>
      </c>
      <c r="E139" s="72">
        <v>0</v>
      </c>
      <c r="F139" s="72">
        <v>0</v>
      </c>
      <c r="G139" s="72">
        <f t="shared" si="18"/>
        <v>0</v>
      </c>
      <c r="H139" s="72"/>
      <c r="J139" s="26"/>
      <c r="K139" s="26"/>
      <c r="L139" s="27"/>
      <c r="M139" s="27"/>
    </row>
    <row r="140" spans="2:13" x14ac:dyDescent="0.25">
      <c r="B140" s="229"/>
      <c r="C140" s="72"/>
      <c r="D140" s="72">
        <v>0</v>
      </c>
      <c r="E140" s="72">
        <v>0</v>
      </c>
      <c r="F140" s="72">
        <v>0</v>
      </c>
      <c r="G140" s="72">
        <f t="shared" si="18"/>
        <v>0</v>
      </c>
      <c r="H140" s="72"/>
      <c r="J140" s="26"/>
      <c r="K140" s="26"/>
      <c r="L140" s="27"/>
      <c r="M140" s="27"/>
    </row>
    <row r="141" spans="2:13" x14ac:dyDescent="0.25">
      <c r="B141" s="229"/>
      <c r="C141" s="72"/>
      <c r="D141" s="72">
        <v>0</v>
      </c>
      <c r="E141" s="72">
        <v>0</v>
      </c>
      <c r="F141" s="72">
        <v>0</v>
      </c>
      <c r="G141" s="72">
        <f t="shared" si="18"/>
        <v>0</v>
      </c>
      <c r="H141" s="72"/>
      <c r="J141" s="26"/>
      <c r="K141" s="26"/>
      <c r="L141" s="27"/>
      <c r="M141" s="27"/>
    </row>
    <row r="142" spans="2:13" x14ac:dyDescent="0.25">
      <c r="B142" s="229"/>
      <c r="C142" s="72"/>
      <c r="D142" s="72">
        <v>0</v>
      </c>
      <c r="E142" s="72">
        <v>0</v>
      </c>
      <c r="F142" s="72">
        <v>0</v>
      </c>
      <c r="G142" s="72">
        <f t="shared" si="18"/>
        <v>0</v>
      </c>
      <c r="H142" s="72"/>
      <c r="J142" s="26"/>
      <c r="K142" s="26"/>
      <c r="L142" s="27"/>
      <c r="M142" s="27"/>
    </row>
    <row r="143" spans="2:13" x14ac:dyDescent="0.25">
      <c r="B143" s="229"/>
      <c r="C143" s="72"/>
      <c r="D143" s="72">
        <v>0</v>
      </c>
      <c r="E143" s="72">
        <v>0</v>
      </c>
      <c r="F143" s="72">
        <v>0</v>
      </c>
      <c r="G143" s="72">
        <v>0</v>
      </c>
      <c r="H143" s="72"/>
      <c r="J143" s="26"/>
      <c r="K143" s="26"/>
      <c r="L143" s="27"/>
      <c r="M143" s="27"/>
    </row>
    <row r="144" spans="2:13" x14ac:dyDescent="0.25">
      <c r="B144" s="229"/>
      <c r="C144" s="72"/>
      <c r="D144" s="72">
        <v>0</v>
      </c>
      <c r="E144" s="72">
        <v>0</v>
      </c>
      <c r="F144" s="72">
        <v>0</v>
      </c>
      <c r="G144" s="72">
        <v>0</v>
      </c>
      <c r="H144" s="72"/>
      <c r="J144" s="26"/>
      <c r="K144" s="26"/>
      <c r="L144" s="27"/>
      <c r="M144" s="27"/>
    </row>
    <row r="145" spans="2:13" x14ac:dyDescent="0.25">
      <c r="B145" s="229"/>
      <c r="C145" s="72"/>
      <c r="D145" s="72">
        <v>0</v>
      </c>
      <c r="E145" s="72"/>
      <c r="F145" s="72"/>
      <c r="G145" s="72"/>
      <c r="H145" s="72"/>
      <c r="J145" s="26"/>
      <c r="K145" s="26"/>
      <c r="L145" s="27"/>
      <c r="M145" s="27"/>
    </row>
    <row r="146" spans="2:13" ht="15.75" x14ac:dyDescent="0.25">
      <c r="B146" s="230"/>
      <c r="C146" s="19" t="s">
        <v>17</v>
      </c>
      <c r="D146" s="19">
        <f>SUM(D133:D145)</f>
        <v>0</v>
      </c>
      <c r="E146" s="19">
        <f>SUM(E133:E144)</f>
        <v>51000</v>
      </c>
      <c r="F146" s="19">
        <f>SUM(F133:F144)</f>
        <v>0</v>
      </c>
      <c r="G146" s="19">
        <f>SUM(G133:G144)</f>
        <v>51000</v>
      </c>
      <c r="H146" s="19">
        <f>SUM(H133:H145)</f>
        <v>51000</v>
      </c>
      <c r="I146" s="20">
        <f>Q35+D146+H146</f>
        <v>776000</v>
      </c>
      <c r="K146" s="231" t="s">
        <v>50</v>
      </c>
      <c r="L146" s="231"/>
      <c r="M146" s="231"/>
    </row>
    <row r="147" spans="2:13" ht="15.75" x14ac:dyDescent="0.25">
      <c r="B147" s="228" t="s">
        <v>385</v>
      </c>
      <c r="C147" s="15" t="s">
        <v>18</v>
      </c>
      <c r="D147" s="72">
        <f>+I146-M152</f>
        <v>181500</v>
      </c>
      <c r="E147" s="72"/>
      <c r="F147" s="72"/>
      <c r="G147" s="72"/>
      <c r="H147" s="72"/>
      <c r="J147" s="26" t="s">
        <v>23</v>
      </c>
      <c r="K147" s="26" t="s">
        <v>22</v>
      </c>
      <c r="L147" s="26" t="s">
        <v>20</v>
      </c>
      <c r="M147" s="26" t="s">
        <v>21</v>
      </c>
    </row>
    <row r="148" spans="2:13" x14ac:dyDescent="0.25">
      <c r="B148" s="229"/>
      <c r="C148" s="72" t="s">
        <v>239</v>
      </c>
      <c r="D148" s="72">
        <v>0</v>
      </c>
      <c r="E148" s="72">
        <v>30000</v>
      </c>
      <c r="F148" s="72">
        <v>500</v>
      </c>
      <c r="G148" s="72">
        <f t="shared" ref="G148:G159" si="20">E148+F148</f>
        <v>30500</v>
      </c>
      <c r="H148" s="72">
        <v>30500</v>
      </c>
      <c r="J148" s="26" t="s">
        <v>98</v>
      </c>
      <c r="K148" s="26">
        <v>300000</v>
      </c>
      <c r="L148" s="27">
        <v>2500</v>
      </c>
      <c r="M148" s="26">
        <f>K148-L148</f>
        <v>297500</v>
      </c>
    </row>
    <row r="149" spans="2:13" x14ac:dyDescent="0.25">
      <c r="B149" s="229"/>
      <c r="C149" s="72" t="s">
        <v>239</v>
      </c>
      <c r="D149" s="72">
        <v>0</v>
      </c>
      <c r="E149" s="72">
        <v>30000</v>
      </c>
      <c r="F149" s="72">
        <v>500</v>
      </c>
      <c r="G149" s="72">
        <f t="shared" si="20"/>
        <v>30500</v>
      </c>
      <c r="H149" s="72">
        <v>30500</v>
      </c>
      <c r="J149" s="26" t="s">
        <v>46</v>
      </c>
      <c r="K149" s="26">
        <v>300000</v>
      </c>
      <c r="L149" s="27">
        <v>3000</v>
      </c>
      <c r="M149" s="26">
        <f t="shared" ref="M149:M151" si="21">K149-L149</f>
        <v>297000</v>
      </c>
    </row>
    <row r="150" spans="2:13" x14ac:dyDescent="0.25">
      <c r="B150" s="229"/>
      <c r="C150" s="72" t="s">
        <v>237</v>
      </c>
      <c r="D150" s="72">
        <v>0</v>
      </c>
      <c r="E150" s="72">
        <v>30000</v>
      </c>
      <c r="F150" s="72">
        <v>500</v>
      </c>
      <c r="G150" s="72">
        <f t="shared" si="20"/>
        <v>30500</v>
      </c>
      <c r="H150" s="72">
        <v>30500</v>
      </c>
      <c r="J150" s="26"/>
      <c r="K150" s="26">
        <v>0</v>
      </c>
      <c r="L150" s="27">
        <v>0</v>
      </c>
      <c r="M150" s="26">
        <f t="shared" si="21"/>
        <v>0</v>
      </c>
    </row>
    <row r="151" spans="2:13" x14ac:dyDescent="0.25">
      <c r="B151" s="229"/>
      <c r="C151" s="72" t="s">
        <v>237</v>
      </c>
      <c r="D151" s="72">
        <v>0</v>
      </c>
      <c r="E151" s="72">
        <v>30000</v>
      </c>
      <c r="F151" s="72">
        <v>500</v>
      </c>
      <c r="G151" s="72">
        <f t="shared" si="20"/>
        <v>30500</v>
      </c>
      <c r="H151" s="72">
        <v>30500</v>
      </c>
      <c r="J151" s="26"/>
      <c r="K151" s="26">
        <v>0</v>
      </c>
      <c r="L151" s="27">
        <v>0</v>
      </c>
      <c r="M151" s="26">
        <f t="shared" si="21"/>
        <v>0</v>
      </c>
    </row>
    <row r="152" spans="2:13" x14ac:dyDescent="0.25">
      <c r="B152" s="229"/>
      <c r="C152" s="72" t="s">
        <v>240</v>
      </c>
      <c r="D152" s="72">
        <v>0</v>
      </c>
      <c r="E152" s="72">
        <v>30000</v>
      </c>
      <c r="F152" s="72">
        <v>500</v>
      </c>
      <c r="G152" s="72">
        <f t="shared" si="20"/>
        <v>30500</v>
      </c>
      <c r="H152" s="72">
        <v>30500</v>
      </c>
      <c r="J152" s="26"/>
      <c r="K152" s="26"/>
      <c r="L152" s="27">
        <f>SUM(L148:L151)</f>
        <v>5500</v>
      </c>
      <c r="M152" s="27">
        <f>SUM(M148:M151)</f>
        <v>594500</v>
      </c>
    </row>
    <row r="153" spans="2:13" x14ac:dyDescent="0.25">
      <c r="B153" s="229"/>
      <c r="C153" s="72" t="s">
        <v>240</v>
      </c>
      <c r="D153" s="72">
        <v>0</v>
      </c>
      <c r="E153" s="72">
        <v>31500</v>
      </c>
      <c r="F153" s="72">
        <v>500</v>
      </c>
      <c r="G153" s="72">
        <f t="shared" si="20"/>
        <v>32000</v>
      </c>
      <c r="H153" s="72">
        <v>32000</v>
      </c>
      <c r="J153" s="26"/>
      <c r="K153" s="26"/>
      <c r="L153" s="27"/>
      <c r="M153" s="27"/>
    </row>
    <row r="154" spans="2:13" x14ac:dyDescent="0.25">
      <c r="B154" s="229"/>
      <c r="C154" s="72"/>
      <c r="D154" s="72">
        <v>0</v>
      </c>
      <c r="E154" s="72">
        <v>0</v>
      </c>
      <c r="F154" s="72">
        <v>0</v>
      </c>
      <c r="G154" s="72">
        <f t="shared" si="20"/>
        <v>0</v>
      </c>
      <c r="H154" s="72"/>
      <c r="J154" s="26"/>
      <c r="K154" s="26"/>
      <c r="L154" s="27"/>
      <c r="M154" s="27"/>
    </row>
    <row r="155" spans="2:13" x14ac:dyDescent="0.25">
      <c r="B155" s="229"/>
      <c r="C155" s="72"/>
      <c r="D155" s="72">
        <v>0</v>
      </c>
      <c r="E155" s="72">
        <v>0</v>
      </c>
      <c r="F155" s="72">
        <v>0</v>
      </c>
      <c r="G155" s="72">
        <f t="shared" si="20"/>
        <v>0</v>
      </c>
      <c r="H155" s="72"/>
      <c r="J155" s="26"/>
      <c r="K155" s="26"/>
      <c r="L155" s="27"/>
      <c r="M155" s="27"/>
    </row>
    <row r="156" spans="2:13" x14ac:dyDescent="0.25">
      <c r="B156" s="229"/>
      <c r="C156" s="72"/>
      <c r="D156" s="72">
        <v>0</v>
      </c>
      <c r="E156" s="72">
        <v>0</v>
      </c>
      <c r="F156" s="72">
        <v>0</v>
      </c>
      <c r="G156" s="72">
        <f t="shared" si="20"/>
        <v>0</v>
      </c>
      <c r="H156" s="72"/>
      <c r="J156" s="26"/>
      <c r="K156" s="26"/>
      <c r="L156" s="27"/>
      <c r="M156" s="27"/>
    </row>
    <row r="157" spans="2:13" x14ac:dyDescent="0.25">
      <c r="B157" s="229"/>
      <c r="C157" s="72"/>
      <c r="D157" s="72">
        <v>0</v>
      </c>
      <c r="E157" s="72">
        <v>0</v>
      </c>
      <c r="F157" s="72">
        <v>0</v>
      </c>
      <c r="G157" s="72">
        <f t="shared" si="20"/>
        <v>0</v>
      </c>
      <c r="H157" s="72"/>
      <c r="J157" s="26"/>
      <c r="K157" s="26"/>
      <c r="L157" s="27"/>
      <c r="M157" s="27"/>
    </row>
    <row r="158" spans="2:13" x14ac:dyDescent="0.25">
      <c r="B158" s="229"/>
      <c r="C158" s="72"/>
      <c r="D158" s="72">
        <v>0</v>
      </c>
      <c r="E158" s="72">
        <v>0</v>
      </c>
      <c r="F158" s="72">
        <v>0</v>
      </c>
      <c r="G158" s="72">
        <f t="shared" si="20"/>
        <v>0</v>
      </c>
      <c r="H158" s="72"/>
      <c r="J158" s="26"/>
      <c r="K158" s="26"/>
      <c r="L158" s="27"/>
      <c r="M158" s="27"/>
    </row>
    <row r="159" spans="2:13" x14ac:dyDescent="0.25">
      <c r="B159" s="229"/>
      <c r="C159" s="72"/>
      <c r="D159" s="72">
        <v>0</v>
      </c>
      <c r="E159" s="72">
        <v>0</v>
      </c>
      <c r="F159" s="72">
        <v>0</v>
      </c>
      <c r="G159" s="72">
        <f t="shared" si="20"/>
        <v>0</v>
      </c>
      <c r="H159" s="72"/>
      <c r="J159" s="26"/>
      <c r="K159" s="26"/>
      <c r="L159" s="27"/>
      <c r="M159" s="27"/>
    </row>
    <row r="160" spans="2:13" x14ac:dyDescent="0.25">
      <c r="B160" s="229"/>
      <c r="C160" s="72" t="s">
        <v>45</v>
      </c>
      <c r="D160" s="72">
        <v>0</v>
      </c>
      <c r="E160" s="72"/>
      <c r="F160" s="72"/>
      <c r="G160" s="72">
        <v>0</v>
      </c>
      <c r="H160" s="72"/>
      <c r="J160" s="26"/>
      <c r="K160" s="26"/>
      <c r="L160" s="27"/>
      <c r="M160" s="27"/>
    </row>
    <row r="161" spans="2:13" ht="15.75" x14ac:dyDescent="0.25">
      <c r="B161" s="230"/>
      <c r="C161" s="19" t="s">
        <v>17</v>
      </c>
      <c r="D161" s="19">
        <f>SUM(D148:D160)</f>
        <v>0</v>
      </c>
      <c r="E161" s="19">
        <f>SUM(E148:E160)</f>
        <v>181500</v>
      </c>
      <c r="F161" s="19">
        <f>SUM(F148:F160)</f>
        <v>3000</v>
      </c>
      <c r="G161" s="19">
        <f>SUM(G148:G160)</f>
        <v>184500</v>
      </c>
      <c r="H161" s="19">
        <f>SUM(H147:H160)</f>
        <v>184500</v>
      </c>
      <c r="I161" s="20">
        <f>S35+D161+H161</f>
        <v>909500</v>
      </c>
      <c r="K161" s="232">
        <v>45186</v>
      </c>
      <c r="L161" s="231"/>
      <c r="M161" s="231"/>
    </row>
    <row r="162" spans="2:13" ht="15.75" x14ac:dyDescent="0.25">
      <c r="B162" s="228">
        <v>45186</v>
      </c>
      <c r="C162" s="15" t="s">
        <v>18</v>
      </c>
      <c r="D162" s="72">
        <f>I161-M172</f>
        <v>17000</v>
      </c>
      <c r="E162" s="72"/>
      <c r="F162" s="72"/>
      <c r="G162" s="72"/>
      <c r="H162" s="72"/>
      <c r="J162" s="26" t="s">
        <v>23</v>
      </c>
      <c r="K162" s="26" t="s">
        <v>22</v>
      </c>
      <c r="L162" s="26" t="s">
        <v>20</v>
      </c>
      <c r="M162" s="26" t="s">
        <v>21</v>
      </c>
    </row>
    <row r="163" spans="2:13" x14ac:dyDescent="0.25">
      <c r="B163" s="229"/>
      <c r="C163" s="72" t="s">
        <v>239</v>
      </c>
      <c r="D163" s="72">
        <v>0</v>
      </c>
      <c r="E163" s="72">
        <v>17000</v>
      </c>
      <c r="F163" s="72">
        <v>500</v>
      </c>
      <c r="G163" s="72">
        <f>E163+F163</f>
        <v>17500</v>
      </c>
      <c r="H163" s="72">
        <v>17500</v>
      </c>
      <c r="J163" s="26" t="s">
        <v>394</v>
      </c>
      <c r="K163" s="26">
        <v>300000</v>
      </c>
      <c r="L163" s="26">
        <v>2500</v>
      </c>
      <c r="M163" s="26">
        <f>K163-L163</f>
        <v>297500</v>
      </c>
    </row>
    <row r="164" spans="2:13" x14ac:dyDescent="0.25">
      <c r="B164" s="229"/>
      <c r="C164" s="72"/>
      <c r="D164" s="72">
        <v>0</v>
      </c>
      <c r="E164" s="72">
        <v>0</v>
      </c>
      <c r="F164" s="72">
        <v>0</v>
      </c>
      <c r="G164" s="72">
        <f t="shared" ref="G164:G165" si="22">E164+F164</f>
        <v>0</v>
      </c>
      <c r="H164" s="72"/>
      <c r="J164" s="26" t="s">
        <v>395</v>
      </c>
      <c r="K164" s="26">
        <v>300000</v>
      </c>
      <c r="L164" s="26">
        <v>2500</v>
      </c>
      <c r="M164" s="26">
        <f t="shared" ref="M164:M166" si="23">K164-L164</f>
        <v>297500</v>
      </c>
    </row>
    <row r="165" spans="2:13" x14ac:dyDescent="0.25">
      <c r="B165" s="229"/>
      <c r="C165" s="72"/>
      <c r="D165" s="72">
        <v>0</v>
      </c>
      <c r="E165" s="72">
        <v>0</v>
      </c>
      <c r="F165" s="72">
        <v>0</v>
      </c>
      <c r="G165" s="72">
        <f t="shared" si="22"/>
        <v>0</v>
      </c>
      <c r="H165" s="72"/>
      <c r="J165" s="26" t="s">
        <v>396</v>
      </c>
      <c r="K165" s="26">
        <v>300000</v>
      </c>
      <c r="L165" s="26">
        <v>2500</v>
      </c>
      <c r="M165" s="26">
        <f t="shared" si="23"/>
        <v>297500</v>
      </c>
    </row>
    <row r="166" spans="2:13" x14ac:dyDescent="0.25">
      <c r="B166" s="229"/>
      <c r="C166" s="72"/>
      <c r="D166" s="72">
        <v>0</v>
      </c>
      <c r="E166" s="72">
        <v>0</v>
      </c>
      <c r="F166" s="72">
        <v>0</v>
      </c>
      <c r="G166" s="72">
        <v>0</v>
      </c>
      <c r="H166" s="72"/>
      <c r="J166" s="26">
        <v>0</v>
      </c>
      <c r="K166" s="26">
        <v>0</v>
      </c>
      <c r="L166" s="26">
        <v>0</v>
      </c>
      <c r="M166" s="26">
        <f t="shared" si="23"/>
        <v>0</v>
      </c>
    </row>
    <row r="167" spans="2:13" x14ac:dyDescent="0.25">
      <c r="B167" s="229"/>
      <c r="C167" s="72"/>
      <c r="D167" s="72">
        <v>0</v>
      </c>
      <c r="E167" s="72">
        <v>0</v>
      </c>
      <c r="F167" s="72">
        <v>0</v>
      </c>
      <c r="G167" s="72">
        <f t="shared" ref="G167:G173" si="24">E167+F167</f>
        <v>0</v>
      </c>
      <c r="H167" s="72"/>
      <c r="J167" s="26">
        <v>0</v>
      </c>
      <c r="K167" s="26">
        <v>0</v>
      </c>
      <c r="L167" s="26">
        <v>0</v>
      </c>
      <c r="M167" s="26"/>
    </row>
    <row r="168" spans="2:13" x14ac:dyDescent="0.25">
      <c r="B168" s="229"/>
      <c r="C168" s="72"/>
      <c r="D168" s="72">
        <v>0</v>
      </c>
      <c r="E168" s="72">
        <v>0</v>
      </c>
      <c r="F168" s="72">
        <v>0</v>
      </c>
      <c r="G168" s="72">
        <f t="shared" si="24"/>
        <v>0</v>
      </c>
      <c r="H168" s="72"/>
      <c r="J168" s="26"/>
      <c r="K168" s="26"/>
      <c r="L168" s="26"/>
      <c r="M168" s="26"/>
    </row>
    <row r="169" spans="2:13" x14ac:dyDescent="0.25">
      <c r="B169" s="229"/>
      <c r="C169" s="72"/>
      <c r="D169" s="72">
        <v>0</v>
      </c>
      <c r="E169" s="72">
        <v>0</v>
      </c>
      <c r="F169" s="72">
        <v>0</v>
      </c>
      <c r="G169" s="72">
        <f t="shared" si="24"/>
        <v>0</v>
      </c>
      <c r="H169" s="72"/>
      <c r="J169" s="26"/>
      <c r="K169" s="26"/>
      <c r="L169" s="26"/>
      <c r="M169" s="26"/>
    </row>
    <row r="170" spans="2:13" x14ac:dyDescent="0.25">
      <c r="B170" s="229"/>
      <c r="C170" s="72"/>
      <c r="D170" s="72">
        <v>0</v>
      </c>
      <c r="E170" s="72">
        <v>0</v>
      </c>
      <c r="F170" s="72">
        <v>0</v>
      </c>
      <c r="G170" s="72">
        <v>0</v>
      </c>
      <c r="H170" s="72"/>
      <c r="J170" s="26"/>
      <c r="K170" s="26"/>
      <c r="L170" s="26"/>
      <c r="M170" s="26"/>
    </row>
    <row r="171" spans="2:13" x14ac:dyDescent="0.25">
      <c r="B171" s="229"/>
      <c r="C171" s="72"/>
      <c r="D171" s="72">
        <v>0</v>
      </c>
      <c r="E171" s="72">
        <v>0</v>
      </c>
      <c r="F171" s="72">
        <v>0</v>
      </c>
      <c r="G171" s="72">
        <f t="shared" si="24"/>
        <v>0</v>
      </c>
      <c r="H171" s="72"/>
      <c r="J171" s="26"/>
      <c r="K171" s="26"/>
      <c r="L171" s="26"/>
      <c r="M171" s="26"/>
    </row>
    <row r="172" spans="2:13" x14ac:dyDescent="0.25">
      <c r="B172" s="229"/>
      <c r="C172" s="72"/>
      <c r="D172" s="72">
        <v>0</v>
      </c>
      <c r="E172" s="72">
        <v>0</v>
      </c>
      <c r="F172" s="72">
        <v>0</v>
      </c>
      <c r="G172" s="72">
        <f t="shared" si="24"/>
        <v>0</v>
      </c>
      <c r="H172" s="72"/>
      <c r="J172" s="26"/>
      <c r="K172" s="26"/>
      <c r="L172" s="27">
        <f>SUM(L163:L166)</f>
        <v>7500</v>
      </c>
      <c r="M172" s="27">
        <f>SUM(M163:M166)</f>
        <v>892500</v>
      </c>
    </row>
    <row r="173" spans="2:13" x14ac:dyDescent="0.25">
      <c r="B173" s="229"/>
      <c r="C173" s="72"/>
      <c r="D173" s="72">
        <v>0</v>
      </c>
      <c r="E173" s="72">
        <v>0</v>
      </c>
      <c r="F173" s="72">
        <v>0</v>
      </c>
      <c r="G173" s="72">
        <f t="shared" si="24"/>
        <v>0</v>
      </c>
      <c r="H173" s="72"/>
    </row>
    <row r="174" spans="2:13" x14ac:dyDescent="0.25">
      <c r="B174" s="229"/>
      <c r="C174" s="72"/>
      <c r="D174" s="72"/>
      <c r="E174" s="72"/>
      <c r="F174" s="72"/>
      <c r="G174" s="72">
        <v>0</v>
      </c>
      <c r="H174" s="72"/>
    </row>
    <row r="175" spans="2:13" x14ac:dyDescent="0.25">
      <c r="B175" s="229"/>
      <c r="C175" s="72"/>
      <c r="D175" s="72"/>
      <c r="E175" s="72"/>
      <c r="F175" s="72"/>
      <c r="G175" s="72">
        <v>0</v>
      </c>
      <c r="H175" s="72"/>
    </row>
    <row r="176" spans="2:13" ht="15.75" x14ac:dyDescent="0.25">
      <c r="B176" s="230"/>
      <c r="C176" s="19" t="s">
        <v>17</v>
      </c>
      <c r="D176" s="19">
        <f>SUM(D163:D175)</f>
        <v>0</v>
      </c>
      <c r="E176" s="19">
        <f>SUM(E163:E175)</f>
        <v>17000</v>
      </c>
      <c r="F176" s="19">
        <f>SUM(F163:F175)</f>
        <v>500</v>
      </c>
      <c r="G176" s="19">
        <f>SUM(G163:G175)</f>
        <v>17500</v>
      </c>
      <c r="H176" s="19">
        <f>SUM(H163:H175)</f>
        <v>17500</v>
      </c>
      <c r="I176" s="20">
        <f>U35+D176+H176</f>
        <v>742500</v>
      </c>
      <c r="K176" s="232">
        <v>45214</v>
      </c>
      <c r="L176" s="231"/>
      <c r="M176" s="231"/>
    </row>
    <row r="177" spans="2:13" ht="15.75" x14ac:dyDescent="0.25">
      <c r="B177" s="228">
        <v>45214</v>
      </c>
      <c r="C177" s="15" t="s">
        <v>18</v>
      </c>
      <c r="D177" s="72">
        <f>I176-M183</f>
        <v>147500</v>
      </c>
      <c r="E177" s="72"/>
      <c r="F177" s="72"/>
      <c r="G177" s="72"/>
      <c r="H177" s="72"/>
      <c r="J177" s="26" t="s">
        <v>23</v>
      </c>
      <c r="K177" s="26" t="s">
        <v>22</v>
      </c>
      <c r="L177" s="26" t="s">
        <v>20</v>
      </c>
      <c r="M177" s="26" t="s">
        <v>21</v>
      </c>
    </row>
    <row r="178" spans="2:13" x14ac:dyDescent="0.25">
      <c r="B178" s="229"/>
      <c r="C178" s="72" t="s">
        <v>239</v>
      </c>
      <c r="D178" s="72">
        <v>0</v>
      </c>
      <c r="E178" s="72">
        <v>30000</v>
      </c>
      <c r="F178" s="72">
        <v>500</v>
      </c>
      <c r="G178" s="72">
        <f>E178+F178</f>
        <v>30500</v>
      </c>
      <c r="H178" s="72"/>
      <c r="J178" s="26" t="s">
        <v>411</v>
      </c>
      <c r="K178" s="26">
        <v>300000</v>
      </c>
      <c r="L178" s="26">
        <v>2500</v>
      </c>
      <c r="M178" s="26">
        <f>K178-L178</f>
        <v>297500</v>
      </c>
    </row>
    <row r="179" spans="2:13" x14ac:dyDescent="0.25">
      <c r="B179" s="229"/>
      <c r="C179" s="72" t="s">
        <v>237</v>
      </c>
      <c r="D179" s="72">
        <v>0</v>
      </c>
      <c r="E179" s="72">
        <v>30000</v>
      </c>
      <c r="F179" s="72">
        <v>500</v>
      </c>
      <c r="G179" s="72">
        <f t="shared" ref="G179:G189" si="25">E179+F179</f>
        <v>30500</v>
      </c>
      <c r="H179" s="72"/>
      <c r="J179" s="26" t="s">
        <v>412</v>
      </c>
      <c r="K179" s="26">
        <v>300000</v>
      </c>
      <c r="L179" s="26">
        <v>2500</v>
      </c>
      <c r="M179" s="26">
        <f t="shared" ref="M179:M181" si="26">K179-L179</f>
        <v>297500</v>
      </c>
    </row>
    <row r="180" spans="2:13" x14ac:dyDescent="0.25">
      <c r="B180" s="229"/>
      <c r="C180" s="72" t="s">
        <v>239</v>
      </c>
      <c r="D180" s="72">
        <v>0</v>
      </c>
      <c r="E180" s="72">
        <v>30000</v>
      </c>
      <c r="F180" s="72">
        <v>500</v>
      </c>
      <c r="G180" s="72">
        <f t="shared" si="25"/>
        <v>30500</v>
      </c>
      <c r="H180" s="72"/>
      <c r="J180" s="26">
        <v>0</v>
      </c>
      <c r="K180" s="26">
        <v>0</v>
      </c>
      <c r="L180" s="26">
        <v>0</v>
      </c>
      <c r="M180" s="26">
        <f t="shared" si="26"/>
        <v>0</v>
      </c>
    </row>
    <row r="181" spans="2:13" x14ac:dyDescent="0.25">
      <c r="B181" s="229"/>
      <c r="C181" s="72" t="s">
        <v>222</v>
      </c>
      <c r="D181" s="72">
        <v>0</v>
      </c>
      <c r="E181" s="72">
        <v>30000</v>
      </c>
      <c r="F181" s="72">
        <v>1000</v>
      </c>
      <c r="G181" s="72">
        <f t="shared" si="25"/>
        <v>31000</v>
      </c>
      <c r="H181" s="72"/>
      <c r="J181" s="26">
        <v>0</v>
      </c>
      <c r="K181" s="26">
        <v>0</v>
      </c>
      <c r="L181" s="26">
        <v>0</v>
      </c>
      <c r="M181" s="26">
        <f t="shared" si="26"/>
        <v>0</v>
      </c>
    </row>
    <row r="182" spans="2:13" x14ac:dyDescent="0.25">
      <c r="B182" s="229"/>
      <c r="C182" s="72" t="s">
        <v>362</v>
      </c>
      <c r="D182" s="72">
        <v>0</v>
      </c>
      <c r="E182" s="72">
        <v>27500</v>
      </c>
      <c r="F182" s="72">
        <v>500</v>
      </c>
      <c r="G182" s="72">
        <f t="shared" si="25"/>
        <v>28000</v>
      </c>
      <c r="H182" s="72"/>
      <c r="J182" s="26"/>
      <c r="K182" s="26"/>
      <c r="L182" s="26"/>
      <c r="M182" s="26"/>
    </row>
    <row r="183" spans="2:13" x14ac:dyDescent="0.25">
      <c r="B183" s="229"/>
      <c r="C183" s="72">
        <v>0</v>
      </c>
      <c r="D183" s="72">
        <v>0</v>
      </c>
      <c r="E183" s="72">
        <v>0</v>
      </c>
      <c r="F183" s="72">
        <v>0</v>
      </c>
      <c r="G183" s="72">
        <f t="shared" si="25"/>
        <v>0</v>
      </c>
      <c r="H183" s="72"/>
      <c r="J183" s="26"/>
      <c r="K183" s="26"/>
      <c r="L183" s="27">
        <v>0</v>
      </c>
      <c r="M183" s="27">
        <f>SUM(M178:M181)</f>
        <v>595000</v>
      </c>
    </row>
    <row r="184" spans="2:13" x14ac:dyDescent="0.25">
      <c r="B184" s="229"/>
      <c r="C184" s="72"/>
      <c r="D184" s="72">
        <v>0</v>
      </c>
      <c r="E184" s="72">
        <v>0</v>
      </c>
      <c r="F184" s="72">
        <v>0</v>
      </c>
      <c r="G184" s="72">
        <f t="shared" si="25"/>
        <v>0</v>
      </c>
      <c r="H184" s="72"/>
      <c r="J184" s="26"/>
      <c r="K184" s="26"/>
      <c r="L184" s="27"/>
      <c r="M184" s="27"/>
    </row>
    <row r="185" spans="2:13" x14ac:dyDescent="0.25">
      <c r="B185" s="229"/>
      <c r="C185" s="72"/>
      <c r="D185" s="72">
        <v>0</v>
      </c>
      <c r="E185" s="72">
        <v>0</v>
      </c>
      <c r="F185" s="72">
        <v>0</v>
      </c>
      <c r="G185" s="72">
        <f t="shared" si="25"/>
        <v>0</v>
      </c>
      <c r="H185" s="72"/>
      <c r="J185" s="26"/>
      <c r="K185" s="26"/>
      <c r="L185" s="27"/>
      <c r="M185" s="27"/>
    </row>
    <row r="186" spans="2:13" x14ac:dyDescent="0.25">
      <c r="B186" s="229"/>
      <c r="C186" s="72"/>
      <c r="D186" s="72">
        <v>0</v>
      </c>
      <c r="E186" s="72">
        <v>0</v>
      </c>
      <c r="F186" s="72">
        <v>0</v>
      </c>
      <c r="G186" s="72">
        <f t="shared" si="25"/>
        <v>0</v>
      </c>
      <c r="H186" s="72"/>
      <c r="J186" s="26"/>
      <c r="K186" s="26"/>
      <c r="L186" s="27"/>
      <c r="M186" s="27"/>
    </row>
    <row r="187" spans="2:13" x14ac:dyDescent="0.25">
      <c r="B187" s="229"/>
      <c r="C187" s="72"/>
      <c r="D187" s="72">
        <v>0</v>
      </c>
      <c r="E187" s="72">
        <v>0</v>
      </c>
      <c r="F187" s="72">
        <v>0</v>
      </c>
      <c r="G187" s="72">
        <f t="shared" si="25"/>
        <v>0</v>
      </c>
      <c r="H187" s="72"/>
      <c r="J187" s="26"/>
      <c r="K187" s="26"/>
      <c r="L187" s="27"/>
      <c r="M187" s="27"/>
    </row>
    <row r="188" spans="2:13" x14ac:dyDescent="0.25">
      <c r="B188" s="229"/>
      <c r="C188" s="72"/>
      <c r="D188" s="72">
        <v>0</v>
      </c>
      <c r="E188" s="72">
        <v>0</v>
      </c>
      <c r="F188" s="72">
        <v>0</v>
      </c>
      <c r="G188" s="72">
        <f t="shared" si="25"/>
        <v>0</v>
      </c>
      <c r="H188" s="72"/>
      <c r="J188" s="26"/>
      <c r="K188" s="26"/>
      <c r="L188" s="27"/>
      <c r="M188" s="27"/>
    </row>
    <row r="189" spans="2:13" x14ac:dyDescent="0.25">
      <c r="B189" s="229"/>
      <c r="C189" s="72"/>
      <c r="D189" s="72">
        <v>0</v>
      </c>
      <c r="E189" s="72">
        <v>0</v>
      </c>
      <c r="F189" s="72">
        <v>0</v>
      </c>
      <c r="G189" s="72">
        <f t="shared" si="25"/>
        <v>0</v>
      </c>
      <c r="H189" s="72"/>
    </row>
    <row r="190" spans="2:13" x14ac:dyDescent="0.25">
      <c r="B190" s="229"/>
      <c r="C190" s="72"/>
      <c r="D190" s="72">
        <v>0</v>
      </c>
      <c r="E190" s="72"/>
      <c r="F190" s="72"/>
      <c r="G190" s="72">
        <v>0</v>
      </c>
      <c r="H190" s="72"/>
    </row>
    <row r="191" spans="2:13" ht="15.75" x14ac:dyDescent="0.25">
      <c r="B191" s="230"/>
      <c r="C191" s="19" t="s">
        <v>17</v>
      </c>
      <c r="D191" s="19">
        <f t="shared" ref="D191:F191" si="27">SUM(D178:D189)</f>
        <v>0</v>
      </c>
      <c r="E191" s="19">
        <f t="shared" si="27"/>
        <v>147500</v>
      </c>
      <c r="F191" s="19">
        <f t="shared" si="27"/>
        <v>3000</v>
      </c>
      <c r="G191" s="19">
        <f>SUM(G178:G190)</f>
        <v>150500</v>
      </c>
      <c r="H191" s="19">
        <f t="shared" ref="H191" si="28">D177-E191</f>
        <v>0</v>
      </c>
      <c r="I191" s="20">
        <f>W35+D191+H191</f>
        <v>800000</v>
      </c>
      <c r="K191" s="232">
        <v>45249</v>
      </c>
      <c r="L191" s="231"/>
      <c r="M191" s="231"/>
    </row>
    <row r="192" spans="2:13" ht="15.75" x14ac:dyDescent="0.25">
      <c r="B192" s="228">
        <v>45249</v>
      </c>
      <c r="C192" s="15" t="s">
        <v>18</v>
      </c>
      <c r="D192" s="72">
        <f>I191-M197</f>
        <v>800000</v>
      </c>
      <c r="E192" s="72"/>
      <c r="F192" s="72"/>
      <c r="G192" s="72"/>
      <c r="H192" s="72"/>
      <c r="J192" s="26" t="s">
        <v>23</v>
      </c>
      <c r="K192" s="26" t="s">
        <v>22</v>
      </c>
      <c r="L192" s="26" t="s">
        <v>20</v>
      </c>
      <c r="M192" s="26" t="s">
        <v>21</v>
      </c>
    </row>
    <row r="193" spans="2:13" x14ac:dyDescent="0.25">
      <c r="B193" s="229"/>
      <c r="C193" s="72">
        <v>0</v>
      </c>
      <c r="D193" s="72">
        <v>0</v>
      </c>
      <c r="E193" s="72">
        <v>0</v>
      </c>
      <c r="F193" s="72">
        <v>0</v>
      </c>
      <c r="G193" s="72">
        <f t="shared" ref="G193:G209" si="29">E193+F193</f>
        <v>0</v>
      </c>
      <c r="H193" s="72"/>
      <c r="J193" s="26"/>
      <c r="K193" s="26">
        <v>0</v>
      </c>
      <c r="L193" s="26">
        <v>0</v>
      </c>
      <c r="M193" s="26">
        <f>K193-L193</f>
        <v>0</v>
      </c>
    </row>
    <row r="194" spans="2:13" x14ac:dyDescent="0.25">
      <c r="B194" s="229"/>
      <c r="C194" s="72">
        <v>0</v>
      </c>
      <c r="D194" s="72">
        <v>0</v>
      </c>
      <c r="E194" s="72">
        <v>0</v>
      </c>
      <c r="F194" s="72">
        <v>0</v>
      </c>
      <c r="G194" s="72">
        <f t="shared" si="29"/>
        <v>0</v>
      </c>
      <c r="H194" s="72"/>
      <c r="J194" s="26"/>
      <c r="K194" s="26">
        <v>0</v>
      </c>
      <c r="L194" s="26">
        <v>0</v>
      </c>
      <c r="M194" s="26">
        <f t="shared" ref="M194:M196" si="30">K194-L194</f>
        <v>0</v>
      </c>
    </row>
    <row r="195" spans="2:13" x14ac:dyDescent="0.25">
      <c r="B195" s="229"/>
      <c r="C195" s="72">
        <v>0</v>
      </c>
      <c r="D195" s="72">
        <v>0</v>
      </c>
      <c r="E195" s="72">
        <v>0</v>
      </c>
      <c r="F195" s="72">
        <v>0</v>
      </c>
      <c r="G195" s="72">
        <f t="shared" si="29"/>
        <v>0</v>
      </c>
      <c r="H195" s="72"/>
      <c r="J195" s="26"/>
      <c r="K195" s="26">
        <v>0</v>
      </c>
      <c r="L195" s="26">
        <v>0</v>
      </c>
      <c r="M195" s="26">
        <f t="shared" si="30"/>
        <v>0</v>
      </c>
    </row>
    <row r="196" spans="2:13" x14ac:dyDescent="0.25">
      <c r="B196" s="229"/>
      <c r="C196" s="72">
        <v>0</v>
      </c>
      <c r="D196" s="72">
        <v>0</v>
      </c>
      <c r="E196" s="72">
        <v>0</v>
      </c>
      <c r="F196" s="72">
        <v>0</v>
      </c>
      <c r="G196" s="72">
        <f t="shared" si="29"/>
        <v>0</v>
      </c>
      <c r="H196" s="72"/>
      <c r="J196" s="26"/>
      <c r="K196" s="26">
        <v>0</v>
      </c>
      <c r="L196" s="26">
        <v>0</v>
      </c>
      <c r="M196" s="26">
        <f t="shared" si="30"/>
        <v>0</v>
      </c>
    </row>
    <row r="197" spans="2:13" x14ac:dyDescent="0.25">
      <c r="B197" s="229"/>
      <c r="C197" s="72">
        <v>0</v>
      </c>
      <c r="D197" s="72">
        <v>0</v>
      </c>
      <c r="E197" s="72">
        <v>0</v>
      </c>
      <c r="F197" s="72">
        <v>0</v>
      </c>
      <c r="G197" s="72">
        <f t="shared" si="29"/>
        <v>0</v>
      </c>
      <c r="H197" s="72"/>
      <c r="J197" s="26"/>
      <c r="K197" s="26"/>
      <c r="L197" s="27">
        <f>SUM(L193:L196)</f>
        <v>0</v>
      </c>
      <c r="M197" s="27">
        <f>SUM(M193:M196)</f>
        <v>0</v>
      </c>
    </row>
    <row r="198" spans="2:13" x14ac:dyDescent="0.25">
      <c r="B198" s="229"/>
      <c r="C198" s="72">
        <v>0</v>
      </c>
      <c r="D198" s="72">
        <v>0</v>
      </c>
      <c r="E198" s="72">
        <v>0</v>
      </c>
      <c r="F198" s="72">
        <v>0</v>
      </c>
      <c r="G198" s="72">
        <f t="shared" si="29"/>
        <v>0</v>
      </c>
      <c r="H198" s="72"/>
      <c r="J198" s="26"/>
      <c r="K198" s="26"/>
      <c r="L198" s="27"/>
      <c r="M198" s="27"/>
    </row>
    <row r="199" spans="2:13" x14ac:dyDescent="0.25">
      <c r="B199" s="229"/>
      <c r="C199" s="72">
        <v>0</v>
      </c>
      <c r="D199" s="72">
        <v>0</v>
      </c>
      <c r="E199" s="72">
        <v>0</v>
      </c>
      <c r="F199" s="72">
        <v>0</v>
      </c>
      <c r="G199" s="72">
        <f t="shared" si="29"/>
        <v>0</v>
      </c>
      <c r="H199" s="72"/>
      <c r="J199" s="26"/>
      <c r="K199" s="26"/>
      <c r="L199" s="27"/>
      <c r="M199" s="27"/>
    </row>
    <row r="200" spans="2:13" x14ac:dyDescent="0.25">
      <c r="B200" s="229"/>
      <c r="C200" s="72">
        <v>0</v>
      </c>
      <c r="D200" s="72">
        <v>0</v>
      </c>
      <c r="E200" s="72">
        <v>0</v>
      </c>
      <c r="F200" s="72">
        <v>0</v>
      </c>
      <c r="G200" s="72">
        <f t="shared" si="29"/>
        <v>0</v>
      </c>
      <c r="H200" s="72"/>
      <c r="J200" s="26"/>
      <c r="K200" s="26"/>
      <c r="L200" s="27"/>
      <c r="M200" s="27"/>
    </row>
    <row r="201" spans="2:13" x14ac:dyDescent="0.25">
      <c r="B201" s="229"/>
      <c r="C201" s="72">
        <v>0</v>
      </c>
      <c r="D201" s="72">
        <v>0</v>
      </c>
      <c r="E201" s="72">
        <v>0</v>
      </c>
      <c r="F201" s="72">
        <v>0</v>
      </c>
      <c r="G201" s="72">
        <f t="shared" si="29"/>
        <v>0</v>
      </c>
      <c r="H201" s="72"/>
      <c r="J201" s="26"/>
      <c r="K201" s="26"/>
      <c r="L201" s="27"/>
      <c r="M201" s="27"/>
    </row>
    <row r="202" spans="2:13" x14ac:dyDescent="0.25">
      <c r="B202" s="229"/>
      <c r="C202" s="72">
        <v>0</v>
      </c>
      <c r="D202" s="72">
        <v>0</v>
      </c>
      <c r="E202" s="72">
        <v>0</v>
      </c>
      <c r="F202" s="72">
        <v>0</v>
      </c>
      <c r="G202" s="72">
        <f t="shared" si="29"/>
        <v>0</v>
      </c>
      <c r="H202" s="72"/>
      <c r="J202" s="26"/>
      <c r="K202" s="26"/>
      <c r="L202" s="27"/>
      <c r="M202" s="27"/>
    </row>
    <row r="203" spans="2:13" x14ac:dyDescent="0.25">
      <c r="B203" s="229"/>
      <c r="C203" s="72">
        <v>0</v>
      </c>
      <c r="D203" s="72">
        <v>0</v>
      </c>
      <c r="E203" s="72">
        <v>0</v>
      </c>
      <c r="F203" s="72">
        <v>0</v>
      </c>
      <c r="G203" s="72">
        <f t="shared" si="29"/>
        <v>0</v>
      </c>
      <c r="H203" s="72"/>
    </row>
    <row r="204" spans="2:13" x14ac:dyDescent="0.25">
      <c r="B204" s="229"/>
      <c r="C204" s="72"/>
      <c r="D204" s="72">
        <v>0</v>
      </c>
      <c r="E204" s="72">
        <v>0</v>
      </c>
      <c r="F204" s="72">
        <v>0</v>
      </c>
      <c r="G204" s="72">
        <f t="shared" si="29"/>
        <v>0</v>
      </c>
      <c r="H204" s="72"/>
    </row>
    <row r="205" spans="2:13" x14ac:dyDescent="0.25">
      <c r="B205" s="229"/>
      <c r="C205" s="72"/>
      <c r="D205" s="72">
        <v>0</v>
      </c>
      <c r="E205" s="72">
        <v>0</v>
      </c>
      <c r="F205" s="72">
        <v>0</v>
      </c>
      <c r="G205" s="72">
        <f t="shared" si="29"/>
        <v>0</v>
      </c>
      <c r="H205" s="72"/>
    </row>
    <row r="206" spans="2:13" x14ac:dyDescent="0.25">
      <c r="B206" s="229"/>
      <c r="C206" s="72"/>
      <c r="D206" s="72">
        <v>0</v>
      </c>
      <c r="E206" s="72">
        <v>0</v>
      </c>
      <c r="F206" s="72">
        <v>0</v>
      </c>
      <c r="G206" s="72">
        <f t="shared" si="29"/>
        <v>0</v>
      </c>
      <c r="H206" s="72"/>
    </row>
    <row r="207" spans="2:13" x14ac:dyDescent="0.25">
      <c r="B207" s="229"/>
      <c r="C207" s="72"/>
      <c r="D207" s="72">
        <v>0</v>
      </c>
      <c r="E207" s="72">
        <v>0</v>
      </c>
      <c r="F207" s="72">
        <v>0</v>
      </c>
      <c r="G207" s="72">
        <f t="shared" si="29"/>
        <v>0</v>
      </c>
      <c r="H207" s="72"/>
    </row>
    <row r="208" spans="2:13" x14ac:dyDescent="0.25">
      <c r="B208" s="229"/>
      <c r="C208" s="72"/>
      <c r="D208" s="72">
        <v>0</v>
      </c>
      <c r="E208" s="72">
        <v>0</v>
      </c>
      <c r="F208" s="72">
        <v>0</v>
      </c>
      <c r="G208" s="72">
        <f t="shared" si="29"/>
        <v>0</v>
      </c>
      <c r="H208" s="72"/>
    </row>
    <row r="209" spans="2:13" x14ac:dyDescent="0.25">
      <c r="B209" s="229"/>
      <c r="C209" s="72"/>
      <c r="D209" s="72">
        <v>0</v>
      </c>
      <c r="E209" s="72">
        <v>0</v>
      </c>
      <c r="F209" s="72">
        <v>0</v>
      </c>
      <c r="G209" s="72">
        <f t="shared" si="29"/>
        <v>0</v>
      </c>
      <c r="H209" s="72"/>
    </row>
    <row r="210" spans="2:13" x14ac:dyDescent="0.25">
      <c r="B210" s="229"/>
      <c r="C210" s="72"/>
      <c r="D210" s="72"/>
      <c r="E210" s="72"/>
      <c r="F210" s="72"/>
      <c r="G210" s="72">
        <v>0</v>
      </c>
      <c r="H210" s="72"/>
    </row>
    <row r="211" spans="2:13" x14ac:dyDescent="0.25">
      <c r="B211" s="229"/>
      <c r="C211" s="72"/>
      <c r="D211" s="72"/>
      <c r="E211" s="72"/>
      <c r="F211" s="72"/>
      <c r="G211" s="72">
        <v>0</v>
      </c>
      <c r="H211" s="72"/>
    </row>
    <row r="212" spans="2:13" ht="15.75" x14ac:dyDescent="0.25">
      <c r="B212" s="230"/>
      <c r="C212" s="19" t="s">
        <v>17</v>
      </c>
      <c r="D212" s="19">
        <f>SUM(D193:D211)</f>
        <v>0</v>
      </c>
      <c r="E212" s="19">
        <f>SUM(E193:E211)</f>
        <v>0</v>
      </c>
      <c r="F212" s="19">
        <f>SUM(F193:F211)</f>
        <v>0</v>
      </c>
      <c r="G212" s="19">
        <f>SUM(G193:G211)</f>
        <v>0</v>
      </c>
      <c r="H212" s="19">
        <f t="shared" ref="H212" si="31">D192-E212</f>
        <v>800000</v>
      </c>
      <c r="I212" s="20">
        <f>Y35+D212+H212</f>
        <v>800000</v>
      </c>
      <c r="K212" s="231" t="s">
        <v>51</v>
      </c>
      <c r="L212" s="231"/>
      <c r="M212" s="231"/>
    </row>
    <row r="213" spans="2:13" ht="15.75" x14ac:dyDescent="0.25">
      <c r="B213" s="228" t="s">
        <v>51</v>
      </c>
      <c r="C213" s="15" t="s">
        <v>18</v>
      </c>
      <c r="D213" s="72">
        <f>I212-M217</f>
        <v>800000</v>
      </c>
      <c r="E213" s="72"/>
      <c r="F213" s="72"/>
      <c r="G213" s="72"/>
      <c r="H213" s="72"/>
      <c r="J213" s="26" t="s">
        <v>23</v>
      </c>
      <c r="K213" s="26" t="s">
        <v>22</v>
      </c>
      <c r="L213" s="26" t="s">
        <v>20</v>
      </c>
      <c r="M213" s="26" t="s">
        <v>21</v>
      </c>
    </row>
    <row r="214" spans="2:13" x14ac:dyDescent="0.25">
      <c r="B214" s="229"/>
      <c r="C214" s="72"/>
      <c r="D214" s="72">
        <v>0</v>
      </c>
      <c r="E214" s="72">
        <v>0</v>
      </c>
      <c r="F214" s="72">
        <v>0</v>
      </c>
      <c r="G214" s="72">
        <f t="shared" ref="G214:G227" si="32">E214+F214</f>
        <v>0</v>
      </c>
      <c r="H214" s="72"/>
      <c r="J214" s="26"/>
      <c r="K214" s="26">
        <v>0</v>
      </c>
      <c r="L214" s="26">
        <v>0</v>
      </c>
      <c r="M214" s="26">
        <f>K214-L214</f>
        <v>0</v>
      </c>
    </row>
    <row r="215" spans="2:13" x14ac:dyDescent="0.25">
      <c r="B215" s="229"/>
      <c r="C215" s="72">
        <v>0</v>
      </c>
      <c r="D215" s="72">
        <v>0</v>
      </c>
      <c r="E215" s="72">
        <v>0</v>
      </c>
      <c r="F215" s="72">
        <v>0</v>
      </c>
      <c r="G215" s="72">
        <f t="shared" si="32"/>
        <v>0</v>
      </c>
      <c r="H215" s="72"/>
      <c r="J215" s="26"/>
      <c r="K215" s="26">
        <v>0</v>
      </c>
      <c r="L215" s="26">
        <v>0</v>
      </c>
      <c r="M215" s="26">
        <f t="shared" ref="M215:M216" si="33">K215-L215</f>
        <v>0</v>
      </c>
    </row>
    <row r="216" spans="2:13" x14ac:dyDescent="0.25">
      <c r="B216" s="229"/>
      <c r="C216" s="72">
        <v>0</v>
      </c>
      <c r="D216" s="72">
        <v>0</v>
      </c>
      <c r="E216" s="72">
        <v>0</v>
      </c>
      <c r="F216" s="72">
        <v>0</v>
      </c>
      <c r="G216" s="72">
        <f t="shared" si="32"/>
        <v>0</v>
      </c>
      <c r="H216" s="72"/>
      <c r="J216" s="26"/>
      <c r="K216" s="26">
        <v>0</v>
      </c>
      <c r="L216" s="26">
        <v>0</v>
      </c>
      <c r="M216" s="26">
        <f t="shared" si="33"/>
        <v>0</v>
      </c>
    </row>
    <row r="217" spans="2:13" x14ac:dyDescent="0.25">
      <c r="B217" s="229"/>
      <c r="C217" s="72">
        <v>0</v>
      </c>
      <c r="D217" s="72">
        <v>0</v>
      </c>
      <c r="E217" s="72">
        <v>0</v>
      </c>
      <c r="F217" s="72">
        <v>0</v>
      </c>
      <c r="G217" s="72">
        <f t="shared" si="32"/>
        <v>0</v>
      </c>
      <c r="H217" s="72"/>
      <c r="J217" s="26"/>
      <c r="K217" s="26"/>
      <c r="L217" s="27">
        <f>SUM(L214:L216)</f>
        <v>0</v>
      </c>
      <c r="M217" s="27">
        <f>SUM(M214:M216)</f>
        <v>0</v>
      </c>
    </row>
    <row r="218" spans="2:13" x14ac:dyDescent="0.25">
      <c r="B218" s="229"/>
      <c r="C218" s="72">
        <v>0</v>
      </c>
      <c r="D218" s="72">
        <v>0</v>
      </c>
      <c r="E218" s="72">
        <v>0</v>
      </c>
      <c r="F218" s="72">
        <v>0</v>
      </c>
      <c r="G218" s="72">
        <f t="shared" si="32"/>
        <v>0</v>
      </c>
      <c r="H218" s="72"/>
      <c r="J218" s="26"/>
      <c r="K218" s="26"/>
      <c r="L218" s="27"/>
      <c r="M218" s="27"/>
    </row>
    <row r="219" spans="2:13" x14ac:dyDescent="0.25">
      <c r="B219" s="229"/>
      <c r="C219" s="72">
        <v>0</v>
      </c>
      <c r="D219" s="72">
        <v>0</v>
      </c>
      <c r="E219" s="72">
        <v>0</v>
      </c>
      <c r="F219" s="72">
        <v>0</v>
      </c>
      <c r="G219" s="72">
        <f t="shared" si="32"/>
        <v>0</v>
      </c>
      <c r="H219" s="72"/>
      <c r="J219" s="26"/>
      <c r="K219" s="26"/>
      <c r="L219" s="27"/>
      <c r="M219" s="27"/>
    </row>
    <row r="220" spans="2:13" x14ac:dyDescent="0.25">
      <c r="B220" s="229"/>
      <c r="C220" s="72">
        <v>0</v>
      </c>
      <c r="D220" s="72">
        <v>0</v>
      </c>
      <c r="E220" s="72">
        <v>0</v>
      </c>
      <c r="F220" s="72">
        <v>0</v>
      </c>
      <c r="G220" s="72">
        <f t="shared" si="32"/>
        <v>0</v>
      </c>
      <c r="H220" s="72"/>
      <c r="J220" s="26"/>
      <c r="K220" s="26"/>
      <c r="L220" s="27"/>
      <c r="M220" s="27"/>
    </row>
    <row r="221" spans="2:13" x14ac:dyDescent="0.25">
      <c r="B221" s="229"/>
      <c r="C221" s="72">
        <v>0</v>
      </c>
      <c r="D221" s="72">
        <v>0</v>
      </c>
      <c r="E221" s="72">
        <v>0</v>
      </c>
      <c r="F221" s="72">
        <v>0</v>
      </c>
      <c r="G221" s="72">
        <f t="shared" si="32"/>
        <v>0</v>
      </c>
      <c r="H221" s="72"/>
    </row>
    <row r="222" spans="2:13" x14ac:dyDescent="0.25">
      <c r="B222" s="229"/>
      <c r="C222" s="72">
        <v>0</v>
      </c>
      <c r="D222" s="72">
        <v>0</v>
      </c>
      <c r="E222" s="72">
        <v>0</v>
      </c>
      <c r="F222" s="72">
        <v>0</v>
      </c>
      <c r="G222" s="72">
        <f t="shared" si="32"/>
        <v>0</v>
      </c>
      <c r="H222" s="72"/>
    </row>
    <row r="223" spans="2:13" x14ac:dyDescent="0.25">
      <c r="B223" s="229"/>
      <c r="C223" s="72">
        <v>0</v>
      </c>
      <c r="D223" s="72">
        <v>0</v>
      </c>
      <c r="E223" s="72">
        <v>0</v>
      </c>
      <c r="F223" s="72">
        <v>0</v>
      </c>
      <c r="G223" s="72">
        <f t="shared" si="32"/>
        <v>0</v>
      </c>
      <c r="H223" s="72"/>
    </row>
    <row r="224" spans="2:13" x14ac:dyDescent="0.25">
      <c r="B224" s="229"/>
      <c r="C224" s="72">
        <v>0</v>
      </c>
      <c r="D224" s="72">
        <v>0</v>
      </c>
      <c r="E224" s="72">
        <v>0</v>
      </c>
      <c r="F224" s="72">
        <v>0</v>
      </c>
      <c r="G224" s="72">
        <f t="shared" si="32"/>
        <v>0</v>
      </c>
      <c r="H224" s="72"/>
    </row>
    <row r="225" spans="2:13" x14ac:dyDescent="0.25">
      <c r="B225" s="229"/>
      <c r="C225" s="72">
        <v>0</v>
      </c>
      <c r="D225" s="72">
        <v>0</v>
      </c>
      <c r="E225" s="72">
        <v>0</v>
      </c>
      <c r="F225" s="72">
        <v>0</v>
      </c>
      <c r="G225" s="72">
        <f t="shared" si="32"/>
        <v>0</v>
      </c>
      <c r="H225" s="72"/>
    </row>
    <row r="226" spans="2:13" x14ac:dyDescent="0.25">
      <c r="B226" s="229"/>
      <c r="C226" s="72">
        <v>0</v>
      </c>
      <c r="D226" s="72">
        <v>0</v>
      </c>
      <c r="E226" s="72">
        <v>0</v>
      </c>
      <c r="F226" s="72">
        <v>0</v>
      </c>
      <c r="G226" s="72">
        <f t="shared" si="32"/>
        <v>0</v>
      </c>
      <c r="H226" s="72"/>
    </row>
    <row r="227" spans="2:13" x14ac:dyDescent="0.25">
      <c r="B227" s="229"/>
      <c r="C227" s="72">
        <v>0</v>
      </c>
      <c r="D227" s="72">
        <v>0</v>
      </c>
      <c r="E227" s="72">
        <v>0</v>
      </c>
      <c r="F227" s="72">
        <v>0</v>
      </c>
      <c r="G227" s="72">
        <f t="shared" si="32"/>
        <v>0</v>
      </c>
      <c r="H227" s="72"/>
    </row>
    <row r="228" spans="2:13" ht="15.75" x14ac:dyDescent="0.25">
      <c r="B228" s="230"/>
      <c r="C228" s="19" t="s">
        <v>17</v>
      </c>
      <c r="D228" s="19">
        <f>SUM(D214:D227)</f>
        <v>0</v>
      </c>
      <c r="E228" s="19">
        <f>SUM(E214:E227)</f>
        <v>0</v>
      </c>
      <c r="F228" s="19">
        <f>SUM(F214:F227)</f>
        <v>0</v>
      </c>
      <c r="G228" s="19">
        <f>SUM(G214:G227)</f>
        <v>0</v>
      </c>
      <c r="H228" s="19">
        <f>D213-E228</f>
        <v>800000</v>
      </c>
      <c r="I228" s="20">
        <f>AA35+D228+H228</f>
        <v>800000</v>
      </c>
      <c r="K228" s="231"/>
      <c r="L228" s="231"/>
      <c r="M228" s="231"/>
    </row>
    <row r="229" spans="2:13" ht="15.75" x14ac:dyDescent="0.25">
      <c r="B229" s="228"/>
      <c r="C229" s="15" t="s">
        <v>18</v>
      </c>
      <c r="D229" s="72">
        <f>I228-M233</f>
        <v>800000</v>
      </c>
      <c r="E229" s="72"/>
      <c r="F229" s="72"/>
      <c r="G229" s="72"/>
      <c r="H229" s="72"/>
      <c r="J229" s="26" t="s">
        <v>23</v>
      </c>
      <c r="K229" s="26" t="s">
        <v>22</v>
      </c>
      <c r="L229" s="26" t="s">
        <v>20</v>
      </c>
      <c r="M229" s="26" t="s">
        <v>21</v>
      </c>
    </row>
    <row r="230" spans="2:13" x14ac:dyDescent="0.25">
      <c r="B230" s="229"/>
      <c r="C230" s="72">
        <v>0</v>
      </c>
      <c r="D230" s="72">
        <v>0</v>
      </c>
      <c r="E230" s="72">
        <v>0</v>
      </c>
      <c r="F230" s="72">
        <v>0</v>
      </c>
      <c r="G230" s="72">
        <f>E230+F230</f>
        <v>0</v>
      </c>
      <c r="H230" s="72"/>
      <c r="J230" s="26"/>
      <c r="K230" s="26">
        <v>0</v>
      </c>
      <c r="L230" s="26">
        <v>0</v>
      </c>
      <c r="M230" s="26">
        <f>K230-L230</f>
        <v>0</v>
      </c>
    </row>
    <row r="231" spans="2:13" x14ac:dyDescent="0.25">
      <c r="B231" s="229"/>
      <c r="C231" s="72">
        <v>0</v>
      </c>
      <c r="D231" s="72">
        <v>0</v>
      </c>
      <c r="E231" s="72">
        <v>0</v>
      </c>
      <c r="F231" s="72">
        <v>0</v>
      </c>
      <c r="G231" s="72">
        <f t="shared" ref="G231:G241" si="34">E231+F231</f>
        <v>0</v>
      </c>
      <c r="H231" s="72"/>
      <c r="J231" s="26"/>
      <c r="K231" s="26">
        <v>0</v>
      </c>
      <c r="L231" s="26">
        <v>0</v>
      </c>
      <c r="M231" s="26">
        <f t="shared" ref="M231:M232" si="35">K231-L231</f>
        <v>0</v>
      </c>
    </row>
    <row r="232" spans="2:13" x14ac:dyDescent="0.25">
      <c r="B232" s="229"/>
      <c r="C232" s="72">
        <v>0</v>
      </c>
      <c r="D232" s="72">
        <v>0</v>
      </c>
      <c r="E232" s="72">
        <v>0</v>
      </c>
      <c r="F232" s="72">
        <v>0</v>
      </c>
      <c r="G232" s="72">
        <f t="shared" si="34"/>
        <v>0</v>
      </c>
      <c r="H232" s="72"/>
      <c r="J232" s="26"/>
      <c r="K232" s="26">
        <v>0</v>
      </c>
      <c r="L232" s="26">
        <v>0</v>
      </c>
      <c r="M232" s="26">
        <f t="shared" si="35"/>
        <v>0</v>
      </c>
    </row>
    <row r="233" spans="2:13" x14ac:dyDescent="0.25">
      <c r="B233" s="229"/>
      <c r="C233" s="72">
        <v>0</v>
      </c>
      <c r="D233" s="72">
        <v>0</v>
      </c>
      <c r="E233" s="72">
        <v>0</v>
      </c>
      <c r="F233" s="72">
        <v>0</v>
      </c>
      <c r="G233" s="72">
        <f t="shared" si="34"/>
        <v>0</v>
      </c>
      <c r="H233" s="72"/>
      <c r="J233" s="26"/>
      <c r="K233" s="26"/>
      <c r="L233" s="27">
        <f>SUM(L230:L232)</f>
        <v>0</v>
      </c>
      <c r="M233" s="27">
        <f>SUM(M230:M232)</f>
        <v>0</v>
      </c>
    </row>
    <row r="234" spans="2:13" x14ac:dyDescent="0.25">
      <c r="B234" s="229"/>
      <c r="C234" s="72">
        <v>0</v>
      </c>
      <c r="D234" s="72">
        <v>0</v>
      </c>
      <c r="E234" s="72">
        <v>0</v>
      </c>
      <c r="F234" s="72">
        <v>0</v>
      </c>
      <c r="G234" s="72">
        <f t="shared" si="34"/>
        <v>0</v>
      </c>
      <c r="H234" s="72"/>
    </row>
    <row r="235" spans="2:13" x14ac:dyDescent="0.25">
      <c r="B235" s="229"/>
      <c r="C235" s="72">
        <v>0</v>
      </c>
      <c r="D235" s="72">
        <v>0</v>
      </c>
      <c r="E235" s="72">
        <v>0</v>
      </c>
      <c r="F235" s="72">
        <v>0</v>
      </c>
      <c r="G235" s="72">
        <f t="shared" si="34"/>
        <v>0</v>
      </c>
      <c r="H235" s="72"/>
    </row>
    <row r="236" spans="2:13" x14ac:dyDescent="0.25">
      <c r="B236" s="229"/>
      <c r="C236" s="72">
        <v>0</v>
      </c>
      <c r="D236" s="72">
        <v>0</v>
      </c>
      <c r="E236" s="72">
        <v>0</v>
      </c>
      <c r="F236" s="72">
        <v>0</v>
      </c>
      <c r="G236" s="72">
        <f t="shared" si="34"/>
        <v>0</v>
      </c>
      <c r="H236" s="72"/>
    </row>
    <row r="237" spans="2:13" x14ac:dyDescent="0.25">
      <c r="B237" s="229"/>
      <c r="C237" s="72">
        <v>0</v>
      </c>
      <c r="D237" s="72">
        <v>0</v>
      </c>
      <c r="E237" s="72">
        <v>0</v>
      </c>
      <c r="F237" s="72">
        <v>0</v>
      </c>
      <c r="G237" s="72">
        <f t="shared" si="34"/>
        <v>0</v>
      </c>
      <c r="H237" s="72"/>
    </row>
    <row r="238" spans="2:13" x14ac:dyDescent="0.25">
      <c r="B238" s="229"/>
      <c r="C238" s="72">
        <v>0</v>
      </c>
      <c r="D238" s="72">
        <v>0</v>
      </c>
      <c r="E238" s="72">
        <v>0</v>
      </c>
      <c r="F238" s="72">
        <v>0</v>
      </c>
      <c r="G238" s="72">
        <f t="shared" si="34"/>
        <v>0</v>
      </c>
      <c r="H238" s="72"/>
    </row>
    <row r="239" spans="2:13" x14ac:dyDescent="0.25">
      <c r="B239" s="229"/>
      <c r="C239" s="72">
        <v>0</v>
      </c>
      <c r="D239" s="72">
        <v>0</v>
      </c>
      <c r="E239" s="72">
        <v>0</v>
      </c>
      <c r="F239" s="72">
        <v>0</v>
      </c>
      <c r="G239" s="72">
        <f t="shared" si="34"/>
        <v>0</v>
      </c>
      <c r="H239" s="72"/>
    </row>
    <row r="240" spans="2:13" x14ac:dyDescent="0.25">
      <c r="B240" s="229"/>
      <c r="C240" s="72">
        <v>0</v>
      </c>
      <c r="D240" s="72">
        <v>0</v>
      </c>
      <c r="E240" s="72">
        <v>0</v>
      </c>
      <c r="F240" s="72">
        <v>0</v>
      </c>
      <c r="G240" s="72">
        <f t="shared" si="34"/>
        <v>0</v>
      </c>
      <c r="H240" s="72"/>
    </row>
    <row r="241" spans="2:13" x14ac:dyDescent="0.25">
      <c r="B241" s="229"/>
      <c r="C241" s="72">
        <v>0</v>
      </c>
      <c r="D241" s="72">
        <v>0</v>
      </c>
      <c r="E241" s="72">
        <v>0</v>
      </c>
      <c r="F241" s="72">
        <v>0</v>
      </c>
      <c r="G241" s="72">
        <f t="shared" si="34"/>
        <v>0</v>
      </c>
      <c r="H241" s="72"/>
    </row>
    <row r="242" spans="2:13" ht="15.75" x14ac:dyDescent="0.25">
      <c r="B242" s="230"/>
      <c r="C242" s="72">
        <v>0</v>
      </c>
      <c r="D242" s="72">
        <v>0</v>
      </c>
      <c r="E242" s="72">
        <v>0</v>
      </c>
      <c r="F242" s="72">
        <v>0</v>
      </c>
      <c r="G242" s="19">
        <f>SUM(G230:G241)</f>
        <v>0</v>
      </c>
      <c r="H242" s="19">
        <f>D229-E242</f>
        <v>800000</v>
      </c>
      <c r="I242" s="20">
        <f>AA35+D242+H242</f>
        <v>800000</v>
      </c>
      <c r="K242" s="231"/>
      <c r="L242" s="231"/>
      <c r="M242" s="231"/>
    </row>
    <row r="243" spans="2:13" ht="15.75" x14ac:dyDescent="0.25">
      <c r="B243" s="228"/>
      <c r="C243" s="15" t="s">
        <v>18</v>
      </c>
      <c r="D243" s="72">
        <f>I242-M249</f>
        <v>800000</v>
      </c>
      <c r="E243" s="72"/>
      <c r="F243" s="72"/>
      <c r="G243" s="72"/>
      <c r="H243" s="72"/>
      <c r="J243" s="26" t="s">
        <v>23</v>
      </c>
      <c r="K243" s="26" t="s">
        <v>22</v>
      </c>
      <c r="L243" s="26" t="s">
        <v>20</v>
      </c>
      <c r="M243" s="26" t="s">
        <v>21</v>
      </c>
    </row>
    <row r="244" spans="2:13" x14ac:dyDescent="0.25">
      <c r="B244" s="229"/>
      <c r="C244" s="72"/>
      <c r="D244" s="72">
        <v>0</v>
      </c>
      <c r="E244" s="72">
        <v>0</v>
      </c>
      <c r="F244" s="72">
        <v>0</v>
      </c>
      <c r="G244" s="72">
        <v>0</v>
      </c>
      <c r="H244" s="72"/>
      <c r="J244" s="26"/>
      <c r="K244" s="26">
        <v>0</v>
      </c>
      <c r="L244" s="26">
        <v>0</v>
      </c>
      <c r="M244" s="26">
        <f>K244-L244</f>
        <v>0</v>
      </c>
    </row>
    <row r="245" spans="2:13" x14ac:dyDescent="0.25">
      <c r="B245" s="229"/>
      <c r="C245" s="72"/>
      <c r="D245" s="72">
        <v>0</v>
      </c>
      <c r="E245" s="72">
        <v>0</v>
      </c>
      <c r="F245" s="72">
        <v>0</v>
      </c>
      <c r="G245" s="72">
        <f t="shared" ref="G245:G254" si="36">E245+F245</f>
        <v>0</v>
      </c>
      <c r="H245" s="72"/>
      <c r="J245" s="26"/>
      <c r="K245" s="26">
        <v>0</v>
      </c>
      <c r="L245" s="26">
        <v>0</v>
      </c>
      <c r="M245" s="26">
        <f t="shared" ref="M245:M248" si="37">K245-L245</f>
        <v>0</v>
      </c>
    </row>
    <row r="246" spans="2:13" x14ac:dyDescent="0.25">
      <c r="B246" s="229"/>
      <c r="C246" s="72"/>
      <c r="D246" s="72">
        <v>0</v>
      </c>
      <c r="E246" s="72">
        <v>0</v>
      </c>
      <c r="F246" s="72">
        <v>0</v>
      </c>
      <c r="G246" s="72">
        <f t="shared" si="36"/>
        <v>0</v>
      </c>
      <c r="H246" s="72"/>
      <c r="J246" s="26"/>
      <c r="K246" s="26">
        <v>0</v>
      </c>
      <c r="L246" s="26">
        <v>0</v>
      </c>
      <c r="M246" s="26">
        <f t="shared" si="37"/>
        <v>0</v>
      </c>
    </row>
    <row r="247" spans="2:13" x14ac:dyDescent="0.25">
      <c r="B247" s="229"/>
      <c r="C247" s="72"/>
      <c r="D247" s="72">
        <v>0</v>
      </c>
      <c r="E247" s="72">
        <v>0</v>
      </c>
      <c r="F247" s="72">
        <v>0</v>
      </c>
      <c r="G247" s="72">
        <f t="shared" si="36"/>
        <v>0</v>
      </c>
      <c r="H247" s="72"/>
      <c r="J247" s="26"/>
      <c r="K247" s="26">
        <v>0</v>
      </c>
      <c r="L247" s="26">
        <v>0</v>
      </c>
      <c r="M247" s="26">
        <f t="shared" si="37"/>
        <v>0</v>
      </c>
    </row>
    <row r="248" spans="2:13" x14ac:dyDescent="0.25">
      <c r="B248" s="229"/>
      <c r="C248" s="72"/>
      <c r="D248" s="72">
        <v>0</v>
      </c>
      <c r="E248" s="72">
        <v>0</v>
      </c>
      <c r="F248" s="72">
        <v>0</v>
      </c>
      <c r="G248" s="72">
        <f t="shared" si="36"/>
        <v>0</v>
      </c>
      <c r="H248" s="72"/>
      <c r="J248" s="26"/>
      <c r="K248" s="26">
        <v>0</v>
      </c>
      <c r="L248" s="26">
        <v>0</v>
      </c>
      <c r="M248" s="26">
        <f t="shared" si="37"/>
        <v>0</v>
      </c>
    </row>
    <row r="249" spans="2:13" x14ac:dyDescent="0.25">
      <c r="B249" s="229"/>
      <c r="C249" s="72"/>
      <c r="D249" s="72">
        <v>0</v>
      </c>
      <c r="E249" s="72">
        <v>0</v>
      </c>
      <c r="F249" s="72">
        <v>0</v>
      </c>
      <c r="G249" s="72">
        <f t="shared" si="36"/>
        <v>0</v>
      </c>
      <c r="H249" s="72"/>
      <c r="J249" s="26"/>
      <c r="K249" s="26"/>
      <c r="L249" s="27">
        <f>SUM(L244:L248)</f>
        <v>0</v>
      </c>
      <c r="M249" s="27">
        <f>SUM(M244:M248)</f>
        <v>0</v>
      </c>
    </row>
    <row r="250" spans="2:13" x14ac:dyDescent="0.25">
      <c r="B250" s="229"/>
      <c r="C250" s="72"/>
      <c r="D250" s="72">
        <v>0</v>
      </c>
      <c r="E250" s="72">
        <v>0</v>
      </c>
      <c r="F250" s="72">
        <v>0</v>
      </c>
      <c r="G250" s="72">
        <f t="shared" si="36"/>
        <v>0</v>
      </c>
      <c r="H250" s="72"/>
      <c r="J250" s="26"/>
      <c r="K250" s="26"/>
      <c r="L250" s="27"/>
      <c r="M250" s="27"/>
    </row>
    <row r="251" spans="2:13" x14ac:dyDescent="0.25">
      <c r="B251" s="229"/>
      <c r="C251" s="72"/>
      <c r="D251" s="72">
        <v>0</v>
      </c>
      <c r="E251" s="72">
        <v>0</v>
      </c>
      <c r="F251" s="72">
        <v>0</v>
      </c>
      <c r="G251" s="72">
        <f t="shared" si="36"/>
        <v>0</v>
      </c>
      <c r="H251" s="72"/>
      <c r="J251" s="26"/>
      <c r="K251" s="26"/>
      <c r="L251" s="27"/>
      <c r="M251" s="27"/>
    </row>
    <row r="252" spans="2:13" x14ac:dyDescent="0.25">
      <c r="B252" s="229"/>
      <c r="C252" s="72"/>
      <c r="D252" s="72">
        <v>0</v>
      </c>
      <c r="E252" s="72">
        <v>0</v>
      </c>
      <c r="F252" s="72">
        <v>0</v>
      </c>
      <c r="G252" s="72">
        <f t="shared" si="36"/>
        <v>0</v>
      </c>
      <c r="H252" s="72"/>
      <c r="J252" s="26"/>
      <c r="K252" s="26"/>
      <c r="L252" s="27"/>
      <c r="M252" s="27"/>
    </row>
    <row r="253" spans="2:13" x14ac:dyDescent="0.25">
      <c r="B253" s="229"/>
      <c r="C253" s="72"/>
      <c r="D253" s="72">
        <v>0</v>
      </c>
      <c r="E253" s="72">
        <v>0</v>
      </c>
      <c r="F253" s="72">
        <v>0</v>
      </c>
      <c r="G253" s="72">
        <f t="shared" si="36"/>
        <v>0</v>
      </c>
      <c r="H253" s="72"/>
      <c r="J253" s="26"/>
      <c r="K253" s="26"/>
      <c r="L253" s="27"/>
      <c r="M253" s="27"/>
    </row>
    <row r="254" spans="2:13" x14ac:dyDescent="0.25">
      <c r="B254" s="229"/>
      <c r="C254" s="72"/>
      <c r="D254" s="72">
        <v>0</v>
      </c>
      <c r="E254" s="72">
        <v>0</v>
      </c>
      <c r="F254" s="72">
        <v>0</v>
      </c>
      <c r="G254" s="72">
        <f t="shared" si="36"/>
        <v>0</v>
      </c>
      <c r="H254" s="72"/>
      <c r="J254" s="26"/>
      <c r="K254" s="26"/>
      <c r="L254" s="27"/>
      <c r="M254" s="27"/>
    </row>
    <row r="255" spans="2:13" x14ac:dyDescent="0.25">
      <c r="B255" s="229"/>
      <c r="C255" s="72"/>
      <c r="D255" s="72"/>
      <c r="E255" s="72"/>
      <c r="F255" s="72"/>
      <c r="G255" s="72">
        <v>0</v>
      </c>
      <c r="H255" s="72"/>
      <c r="J255" s="26"/>
      <c r="K255" s="26"/>
      <c r="L255" s="27"/>
      <c r="M255" s="27"/>
    </row>
    <row r="256" spans="2:13" x14ac:dyDescent="0.25">
      <c r="B256" s="229"/>
      <c r="C256" s="72"/>
      <c r="D256" s="72">
        <v>0</v>
      </c>
      <c r="E256" s="72">
        <v>0</v>
      </c>
      <c r="F256" s="72">
        <v>0</v>
      </c>
      <c r="G256" s="72">
        <v>0</v>
      </c>
      <c r="H256" s="72"/>
    </row>
    <row r="257" spans="2:13" ht="15.75" x14ac:dyDescent="0.25">
      <c r="B257" s="230"/>
      <c r="C257" s="19" t="s">
        <v>17</v>
      </c>
      <c r="D257" s="19">
        <f t="shared" ref="D257:G257" si="38">SUM(D244:D256)</f>
        <v>0</v>
      </c>
      <c r="E257" s="19">
        <f t="shared" si="38"/>
        <v>0</v>
      </c>
      <c r="F257" s="19">
        <f t="shared" si="38"/>
        <v>0</v>
      </c>
      <c r="G257" s="19">
        <f t="shared" si="38"/>
        <v>0</v>
      </c>
      <c r="H257" s="19">
        <f t="shared" ref="H257" si="39">D243-E257</f>
        <v>800000</v>
      </c>
      <c r="I257" s="20">
        <f>AE35+D257+H257</f>
        <v>800000</v>
      </c>
      <c r="K257" s="231"/>
      <c r="L257" s="231"/>
      <c r="M257" s="231"/>
    </row>
    <row r="258" spans="2:13" ht="15.75" x14ac:dyDescent="0.25">
      <c r="B258" s="228"/>
      <c r="C258" s="15" t="s">
        <v>18</v>
      </c>
      <c r="D258" s="72">
        <f>I257-M262</f>
        <v>800000</v>
      </c>
      <c r="E258" s="72"/>
      <c r="F258" s="72"/>
      <c r="G258" s="72"/>
      <c r="H258" s="72"/>
      <c r="J258" s="26" t="s">
        <v>23</v>
      </c>
      <c r="K258" s="26" t="s">
        <v>22</v>
      </c>
      <c r="L258" s="26" t="s">
        <v>20</v>
      </c>
      <c r="M258" s="26" t="s">
        <v>21</v>
      </c>
    </row>
    <row r="259" spans="2:13" x14ac:dyDescent="0.25">
      <c r="B259" s="229"/>
      <c r="C259" s="72" t="s">
        <v>44</v>
      </c>
      <c r="D259" s="72">
        <v>0</v>
      </c>
      <c r="E259" s="72">
        <v>0</v>
      </c>
      <c r="F259" s="72">
        <v>0</v>
      </c>
      <c r="G259" s="72">
        <v>0</v>
      </c>
      <c r="H259" s="72"/>
      <c r="J259" s="26"/>
      <c r="K259" s="26">
        <v>0</v>
      </c>
      <c r="L259" s="26">
        <v>0</v>
      </c>
      <c r="M259" s="26">
        <f>K259-L259</f>
        <v>0</v>
      </c>
    </row>
    <row r="260" spans="2:13" x14ac:dyDescent="0.25">
      <c r="B260" s="229"/>
      <c r="C260" s="72"/>
      <c r="D260" s="72">
        <v>0</v>
      </c>
      <c r="E260" s="72">
        <v>0</v>
      </c>
      <c r="F260" s="72">
        <v>0</v>
      </c>
      <c r="G260" s="72">
        <v>0</v>
      </c>
      <c r="H260" s="72"/>
      <c r="J260" s="26"/>
      <c r="K260" s="26">
        <v>0</v>
      </c>
      <c r="L260" s="26">
        <v>0</v>
      </c>
      <c r="M260" s="26">
        <f t="shared" ref="M260:M261" si="40">K260-L260</f>
        <v>0</v>
      </c>
    </row>
    <row r="261" spans="2:13" x14ac:dyDescent="0.25">
      <c r="B261" s="229"/>
      <c r="C261" s="17"/>
      <c r="D261" s="72">
        <v>0</v>
      </c>
      <c r="E261" s="72">
        <v>0</v>
      </c>
      <c r="F261" s="72">
        <v>0</v>
      </c>
      <c r="G261" s="72">
        <f t="shared" ref="G261:G263" si="41">E261+F261</f>
        <v>0</v>
      </c>
      <c r="H261" s="72"/>
      <c r="J261" s="26"/>
      <c r="K261" s="26">
        <v>0</v>
      </c>
      <c r="L261" s="26">
        <v>0</v>
      </c>
      <c r="M261" s="26">
        <f t="shared" si="40"/>
        <v>0</v>
      </c>
    </row>
    <row r="262" spans="2:13" x14ac:dyDescent="0.25">
      <c r="B262" s="229"/>
      <c r="C262" s="72"/>
      <c r="D262" s="72">
        <v>0</v>
      </c>
      <c r="E262" s="72">
        <v>0</v>
      </c>
      <c r="F262" s="72">
        <v>0</v>
      </c>
      <c r="G262" s="72">
        <f t="shared" si="41"/>
        <v>0</v>
      </c>
      <c r="H262" s="72"/>
      <c r="J262" s="26"/>
      <c r="K262" s="26"/>
      <c r="L262" s="27">
        <f>SUM(L259:L261)</f>
        <v>0</v>
      </c>
      <c r="M262" s="27">
        <f>SUM(M259:M261)</f>
        <v>0</v>
      </c>
    </row>
    <row r="263" spans="2:13" x14ac:dyDescent="0.25">
      <c r="B263" s="229"/>
      <c r="C263" s="72" t="s">
        <v>48</v>
      </c>
      <c r="D263" s="72">
        <v>24</v>
      </c>
      <c r="E263" s="72">
        <v>0</v>
      </c>
      <c r="F263" s="72">
        <v>0</v>
      </c>
      <c r="G263" s="72">
        <f t="shared" si="41"/>
        <v>0</v>
      </c>
      <c r="H263" s="72"/>
    </row>
    <row r="264" spans="2:13" ht="15.75" x14ac:dyDescent="0.25">
      <c r="B264" s="230"/>
      <c r="C264" s="19" t="s">
        <v>17</v>
      </c>
      <c r="D264" s="19">
        <f t="shared" ref="D264:G264" si="42">SUM(D259:D263)</f>
        <v>24</v>
      </c>
      <c r="E264" s="19">
        <f t="shared" si="42"/>
        <v>0</v>
      </c>
      <c r="F264" s="19">
        <f t="shared" si="42"/>
        <v>0</v>
      </c>
      <c r="G264" s="19">
        <f t="shared" si="42"/>
        <v>0</v>
      </c>
      <c r="H264" s="19">
        <f t="shared" ref="H264" si="43">D258-E264</f>
        <v>800000</v>
      </c>
      <c r="I264" s="20" t="e">
        <f>#REF!+D264+H257</f>
        <v>#REF!</v>
      </c>
      <c r="K264" s="231"/>
      <c r="L264" s="231"/>
      <c r="M264" s="231"/>
    </row>
  </sheetData>
  <mergeCells count="53">
    <mergeCell ref="U3:V3"/>
    <mergeCell ref="W3:X3"/>
    <mergeCell ref="F2:H2"/>
    <mergeCell ref="C3:D3"/>
    <mergeCell ref="E3:F3"/>
    <mergeCell ref="G3:H3"/>
    <mergeCell ref="I3:J3"/>
    <mergeCell ref="K3:L3"/>
    <mergeCell ref="B70:B85"/>
    <mergeCell ref="K85:M85"/>
    <mergeCell ref="Y3:Z3"/>
    <mergeCell ref="AI3:AJ3"/>
    <mergeCell ref="C38:G38"/>
    <mergeCell ref="O38:R38"/>
    <mergeCell ref="B39:B40"/>
    <mergeCell ref="C39:D39"/>
    <mergeCell ref="E39:E40"/>
    <mergeCell ref="F39:F40"/>
    <mergeCell ref="G39:G40"/>
    <mergeCell ref="H39:H40"/>
    <mergeCell ref="M3:N3"/>
    <mergeCell ref="O3:P3"/>
    <mergeCell ref="Q3:R3"/>
    <mergeCell ref="S3:T3"/>
    <mergeCell ref="I39:I40"/>
    <mergeCell ref="K39:M39"/>
    <mergeCell ref="K53:M53"/>
    <mergeCell ref="B54:B69"/>
    <mergeCell ref="K69:M69"/>
    <mergeCell ref="B86:B100"/>
    <mergeCell ref="K100:M100"/>
    <mergeCell ref="B101:B117"/>
    <mergeCell ref="K117:M117"/>
    <mergeCell ref="B118:B131"/>
    <mergeCell ref="K131:M131"/>
    <mergeCell ref="B132:B146"/>
    <mergeCell ref="K146:M146"/>
    <mergeCell ref="B147:B161"/>
    <mergeCell ref="K161:M161"/>
    <mergeCell ref="B162:B176"/>
    <mergeCell ref="K176:M176"/>
    <mergeCell ref="B177:B191"/>
    <mergeCell ref="K191:M191"/>
    <mergeCell ref="B192:B212"/>
    <mergeCell ref="K212:M212"/>
    <mergeCell ref="B213:B228"/>
    <mergeCell ref="K228:M228"/>
    <mergeCell ref="B229:B242"/>
    <mergeCell ref="K242:M242"/>
    <mergeCell ref="B243:B257"/>
    <mergeCell ref="K257:M257"/>
    <mergeCell ref="B258:B264"/>
    <mergeCell ref="K264:M264"/>
  </mergeCells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54"/>
  <sheetViews>
    <sheetView zoomScale="80" zoomScaleNormal="80" workbookViewId="0">
      <pane xSplit="2" topLeftCell="C1" activePane="topRight" state="frozen"/>
      <selection activeCell="A2" sqref="A2"/>
      <selection pane="topRight" activeCell="AC28" sqref="AC28"/>
    </sheetView>
  </sheetViews>
  <sheetFormatPr baseColWidth="10" defaultRowHeight="15" x14ac:dyDescent="0.25"/>
  <cols>
    <col min="1" max="1" width="7" style="16" customWidth="1"/>
    <col min="2" max="2" width="26.42578125" customWidth="1"/>
    <col min="3" max="3" width="16.85546875" customWidth="1"/>
    <col min="4" max="4" width="11.7109375" customWidth="1"/>
    <col min="5" max="5" width="12" customWidth="1"/>
    <col min="6" max="6" width="11.7109375" customWidth="1"/>
    <col min="7" max="7" width="13.42578125" customWidth="1"/>
    <col min="8" max="8" width="11.7109375" customWidth="1"/>
    <col min="9" max="9" width="12.28515625" customWidth="1"/>
    <col min="10" max="10" width="15.28515625" customWidth="1"/>
    <col min="11" max="11" width="13.5703125" customWidth="1"/>
    <col min="12" max="12" width="11.7109375" customWidth="1"/>
    <col min="13" max="13" width="12.7109375" customWidth="1"/>
    <col min="14" max="14" width="9.140625" customWidth="1"/>
    <col min="15" max="15" width="18.140625" customWidth="1"/>
    <col min="16" max="16" width="13.42578125" customWidth="1"/>
    <col min="17" max="17" width="12" customWidth="1"/>
    <col min="18" max="18" width="14.7109375" customWidth="1"/>
    <col min="19" max="19" width="12.140625" customWidth="1"/>
    <col min="20" max="20" width="11.7109375" customWidth="1"/>
    <col min="21" max="28" width="11.7109375" style="16" customWidth="1"/>
    <col min="29" max="29" width="15.42578125" style="16" customWidth="1"/>
    <col min="30" max="34" width="11.7109375" style="16" customWidth="1"/>
    <col min="35" max="35" width="11.7109375" customWidth="1"/>
    <col min="37" max="37" width="15.28515625" customWidth="1"/>
  </cols>
  <sheetData>
    <row r="1" spans="1:37" x14ac:dyDescent="0.25">
      <c r="B1" s="1" t="s">
        <v>47</v>
      </c>
    </row>
    <row r="2" spans="1:37" s="16" customFormat="1" ht="18.75" x14ac:dyDescent="0.3">
      <c r="B2" s="1"/>
      <c r="F2" s="259" t="s">
        <v>35</v>
      </c>
      <c r="G2" s="259"/>
      <c r="H2" s="259"/>
    </row>
    <row r="3" spans="1:37" ht="15.75" x14ac:dyDescent="0.25">
      <c r="B3" s="10" t="s">
        <v>9</v>
      </c>
      <c r="C3" s="242">
        <v>44941</v>
      </c>
      <c r="D3" s="242"/>
      <c r="E3" s="258" t="s">
        <v>262</v>
      </c>
      <c r="F3" s="258"/>
      <c r="G3" s="242">
        <v>45004</v>
      </c>
      <c r="H3" s="242"/>
      <c r="I3" s="258">
        <v>45032</v>
      </c>
      <c r="J3" s="258"/>
      <c r="K3" s="242">
        <v>45067</v>
      </c>
      <c r="L3" s="242"/>
      <c r="M3" s="258">
        <v>45095</v>
      </c>
      <c r="N3" s="258"/>
      <c r="O3" s="242">
        <v>45123</v>
      </c>
      <c r="P3" s="242"/>
      <c r="Q3" s="258" t="s">
        <v>384</v>
      </c>
      <c r="R3" s="258"/>
      <c r="S3" s="242">
        <v>45186</v>
      </c>
      <c r="T3" s="242"/>
      <c r="U3" s="242">
        <v>45214</v>
      </c>
      <c r="V3" s="242"/>
      <c r="W3" s="242">
        <v>45249</v>
      </c>
      <c r="X3" s="242"/>
      <c r="Y3" s="242" t="s">
        <v>51</v>
      </c>
      <c r="Z3" s="242"/>
      <c r="AA3" s="35"/>
      <c r="AB3" s="36"/>
      <c r="AC3" s="35"/>
      <c r="AD3" s="35"/>
      <c r="AE3" s="65"/>
      <c r="AF3" s="36"/>
      <c r="AG3" s="35"/>
      <c r="AH3" s="36"/>
      <c r="AI3" s="243"/>
      <c r="AJ3" s="243"/>
    </row>
    <row r="4" spans="1:37" ht="15.75" x14ac:dyDescent="0.25">
      <c r="B4" s="10" t="s">
        <v>8</v>
      </c>
      <c r="C4" s="14" t="s">
        <v>10</v>
      </c>
      <c r="D4" s="13" t="s">
        <v>11</v>
      </c>
      <c r="E4" s="14" t="s">
        <v>10</v>
      </c>
      <c r="F4" s="13" t="s">
        <v>11</v>
      </c>
      <c r="G4" s="14" t="s">
        <v>10</v>
      </c>
      <c r="H4" s="13" t="s">
        <v>11</v>
      </c>
      <c r="I4" s="14" t="s">
        <v>10</v>
      </c>
      <c r="J4" s="13" t="s">
        <v>11</v>
      </c>
      <c r="K4" s="14" t="s">
        <v>10</v>
      </c>
      <c r="L4" s="13" t="s">
        <v>11</v>
      </c>
      <c r="M4" s="14" t="s">
        <v>10</v>
      </c>
      <c r="N4" s="13" t="s">
        <v>11</v>
      </c>
      <c r="O4" s="14" t="s">
        <v>10</v>
      </c>
      <c r="P4" s="13" t="s">
        <v>11</v>
      </c>
      <c r="Q4" s="14" t="s">
        <v>10</v>
      </c>
      <c r="R4" s="13" t="s">
        <v>11</v>
      </c>
      <c r="S4" s="14" t="s">
        <v>10</v>
      </c>
      <c r="T4" s="13" t="s">
        <v>11</v>
      </c>
      <c r="U4" s="13" t="s">
        <v>16</v>
      </c>
      <c r="V4" s="13" t="s">
        <v>33</v>
      </c>
      <c r="W4" s="13" t="s">
        <v>16</v>
      </c>
      <c r="X4" s="13" t="s">
        <v>33</v>
      </c>
      <c r="Y4" s="13" t="s">
        <v>16</v>
      </c>
      <c r="Z4" s="13" t="s">
        <v>33</v>
      </c>
      <c r="AA4" s="13"/>
      <c r="AB4" s="13"/>
      <c r="AC4" s="13"/>
      <c r="AD4" s="13"/>
      <c r="AE4" s="13"/>
      <c r="AF4" s="13"/>
      <c r="AG4" s="13"/>
      <c r="AH4" s="13"/>
      <c r="AI4" s="14"/>
      <c r="AJ4" s="13"/>
      <c r="AK4" s="18"/>
    </row>
    <row r="5" spans="1:37" s="16" customFormat="1" x14ac:dyDescent="0.25">
      <c r="A5" s="81">
        <v>1</v>
      </c>
      <c r="B5" s="151" t="s">
        <v>39</v>
      </c>
      <c r="C5" s="152">
        <v>75000</v>
      </c>
      <c r="D5" s="153"/>
      <c r="E5" s="152">
        <v>75000</v>
      </c>
      <c r="F5" s="153"/>
      <c r="G5" s="152">
        <v>75000</v>
      </c>
      <c r="H5" s="153"/>
      <c r="I5" s="152">
        <v>75000</v>
      </c>
      <c r="J5" s="153"/>
      <c r="K5" s="152">
        <v>75000</v>
      </c>
      <c r="L5" s="153"/>
      <c r="M5" s="152">
        <v>75000</v>
      </c>
      <c r="N5" s="153"/>
      <c r="O5" s="152">
        <v>75000</v>
      </c>
      <c r="P5" s="153"/>
      <c r="Q5" s="152">
        <v>75000</v>
      </c>
      <c r="R5" s="153"/>
      <c r="S5" s="152">
        <v>75000</v>
      </c>
      <c r="T5" s="153">
        <v>7500</v>
      </c>
      <c r="U5" s="152">
        <v>75000</v>
      </c>
      <c r="V5" s="74"/>
      <c r="W5" s="152">
        <v>75000</v>
      </c>
      <c r="X5" s="74"/>
      <c r="Y5" s="152">
        <v>75000</v>
      </c>
      <c r="Z5" s="74"/>
      <c r="AA5" s="77"/>
      <c r="AB5" s="77"/>
      <c r="AC5" s="77"/>
      <c r="AD5" s="77"/>
      <c r="AE5" s="77"/>
      <c r="AF5" s="78"/>
    </row>
    <row r="6" spans="1:37" x14ac:dyDescent="0.25">
      <c r="A6" s="81">
        <f>1+A5</f>
        <v>2</v>
      </c>
      <c r="B6" s="151" t="s">
        <v>202</v>
      </c>
      <c r="C6" s="152">
        <v>75000</v>
      </c>
      <c r="D6" s="153"/>
      <c r="E6" s="152">
        <v>75000</v>
      </c>
      <c r="F6" s="153"/>
      <c r="G6" s="152">
        <v>75000</v>
      </c>
      <c r="H6" s="153">
        <v>7500</v>
      </c>
      <c r="I6" s="152">
        <v>75000</v>
      </c>
      <c r="J6" s="153"/>
      <c r="K6" s="152">
        <v>75000</v>
      </c>
      <c r="L6" s="153"/>
      <c r="M6" s="152">
        <v>75000</v>
      </c>
      <c r="N6" s="153"/>
      <c r="O6" s="152">
        <v>75000</v>
      </c>
      <c r="P6" s="153"/>
      <c r="Q6" s="152">
        <v>75000</v>
      </c>
      <c r="R6" s="153"/>
      <c r="S6" s="152">
        <v>75000</v>
      </c>
      <c r="T6" s="74"/>
      <c r="U6" s="152">
        <v>75000</v>
      </c>
      <c r="V6" s="74"/>
      <c r="W6" s="152">
        <v>75000</v>
      </c>
      <c r="X6" s="74"/>
      <c r="Y6" s="152">
        <v>75000</v>
      </c>
      <c r="Z6" s="74"/>
      <c r="AA6" s="77"/>
      <c r="AB6" s="77"/>
      <c r="AC6" s="77"/>
      <c r="AD6" s="77"/>
      <c r="AE6" s="77"/>
      <c r="AF6" s="78"/>
      <c r="AI6" s="16"/>
    </row>
    <row r="7" spans="1:37" x14ac:dyDescent="0.25">
      <c r="A7" s="81">
        <f t="shared" ref="A7:A24" si="0">1+A6</f>
        <v>3</v>
      </c>
      <c r="B7" s="151" t="s">
        <v>208</v>
      </c>
      <c r="C7" s="152">
        <v>75000</v>
      </c>
      <c r="D7" s="153"/>
      <c r="E7" s="152">
        <v>75000</v>
      </c>
      <c r="F7" s="153"/>
      <c r="G7" s="152">
        <v>75000</v>
      </c>
      <c r="H7" s="153"/>
      <c r="I7" s="152">
        <v>75000</v>
      </c>
      <c r="J7" s="153"/>
      <c r="K7" s="152">
        <v>75000</v>
      </c>
      <c r="L7" s="153">
        <v>10000</v>
      </c>
      <c r="M7" s="152">
        <v>75000</v>
      </c>
      <c r="N7" s="153"/>
      <c r="O7" s="152">
        <v>75000</v>
      </c>
      <c r="P7" s="153"/>
      <c r="Q7" s="152">
        <v>75000</v>
      </c>
      <c r="R7" s="153"/>
      <c r="S7" s="152">
        <v>75000</v>
      </c>
      <c r="T7" s="76"/>
      <c r="U7" s="152">
        <v>75000</v>
      </c>
      <c r="V7" s="74"/>
      <c r="W7" s="152">
        <v>75000</v>
      </c>
      <c r="X7" s="74"/>
      <c r="Y7" s="152">
        <v>75000</v>
      </c>
      <c r="Z7" s="74"/>
      <c r="AA7" s="77"/>
      <c r="AB7" s="77"/>
      <c r="AC7" s="77"/>
      <c r="AD7" s="77"/>
      <c r="AE7" s="77"/>
      <c r="AF7" s="78"/>
      <c r="AI7" s="16"/>
    </row>
    <row r="8" spans="1:37" s="16" customFormat="1" x14ac:dyDescent="0.25">
      <c r="A8" s="74">
        <f t="shared" si="0"/>
        <v>4</v>
      </c>
      <c r="B8" s="151" t="s">
        <v>42</v>
      </c>
      <c r="C8" s="152">
        <v>75000</v>
      </c>
      <c r="D8" s="153"/>
      <c r="E8" s="152">
        <v>75000</v>
      </c>
      <c r="F8" s="153"/>
      <c r="G8" s="152">
        <v>75000</v>
      </c>
      <c r="H8" s="153"/>
      <c r="I8" s="152">
        <v>75000</v>
      </c>
      <c r="J8" s="153"/>
      <c r="K8" s="152">
        <v>75000</v>
      </c>
      <c r="L8" s="153"/>
      <c r="M8" s="152">
        <v>75000</v>
      </c>
      <c r="N8" s="153"/>
      <c r="O8" s="152">
        <v>75000</v>
      </c>
      <c r="P8" s="153">
        <v>7500</v>
      </c>
      <c r="Q8" s="152">
        <v>75000</v>
      </c>
      <c r="R8" s="153"/>
      <c r="S8" s="152">
        <v>75000</v>
      </c>
      <c r="T8" s="74"/>
      <c r="U8" s="152">
        <v>75000</v>
      </c>
      <c r="V8" s="74"/>
      <c r="W8" s="152">
        <v>75000</v>
      </c>
      <c r="X8" s="74"/>
      <c r="Y8" s="152">
        <v>75000</v>
      </c>
      <c r="Z8" s="74"/>
      <c r="AA8" s="77"/>
      <c r="AB8" s="77"/>
      <c r="AC8" s="77"/>
      <c r="AD8" s="77"/>
      <c r="AE8" s="77"/>
      <c r="AF8" s="78"/>
    </row>
    <row r="9" spans="1:37" s="16" customFormat="1" x14ac:dyDescent="0.25">
      <c r="A9" s="81">
        <f t="shared" si="0"/>
        <v>5</v>
      </c>
      <c r="B9" s="151" t="s">
        <v>37</v>
      </c>
      <c r="C9" s="152">
        <v>75000</v>
      </c>
      <c r="D9" s="153"/>
      <c r="E9" s="152">
        <v>75000</v>
      </c>
      <c r="F9" s="74">
        <v>20000</v>
      </c>
      <c r="G9" s="152">
        <v>75000</v>
      </c>
      <c r="H9" s="74"/>
      <c r="I9" s="152">
        <v>75000</v>
      </c>
      <c r="J9" s="74"/>
      <c r="K9" s="152">
        <v>75000</v>
      </c>
      <c r="L9" s="153"/>
      <c r="M9" s="152">
        <v>75000</v>
      </c>
      <c r="N9" s="153"/>
      <c r="O9" s="152">
        <v>75000</v>
      </c>
      <c r="P9" s="153"/>
      <c r="Q9" s="152">
        <v>75000</v>
      </c>
      <c r="R9" s="153"/>
      <c r="S9" s="152">
        <v>75000</v>
      </c>
      <c r="T9" s="74"/>
      <c r="U9" s="152">
        <v>75000</v>
      </c>
      <c r="V9" s="74"/>
      <c r="W9" s="152">
        <v>75000</v>
      </c>
      <c r="X9" s="74"/>
      <c r="Y9" s="152">
        <v>75000</v>
      </c>
      <c r="Z9" s="74"/>
      <c r="AA9" s="77"/>
      <c r="AB9" s="77"/>
      <c r="AC9" s="77"/>
      <c r="AD9" s="77"/>
      <c r="AE9" s="77"/>
      <c r="AF9" s="78"/>
    </row>
    <row r="10" spans="1:37" s="16" customFormat="1" x14ac:dyDescent="0.25">
      <c r="A10" s="81">
        <f t="shared" si="0"/>
        <v>6</v>
      </c>
      <c r="B10" s="151" t="s">
        <v>206</v>
      </c>
      <c r="C10" s="152">
        <v>75000</v>
      </c>
      <c r="D10" s="153"/>
      <c r="E10" s="152">
        <v>75000</v>
      </c>
      <c r="F10" s="153"/>
      <c r="G10" s="152">
        <v>75000</v>
      </c>
      <c r="H10" s="153"/>
      <c r="I10" s="152">
        <v>75000</v>
      </c>
      <c r="J10" s="153">
        <v>13000</v>
      </c>
      <c r="K10" s="152">
        <v>75000</v>
      </c>
      <c r="L10" s="153"/>
      <c r="M10" s="152">
        <v>75000</v>
      </c>
      <c r="N10" s="153"/>
      <c r="O10" s="152">
        <v>75000</v>
      </c>
      <c r="P10" s="153"/>
      <c r="Q10" s="152">
        <v>75000</v>
      </c>
      <c r="R10" s="153"/>
      <c r="S10" s="152">
        <v>75000</v>
      </c>
      <c r="T10" s="74"/>
      <c r="U10" s="152">
        <v>75000</v>
      </c>
      <c r="V10" s="74"/>
      <c r="W10" s="152">
        <v>75000</v>
      </c>
      <c r="X10" s="74"/>
      <c r="Y10" s="152">
        <v>75000</v>
      </c>
      <c r="Z10" s="74"/>
      <c r="AA10" s="77"/>
      <c r="AB10" s="77"/>
      <c r="AC10" s="77"/>
      <c r="AD10" s="77"/>
      <c r="AE10" s="77"/>
      <c r="AF10" s="78"/>
    </row>
    <row r="11" spans="1:37" x14ac:dyDescent="0.25">
      <c r="A11" s="81">
        <f t="shared" si="0"/>
        <v>7</v>
      </c>
      <c r="B11" s="151" t="s">
        <v>207</v>
      </c>
      <c r="C11" s="152">
        <v>75000</v>
      </c>
      <c r="D11" s="153"/>
      <c r="E11" s="152">
        <v>75000</v>
      </c>
      <c r="F11" s="74">
        <v>22000</v>
      </c>
      <c r="G11" s="152">
        <v>75000</v>
      </c>
      <c r="H11" s="74"/>
      <c r="I11" s="152">
        <v>75000</v>
      </c>
      <c r="J11" s="74"/>
      <c r="K11" s="152">
        <v>75000</v>
      </c>
      <c r="L11" s="153"/>
      <c r="M11" s="152">
        <v>75000</v>
      </c>
      <c r="N11" s="153"/>
      <c r="O11" s="152">
        <v>75000</v>
      </c>
      <c r="P11" s="153"/>
      <c r="Q11" s="152">
        <v>75000</v>
      </c>
      <c r="R11" s="153"/>
      <c r="S11" s="152">
        <v>75000</v>
      </c>
      <c r="T11" s="74"/>
      <c r="U11" s="152">
        <v>75000</v>
      </c>
      <c r="V11" s="74"/>
      <c r="W11" s="152">
        <v>75000</v>
      </c>
      <c r="X11" s="74"/>
      <c r="Y11" s="152">
        <v>75000</v>
      </c>
      <c r="Z11" s="74"/>
      <c r="AA11" s="77"/>
      <c r="AB11" s="77"/>
      <c r="AC11" s="77"/>
      <c r="AD11" s="77"/>
      <c r="AE11" s="77"/>
      <c r="AF11" s="78"/>
      <c r="AI11" s="16"/>
    </row>
    <row r="12" spans="1:37" s="16" customFormat="1" x14ac:dyDescent="0.25">
      <c r="A12" s="81">
        <f t="shared" si="0"/>
        <v>8</v>
      </c>
      <c r="B12" s="151" t="s">
        <v>99</v>
      </c>
      <c r="C12" s="152">
        <v>75000</v>
      </c>
      <c r="D12" s="153"/>
      <c r="E12" s="152">
        <v>75000</v>
      </c>
      <c r="F12" s="153"/>
      <c r="G12" s="152">
        <v>75000</v>
      </c>
      <c r="H12" s="167"/>
      <c r="I12" s="152">
        <v>75000</v>
      </c>
      <c r="J12" s="153"/>
      <c r="K12" s="152">
        <v>75000</v>
      </c>
      <c r="L12" s="153"/>
      <c r="M12" s="152">
        <v>75000</v>
      </c>
      <c r="N12" s="153"/>
      <c r="O12" s="152">
        <v>75000</v>
      </c>
      <c r="P12" s="153"/>
      <c r="Q12" s="152">
        <v>75000</v>
      </c>
      <c r="R12" s="153"/>
      <c r="S12" s="152">
        <v>75000</v>
      </c>
      <c r="T12" s="153">
        <v>7500</v>
      </c>
      <c r="U12" s="152">
        <v>75000</v>
      </c>
      <c r="V12" s="74"/>
      <c r="W12" s="152">
        <v>75000</v>
      </c>
      <c r="X12" s="74"/>
      <c r="Y12" s="152">
        <v>75000</v>
      </c>
      <c r="Z12" s="74"/>
      <c r="AA12" s="77"/>
      <c r="AB12" s="77"/>
      <c r="AC12" s="77"/>
      <c r="AD12" s="77"/>
      <c r="AE12" s="77"/>
      <c r="AF12" s="78"/>
    </row>
    <row r="13" spans="1:37" x14ac:dyDescent="0.25">
      <c r="A13" s="81">
        <f t="shared" si="0"/>
        <v>9</v>
      </c>
      <c r="B13" s="151" t="s">
        <v>38</v>
      </c>
      <c r="C13" s="152">
        <v>75000</v>
      </c>
      <c r="D13" s="153">
        <v>37500</v>
      </c>
      <c r="E13" s="152">
        <v>75000</v>
      </c>
      <c r="F13" s="74"/>
      <c r="G13" s="152">
        <v>75000</v>
      </c>
      <c r="H13" s="74"/>
      <c r="I13" s="152">
        <v>75000</v>
      </c>
      <c r="J13" s="74"/>
      <c r="K13" s="152">
        <v>75000</v>
      </c>
      <c r="L13" s="153"/>
      <c r="M13" s="152">
        <v>75000</v>
      </c>
      <c r="N13" s="153"/>
      <c r="O13" s="152">
        <v>75000</v>
      </c>
      <c r="P13" s="153"/>
      <c r="Q13" s="152">
        <v>75000</v>
      </c>
      <c r="R13" s="153"/>
      <c r="S13" s="152">
        <v>75000</v>
      </c>
      <c r="T13" s="74"/>
      <c r="U13" s="152">
        <v>75000</v>
      </c>
      <c r="V13" s="74"/>
      <c r="W13" s="152">
        <v>75000</v>
      </c>
      <c r="X13" s="74"/>
      <c r="Y13" s="152">
        <v>75000</v>
      </c>
      <c r="Z13" s="74"/>
      <c r="AA13" s="77"/>
      <c r="AB13" s="77"/>
      <c r="AC13" s="77"/>
      <c r="AD13" s="77"/>
      <c r="AE13" s="77"/>
      <c r="AF13" s="78"/>
      <c r="AI13" s="16"/>
      <c r="AJ13" s="21"/>
    </row>
    <row r="14" spans="1:37" s="16" customFormat="1" x14ac:dyDescent="0.25">
      <c r="A14" s="81">
        <f t="shared" si="0"/>
        <v>10</v>
      </c>
      <c r="B14" s="151" t="s">
        <v>209</v>
      </c>
      <c r="C14" s="152">
        <v>75000</v>
      </c>
      <c r="D14" s="153"/>
      <c r="E14" s="152">
        <v>75000</v>
      </c>
      <c r="F14" s="153"/>
      <c r="G14" s="152">
        <v>75000</v>
      </c>
      <c r="H14" s="153"/>
      <c r="I14" s="152">
        <v>75000</v>
      </c>
      <c r="J14" s="153"/>
      <c r="K14" s="152">
        <v>75000</v>
      </c>
      <c r="L14" s="153">
        <v>15000</v>
      </c>
      <c r="M14" s="152">
        <v>75000</v>
      </c>
      <c r="N14" s="153"/>
      <c r="O14" s="152">
        <v>75000</v>
      </c>
      <c r="P14" s="153"/>
      <c r="Q14" s="152">
        <v>75000</v>
      </c>
      <c r="R14" s="153"/>
      <c r="S14" s="152">
        <v>75000</v>
      </c>
      <c r="T14" s="74"/>
      <c r="U14" s="152">
        <v>75000</v>
      </c>
      <c r="V14" s="74"/>
      <c r="W14" s="152">
        <v>75000</v>
      </c>
      <c r="X14" s="74"/>
      <c r="Y14" s="152">
        <v>75000</v>
      </c>
      <c r="Z14" s="74"/>
      <c r="AA14" s="77"/>
      <c r="AB14" s="77"/>
      <c r="AC14" s="77"/>
      <c r="AD14" s="77"/>
      <c r="AE14" s="77"/>
      <c r="AF14" s="78"/>
      <c r="AJ14" s="21"/>
    </row>
    <row r="15" spans="1:37" s="16" customFormat="1" x14ac:dyDescent="0.25">
      <c r="A15" s="81">
        <f t="shared" si="0"/>
        <v>11</v>
      </c>
      <c r="B15" s="151" t="s">
        <v>210</v>
      </c>
      <c r="C15" s="152">
        <v>75000</v>
      </c>
      <c r="D15" s="153"/>
      <c r="E15" s="152">
        <v>75000</v>
      </c>
      <c r="F15" s="153"/>
      <c r="G15" s="152">
        <v>75000</v>
      </c>
      <c r="H15" s="153"/>
      <c r="I15" s="152">
        <v>75000</v>
      </c>
      <c r="J15" s="153"/>
      <c r="K15" s="152">
        <v>75000</v>
      </c>
      <c r="L15" s="153"/>
      <c r="M15" s="152">
        <v>75000</v>
      </c>
      <c r="N15" s="153"/>
      <c r="O15" s="152">
        <v>75000</v>
      </c>
      <c r="P15" s="153"/>
      <c r="Q15" s="152">
        <v>75000</v>
      </c>
      <c r="R15" s="153">
        <v>7500</v>
      </c>
      <c r="S15" s="152">
        <v>75000</v>
      </c>
      <c r="T15" s="74"/>
      <c r="U15" s="152">
        <v>75000</v>
      </c>
      <c r="V15" s="74"/>
      <c r="W15" s="152">
        <v>75000</v>
      </c>
      <c r="X15" s="74"/>
      <c r="Y15" s="152">
        <v>75000</v>
      </c>
      <c r="Z15" s="74"/>
      <c r="AA15" s="77"/>
      <c r="AB15" s="77"/>
      <c r="AC15" s="77"/>
      <c r="AD15" s="77"/>
      <c r="AE15" s="77"/>
      <c r="AF15" s="78"/>
    </row>
    <row r="16" spans="1:37" x14ac:dyDescent="0.25">
      <c r="A16" s="81">
        <f t="shared" si="0"/>
        <v>12</v>
      </c>
      <c r="B16" s="151" t="s">
        <v>203</v>
      </c>
      <c r="C16" s="152">
        <v>75000</v>
      </c>
      <c r="D16" s="153"/>
      <c r="E16" s="152">
        <v>75000</v>
      </c>
      <c r="F16" s="153"/>
      <c r="G16" s="152">
        <v>75000</v>
      </c>
      <c r="H16" s="153"/>
      <c r="I16" s="152">
        <v>75000</v>
      </c>
      <c r="J16" s="153"/>
      <c r="K16" s="152">
        <v>75000</v>
      </c>
      <c r="L16" s="153"/>
      <c r="M16" s="152">
        <v>75000</v>
      </c>
      <c r="N16" s="153"/>
      <c r="O16" s="152">
        <v>75000</v>
      </c>
      <c r="P16" s="153"/>
      <c r="Q16" s="152">
        <v>75000</v>
      </c>
      <c r="R16" s="153"/>
      <c r="S16" s="152">
        <v>75000</v>
      </c>
      <c r="T16" s="153"/>
      <c r="U16" s="152">
        <v>75000</v>
      </c>
      <c r="V16" s="153"/>
      <c r="W16" s="152">
        <v>75000</v>
      </c>
      <c r="X16" s="153">
        <v>7500</v>
      </c>
      <c r="Y16" s="152">
        <v>75000</v>
      </c>
      <c r="Z16" s="74"/>
      <c r="AA16" s="77"/>
      <c r="AB16" s="77"/>
      <c r="AC16" s="77"/>
      <c r="AD16" s="77"/>
      <c r="AE16" s="77"/>
      <c r="AF16" s="78"/>
      <c r="AI16" s="16"/>
    </row>
    <row r="17" spans="1:36" s="16" customFormat="1" x14ac:dyDescent="0.25">
      <c r="A17" s="81">
        <f t="shared" si="0"/>
        <v>13</v>
      </c>
      <c r="B17" s="151" t="s">
        <v>46</v>
      </c>
      <c r="C17" s="152">
        <v>75000</v>
      </c>
      <c r="D17" s="153"/>
      <c r="E17" s="152">
        <v>75000</v>
      </c>
      <c r="F17" s="153"/>
      <c r="G17" s="152">
        <v>75000</v>
      </c>
      <c r="H17" s="153"/>
      <c r="I17" s="152">
        <v>75000</v>
      </c>
      <c r="J17" s="153"/>
      <c r="K17" s="152">
        <v>75000</v>
      </c>
      <c r="L17" s="153"/>
      <c r="M17" s="152">
        <v>75000</v>
      </c>
      <c r="N17" s="153"/>
      <c r="O17" s="152">
        <v>75000</v>
      </c>
      <c r="P17" s="153"/>
      <c r="Q17" s="152">
        <v>75000</v>
      </c>
      <c r="R17" s="153">
        <v>7500</v>
      </c>
      <c r="S17" s="152">
        <v>75000</v>
      </c>
      <c r="T17" s="74"/>
      <c r="U17" s="152">
        <v>75000</v>
      </c>
      <c r="V17" s="74"/>
      <c r="W17" s="152">
        <v>75000</v>
      </c>
      <c r="X17" s="74"/>
      <c r="Y17" s="152">
        <v>75000</v>
      </c>
      <c r="Z17" s="74"/>
      <c r="AA17" s="77"/>
      <c r="AB17" s="77"/>
      <c r="AC17" s="77"/>
      <c r="AD17" s="77"/>
      <c r="AE17" s="77"/>
      <c r="AF17" s="78"/>
    </row>
    <row r="18" spans="1:36" s="16" customFormat="1" x14ac:dyDescent="0.25">
      <c r="A18" s="81">
        <f t="shared" si="0"/>
        <v>14</v>
      </c>
      <c r="B18" s="151" t="s">
        <v>105</v>
      </c>
      <c r="C18" s="152">
        <v>75000</v>
      </c>
      <c r="D18" s="153"/>
      <c r="E18" s="152">
        <v>75000</v>
      </c>
      <c r="F18" s="153"/>
      <c r="G18" s="152">
        <v>75000</v>
      </c>
      <c r="H18" s="167">
        <v>7500</v>
      </c>
      <c r="I18" s="152">
        <v>75000</v>
      </c>
      <c r="J18" s="74"/>
      <c r="K18" s="152">
        <v>75000</v>
      </c>
      <c r="L18" s="153"/>
      <c r="M18" s="152">
        <v>75000</v>
      </c>
      <c r="N18" s="153"/>
      <c r="O18" s="152">
        <v>75000</v>
      </c>
      <c r="P18" s="153"/>
      <c r="Q18" s="152">
        <v>75000</v>
      </c>
      <c r="R18" s="153"/>
      <c r="S18" s="152">
        <v>75000</v>
      </c>
      <c r="T18" s="74"/>
      <c r="U18" s="152">
        <v>75000</v>
      </c>
      <c r="V18" s="74"/>
      <c r="W18" s="152">
        <v>75000</v>
      </c>
      <c r="X18" s="74"/>
      <c r="Y18" s="152">
        <v>75000</v>
      </c>
      <c r="Z18" s="74"/>
      <c r="AA18" s="77"/>
      <c r="AB18" s="77"/>
      <c r="AC18" s="77"/>
      <c r="AD18" s="77"/>
      <c r="AE18" s="77"/>
      <c r="AF18" s="78"/>
    </row>
    <row r="19" spans="1:36" s="16" customFormat="1" x14ac:dyDescent="0.25">
      <c r="A19" s="81">
        <f t="shared" si="0"/>
        <v>15</v>
      </c>
      <c r="B19" s="151" t="s">
        <v>204</v>
      </c>
      <c r="C19" s="191">
        <v>75000</v>
      </c>
      <c r="D19" s="192"/>
      <c r="E19" s="191">
        <v>75000</v>
      </c>
      <c r="F19" s="192"/>
      <c r="G19" s="191">
        <v>75000</v>
      </c>
      <c r="H19" s="192"/>
      <c r="I19" s="191">
        <v>75000</v>
      </c>
      <c r="J19" s="192"/>
      <c r="K19" s="191">
        <v>75000</v>
      </c>
      <c r="L19" s="192"/>
      <c r="M19" s="191">
        <v>75000</v>
      </c>
      <c r="N19" s="153"/>
      <c r="O19" s="191">
        <v>75000</v>
      </c>
      <c r="P19" s="153"/>
      <c r="Q19" s="191">
        <v>75000</v>
      </c>
      <c r="R19" s="153"/>
      <c r="S19" s="191">
        <v>75000</v>
      </c>
      <c r="T19" s="153"/>
      <c r="U19" s="191">
        <v>75000</v>
      </c>
      <c r="V19" s="153"/>
      <c r="W19" s="191">
        <v>75000</v>
      </c>
      <c r="X19" s="153">
        <v>7500</v>
      </c>
      <c r="Y19" s="191">
        <v>75000</v>
      </c>
      <c r="Z19" s="74"/>
      <c r="AA19" s="77"/>
      <c r="AB19" s="77"/>
      <c r="AC19" s="77"/>
      <c r="AD19" s="77"/>
      <c r="AE19" s="77"/>
      <c r="AF19" s="78"/>
    </row>
    <row r="20" spans="1:36" s="16" customFormat="1" x14ac:dyDescent="0.25">
      <c r="A20" s="81">
        <f t="shared" si="0"/>
        <v>16</v>
      </c>
      <c r="B20" s="151" t="s">
        <v>205</v>
      </c>
      <c r="C20" s="152">
        <v>75000</v>
      </c>
      <c r="D20" s="153"/>
      <c r="E20" s="152">
        <v>75000</v>
      </c>
      <c r="F20" s="153"/>
      <c r="G20" s="152">
        <v>75000</v>
      </c>
      <c r="H20" s="153"/>
      <c r="I20" s="152">
        <v>75000</v>
      </c>
      <c r="J20" s="153"/>
      <c r="K20" s="152">
        <v>75000</v>
      </c>
      <c r="L20" s="153"/>
      <c r="M20" s="152">
        <v>75000</v>
      </c>
      <c r="N20" s="153">
        <v>7500</v>
      </c>
      <c r="O20" s="152">
        <v>75000</v>
      </c>
      <c r="P20" s="153"/>
      <c r="Q20" s="152">
        <v>75000</v>
      </c>
      <c r="R20" s="153"/>
      <c r="S20" s="152">
        <v>75000</v>
      </c>
      <c r="T20" s="74"/>
      <c r="U20" s="152">
        <v>75000</v>
      </c>
      <c r="V20" s="74"/>
      <c r="W20" s="152">
        <v>75000</v>
      </c>
      <c r="X20" s="74"/>
      <c r="Y20" s="152">
        <v>75000</v>
      </c>
      <c r="Z20" s="74"/>
      <c r="AA20" s="77"/>
      <c r="AB20" s="77"/>
      <c r="AC20" s="77"/>
      <c r="AD20" s="77"/>
      <c r="AE20" s="77"/>
      <c r="AF20" s="78"/>
    </row>
    <row r="21" spans="1:36" s="16" customFormat="1" x14ac:dyDescent="0.25">
      <c r="A21" s="81">
        <f t="shared" si="0"/>
        <v>17</v>
      </c>
      <c r="B21" s="80" t="s">
        <v>88</v>
      </c>
      <c r="C21" s="121">
        <v>75000</v>
      </c>
      <c r="D21" s="74"/>
      <c r="E21" s="121">
        <v>75000</v>
      </c>
      <c r="F21" s="74"/>
      <c r="G21" s="121">
        <v>75000</v>
      </c>
      <c r="H21" s="74"/>
      <c r="I21" s="121">
        <v>75000</v>
      </c>
      <c r="J21" s="74"/>
      <c r="K21" s="121">
        <v>75000</v>
      </c>
      <c r="L21" s="74"/>
      <c r="M21" s="121">
        <v>75000</v>
      </c>
      <c r="N21" s="74"/>
      <c r="O21" s="121">
        <v>75000</v>
      </c>
      <c r="P21" s="74"/>
      <c r="Q21" s="121">
        <v>75000</v>
      </c>
      <c r="R21" s="74"/>
      <c r="S21" s="121">
        <v>75000</v>
      </c>
      <c r="T21" s="74"/>
      <c r="U21" s="121">
        <v>75000</v>
      </c>
      <c r="V21" s="74"/>
      <c r="W21" s="121">
        <v>75000</v>
      </c>
      <c r="X21" s="74"/>
      <c r="Y21" s="121">
        <v>75000</v>
      </c>
      <c r="Z21" s="74">
        <v>7500</v>
      </c>
      <c r="AA21" s="77"/>
      <c r="AB21" s="77"/>
      <c r="AC21" s="77"/>
      <c r="AD21" s="77"/>
      <c r="AE21" s="77"/>
      <c r="AF21" s="78"/>
    </row>
    <row r="22" spans="1:36" s="16" customFormat="1" x14ac:dyDescent="0.25">
      <c r="A22" s="81">
        <f t="shared" si="0"/>
        <v>18</v>
      </c>
      <c r="B22" s="80"/>
      <c r="C22" s="74"/>
      <c r="D22" s="74"/>
      <c r="E22" s="74"/>
      <c r="F22" s="74"/>
      <c r="G22" s="75"/>
      <c r="H22" s="74"/>
      <c r="I22" s="74"/>
      <c r="J22" s="74"/>
      <c r="K22" s="74"/>
      <c r="L22" s="74"/>
      <c r="M22" s="74"/>
      <c r="N22" s="74"/>
      <c r="O22" s="74"/>
      <c r="P22" s="74"/>
      <c r="Q22" s="74"/>
      <c r="R22" s="74"/>
      <c r="S22" s="74"/>
      <c r="T22" s="74"/>
      <c r="U22" s="74"/>
      <c r="V22" s="74"/>
      <c r="W22" s="74"/>
      <c r="X22" s="74"/>
      <c r="Y22" s="74"/>
      <c r="Z22" s="74"/>
      <c r="AA22" s="77"/>
      <c r="AB22" s="77"/>
      <c r="AC22" s="77"/>
      <c r="AD22" s="77"/>
      <c r="AE22" s="77"/>
      <c r="AF22" s="78"/>
    </row>
    <row r="23" spans="1:36" s="16" customFormat="1" x14ac:dyDescent="0.25">
      <c r="A23" s="81">
        <f t="shared" si="0"/>
        <v>19</v>
      </c>
      <c r="B23" s="80"/>
      <c r="C23" s="74"/>
      <c r="D23" s="74"/>
      <c r="E23" s="74"/>
      <c r="F23" s="74"/>
      <c r="G23" s="75"/>
      <c r="H23" s="74"/>
      <c r="I23" s="74"/>
      <c r="J23" s="74"/>
      <c r="K23" s="74"/>
      <c r="L23" s="74"/>
      <c r="M23" s="74"/>
      <c r="N23" s="74"/>
      <c r="O23" s="74"/>
      <c r="P23" s="74"/>
      <c r="Q23" s="74"/>
      <c r="R23" s="74"/>
      <c r="S23" s="74"/>
      <c r="T23" s="74"/>
      <c r="U23" s="74"/>
      <c r="V23" s="74"/>
      <c r="W23" s="74"/>
      <c r="X23" s="74"/>
      <c r="Y23" s="74"/>
      <c r="Z23" s="74"/>
      <c r="AA23" s="77"/>
      <c r="AB23" s="77"/>
      <c r="AC23" s="77"/>
      <c r="AD23" s="77"/>
      <c r="AE23" s="77"/>
      <c r="AF23" s="78"/>
    </row>
    <row r="24" spans="1:36" s="16" customFormat="1" x14ac:dyDescent="0.25">
      <c r="A24" s="81">
        <f t="shared" si="0"/>
        <v>20</v>
      </c>
      <c r="B24" s="80"/>
      <c r="C24" s="74"/>
      <c r="D24" s="74"/>
      <c r="E24" s="74"/>
      <c r="F24" s="74"/>
      <c r="G24" s="75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  <c r="T24" s="74"/>
      <c r="U24" s="75"/>
      <c r="V24" s="74"/>
      <c r="W24" s="74"/>
      <c r="X24" s="74"/>
      <c r="Y24" s="74"/>
      <c r="Z24" s="74"/>
      <c r="AA24" s="77"/>
      <c r="AB24" s="77"/>
      <c r="AC24" s="77"/>
      <c r="AD24" s="77"/>
      <c r="AE24" s="77"/>
      <c r="AF24" s="78"/>
    </row>
    <row r="25" spans="1:36" ht="15.75" x14ac:dyDescent="0.25">
      <c r="B25" s="9" t="s">
        <v>0</v>
      </c>
      <c r="C25" s="11">
        <f t="shared" ref="C25:S25" si="1">SUM(C5:C24)</f>
        <v>1275000</v>
      </c>
      <c r="D25" s="12">
        <f t="shared" si="1"/>
        <v>37500</v>
      </c>
      <c r="E25" s="11">
        <f t="shared" si="1"/>
        <v>1275000</v>
      </c>
      <c r="F25" s="12">
        <f t="shared" si="1"/>
        <v>42000</v>
      </c>
      <c r="G25" s="11">
        <f t="shared" si="1"/>
        <v>1275000</v>
      </c>
      <c r="H25" s="12">
        <f t="shared" si="1"/>
        <v>15000</v>
      </c>
      <c r="I25" s="11">
        <f t="shared" si="1"/>
        <v>1275000</v>
      </c>
      <c r="J25" s="12">
        <f t="shared" si="1"/>
        <v>13000</v>
      </c>
      <c r="K25" s="11">
        <f t="shared" si="1"/>
        <v>1275000</v>
      </c>
      <c r="L25" s="12">
        <f t="shared" si="1"/>
        <v>25000</v>
      </c>
      <c r="M25" s="11">
        <f t="shared" si="1"/>
        <v>1275000</v>
      </c>
      <c r="N25" s="12">
        <f t="shared" si="1"/>
        <v>7500</v>
      </c>
      <c r="O25" s="11">
        <f t="shared" si="1"/>
        <v>1275000</v>
      </c>
      <c r="P25" s="12">
        <f t="shared" si="1"/>
        <v>7500</v>
      </c>
      <c r="Q25" s="11">
        <f t="shared" si="1"/>
        <v>1275000</v>
      </c>
      <c r="R25" s="12">
        <f t="shared" si="1"/>
        <v>15000</v>
      </c>
      <c r="S25" s="11">
        <f t="shared" si="1"/>
        <v>1275000</v>
      </c>
      <c r="T25" s="12">
        <f>SUM(T5:T16)</f>
        <v>15000</v>
      </c>
      <c r="U25" s="11">
        <f t="shared" ref="U25:AF25" si="2">SUM(U5:U24)</f>
        <v>1275000</v>
      </c>
      <c r="V25" s="12">
        <f t="shared" si="2"/>
        <v>0</v>
      </c>
      <c r="W25" s="12">
        <f t="shared" si="2"/>
        <v>1275000</v>
      </c>
      <c r="X25" s="12">
        <f t="shared" si="2"/>
        <v>15000</v>
      </c>
      <c r="Y25" s="12">
        <f t="shared" si="2"/>
        <v>1275000</v>
      </c>
      <c r="Z25" s="12">
        <f t="shared" si="2"/>
        <v>7500</v>
      </c>
      <c r="AA25" s="12">
        <f t="shared" si="2"/>
        <v>0</v>
      </c>
      <c r="AB25" s="12">
        <f t="shared" si="2"/>
        <v>0</v>
      </c>
      <c r="AC25" s="12">
        <f>+Z25+X25+V25+T25+R25+P25+N25+L25+J25+H25+F25+D25</f>
        <v>200000</v>
      </c>
      <c r="AD25" s="12">
        <f t="shared" si="2"/>
        <v>0</v>
      </c>
      <c r="AE25" s="12">
        <f t="shared" si="2"/>
        <v>0</v>
      </c>
      <c r="AF25" s="12">
        <f t="shared" si="2"/>
        <v>0</v>
      </c>
      <c r="AG25" s="12"/>
      <c r="AH25" s="12"/>
      <c r="AI25" s="11">
        <f>SUM(AI5:AI16)</f>
        <v>0</v>
      </c>
      <c r="AJ25" s="12">
        <f>SUM(AJ5:AJ16)</f>
        <v>0</v>
      </c>
    </row>
    <row r="26" spans="1:36" x14ac:dyDescent="0.25">
      <c r="C26" s="1" t="s">
        <v>211</v>
      </c>
      <c r="D26">
        <v>75000</v>
      </c>
      <c r="E26" s="16" t="s">
        <v>212</v>
      </c>
      <c r="G26" s="16" t="s">
        <v>213</v>
      </c>
      <c r="I26" s="16" t="s">
        <v>214</v>
      </c>
      <c r="K26" s="16" t="s">
        <v>215</v>
      </c>
      <c r="M26" s="16" t="s">
        <v>30</v>
      </c>
      <c r="O26" s="16" t="s">
        <v>31</v>
      </c>
      <c r="Q26" s="16" t="s">
        <v>32</v>
      </c>
      <c r="S26" s="16" t="s">
        <v>32</v>
      </c>
      <c r="T26">
        <v>0</v>
      </c>
      <c r="U26" s="16" t="s">
        <v>32</v>
      </c>
      <c r="AC26" s="204">
        <f>+F43+F59+F75+F90+F107+F121+F136+F151+F166+F181+F202+F218</f>
        <v>49500</v>
      </c>
      <c r="AI26" t="s">
        <v>13</v>
      </c>
      <c r="AJ26">
        <v>0</v>
      </c>
    </row>
    <row r="27" spans="1:36" x14ac:dyDescent="0.25">
      <c r="AC27" s="16">
        <f>SUM(AC25:AC26)</f>
        <v>249500</v>
      </c>
    </row>
    <row r="28" spans="1:36" ht="21" x14ac:dyDescent="0.35">
      <c r="B28" s="4"/>
      <c r="C28" s="244" t="s">
        <v>19</v>
      </c>
      <c r="D28" s="245"/>
      <c r="E28" s="245"/>
      <c r="F28" s="245"/>
      <c r="G28" s="246"/>
      <c r="H28" s="8"/>
      <c r="I28" s="4"/>
      <c r="O28" s="247" t="s">
        <v>29</v>
      </c>
      <c r="P28" s="247"/>
      <c r="Q28" s="247"/>
      <c r="R28" s="247"/>
      <c r="AC28" s="206">
        <f>+AC27/17</f>
        <v>14676.470588235294</v>
      </c>
    </row>
    <row r="29" spans="1:36" ht="31.5" x14ac:dyDescent="0.25">
      <c r="B29" s="248" t="s">
        <v>5</v>
      </c>
      <c r="C29" s="250" t="s">
        <v>6</v>
      </c>
      <c r="D29" s="251"/>
      <c r="E29" s="252" t="s">
        <v>2</v>
      </c>
      <c r="F29" s="254" t="s">
        <v>4</v>
      </c>
      <c r="G29" s="254" t="s">
        <v>7</v>
      </c>
      <c r="H29" s="256" t="s">
        <v>15</v>
      </c>
      <c r="I29" s="240" t="s">
        <v>14</v>
      </c>
      <c r="K29" s="241">
        <v>44941</v>
      </c>
      <c r="L29" s="241"/>
      <c r="M29" s="241"/>
      <c r="O29" s="30" t="s">
        <v>23</v>
      </c>
      <c r="P29" s="30" t="s">
        <v>25</v>
      </c>
      <c r="Q29" s="31" t="s">
        <v>26</v>
      </c>
      <c r="R29" s="32" t="s">
        <v>27</v>
      </c>
      <c r="S29" s="29"/>
      <c r="T29" s="16"/>
    </row>
    <row r="30" spans="1:36" ht="15.75" x14ac:dyDescent="0.25">
      <c r="B30" s="249"/>
      <c r="C30" s="5" t="s">
        <v>12</v>
      </c>
      <c r="D30" s="6" t="s">
        <v>3</v>
      </c>
      <c r="E30" s="253"/>
      <c r="F30" s="255"/>
      <c r="G30" s="255"/>
      <c r="H30" s="257"/>
      <c r="I30" s="240"/>
      <c r="J30" s="26" t="s">
        <v>23</v>
      </c>
      <c r="K30" s="26" t="s">
        <v>22</v>
      </c>
      <c r="L30" s="26" t="s">
        <v>20</v>
      </c>
      <c r="M30" s="26" t="s">
        <v>21</v>
      </c>
      <c r="O30" s="3"/>
      <c r="P30" s="16">
        <v>1</v>
      </c>
      <c r="Q30" s="28">
        <f>D248/P64</f>
        <v>159375</v>
      </c>
      <c r="R30" s="24">
        <f>P30*$Q$30</f>
        <v>159375</v>
      </c>
    </row>
    <row r="31" spans="1:36" ht="15.75" x14ac:dyDescent="0.25">
      <c r="B31" s="79">
        <v>44941</v>
      </c>
      <c r="C31" s="15" t="s">
        <v>18</v>
      </c>
      <c r="D31" s="7">
        <f>C25-M34</f>
        <v>480000</v>
      </c>
      <c r="E31" s="7"/>
      <c r="F31" s="7"/>
      <c r="G31" s="7"/>
      <c r="H31" s="7"/>
      <c r="J31" s="26" t="s">
        <v>233</v>
      </c>
      <c r="K31" s="26">
        <v>900000</v>
      </c>
      <c r="L31" s="26">
        <v>105000</v>
      </c>
      <c r="M31" s="26">
        <f>K31-L31</f>
        <v>795000</v>
      </c>
      <c r="O31" s="3"/>
      <c r="P31" s="16">
        <v>1</v>
      </c>
      <c r="Q31" s="28">
        <v>0</v>
      </c>
      <c r="R31" s="24">
        <f t="shared" ref="R31:R62" si="3">P31*$Q$30</f>
        <v>159375</v>
      </c>
    </row>
    <row r="32" spans="1:36" ht="15.75" x14ac:dyDescent="0.25">
      <c r="B32" s="79"/>
      <c r="C32" s="68" t="s">
        <v>206</v>
      </c>
      <c r="D32" s="71">
        <v>0</v>
      </c>
      <c r="E32" s="71">
        <v>50000</v>
      </c>
      <c r="F32" s="71">
        <v>1000</v>
      </c>
      <c r="G32" s="7">
        <f>E32+F32</f>
        <v>51000</v>
      </c>
      <c r="H32" s="34">
        <v>51000</v>
      </c>
      <c r="J32" s="26"/>
      <c r="K32" s="26">
        <v>0</v>
      </c>
      <c r="L32" s="26">
        <v>0</v>
      </c>
      <c r="M32" s="26">
        <f t="shared" ref="M32:M33" si="4">K32-L32</f>
        <v>0</v>
      </c>
      <c r="O32" s="3"/>
      <c r="P32" s="16">
        <v>1</v>
      </c>
      <c r="Q32" s="28">
        <v>0</v>
      </c>
      <c r="R32" s="24">
        <f t="shared" si="3"/>
        <v>159375</v>
      </c>
    </row>
    <row r="33" spans="2:18" ht="15.75" x14ac:dyDescent="0.25">
      <c r="B33" s="79"/>
      <c r="C33" s="68" t="s">
        <v>206</v>
      </c>
      <c r="D33" s="71">
        <v>0</v>
      </c>
      <c r="E33" s="71">
        <v>50000</v>
      </c>
      <c r="F33" s="71">
        <v>1000</v>
      </c>
      <c r="G33" s="7">
        <f t="shared" ref="G33:G42" si="5">E33+F33</f>
        <v>51000</v>
      </c>
      <c r="H33" s="45">
        <v>51000</v>
      </c>
      <c r="J33" s="26"/>
      <c r="K33" s="26">
        <v>0</v>
      </c>
      <c r="L33" s="26">
        <v>0</v>
      </c>
      <c r="M33" s="26">
        <f t="shared" si="4"/>
        <v>0</v>
      </c>
      <c r="O33" s="3"/>
      <c r="P33" s="16">
        <v>1</v>
      </c>
      <c r="Q33" s="28">
        <v>0</v>
      </c>
      <c r="R33" s="24">
        <f t="shared" si="3"/>
        <v>159375</v>
      </c>
    </row>
    <row r="34" spans="2:18" ht="15.75" x14ac:dyDescent="0.25">
      <c r="B34" s="79"/>
      <c r="C34" s="68" t="s">
        <v>235</v>
      </c>
      <c r="D34" s="71">
        <v>0</v>
      </c>
      <c r="E34" s="71">
        <v>50000</v>
      </c>
      <c r="F34" s="71">
        <v>1000</v>
      </c>
      <c r="G34" s="7">
        <f t="shared" si="5"/>
        <v>51000</v>
      </c>
      <c r="H34" s="45">
        <v>51000</v>
      </c>
      <c r="J34" s="26"/>
      <c r="K34" s="26"/>
      <c r="L34" s="27">
        <f>SUM(L31:L33)</f>
        <v>105000</v>
      </c>
      <c r="M34" s="27">
        <f>SUM(M31:M33)</f>
        <v>795000</v>
      </c>
      <c r="O34" s="3"/>
      <c r="P34" s="16">
        <v>1</v>
      </c>
      <c r="Q34" s="28">
        <v>0</v>
      </c>
      <c r="R34" s="24">
        <f t="shared" si="3"/>
        <v>159375</v>
      </c>
    </row>
    <row r="35" spans="2:18" ht="15.75" x14ac:dyDescent="0.25">
      <c r="B35" s="79"/>
      <c r="C35" s="66" t="s">
        <v>236</v>
      </c>
      <c r="D35" s="71">
        <v>0</v>
      </c>
      <c r="E35" s="71">
        <v>50000</v>
      </c>
      <c r="F35" s="71">
        <v>1000</v>
      </c>
      <c r="G35" s="7">
        <f t="shared" si="5"/>
        <v>51000</v>
      </c>
      <c r="H35" s="45">
        <v>51000</v>
      </c>
      <c r="O35" s="3"/>
      <c r="P35" s="16">
        <v>1</v>
      </c>
      <c r="Q35" s="28">
        <v>0</v>
      </c>
      <c r="R35" s="24">
        <f t="shared" si="3"/>
        <v>159375</v>
      </c>
    </row>
    <row r="36" spans="2:18" s="16" customFormat="1" ht="15.75" x14ac:dyDescent="0.25">
      <c r="B36" s="79"/>
      <c r="C36" s="68" t="s">
        <v>236</v>
      </c>
      <c r="D36" s="71">
        <v>0</v>
      </c>
      <c r="E36" s="71">
        <v>50000</v>
      </c>
      <c r="F36" s="71">
        <v>1000</v>
      </c>
      <c r="G36" s="33">
        <f t="shared" si="5"/>
        <v>51000</v>
      </c>
      <c r="H36" s="45">
        <v>51000</v>
      </c>
      <c r="O36" s="3"/>
      <c r="P36" s="16">
        <v>1</v>
      </c>
      <c r="Q36" s="28">
        <v>0</v>
      </c>
      <c r="R36" s="24">
        <f t="shared" si="3"/>
        <v>159375</v>
      </c>
    </row>
    <row r="37" spans="2:18" s="16" customFormat="1" ht="15.75" x14ac:dyDescent="0.25">
      <c r="B37" s="79"/>
      <c r="C37" s="68" t="s">
        <v>235</v>
      </c>
      <c r="D37" s="71">
        <v>0</v>
      </c>
      <c r="E37" s="71">
        <v>50000</v>
      </c>
      <c r="F37" s="71">
        <v>1000</v>
      </c>
      <c r="G37" s="33">
        <f t="shared" si="5"/>
        <v>51000</v>
      </c>
      <c r="H37" s="45">
        <v>51000</v>
      </c>
      <c r="O37" s="3"/>
      <c r="P37" s="16">
        <v>1</v>
      </c>
      <c r="Q37" s="28">
        <v>0</v>
      </c>
      <c r="R37" s="24">
        <f t="shared" si="3"/>
        <v>159375</v>
      </c>
    </row>
    <row r="38" spans="2:18" s="16" customFormat="1" ht="15.75" x14ac:dyDescent="0.25">
      <c r="B38" s="79"/>
      <c r="C38" s="64" t="s">
        <v>237</v>
      </c>
      <c r="D38" s="71">
        <v>0</v>
      </c>
      <c r="E38" s="71">
        <v>50000</v>
      </c>
      <c r="F38" s="71">
        <v>1000</v>
      </c>
      <c r="G38" s="33">
        <f t="shared" si="5"/>
        <v>51000</v>
      </c>
      <c r="H38" s="45">
        <v>51000</v>
      </c>
      <c r="O38" s="3"/>
      <c r="P38" s="16">
        <v>1</v>
      </c>
      <c r="Q38" s="28">
        <v>0</v>
      </c>
      <c r="R38" s="24">
        <f t="shared" si="3"/>
        <v>159375</v>
      </c>
    </row>
    <row r="39" spans="2:18" s="16" customFormat="1" ht="15.75" x14ac:dyDescent="0.25">
      <c r="B39" s="79"/>
      <c r="C39" s="68" t="s">
        <v>237</v>
      </c>
      <c r="D39" s="71">
        <v>0</v>
      </c>
      <c r="E39" s="71">
        <v>55000</v>
      </c>
      <c r="F39" s="71">
        <v>1000</v>
      </c>
      <c r="G39" s="33">
        <f t="shared" si="5"/>
        <v>56000</v>
      </c>
      <c r="H39" s="45">
        <v>56000</v>
      </c>
      <c r="O39" s="3"/>
      <c r="P39" s="16">
        <v>1</v>
      </c>
      <c r="Q39" s="28">
        <v>0</v>
      </c>
      <c r="R39" s="24">
        <f t="shared" si="3"/>
        <v>159375</v>
      </c>
    </row>
    <row r="40" spans="2:18" s="16" customFormat="1" ht="15.75" x14ac:dyDescent="0.25">
      <c r="B40" s="79"/>
      <c r="C40" s="68" t="s">
        <v>88</v>
      </c>
      <c r="D40" s="68">
        <v>0</v>
      </c>
      <c r="E40" s="68">
        <v>75000</v>
      </c>
      <c r="F40" s="68">
        <v>0</v>
      </c>
      <c r="G40" s="66">
        <f t="shared" si="5"/>
        <v>75000</v>
      </c>
      <c r="H40" s="66">
        <v>75000</v>
      </c>
      <c r="O40" s="3"/>
      <c r="P40" s="16">
        <v>1</v>
      </c>
      <c r="Q40" s="28">
        <v>0</v>
      </c>
      <c r="R40" s="24">
        <f t="shared" si="3"/>
        <v>159375</v>
      </c>
    </row>
    <row r="41" spans="2:18" s="16" customFormat="1" ht="15.75" x14ac:dyDescent="0.25">
      <c r="B41" s="79"/>
      <c r="C41" s="68"/>
      <c r="D41" s="68">
        <v>0</v>
      </c>
      <c r="E41" s="68">
        <v>0</v>
      </c>
      <c r="F41" s="68">
        <v>0</v>
      </c>
      <c r="G41" s="66">
        <f t="shared" si="5"/>
        <v>0</v>
      </c>
      <c r="H41" s="66"/>
      <c r="O41" s="3"/>
      <c r="P41" s="16">
        <v>1</v>
      </c>
      <c r="Q41" s="28">
        <v>0</v>
      </c>
      <c r="R41" s="24">
        <f t="shared" si="3"/>
        <v>159375</v>
      </c>
    </row>
    <row r="42" spans="2:18" s="16" customFormat="1" ht="15.75" x14ac:dyDescent="0.25">
      <c r="B42" s="79"/>
      <c r="C42" s="68" t="s">
        <v>45</v>
      </c>
      <c r="D42" s="68">
        <v>0</v>
      </c>
      <c r="E42" s="68">
        <v>0</v>
      </c>
      <c r="F42" s="68">
        <v>0</v>
      </c>
      <c r="G42" s="33">
        <f t="shared" si="5"/>
        <v>0</v>
      </c>
      <c r="H42" s="45"/>
      <c r="O42" s="3"/>
      <c r="P42" s="16">
        <v>1</v>
      </c>
      <c r="Q42" s="28">
        <v>0</v>
      </c>
      <c r="R42" s="24">
        <f t="shared" si="3"/>
        <v>159375</v>
      </c>
    </row>
    <row r="43" spans="2:18" ht="15.75" x14ac:dyDescent="0.25">
      <c r="B43" s="79"/>
      <c r="C43" s="19" t="s">
        <v>17</v>
      </c>
      <c r="D43" s="19">
        <f>SUM(D32:D42)</f>
        <v>0</v>
      </c>
      <c r="E43" s="19">
        <f>SUM(E32:E42)</f>
        <v>480000</v>
      </c>
      <c r="F43" s="19">
        <f>SUM(F32:F42)</f>
        <v>8000</v>
      </c>
      <c r="G43" s="19">
        <f>SUM(G32:G42)</f>
        <v>488000</v>
      </c>
      <c r="H43" s="19">
        <f>SUM(H32:H42)</f>
        <v>488000</v>
      </c>
      <c r="I43" s="20">
        <f>E25+D43+H43</f>
        <v>1763000</v>
      </c>
      <c r="K43" s="231" t="s">
        <v>262</v>
      </c>
      <c r="L43" s="231"/>
      <c r="M43" s="231"/>
      <c r="O43" s="3"/>
      <c r="P43" s="16">
        <v>1</v>
      </c>
      <c r="Q43" s="28">
        <v>0</v>
      </c>
      <c r="R43" s="24">
        <f t="shared" si="3"/>
        <v>159375</v>
      </c>
    </row>
    <row r="44" spans="2:18" ht="15.75" x14ac:dyDescent="0.25">
      <c r="B44" s="228" t="s">
        <v>262</v>
      </c>
      <c r="C44" s="15" t="s">
        <v>18</v>
      </c>
      <c r="D44" s="7">
        <f>I43-M49</f>
        <v>5000</v>
      </c>
      <c r="E44" s="7"/>
      <c r="F44" s="7"/>
      <c r="G44" s="7"/>
      <c r="H44" s="7"/>
      <c r="I44" s="16"/>
      <c r="J44" s="26" t="s">
        <v>23</v>
      </c>
      <c r="K44" s="26" t="s">
        <v>22</v>
      </c>
      <c r="L44" s="26" t="s">
        <v>20</v>
      </c>
      <c r="M44" s="26" t="s">
        <v>21</v>
      </c>
      <c r="O44" s="3"/>
      <c r="P44">
        <v>1</v>
      </c>
      <c r="Q44" s="28">
        <v>0</v>
      </c>
      <c r="R44" s="24">
        <f t="shared" si="3"/>
        <v>159375</v>
      </c>
    </row>
    <row r="45" spans="2:18" ht="15.75" x14ac:dyDescent="0.25">
      <c r="B45" s="229"/>
      <c r="C45" s="68" t="s">
        <v>206</v>
      </c>
      <c r="D45" s="71">
        <v>0</v>
      </c>
      <c r="E45" s="71">
        <v>100000</v>
      </c>
      <c r="F45" s="71">
        <v>2000</v>
      </c>
      <c r="G45" s="7">
        <f>E45+F45</f>
        <v>102000</v>
      </c>
      <c r="H45" s="34"/>
      <c r="I45" s="166">
        <v>51000</v>
      </c>
      <c r="J45" s="26" t="s">
        <v>264</v>
      </c>
      <c r="K45" s="26">
        <v>900000</v>
      </c>
      <c r="L45" s="26">
        <v>22000</v>
      </c>
      <c r="M45" s="26">
        <f>K45-L45</f>
        <v>878000</v>
      </c>
      <c r="O45" s="3"/>
      <c r="P45" s="16">
        <v>1</v>
      </c>
      <c r="Q45" s="28">
        <v>0</v>
      </c>
      <c r="R45" s="24">
        <f t="shared" si="3"/>
        <v>159375</v>
      </c>
    </row>
    <row r="46" spans="2:18" ht="15.75" x14ac:dyDescent="0.25">
      <c r="B46" s="229"/>
      <c r="C46" s="68" t="s">
        <v>235</v>
      </c>
      <c r="D46" s="71">
        <v>0</v>
      </c>
      <c r="E46" s="71">
        <v>100000</v>
      </c>
      <c r="F46" s="71">
        <v>2000</v>
      </c>
      <c r="G46" s="7">
        <f t="shared" ref="G46:G58" si="6">E46+F46</f>
        <v>102000</v>
      </c>
      <c r="H46" s="45"/>
      <c r="I46" s="166">
        <v>81000</v>
      </c>
      <c r="J46" s="26" t="s">
        <v>265</v>
      </c>
      <c r="K46" s="26">
        <v>900000</v>
      </c>
      <c r="L46" s="26">
        <v>20000</v>
      </c>
      <c r="M46" s="26">
        <f t="shared" ref="M46:M47" si="7">K46-L46</f>
        <v>880000</v>
      </c>
      <c r="O46" s="3"/>
      <c r="P46" s="16">
        <v>0</v>
      </c>
      <c r="Q46" s="28">
        <v>0</v>
      </c>
      <c r="R46" s="24">
        <f t="shared" si="3"/>
        <v>0</v>
      </c>
    </row>
    <row r="47" spans="2:18" s="16" customFormat="1" ht="15.75" x14ac:dyDescent="0.25">
      <c r="B47" s="229"/>
      <c r="C47" s="64" t="s">
        <v>286</v>
      </c>
      <c r="D47" s="71">
        <v>0</v>
      </c>
      <c r="E47" s="71">
        <v>100000</v>
      </c>
      <c r="F47" s="71">
        <v>2000</v>
      </c>
      <c r="G47" s="60">
        <f t="shared" si="6"/>
        <v>102000</v>
      </c>
      <c r="H47" s="45"/>
      <c r="J47" s="26"/>
      <c r="K47" s="26">
        <v>0</v>
      </c>
      <c r="L47" s="26">
        <v>0</v>
      </c>
      <c r="M47" s="26">
        <f t="shared" si="7"/>
        <v>0</v>
      </c>
      <c r="O47" s="3"/>
      <c r="P47" s="16">
        <v>0</v>
      </c>
      <c r="Q47" s="28">
        <v>0</v>
      </c>
      <c r="R47" s="24">
        <f t="shared" si="3"/>
        <v>0</v>
      </c>
    </row>
    <row r="48" spans="2:18" ht="15.75" x14ac:dyDescent="0.25">
      <c r="B48" s="229"/>
      <c r="C48" s="66" t="s">
        <v>264</v>
      </c>
      <c r="D48" s="71">
        <v>0</v>
      </c>
      <c r="E48" s="71">
        <v>105000</v>
      </c>
      <c r="F48" s="71">
        <v>2000</v>
      </c>
      <c r="G48" s="7">
        <f t="shared" si="6"/>
        <v>107000</v>
      </c>
      <c r="H48" s="45"/>
      <c r="I48" s="16"/>
      <c r="J48" s="26"/>
      <c r="K48" s="26">
        <v>0</v>
      </c>
      <c r="L48" s="26">
        <v>0</v>
      </c>
      <c r="M48" s="26">
        <v>0</v>
      </c>
      <c r="O48" s="3"/>
      <c r="P48" s="16">
        <v>0</v>
      </c>
      <c r="Q48" s="28">
        <v>0</v>
      </c>
      <c r="R48" s="24">
        <f t="shared" si="3"/>
        <v>0</v>
      </c>
    </row>
    <row r="49" spans="2:18" ht="15.75" x14ac:dyDescent="0.25">
      <c r="B49" s="229"/>
      <c r="C49" s="68"/>
      <c r="D49" s="71">
        <v>0</v>
      </c>
      <c r="E49" s="71">
        <v>0</v>
      </c>
      <c r="F49" s="71">
        <v>0</v>
      </c>
      <c r="G49" s="7">
        <f t="shared" si="6"/>
        <v>0</v>
      </c>
      <c r="H49" s="45"/>
      <c r="I49" s="16"/>
      <c r="J49" s="26"/>
      <c r="K49" s="26"/>
      <c r="L49" s="27">
        <f>SUM(L45:L48)</f>
        <v>42000</v>
      </c>
      <c r="M49" s="27">
        <f>SUM(M45:M48)</f>
        <v>1758000</v>
      </c>
      <c r="O49" s="3"/>
      <c r="P49" s="16">
        <v>0</v>
      </c>
      <c r="Q49" s="28">
        <v>0</v>
      </c>
      <c r="R49" s="24">
        <f t="shared" si="3"/>
        <v>0</v>
      </c>
    </row>
    <row r="50" spans="2:18" s="16" customFormat="1" ht="15.75" x14ac:dyDescent="0.25">
      <c r="B50" s="229"/>
      <c r="C50" s="68"/>
      <c r="D50" s="71">
        <v>0</v>
      </c>
      <c r="E50" s="71">
        <v>0</v>
      </c>
      <c r="F50" s="71">
        <v>0</v>
      </c>
      <c r="G50" s="34">
        <f t="shared" si="6"/>
        <v>0</v>
      </c>
      <c r="H50" s="45"/>
      <c r="J50" s="26"/>
      <c r="K50" s="26"/>
      <c r="L50" s="27"/>
      <c r="M50" s="27"/>
      <c r="O50" s="3"/>
      <c r="P50" s="16">
        <v>0</v>
      </c>
      <c r="Q50" s="28">
        <v>0</v>
      </c>
      <c r="R50" s="24">
        <f t="shared" si="3"/>
        <v>0</v>
      </c>
    </row>
    <row r="51" spans="2:18" s="16" customFormat="1" ht="15.75" x14ac:dyDescent="0.25">
      <c r="B51" s="229"/>
      <c r="C51" s="68"/>
      <c r="D51" s="71">
        <v>0</v>
      </c>
      <c r="E51" s="71">
        <v>0</v>
      </c>
      <c r="F51" s="71">
        <v>0</v>
      </c>
      <c r="G51" s="34">
        <f t="shared" si="6"/>
        <v>0</v>
      </c>
      <c r="H51" s="45"/>
      <c r="J51" s="26"/>
      <c r="K51" s="26"/>
      <c r="L51" s="27"/>
      <c r="M51" s="27"/>
      <c r="O51" s="3"/>
      <c r="P51" s="16">
        <v>0</v>
      </c>
      <c r="Q51" s="28">
        <v>0</v>
      </c>
      <c r="R51" s="24">
        <f t="shared" si="3"/>
        <v>0</v>
      </c>
    </row>
    <row r="52" spans="2:18" s="16" customFormat="1" ht="15.75" x14ac:dyDescent="0.25">
      <c r="B52" s="229"/>
      <c r="C52" s="68"/>
      <c r="D52" s="71">
        <v>0</v>
      </c>
      <c r="E52" s="71">
        <v>0</v>
      </c>
      <c r="F52" s="71">
        <v>0</v>
      </c>
      <c r="G52" s="64">
        <f t="shared" si="6"/>
        <v>0</v>
      </c>
      <c r="H52" s="45"/>
      <c r="J52" s="26"/>
      <c r="K52" s="26"/>
      <c r="L52" s="27"/>
      <c r="M52" s="27"/>
      <c r="O52" s="3"/>
      <c r="P52" s="16">
        <v>0</v>
      </c>
      <c r="Q52" s="28">
        <v>0</v>
      </c>
      <c r="R52" s="24">
        <v>0</v>
      </c>
    </row>
    <row r="53" spans="2:18" s="16" customFormat="1" ht="15.75" x14ac:dyDescent="0.25">
      <c r="B53" s="229"/>
      <c r="C53" s="66"/>
      <c r="D53" s="71">
        <v>0</v>
      </c>
      <c r="E53" s="71">
        <v>0</v>
      </c>
      <c r="F53" s="71">
        <v>0</v>
      </c>
      <c r="G53" s="64">
        <f t="shared" si="6"/>
        <v>0</v>
      </c>
      <c r="H53" s="64"/>
      <c r="J53" s="26"/>
      <c r="K53" s="26"/>
      <c r="L53" s="27"/>
      <c r="M53" s="27"/>
      <c r="O53" s="3"/>
      <c r="Q53" s="28"/>
      <c r="R53" s="24"/>
    </row>
    <row r="54" spans="2:18" s="16" customFormat="1" ht="15.75" x14ac:dyDescent="0.25">
      <c r="B54" s="229"/>
      <c r="C54" s="68"/>
      <c r="D54" s="71">
        <v>0</v>
      </c>
      <c r="E54" s="71">
        <v>0</v>
      </c>
      <c r="F54" s="71">
        <v>0</v>
      </c>
      <c r="G54" s="64">
        <f t="shared" si="6"/>
        <v>0</v>
      </c>
      <c r="H54" s="64"/>
      <c r="J54" s="26"/>
      <c r="K54" s="26"/>
      <c r="L54" s="27"/>
      <c r="M54" s="27"/>
      <c r="O54" s="3"/>
      <c r="Q54" s="28"/>
      <c r="R54" s="24"/>
    </row>
    <row r="55" spans="2:18" s="16" customFormat="1" ht="15.75" x14ac:dyDescent="0.25">
      <c r="B55" s="229"/>
      <c r="C55" s="68"/>
      <c r="D55" s="68">
        <v>0</v>
      </c>
      <c r="E55" s="71">
        <v>0</v>
      </c>
      <c r="F55" s="71">
        <v>0</v>
      </c>
      <c r="G55" s="68">
        <f t="shared" si="6"/>
        <v>0</v>
      </c>
      <c r="H55" s="64"/>
      <c r="J55" s="26"/>
      <c r="K55" s="26"/>
      <c r="L55" s="27"/>
      <c r="M55" s="27"/>
      <c r="O55" s="3"/>
      <c r="Q55" s="28"/>
      <c r="R55" s="24"/>
    </row>
    <row r="56" spans="2:18" s="16" customFormat="1" ht="15.75" x14ac:dyDescent="0.25">
      <c r="B56" s="229"/>
      <c r="C56" s="66"/>
      <c r="D56" s="66">
        <v>0</v>
      </c>
      <c r="E56" s="66">
        <v>0</v>
      </c>
      <c r="F56" s="66">
        <v>0</v>
      </c>
      <c r="G56" s="64">
        <f t="shared" si="6"/>
        <v>0</v>
      </c>
      <c r="H56" s="64"/>
      <c r="J56" s="26"/>
      <c r="K56" s="26"/>
      <c r="L56" s="27"/>
      <c r="M56" s="27"/>
      <c r="O56" s="3"/>
      <c r="Q56" s="28"/>
      <c r="R56" s="24"/>
    </row>
    <row r="57" spans="2:18" s="16" customFormat="1" ht="15.75" x14ac:dyDescent="0.25">
      <c r="B57" s="229"/>
      <c r="C57" s="66"/>
      <c r="D57" s="66">
        <v>0</v>
      </c>
      <c r="E57" s="66">
        <v>0</v>
      </c>
      <c r="F57" s="66">
        <v>0</v>
      </c>
      <c r="G57" s="64">
        <f t="shared" si="6"/>
        <v>0</v>
      </c>
      <c r="H57" s="64"/>
      <c r="J57" s="26"/>
      <c r="K57" s="26"/>
      <c r="L57" s="27"/>
      <c r="M57" s="27"/>
      <c r="O57" s="3"/>
      <c r="Q57" s="28"/>
      <c r="R57" s="24"/>
    </row>
    <row r="58" spans="2:18" ht="15.75" x14ac:dyDescent="0.25">
      <c r="B58" s="229"/>
      <c r="C58" s="66"/>
      <c r="D58" s="66">
        <v>0</v>
      </c>
      <c r="E58" s="66">
        <v>0</v>
      </c>
      <c r="F58" s="66">
        <v>0</v>
      </c>
      <c r="G58" s="64">
        <f t="shared" si="6"/>
        <v>0</v>
      </c>
      <c r="H58" s="7"/>
      <c r="I58" s="16"/>
      <c r="O58" s="3"/>
      <c r="P58">
        <v>0</v>
      </c>
      <c r="Q58" s="28">
        <v>0</v>
      </c>
      <c r="R58" s="24">
        <f t="shared" si="3"/>
        <v>0</v>
      </c>
    </row>
    <row r="59" spans="2:18" ht="15.75" x14ac:dyDescent="0.25">
      <c r="B59" s="230"/>
      <c r="C59" s="19" t="s">
        <v>17</v>
      </c>
      <c r="D59" s="19">
        <f>SUM(D45:D58)</f>
        <v>0</v>
      </c>
      <c r="E59" s="19">
        <f>SUM(E45:E58)</f>
        <v>405000</v>
      </c>
      <c r="F59" s="19">
        <f>SUM(F45:F58)</f>
        <v>8000</v>
      </c>
      <c r="G59" s="19">
        <f>SUM(G45:G58)</f>
        <v>413000</v>
      </c>
      <c r="H59" s="19">
        <f>D44-E59</f>
        <v>-400000</v>
      </c>
      <c r="I59" s="20">
        <f>G25+D59+H59</f>
        <v>875000</v>
      </c>
      <c r="K59" s="241">
        <v>45004</v>
      </c>
      <c r="L59" s="241"/>
      <c r="M59" s="241"/>
      <c r="O59" s="3"/>
      <c r="P59">
        <v>0</v>
      </c>
      <c r="Q59" s="28">
        <v>0</v>
      </c>
      <c r="R59" s="24">
        <f t="shared" si="3"/>
        <v>0</v>
      </c>
    </row>
    <row r="60" spans="2:18" ht="15.75" x14ac:dyDescent="0.25">
      <c r="B60" s="228">
        <v>45004</v>
      </c>
      <c r="C60" s="15" t="s">
        <v>18</v>
      </c>
      <c r="D60" s="7">
        <f>I59-M68</f>
        <v>-910000</v>
      </c>
      <c r="E60" s="7"/>
      <c r="F60" s="7"/>
      <c r="G60" s="7"/>
      <c r="H60" s="7"/>
      <c r="I60" s="16"/>
      <c r="J60" s="26" t="s">
        <v>23</v>
      </c>
      <c r="K60" s="26" t="s">
        <v>22</v>
      </c>
      <c r="L60" s="26" t="s">
        <v>20</v>
      </c>
      <c r="M60" s="26" t="s">
        <v>21</v>
      </c>
      <c r="O60" s="3"/>
      <c r="P60">
        <v>0</v>
      </c>
      <c r="Q60" s="28">
        <v>0</v>
      </c>
      <c r="R60" s="24">
        <f t="shared" si="3"/>
        <v>0</v>
      </c>
    </row>
    <row r="61" spans="2:18" x14ac:dyDescent="0.25">
      <c r="B61" s="229"/>
      <c r="C61" s="68"/>
      <c r="D61" s="7">
        <v>0</v>
      </c>
      <c r="E61" s="7">
        <v>0</v>
      </c>
      <c r="F61" s="7">
        <v>0</v>
      </c>
      <c r="G61" s="7">
        <f>E61+F61</f>
        <v>0</v>
      </c>
      <c r="H61" s="34"/>
      <c r="I61" s="16"/>
      <c r="J61" s="37" t="s">
        <v>245</v>
      </c>
      <c r="K61" s="26">
        <v>900000</v>
      </c>
      <c r="L61" s="26">
        <v>7500</v>
      </c>
      <c r="M61" s="26">
        <f>K61-L61</f>
        <v>892500</v>
      </c>
      <c r="O61" s="3" t="s">
        <v>34</v>
      </c>
      <c r="Q61" s="24">
        <v>0</v>
      </c>
      <c r="R61" s="24">
        <v>0</v>
      </c>
    </row>
    <row r="62" spans="2:18" x14ac:dyDescent="0.25">
      <c r="B62" s="229"/>
      <c r="C62" s="68"/>
      <c r="D62" s="68">
        <v>0</v>
      </c>
      <c r="E62" s="64">
        <v>0</v>
      </c>
      <c r="F62" s="68">
        <v>0</v>
      </c>
      <c r="G62" s="71">
        <f>E62+F62</f>
        <v>0</v>
      </c>
      <c r="H62" s="34"/>
      <c r="I62" s="16"/>
      <c r="J62" s="26" t="s">
        <v>287</v>
      </c>
      <c r="K62" s="26">
        <v>900000</v>
      </c>
      <c r="L62" s="26">
        <v>7500</v>
      </c>
      <c r="M62" s="26">
        <f t="shared" ref="M62" si="8">K62-L62</f>
        <v>892500</v>
      </c>
      <c r="O62" s="3"/>
      <c r="Q62" s="24">
        <v>0</v>
      </c>
      <c r="R62" s="24">
        <f t="shared" si="3"/>
        <v>0</v>
      </c>
    </row>
    <row r="63" spans="2:18" s="16" customFormat="1" x14ac:dyDescent="0.25">
      <c r="B63" s="229"/>
      <c r="C63" s="68"/>
      <c r="D63" s="68">
        <v>0</v>
      </c>
      <c r="E63" s="68">
        <v>0</v>
      </c>
      <c r="F63" s="68">
        <v>0</v>
      </c>
      <c r="G63" s="46">
        <f>E63+F63</f>
        <v>0</v>
      </c>
      <c r="H63" s="46"/>
      <c r="J63" s="26">
        <v>0</v>
      </c>
      <c r="K63" s="26">
        <v>0</v>
      </c>
      <c r="L63" s="26">
        <v>0</v>
      </c>
      <c r="M63" s="26">
        <v>0</v>
      </c>
      <c r="O63" s="3"/>
      <c r="Q63" s="24"/>
      <c r="R63" s="24"/>
    </row>
    <row r="64" spans="2:18" ht="15.75" x14ac:dyDescent="0.25">
      <c r="B64" s="229"/>
      <c r="C64" s="68"/>
      <c r="D64" s="68">
        <v>0</v>
      </c>
      <c r="E64" s="68">
        <v>0</v>
      </c>
      <c r="F64" s="68">
        <v>0</v>
      </c>
      <c r="G64" s="7">
        <f t="shared" ref="G64:G74" si="9">E64+F64</f>
        <v>0</v>
      </c>
      <c r="H64" s="34"/>
      <c r="I64" s="16"/>
      <c r="J64" s="26"/>
      <c r="K64" s="26">
        <v>0</v>
      </c>
      <c r="L64" s="26">
        <v>0</v>
      </c>
      <c r="M64" s="26">
        <v>0</v>
      </c>
      <c r="O64" s="12" t="s">
        <v>1</v>
      </c>
      <c r="P64" s="22">
        <f>SUM(P30:P62)</f>
        <v>16</v>
      </c>
      <c r="Q64" s="16" t="s">
        <v>28</v>
      </c>
      <c r="R64" s="23">
        <f>SUM(R30:R62)</f>
        <v>2550000</v>
      </c>
    </row>
    <row r="65" spans="2:18" s="16" customFormat="1" ht="15.75" x14ac:dyDescent="0.25">
      <c r="B65" s="229"/>
      <c r="C65" s="68"/>
      <c r="D65" s="68">
        <v>0</v>
      </c>
      <c r="E65" s="68">
        <v>0</v>
      </c>
      <c r="F65" s="68">
        <v>0</v>
      </c>
      <c r="G65" s="61">
        <f t="shared" si="9"/>
        <v>0</v>
      </c>
      <c r="H65" s="61"/>
      <c r="J65" s="26"/>
      <c r="K65" s="26"/>
      <c r="L65" s="26"/>
      <c r="M65" s="26"/>
      <c r="O65" s="12"/>
      <c r="P65" s="22"/>
      <c r="R65" s="23"/>
    </row>
    <row r="66" spans="2:18" s="16" customFormat="1" ht="15.75" x14ac:dyDescent="0.25">
      <c r="B66" s="229"/>
      <c r="C66" s="68"/>
      <c r="D66" s="68">
        <v>0</v>
      </c>
      <c r="E66" s="68">
        <v>0</v>
      </c>
      <c r="F66" s="68">
        <v>0</v>
      </c>
      <c r="G66" s="61">
        <f t="shared" si="9"/>
        <v>0</v>
      </c>
      <c r="H66" s="61"/>
      <c r="J66" s="26"/>
      <c r="K66" s="26"/>
      <c r="L66" s="26"/>
      <c r="M66" s="26"/>
      <c r="O66" s="12"/>
      <c r="P66" s="22"/>
      <c r="R66" s="23"/>
    </row>
    <row r="67" spans="2:18" s="16" customFormat="1" ht="15.75" x14ac:dyDescent="0.25">
      <c r="B67" s="229"/>
      <c r="C67" s="68"/>
      <c r="D67" s="68">
        <v>0</v>
      </c>
      <c r="E67" s="68">
        <v>0</v>
      </c>
      <c r="F67" s="68">
        <v>0</v>
      </c>
      <c r="G67" s="61">
        <f t="shared" si="9"/>
        <v>0</v>
      </c>
      <c r="H67" s="61"/>
      <c r="J67" s="26"/>
      <c r="K67" s="26"/>
      <c r="L67" s="26"/>
      <c r="M67" s="26"/>
      <c r="O67" s="12"/>
      <c r="P67" s="22"/>
      <c r="R67" s="23"/>
    </row>
    <row r="68" spans="2:18" x14ac:dyDescent="0.25">
      <c r="B68" s="229"/>
      <c r="C68" s="68"/>
      <c r="D68" s="68">
        <v>0</v>
      </c>
      <c r="E68" s="68">
        <v>0</v>
      </c>
      <c r="F68" s="68">
        <v>0</v>
      </c>
      <c r="G68" s="7">
        <f t="shared" si="9"/>
        <v>0</v>
      </c>
      <c r="H68" s="34"/>
      <c r="I68" s="16"/>
      <c r="J68" s="26"/>
      <c r="K68" s="26"/>
      <c r="L68" s="27">
        <f>SUM(L61:L64)</f>
        <v>15000</v>
      </c>
      <c r="M68" s="27">
        <f>SUM(M61:M64)</f>
        <v>1785000</v>
      </c>
    </row>
    <row r="69" spans="2:18" s="16" customFormat="1" x14ac:dyDescent="0.25">
      <c r="B69" s="229"/>
      <c r="C69" s="68"/>
      <c r="D69" s="68">
        <v>0</v>
      </c>
      <c r="E69" s="68">
        <v>0</v>
      </c>
      <c r="F69" s="68">
        <v>0</v>
      </c>
      <c r="G69" s="64">
        <f t="shared" si="9"/>
        <v>0</v>
      </c>
      <c r="H69" s="64"/>
      <c r="J69" s="26"/>
      <c r="K69" s="26"/>
      <c r="L69" s="27"/>
      <c r="M69" s="27"/>
    </row>
    <row r="70" spans="2:18" s="16" customFormat="1" x14ac:dyDescent="0.25">
      <c r="B70" s="229"/>
      <c r="C70" s="68"/>
      <c r="D70" s="68">
        <v>0</v>
      </c>
      <c r="E70" s="68">
        <v>0</v>
      </c>
      <c r="F70" s="68">
        <v>0</v>
      </c>
      <c r="G70" s="64">
        <f t="shared" si="9"/>
        <v>0</v>
      </c>
      <c r="H70" s="64"/>
      <c r="J70" s="26"/>
      <c r="K70" s="26"/>
      <c r="L70" s="27"/>
      <c r="M70" s="27"/>
    </row>
    <row r="71" spans="2:18" s="16" customFormat="1" x14ac:dyDescent="0.25">
      <c r="B71" s="229"/>
      <c r="C71" s="68"/>
      <c r="D71" s="68">
        <v>0</v>
      </c>
      <c r="E71" s="66">
        <v>0</v>
      </c>
      <c r="F71" s="66">
        <v>0</v>
      </c>
      <c r="G71" s="64">
        <v>0</v>
      </c>
      <c r="H71" s="64"/>
      <c r="J71" s="26"/>
      <c r="K71" s="26"/>
      <c r="L71" s="27"/>
      <c r="M71" s="27"/>
    </row>
    <row r="72" spans="2:18" s="16" customFormat="1" x14ac:dyDescent="0.25">
      <c r="B72" s="229"/>
      <c r="C72" s="66"/>
      <c r="D72" s="66">
        <v>0</v>
      </c>
      <c r="E72" s="66">
        <v>0</v>
      </c>
      <c r="F72" s="66">
        <v>0</v>
      </c>
      <c r="G72" s="64">
        <f t="shared" si="9"/>
        <v>0</v>
      </c>
      <c r="H72" s="64"/>
      <c r="J72" s="26"/>
      <c r="K72" s="26"/>
      <c r="L72" s="27"/>
      <c r="M72" s="27"/>
    </row>
    <row r="73" spans="2:18" s="16" customFormat="1" x14ac:dyDescent="0.25">
      <c r="B73" s="229"/>
      <c r="C73" s="66"/>
      <c r="D73" s="66">
        <v>0</v>
      </c>
      <c r="E73" s="66">
        <v>0</v>
      </c>
      <c r="F73" s="66">
        <v>0</v>
      </c>
      <c r="G73" s="64">
        <f t="shared" si="9"/>
        <v>0</v>
      </c>
      <c r="H73" s="64"/>
      <c r="J73" s="26"/>
      <c r="K73" s="26"/>
      <c r="L73" s="27"/>
      <c r="M73" s="27"/>
    </row>
    <row r="74" spans="2:18" s="16" customFormat="1" x14ac:dyDescent="0.25">
      <c r="B74" s="229"/>
      <c r="C74" s="66"/>
      <c r="D74" s="66">
        <v>0</v>
      </c>
      <c r="E74" s="66">
        <v>0</v>
      </c>
      <c r="F74" s="66">
        <v>0</v>
      </c>
      <c r="G74" s="64">
        <f t="shared" si="9"/>
        <v>0</v>
      </c>
      <c r="H74" s="61"/>
      <c r="J74" s="26"/>
      <c r="K74" s="26"/>
      <c r="L74" s="27"/>
      <c r="M74" s="27"/>
    </row>
    <row r="75" spans="2:18" ht="15.75" x14ac:dyDescent="0.25">
      <c r="B75" s="230"/>
      <c r="C75" s="19" t="s">
        <v>17</v>
      </c>
      <c r="D75" s="19">
        <f>SUM(D61:D74)</f>
        <v>0</v>
      </c>
      <c r="E75" s="19">
        <f>SUM(E61:E74)</f>
        <v>0</v>
      </c>
      <c r="F75" s="19">
        <f>SUM(F61:F74)</f>
        <v>0</v>
      </c>
      <c r="G75" s="19">
        <f>SUM(G61:G74)</f>
        <v>0</v>
      </c>
      <c r="H75" s="19">
        <f>D60-E75</f>
        <v>-910000</v>
      </c>
      <c r="I75" s="20">
        <f>I25+D75+H75</f>
        <v>365000</v>
      </c>
      <c r="K75" s="241">
        <v>45032</v>
      </c>
      <c r="L75" s="241"/>
      <c r="M75" s="241"/>
    </row>
    <row r="76" spans="2:18" ht="15.75" x14ac:dyDescent="0.25">
      <c r="B76" s="233">
        <v>45032</v>
      </c>
      <c r="C76" s="15" t="s">
        <v>18</v>
      </c>
      <c r="D76" s="7">
        <f>I75-M89</f>
        <v>-522000</v>
      </c>
      <c r="E76" s="7"/>
      <c r="F76" s="7"/>
      <c r="G76" s="7"/>
      <c r="H76" s="7"/>
      <c r="I76" s="16"/>
      <c r="J76" s="26" t="s">
        <v>23</v>
      </c>
      <c r="K76" s="26" t="s">
        <v>22</v>
      </c>
      <c r="L76" s="26" t="s">
        <v>20</v>
      </c>
      <c r="M76" s="26" t="s">
        <v>21</v>
      </c>
    </row>
    <row r="77" spans="2:18" ht="15" customHeight="1" x14ac:dyDescent="0.25">
      <c r="B77" s="234"/>
      <c r="C77" s="68" t="s">
        <v>303</v>
      </c>
      <c r="D77" s="71">
        <v>0</v>
      </c>
      <c r="E77" s="68">
        <v>100000</v>
      </c>
      <c r="F77" s="7">
        <v>1000</v>
      </c>
      <c r="G77" s="7">
        <f>E77+F77</f>
        <v>101000</v>
      </c>
      <c r="H77" s="7"/>
      <c r="I77" s="166">
        <v>101000</v>
      </c>
      <c r="J77" s="26" t="s">
        <v>301</v>
      </c>
      <c r="K77" s="171">
        <v>900000</v>
      </c>
      <c r="L77" s="171">
        <v>13000</v>
      </c>
      <c r="M77" s="171">
        <f>K77-L77</f>
        <v>887000</v>
      </c>
    </row>
    <row r="78" spans="2:18" ht="15" customHeight="1" x14ac:dyDescent="0.25">
      <c r="B78" s="234"/>
      <c r="C78" s="68" t="s">
        <v>302</v>
      </c>
      <c r="D78" s="71">
        <v>0</v>
      </c>
      <c r="E78" s="71">
        <v>50000</v>
      </c>
      <c r="F78" s="71">
        <v>1000</v>
      </c>
      <c r="G78" s="56">
        <f>E78+F78</f>
        <v>51000</v>
      </c>
      <c r="H78" s="7"/>
      <c r="I78" s="166">
        <v>51000</v>
      </c>
      <c r="J78" s="26"/>
      <c r="K78" s="171">
        <v>0</v>
      </c>
      <c r="L78" s="171">
        <v>0</v>
      </c>
      <c r="M78" s="171">
        <f t="shared" ref="M78" si="10">K78-L78</f>
        <v>0</v>
      </c>
    </row>
    <row r="79" spans="2:18" ht="15" customHeight="1" x14ac:dyDescent="0.25">
      <c r="B79" s="234"/>
      <c r="C79" s="68" t="s">
        <v>301</v>
      </c>
      <c r="D79" s="72">
        <v>0</v>
      </c>
      <c r="E79" s="71">
        <v>100000</v>
      </c>
      <c r="F79" s="71">
        <v>1000</v>
      </c>
      <c r="G79" s="7">
        <f t="shared" ref="G79:G89" si="11">E79+F79</f>
        <v>101000</v>
      </c>
      <c r="H79" s="7"/>
      <c r="I79" s="166">
        <v>101000</v>
      </c>
      <c r="J79" s="26"/>
      <c r="K79" s="171">
        <v>0</v>
      </c>
      <c r="L79" s="171">
        <v>0</v>
      </c>
      <c r="M79" s="171">
        <v>0</v>
      </c>
    </row>
    <row r="80" spans="2:18" s="16" customFormat="1" ht="15" customHeight="1" x14ac:dyDescent="0.25">
      <c r="B80" s="234"/>
      <c r="C80" s="68" t="s">
        <v>303</v>
      </c>
      <c r="D80" s="72">
        <v>0</v>
      </c>
      <c r="E80" s="71">
        <v>50000</v>
      </c>
      <c r="F80" s="71">
        <v>1000</v>
      </c>
      <c r="G80" s="56">
        <f t="shared" si="11"/>
        <v>51000</v>
      </c>
      <c r="H80" s="56"/>
      <c r="I80" s="166">
        <v>51000</v>
      </c>
      <c r="J80" s="26"/>
      <c r="K80" s="171"/>
      <c r="L80" s="171"/>
      <c r="M80" s="171"/>
    </row>
    <row r="81" spans="2:13" s="16" customFormat="1" ht="15" customHeight="1" x14ac:dyDescent="0.25">
      <c r="B81" s="234"/>
      <c r="C81" s="68" t="s">
        <v>302</v>
      </c>
      <c r="D81" s="72">
        <v>0</v>
      </c>
      <c r="E81" s="71">
        <v>88000</v>
      </c>
      <c r="F81" s="71">
        <v>1000</v>
      </c>
      <c r="G81" s="56">
        <f t="shared" si="11"/>
        <v>89000</v>
      </c>
      <c r="H81" s="56"/>
      <c r="I81" s="166">
        <v>89000</v>
      </c>
      <c r="J81" s="26"/>
      <c r="K81" s="171"/>
      <c r="L81" s="171"/>
      <c r="M81" s="171"/>
    </row>
    <row r="82" spans="2:13" s="16" customFormat="1" ht="15" customHeight="1" x14ac:dyDescent="0.25">
      <c r="B82" s="234"/>
      <c r="C82" s="68"/>
      <c r="D82" s="72">
        <v>0</v>
      </c>
      <c r="E82" s="71">
        <v>0</v>
      </c>
      <c r="F82" s="71">
        <v>0</v>
      </c>
      <c r="G82" s="56">
        <f t="shared" si="11"/>
        <v>0</v>
      </c>
      <c r="H82" s="56"/>
      <c r="J82" s="26"/>
      <c r="K82" s="171"/>
      <c r="L82" s="171"/>
      <c r="M82" s="171"/>
    </row>
    <row r="83" spans="2:13" s="16" customFormat="1" ht="15" customHeight="1" x14ac:dyDescent="0.25">
      <c r="B83" s="234"/>
      <c r="C83" s="68"/>
      <c r="D83" s="71">
        <v>0</v>
      </c>
      <c r="E83" s="71">
        <v>0</v>
      </c>
      <c r="F83" s="71">
        <v>0</v>
      </c>
      <c r="G83" s="64">
        <f t="shared" si="11"/>
        <v>0</v>
      </c>
      <c r="H83" s="56"/>
      <c r="J83" s="26"/>
      <c r="K83" s="171"/>
      <c r="L83" s="171"/>
      <c r="M83" s="171"/>
    </row>
    <row r="84" spans="2:13" s="16" customFormat="1" ht="15" customHeight="1" x14ac:dyDescent="0.25">
      <c r="B84" s="234"/>
      <c r="C84" s="68"/>
      <c r="D84" s="71">
        <v>0</v>
      </c>
      <c r="E84" s="71">
        <v>0</v>
      </c>
      <c r="F84" s="71">
        <v>0</v>
      </c>
      <c r="G84" s="64">
        <f t="shared" si="11"/>
        <v>0</v>
      </c>
      <c r="H84" s="64"/>
      <c r="J84" s="26"/>
      <c r="K84" s="171"/>
      <c r="L84" s="171"/>
      <c r="M84" s="171"/>
    </row>
    <row r="85" spans="2:13" s="16" customFormat="1" ht="15" customHeight="1" x14ac:dyDescent="0.25">
      <c r="B85" s="234"/>
      <c r="C85" s="68"/>
      <c r="D85" s="71">
        <v>0</v>
      </c>
      <c r="E85" s="71">
        <v>0</v>
      </c>
      <c r="F85" s="71">
        <v>0</v>
      </c>
      <c r="G85" s="64">
        <f t="shared" si="11"/>
        <v>0</v>
      </c>
      <c r="H85" s="64"/>
      <c r="J85" s="26"/>
      <c r="K85" s="171"/>
      <c r="L85" s="171"/>
      <c r="M85" s="171"/>
    </row>
    <row r="86" spans="2:13" s="16" customFormat="1" ht="15" customHeight="1" x14ac:dyDescent="0.25">
      <c r="B86" s="234"/>
      <c r="C86" s="68"/>
      <c r="D86" s="71">
        <v>0</v>
      </c>
      <c r="E86" s="71">
        <v>0</v>
      </c>
      <c r="F86" s="71">
        <v>0</v>
      </c>
      <c r="G86" s="64">
        <f t="shared" si="11"/>
        <v>0</v>
      </c>
      <c r="H86" s="64"/>
      <c r="J86" s="26"/>
      <c r="K86" s="171"/>
      <c r="L86" s="171"/>
      <c r="M86" s="171"/>
    </row>
    <row r="87" spans="2:13" s="16" customFormat="1" ht="15" customHeight="1" x14ac:dyDescent="0.25">
      <c r="B87" s="234"/>
      <c r="C87" s="68"/>
      <c r="D87" s="71">
        <v>0</v>
      </c>
      <c r="E87" s="71">
        <v>0</v>
      </c>
      <c r="F87" s="71">
        <v>0</v>
      </c>
      <c r="G87" s="68">
        <f t="shared" si="11"/>
        <v>0</v>
      </c>
      <c r="H87" s="68"/>
      <c r="J87" s="26"/>
      <c r="K87" s="171"/>
      <c r="L87" s="171"/>
      <c r="M87" s="171"/>
    </row>
    <row r="88" spans="2:13" s="16" customFormat="1" ht="15" customHeight="1" x14ac:dyDescent="0.25">
      <c r="B88" s="234"/>
      <c r="C88" s="68"/>
      <c r="D88" s="71">
        <v>0</v>
      </c>
      <c r="E88" s="71">
        <v>0</v>
      </c>
      <c r="F88" s="71">
        <v>0</v>
      </c>
      <c r="G88" s="64">
        <f t="shared" si="11"/>
        <v>0</v>
      </c>
      <c r="H88" s="64"/>
      <c r="J88" s="26"/>
      <c r="K88" s="26"/>
      <c r="L88" s="26"/>
      <c r="M88" s="26"/>
    </row>
    <row r="89" spans="2:13" ht="15" customHeight="1" x14ac:dyDescent="0.25">
      <c r="B89" s="234"/>
      <c r="C89" s="68"/>
      <c r="D89" s="66">
        <v>0</v>
      </c>
      <c r="E89" s="71">
        <v>0</v>
      </c>
      <c r="F89" s="71">
        <v>0</v>
      </c>
      <c r="G89" s="7">
        <f t="shared" si="11"/>
        <v>0</v>
      </c>
      <c r="H89" s="7"/>
      <c r="I89" s="16"/>
      <c r="J89" s="26"/>
      <c r="K89" s="26"/>
      <c r="L89" s="27">
        <f>SUM(L77:L79)</f>
        <v>13000</v>
      </c>
      <c r="M89" s="27">
        <f>SUM(M77:M79)</f>
        <v>887000</v>
      </c>
    </row>
    <row r="90" spans="2:13" ht="15.75" x14ac:dyDescent="0.25">
      <c r="B90" s="235"/>
      <c r="C90" s="19" t="s">
        <v>17</v>
      </c>
      <c r="D90" s="19">
        <f>SUM(D77:D89)</f>
        <v>0</v>
      </c>
      <c r="E90" s="19">
        <f>SUM(E77:E89)</f>
        <v>388000</v>
      </c>
      <c r="F90" s="19">
        <f>SUM(F77:F89)</f>
        <v>5000</v>
      </c>
      <c r="G90" s="19">
        <f>SUM(G77:G89)</f>
        <v>393000</v>
      </c>
      <c r="H90" s="19">
        <f>D76-E90</f>
        <v>-910000</v>
      </c>
      <c r="I90" s="20">
        <f>K25+D90+H90</f>
        <v>365000</v>
      </c>
      <c r="K90" s="236">
        <v>45067</v>
      </c>
      <c r="L90" s="236"/>
      <c r="M90" s="236"/>
    </row>
    <row r="91" spans="2:13" ht="15.75" x14ac:dyDescent="0.25">
      <c r="B91" s="237">
        <v>45067</v>
      </c>
      <c r="C91" s="15" t="s">
        <v>18</v>
      </c>
      <c r="D91" s="25">
        <f>+I90-M99</f>
        <v>-1410000</v>
      </c>
      <c r="E91" s="7"/>
      <c r="F91" s="7"/>
      <c r="G91" s="7"/>
      <c r="H91" s="7"/>
      <c r="I91" s="16"/>
      <c r="J91" s="26" t="s">
        <v>23</v>
      </c>
      <c r="K91" s="26" t="s">
        <v>22</v>
      </c>
      <c r="L91" s="26" t="s">
        <v>20</v>
      </c>
      <c r="M91" s="26" t="s">
        <v>21</v>
      </c>
    </row>
    <row r="92" spans="2:13" ht="15" customHeight="1" x14ac:dyDescent="0.25">
      <c r="B92" s="238"/>
      <c r="C92" s="67" t="s">
        <v>303</v>
      </c>
      <c r="D92" s="7">
        <v>0</v>
      </c>
      <c r="E92" s="7">
        <v>100000</v>
      </c>
      <c r="F92" s="7">
        <v>2000</v>
      </c>
      <c r="G92" s="7">
        <f>E92+F92</f>
        <v>102000</v>
      </c>
      <c r="H92" s="7">
        <v>102000</v>
      </c>
      <c r="I92" s="16"/>
      <c r="J92" s="26" t="s">
        <v>315</v>
      </c>
      <c r="K92" s="26">
        <v>900000</v>
      </c>
      <c r="L92" s="26">
        <v>15000</v>
      </c>
      <c r="M92" s="26">
        <f>K92-L92</f>
        <v>885000</v>
      </c>
    </row>
    <row r="93" spans="2:13" ht="15" customHeight="1" x14ac:dyDescent="0.25">
      <c r="B93" s="238"/>
      <c r="C93" s="68" t="s">
        <v>302</v>
      </c>
      <c r="D93" s="68">
        <v>0</v>
      </c>
      <c r="E93" s="68">
        <v>100000</v>
      </c>
      <c r="F93" s="68">
        <v>2000</v>
      </c>
      <c r="G93" s="7">
        <f t="shared" ref="G93:G106" si="12">E93+F93</f>
        <v>102000</v>
      </c>
      <c r="H93" s="7">
        <v>102000</v>
      </c>
      <c r="I93" s="16"/>
      <c r="J93" s="26" t="s">
        <v>316</v>
      </c>
      <c r="K93" s="26">
        <v>900000</v>
      </c>
      <c r="L93" s="26">
        <v>10000</v>
      </c>
      <c r="M93" s="26">
        <f t="shared" ref="M93:M95" si="13">K93-L93</f>
        <v>890000</v>
      </c>
    </row>
    <row r="94" spans="2:13" ht="15" customHeight="1" x14ac:dyDescent="0.25">
      <c r="B94" s="238"/>
      <c r="C94" s="68" t="s">
        <v>235</v>
      </c>
      <c r="D94" s="68">
        <v>0</v>
      </c>
      <c r="E94" s="68">
        <v>50000</v>
      </c>
      <c r="F94" s="68">
        <v>1000</v>
      </c>
      <c r="G94" s="7">
        <f t="shared" si="12"/>
        <v>51000</v>
      </c>
      <c r="H94" s="7">
        <v>51000</v>
      </c>
      <c r="I94" s="16"/>
      <c r="J94" s="26"/>
      <c r="K94" s="26">
        <v>0</v>
      </c>
      <c r="L94" s="26">
        <v>0</v>
      </c>
      <c r="M94" s="26">
        <f t="shared" si="13"/>
        <v>0</v>
      </c>
    </row>
    <row r="95" spans="2:13" ht="15" customHeight="1" x14ac:dyDescent="0.25">
      <c r="B95" s="238"/>
      <c r="C95" s="68" t="s">
        <v>316</v>
      </c>
      <c r="D95" s="68">
        <v>0</v>
      </c>
      <c r="E95" s="68">
        <v>38000</v>
      </c>
      <c r="F95" s="68">
        <v>500</v>
      </c>
      <c r="G95" s="64">
        <f t="shared" si="12"/>
        <v>38500</v>
      </c>
      <c r="H95" s="7">
        <v>38500</v>
      </c>
      <c r="I95" s="16"/>
      <c r="J95" s="26"/>
      <c r="K95" s="26">
        <v>0</v>
      </c>
      <c r="L95" s="26">
        <v>0</v>
      </c>
      <c r="M95" s="26">
        <f t="shared" si="13"/>
        <v>0</v>
      </c>
    </row>
    <row r="96" spans="2:13" s="16" customFormat="1" ht="15" customHeight="1" x14ac:dyDescent="0.25">
      <c r="B96" s="238"/>
      <c r="C96" s="68"/>
      <c r="D96" s="68">
        <v>0</v>
      </c>
      <c r="E96" s="68">
        <v>0</v>
      </c>
      <c r="F96" s="68">
        <v>0</v>
      </c>
      <c r="G96" s="47">
        <f t="shared" si="12"/>
        <v>0</v>
      </c>
      <c r="H96" s="34"/>
      <c r="J96" s="26"/>
      <c r="K96" s="26"/>
      <c r="L96" s="26"/>
      <c r="M96" s="26"/>
    </row>
    <row r="97" spans="2:13" s="16" customFormat="1" ht="15" customHeight="1" x14ac:dyDescent="0.25">
      <c r="B97" s="238"/>
      <c r="C97" s="68"/>
      <c r="D97" s="68">
        <v>0</v>
      </c>
      <c r="E97" s="68">
        <v>0</v>
      </c>
      <c r="F97" s="68">
        <v>0</v>
      </c>
      <c r="G97" s="47">
        <f t="shared" si="12"/>
        <v>0</v>
      </c>
      <c r="H97" s="34"/>
      <c r="J97" s="26"/>
      <c r="K97" s="26"/>
      <c r="L97" s="26"/>
      <c r="M97" s="26"/>
    </row>
    <row r="98" spans="2:13" s="16" customFormat="1" ht="15" customHeight="1" x14ac:dyDescent="0.25">
      <c r="B98" s="238"/>
      <c r="C98" s="68"/>
      <c r="D98" s="68">
        <v>0</v>
      </c>
      <c r="E98" s="68">
        <v>0</v>
      </c>
      <c r="F98" s="68">
        <v>0</v>
      </c>
      <c r="G98" s="47">
        <f t="shared" si="12"/>
        <v>0</v>
      </c>
      <c r="H98" s="40"/>
      <c r="J98" s="26"/>
      <c r="K98" s="26"/>
      <c r="L98" s="26"/>
      <c r="M98" s="26"/>
    </row>
    <row r="99" spans="2:13" ht="15" customHeight="1" x14ac:dyDescent="0.25">
      <c r="B99" s="238"/>
      <c r="C99" s="68"/>
      <c r="D99" s="68">
        <v>0</v>
      </c>
      <c r="E99" s="68">
        <v>0</v>
      </c>
      <c r="F99" s="68">
        <v>0</v>
      </c>
      <c r="G99" s="47">
        <f t="shared" si="12"/>
        <v>0</v>
      </c>
      <c r="H99" s="7"/>
      <c r="I99" s="16"/>
      <c r="L99" s="27">
        <f>SUM(L92:L95)</f>
        <v>25000</v>
      </c>
      <c r="M99" s="27">
        <f>SUM(M92:M95)</f>
        <v>1775000</v>
      </c>
    </row>
    <row r="100" spans="2:13" s="16" customFormat="1" ht="15" customHeight="1" x14ac:dyDescent="0.25">
      <c r="B100" s="238"/>
      <c r="C100" s="68"/>
      <c r="D100" s="68">
        <v>0</v>
      </c>
      <c r="E100" s="68">
        <v>0</v>
      </c>
      <c r="F100" s="68">
        <v>0</v>
      </c>
      <c r="G100" s="64">
        <f t="shared" si="12"/>
        <v>0</v>
      </c>
      <c r="H100" s="48"/>
      <c r="L100" s="27"/>
      <c r="M100" s="27"/>
    </row>
    <row r="101" spans="2:13" s="16" customFormat="1" ht="15" customHeight="1" x14ac:dyDescent="0.25">
      <c r="B101" s="238"/>
      <c r="C101" s="68"/>
      <c r="D101" s="68">
        <v>0</v>
      </c>
      <c r="E101" s="68">
        <v>0</v>
      </c>
      <c r="F101" s="68">
        <v>0</v>
      </c>
      <c r="G101" s="64">
        <f t="shared" si="12"/>
        <v>0</v>
      </c>
      <c r="H101" s="49"/>
      <c r="L101" s="27"/>
      <c r="M101" s="27"/>
    </row>
    <row r="102" spans="2:13" s="16" customFormat="1" ht="15" customHeight="1" x14ac:dyDescent="0.25">
      <c r="B102" s="238"/>
      <c r="C102" s="64"/>
      <c r="D102" s="67">
        <v>0</v>
      </c>
      <c r="E102" s="68">
        <v>0</v>
      </c>
      <c r="F102" s="68">
        <v>0</v>
      </c>
      <c r="G102" s="64">
        <f t="shared" si="12"/>
        <v>0</v>
      </c>
      <c r="H102" s="64"/>
      <c r="L102" s="27"/>
      <c r="M102" s="27"/>
    </row>
    <row r="103" spans="2:13" s="16" customFormat="1" ht="15" customHeight="1" x14ac:dyDescent="0.25">
      <c r="B103" s="238"/>
      <c r="C103" s="67"/>
      <c r="D103" s="67">
        <v>0</v>
      </c>
      <c r="E103" s="68">
        <v>0</v>
      </c>
      <c r="F103" s="67">
        <v>0</v>
      </c>
      <c r="G103" s="64">
        <f t="shared" si="12"/>
        <v>0</v>
      </c>
      <c r="H103" s="64"/>
      <c r="L103" s="27"/>
      <c r="M103" s="27"/>
    </row>
    <row r="104" spans="2:13" s="16" customFormat="1" ht="15" customHeight="1" x14ac:dyDescent="0.25">
      <c r="B104" s="238"/>
      <c r="C104" s="67"/>
      <c r="D104" s="67">
        <v>0</v>
      </c>
      <c r="E104" s="68">
        <v>0</v>
      </c>
      <c r="F104" s="67">
        <v>0</v>
      </c>
      <c r="G104" s="64">
        <f t="shared" si="12"/>
        <v>0</v>
      </c>
      <c r="H104" s="49"/>
      <c r="L104" s="27"/>
      <c r="M104" s="27"/>
    </row>
    <row r="105" spans="2:13" s="16" customFormat="1" ht="15" customHeight="1" x14ac:dyDescent="0.25">
      <c r="B105" s="238"/>
      <c r="C105" s="67"/>
      <c r="D105" s="67">
        <v>0</v>
      </c>
      <c r="E105" s="67">
        <v>0</v>
      </c>
      <c r="F105" s="67">
        <v>0</v>
      </c>
      <c r="G105" s="64">
        <f t="shared" si="12"/>
        <v>0</v>
      </c>
      <c r="H105" s="64"/>
      <c r="L105" s="27"/>
      <c r="M105" s="27"/>
    </row>
    <row r="106" spans="2:13" s="16" customFormat="1" ht="15" customHeight="1" x14ac:dyDescent="0.25">
      <c r="B106" s="238"/>
      <c r="C106" s="67"/>
      <c r="D106" s="67">
        <v>0</v>
      </c>
      <c r="E106" s="67">
        <v>0</v>
      </c>
      <c r="F106" s="67">
        <v>0</v>
      </c>
      <c r="G106" s="64">
        <f t="shared" si="12"/>
        <v>0</v>
      </c>
      <c r="H106" s="48"/>
      <c r="L106" s="27"/>
      <c r="M106" s="27"/>
    </row>
    <row r="107" spans="2:13" ht="15.75" x14ac:dyDescent="0.25">
      <c r="B107" s="239"/>
      <c r="C107" s="19" t="s">
        <v>17</v>
      </c>
      <c r="D107" s="19">
        <f>SUM(D92:D106)</f>
        <v>0</v>
      </c>
      <c r="E107" s="19">
        <f>SUM(E92:E106)</f>
        <v>288000</v>
      </c>
      <c r="F107" s="19">
        <f>SUM(F92:F100)</f>
        <v>5500</v>
      </c>
      <c r="G107" s="19">
        <f>SUM(G92:G106)</f>
        <v>293500</v>
      </c>
      <c r="H107" s="19">
        <f>D91-E107</f>
        <v>-1698000</v>
      </c>
      <c r="I107" s="20">
        <f>M25+D107+H107</f>
        <v>-423000</v>
      </c>
      <c r="K107" s="232">
        <v>45095</v>
      </c>
      <c r="L107" s="231"/>
      <c r="M107" s="231"/>
    </row>
    <row r="108" spans="2:13" ht="15.75" x14ac:dyDescent="0.25">
      <c r="B108" s="228">
        <v>45095</v>
      </c>
      <c r="C108" s="15" t="s">
        <v>18</v>
      </c>
      <c r="D108" s="7">
        <f>+I107-M118</f>
        <v>-1315500</v>
      </c>
      <c r="E108" s="7"/>
      <c r="F108" s="7"/>
      <c r="G108" s="7"/>
      <c r="H108" s="7"/>
      <c r="I108" s="16"/>
      <c r="J108" s="26" t="s">
        <v>23</v>
      </c>
      <c r="K108" s="26" t="s">
        <v>22</v>
      </c>
      <c r="L108" s="26" t="s">
        <v>20</v>
      </c>
      <c r="M108" s="26" t="s">
        <v>21</v>
      </c>
    </row>
    <row r="109" spans="2:13" x14ac:dyDescent="0.25">
      <c r="B109" s="229"/>
      <c r="C109" s="68" t="s">
        <v>303</v>
      </c>
      <c r="D109" s="7">
        <v>0</v>
      </c>
      <c r="E109" s="7">
        <v>100000</v>
      </c>
      <c r="F109" s="68">
        <v>2000</v>
      </c>
      <c r="G109" s="7">
        <f>E109+F109</f>
        <v>102000</v>
      </c>
      <c r="H109" s="7">
        <v>102000</v>
      </c>
      <c r="I109" s="16"/>
      <c r="J109" s="26" t="s">
        <v>355</v>
      </c>
      <c r="K109" s="26">
        <v>900000</v>
      </c>
      <c r="L109" s="26">
        <v>7500</v>
      </c>
      <c r="M109" s="26">
        <f>K109-L109</f>
        <v>892500</v>
      </c>
    </row>
    <row r="110" spans="2:13" x14ac:dyDescent="0.25">
      <c r="B110" s="229"/>
      <c r="C110" s="68" t="s">
        <v>264</v>
      </c>
      <c r="D110" s="71">
        <v>0</v>
      </c>
      <c r="E110" s="71">
        <v>100000</v>
      </c>
      <c r="F110" s="71">
        <v>2000</v>
      </c>
      <c r="G110" s="7">
        <f t="shared" ref="G110:G120" si="14">E110+F110</f>
        <v>102000</v>
      </c>
      <c r="H110" s="7">
        <v>102000</v>
      </c>
      <c r="I110" s="16"/>
      <c r="J110" s="26"/>
      <c r="K110" s="26">
        <v>0</v>
      </c>
      <c r="L110" s="26">
        <v>0</v>
      </c>
      <c r="M110" s="26">
        <v>0</v>
      </c>
    </row>
    <row r="111" spans="2:13" x14ac:dyDescent="0.25">
      <c r="B111" s="229"/>
      <c r="C111" s="17" t="s">
        <v>302</v>
      </c>
      <c r="D111" s="71">
        <v>0</v>
      </c>
      <c r="E111" s="71">
        <v>50000</v>
      </c>
      <c r="F111" s="71">
        <v>1000</v>
      </c>
      <c r="G111" s="7">
        <f t="shared" si="14"/>
        <v>51000</v>
      </c>
      <c r="H111" s="7">
        <v>51000</v>
      </c>
      <c r="I111" s="16"/>
      <c r="J111" s="26"/>
      <c r="K111" s="26">
        <v>0</v>
      </c>
      <c r="L111" s="26">
        <v>0</v>
      </c>
      <c r="M111" s="26">
        <f t="shared" ref="M111" si="15">K111-L111</f>
        <v>0</v>
      </c>
    </row>
    <row r="112" spans="2:13" x14ac:dyDescent="0.25">
      <c r="B112" s="229"/>
      <c r="C112" s="68" t="s">
        <v>302</v>
      </c>
      <c r="D112" s="71">
        <v>0</v>
      </c>
      <c r="E112" s="71">
        <v>50000</v>
      </c>
      <c r="F112" s="71">
        <v>1000</v>
      </c>
      <c r="G112" s="7">
        <f t="shared" si="14"/>
        <v>51000</v>
      </c>
      <c r="H112" s="7">
        <v>51000</v>
      </c>
      <c r="I112" s="16"/>
      <c r="J112" s="26"/>
      <c r="K112" s="26">
        <v>0</v>
      </c>
      <c r="L112" s="26">
        <v>0</v>
      </c>
      <c r="M112" s="26">
        <f>K112-L112</f>
        <v>0</v>
      </c>
    </row>
    <row r="113" spans="2:13" s="16" customFormat="1" x14ac:dyDescent="0.25">
      <c r="B113" s="229"/>
      <c r="C113" s="68" t="s">
        <v>235</v>
      </c>
      <c r="D113" s="71">
        <v>0</v>
      </c>
      <c r="E113" s="71">
        <v>50000</v>
      </c>
      <c r="F113" s="71">
        <v>1000</v>
      </c>
      <c r="G113" s="61">
        <f t="shared" si="14"/>
        <v>51000</v>
      </c>
      <c r="H113" s="34">
        <v>51000</v>
      </c>
      <c r="J113" s="26"/>
      <c r="K113" s="26"/>
      <c r="L113" s="26"/>
      <c r="M113" s="26"/>
    </row>
    <row r="114" spans="2:13" s="16" customFormat="1" x14ac:dyDescent="0.25">
      <c r="B114" s="229"/>
      <c r="C114" s="64" t="s">
        <v>235</v>
      </c>
      <c r="D114" s="71">
        <v>0</v>
      </c>
      <c r="E114" s="71">
        <v>50000</v>
      </c>
      <c r="F114" s="71">
        <v>1000</v>
      </c>
      <c r="G114" s="57">
        <f t="shared" si="14"/>
        <v>51000</v>
      </c>
      <c r="H114" s="40">
        <v>51000</v>
      </c>
      <c r="J114" s="26"/>
      <c r="K114" s="26"/>
      <c r="L114" s="26"/>
      <c r="M114" s="26"/>
    </row>
    <row r="115" spans="2:13" s="16" customFormat="1" x14ac:dyDescent="0.25">
      <c r="B115" s="229"/>
      <c r="C115" s="67" t="s">
        <v>357</v>
      </c>
      <c r="D115" s="71">
        <v>0</v>
      </c>
      <c r="E115" s="64">
        <v>276500</v>
      </c>
      <c r="F115" s="71">
        <v>0</v>
      </c>
      <c r="G115" s="63">
        <f t="shared" si="14"/>
        <v>276500</v>
      </c>
      <c r="H115" s="34">
        <v>276500</v>
      </c>
      <c r="J115" s="26"/>
      <c r="K115" s="26"/>
      <c r="L115" s="26"/>
      <c r="M115" s="26"/>
    </row>
    <row r="116" spans="2:13" s="16" customFormat="1" x14ac:dyDescent="0.25">
      <c r="B116" s="229"/>
      <c r="C116" s="68"/>
      <c r="D116" s="68">
        <v>0</v>
      </c>
      <c r="E116" s="68">
        <v>0</v>
      </c>
      <c r="F116" s="68">
        <v>0</v>
      </c>
      <c r="G116" s="64">
        <f t="shared" si="14"/>
        <v>0</v>
      </c>
      <c r="H116" s="64"/>
      <c r="J116" s="26"/>
      <c r="K116" s="26"/>
      <c r="L116" s="26"/>
      <c r="M116" s="26"/>
    </row>
    <row r="117" spans="2:13" s="16" customFormat="1" x14ac:dyDescent="0.25">
      <c r="B117" s="229"/>
      <c r="C117" s="68"/>
      <c r="D117" s="68">
        <v>0</v>
      </c>
      <c r="E117" s="68">
        <v>0</v>
      </c>
      <c r="F117" s="68">
        <v>0</v>
      </c>
      <c r="G117" s="64">
        <f t="shared" si="14"/>
        <v>0</v>
      </c>
      <c r="H117" s="64"/>
      <c r="J117" s="26"/>
      <c r="K117" s="26"/>
      <c r="L117" s="26"/>
      <c r="M117" s="26"/>
    </row>
    <row r="118" spans="2:13" x14ac:dyDescent="0.25">
      <c r="B118" s="229"/>
      <c r="C118" s="68"/>
      <c r="D118" s="68">
        <v>0</v>
      </c>
      <c r="E118" s="68">
        <v>0</v>
      </c>
      <c r="F118" s="68">
        <v>0</v>
      </c>
      <c r="G118" s="7">
        <f t="shared" si="14"/>
        <v>0</v>
      </c>
      <c r="H118" s="7"/>
      <c r="I118" s="16"/>
      <c r="J118" s="16"/>
      <c r="K118" s="16"/>
      <c r="L118" s="27">
        <f>SUM(L109:L112)</f>
        <v>7500</v>
      </c>
      <c r="M118" s="27">
        <f>SUM(M109:M112)</f>
        <v>892500</v>
      </c>
    </row>
    <row r="119" spans="2:13" s="16" customFormat="1" x14ac:dyDescent="0.25">
      <c r="B119" s="229"/>
      <c r="C119" s="68"/>
      <c r="D119" s="68">
        <v>0</v>
      </c>
      <c r="E119" s="68">
        <v>0</v>
      </c>
      <c r="F119" s="68">
        <v>0</v>
      </c>
      <c r="G119" s="64">
        <f t="shared" si="14"/>
        <v>0</v>
      </c>
      <c r="H119" s="64"/>
      <c r="L119" s="27"/>
      <c r="M119" s="27"/>
    </row>
    <row r="120" spans="2:13" s="16" customFormat="1" x14ac:dyDescent="0.25">
      <c r="B120" s="229"/>
      <c r="C120" s="67"/>
      <c r="D120" s="67">
        <v>0</v>
      </c>
      <c r="E120" s="67">
        <v>0</v>
      </c>
      <c r="F120" s="67">
        <v>0</v>
      </c>
      <c r="G120" s="64">
        <f t="shared" si="14"/>
        <v>0</v>
      </c>
      <c r="H120" s="64"/>
      <c r="L120" s="27"/>
      <c r="M120" s="27"/>
    </row>
    <row r="121" spans="2:13" ht="15.75" x14ac:dyDescent="0.25">
      <c r="B121" s="230"/>
      <c r="C121" s="19" t="s">
        <v>17</v>
      </c>
      <c r="D121" s="19">
        <f>SUM(D109:D120)</f>
        <v>0</v>
      </c>
      <c r="E121" s="19">
        <f>SUM(E109:E120)</f>
        <v>676500</v>
      </c>
      <c r="F121" s="19">
        <f>SUM(F109:F120)</f>
        <v>8000</v>
      </c>
      <c r="G121" s="19">
        <f>SUM(G109:G120)</f>
        <v>684500</v>
      </c>
      <c r="H121" s="19">
        <f>D108-E121</f>
        <v>-1992000</v>
      </c>
      <c r="I121" s="20">
        <f>O25+D121+H121</f>
        <v>-717000</v>
      </c>
      <c r="K121" s="232">
        <v>45123</v>
      </c>
      <c r="L121" s="231"/>
      <c r="M121" s="231"/>
    </row>
    <row r="122" spans="2:13" ht="15.75" x14ac:dyDescent="0.25">
      <c r="B122" s="228">
        <v>45123</v>
      </c>
      <c r="C122" s="15" t="s">
        <v>18</v>
      </c>
      <c r="D122" s="7">
        <f>+I121-M127</f>
        <v>-1609500</v>
      </c>
      <c r="E122" s="7"/>
      <c r="F122" s="7"/>
      <c r="G122" s="7"/>
      <c r="H122" s="7"/>
      <c r="I122" s="16"/>
      <c r="J122" s="26" t="s">
        <v>23</v>
      </c>
      <c r="K122" s="26" t="s">
        <v>22</v>
      </c>
      <c r="L122" s="26" t="s">
        <v>20</v>
      </c>
      <c r="M122" s="26" t="s">
        <v>21</v>
      </c>
    </row>
    <row r="123" spans="2:13" x14ac:dyDescent="0.25">
      <c r="B123" s="229"/>
      <c r="C123" s="68" t="s">
        <v>302</v>
      </c>
      <c r="D123" s="7">
        <v>0</v>
      </c>
      <c r="E123" s="7">
        <v>75000</v>
      </c>
      <c r="F123" s="7">
        <v>1000</v>
      </c>
      <c r="G123" s="58">
        <f t="shared" ref="G123:G125" si="16">E123+F123</f>
        <v>76000</v>
      </c>
      <c r="H123" s="7">
        <v>76000</v>
      </c>
      <c r="I123" s="16"/>
      <c r="J123" s="26" t="s">
        <v>378</v>
      </c>
      <c r="K123" s="26">
        <v>900000</v>
      </c>
      <c r="L123" s="26">
        <v>7500</v>
      </c>
      <c r="M123" s="26">
        <f>K123-L123</f>
        <v>892500</v>
      </c>
    </row>
    <row r="124" spans="2:13" x14ac:dyDescent="0.25">
      <c r="B124" s="229"/>
      <c r="C124" s="68" t="s">
        <v>377</v>
      </c>
      <c r="D124" s="68">
        <v>0</v>
      </c>
      <c r="E124" s="68">
        <v>92000</v>
      </c>
      <c r="F124" s="68">
        <v>1000</v>
      </c>
      <c r="G124" s="58">
        <f t="shared" si="16"/>
        <v>93000</v>
      </c>
      <c r="H124" s="7"/>
      <c r="I124" s="16"/>
      <c r="J124" s="26"/>
      <c r="K124" s="26">
        <v>0</v>
      </c>
      <c r="L124" s="26">
        <v>0</v>
      </c>
      <c r="M124" s="26">
        <f t="shared" ref="M124:M126" si="17">K124-L124</f>
        <v>0</v>
      </c>
    </row>
    <row r="125" spans="2:13" s="16" customFormat="1" x14ac:dyDescent="0.25">
      <c r="B125" s="229"/>
      <c r="C125" s="67" t="s">
        <v>377</v>
      </c>
      <c r="D125" s="68">
        <v>0</v>
      </c>
      <c r="E125" s="68">
        <v>75000</v>
      </c>
      <c r="F125" s="67">
        <v>1000</v>
      </c>
      <c r="G125" s="58">
        <f t="shared" si="16"/>
        <v>76000</v>
      </c>
      <c r="H125" s="34"/>
      <c r="J125" s="26"/>
      <c r="K125" s="26">
        <v>0</v>
      </c>
      <c r="L125" s="26">
        <v>0</v>
      </c>
      <c r="M125" s="26">
        <f t="shared" si="17"/>
        <v>0</v>
      </c>
    </row>
    <row r="126" spans="2:13" x14ac:dyDescent="0.25">
      <c r="B126" s="229"/>
      <c r="C126" s="68" t="s">
        <v>237</v>
      </c>
      <c r="D126" s="68">
        <v>0</v>
      </c>
      <c r="E126" s="68">
        <v>75000</v>
      </c>
      <c r="F126" s="68">
        <v>1000</v>
      </c>
      <c r="G126" s="7">
        <f t="shared" ref="G126:G132" si="18">E126+F126</f>
        <v>76000</v>
      </c>
      <c r="H126" s="7">
        <v>76000</v>
      </c>
      <c r="I126" s="16"/>
      <c r="J126" s="26"/>
      <c r="K126" s="26">
        <v>0</v>
      </c>
      <c r="L126" s="26">
        <v>0</v>
      </c>
      <c r="M126" s="26">
        <f t="shared" si="17"/>
        <v>0</v>
      </c>
    </row>
    <row r="127" spans="2:13" x14ac:dyDescent="0.25">
      <c r="B127" s="229"/>
      <c r="C127" s="68" t="s">
        <v>361</v>
      </c>
      <c r="D127" s="68">
        <v>0</v>
      </c>
      <c r="E127" s="68">
        <v>750000</v>
      </c>
      <c r="F127" s="68">
        <v>0</v>
      </c>
      <c r="G127" s="7">
        <f t="shared" si="18"/>
        <v>750000</v>
      </c>
      <c r="H127" s="7">
        <v>750000</v>
      </c>
      <c r="I127" s="16"/>
      <c r="J127" s="26"/>
      <c r="K127" s="26"/>
      <c r="L127" s="27">
        <f>SUM(L123:L126)</f>
        <v>7500</v>
      </c>
      <c r="M127" s="27">
        <f>SUM(M123:M126)</f>
        <v>892500</v>
      </c>
    </row>
    <row r="128" spans="2:13" s="16" customFormat="1" x14ac:dyDescent="0.25">
      <c r="B128" s="229"/>
      <c r="C128" s="68"/>
      <c r="D128" s="68">
        <v>0</v>
      </c>
      <c r="E128" s="68">
        <v>0</v>
      </c>
      <c r="F128" s="68">
        <v>0</v>
      </c>
      <c r="G128" s="61">
        <f t="shared" si="18"/>
        <v>0</v>
      </c>
      <c r="H128" s="34"/>
      <c r="J128" s="26"/>
      <c r="K128" s="26"/>
      <c r="L128" s="27"/>
      <c r="M128" s="27"/>
    </row>
    <row r="129" spans="2:13" s="16" customFormat="1" x14ac:dyDescent="0.25">
      <c r="B129" s="229"/>
      <c r="C129" s="68"/>
      <c r="D129" s="68">
        <v>0</v>
      </c>
      <c r="E129" s="68">
        <v>0</v>
      </c>
      <c r="F129" s="68">
        <v>0</v>
      </c>
      <c r="G129" s="64">
        <f t="shared" si="18"/>
        <v>0</v>
      </c>
      <c r="H129" s="34"/>
      <c r="J129" s="26"/>
      <c r="K129" s="26"/>
      <c r="L129" s="27"/>
      <c r="M129" s="27"/>
    </row>
    <row r="130" spans="2:13" s="16" customFormat="1" x14ac:dyDescent="0.25">
      <c r="B130" s="229"/>
      <c r="C130" s="68"/>
      <c r="D130" s="68">
        <v>0</v>
      </c>
      <c r="E130" s="68">
        <v>0</v>
      </c>
      <c r="F130" s="68">
        <v>0</v>
      </c>
      <c r="G130" s="64">
        <f t="shared" si="18"/>
        <v>0</v>
      </c>
      <c r="H130" s="34"/>
      <c r="J130" s="26"/>
      <c r="K130" s="26"/>
      <c r="L130" s="27"/>
      <c r="M130" s="27"/>
    </row>
    <row r="131" spans="2:13" s="16" customFormat="1" x14ac:dyDescent="0.25">
      <c r="B131" s="229"/>
      <c r="C131" s="68"/>
      <c r="D131" s="68">
        <v>0</v>
      </c>
      <c r="E131" s="68">
        <v>0</v>
      </c>
      <c r="F131" s="68">
        <v>0</v>
      </c>
      <c r="G131" s="68">
        <f t="shared" si="18"/>
        <v>0</v>
      </c>
      <c r="H131" s="34"/>
      <c r="J131" s="26"/>
      <c r="K131" s="26"/>
      <c r="L131" s="27"/>
      <c r="M131" s="27"/>
    </row>
    <row r="132" spans="2:13" s="16" customFormat="1" x14ac:dyDescent="0.25">
      <c r="B132" s="229"/>
      <c r="C132" s="68"/>
      <c r="D132" s="68">
        <v>0</v>
      </c>
      <c r="E132" s="68">
        <v>0</v>
      </c>
      <c r="F132" s="68">
        <v>0</v>
      </c>
      <c r="G132" s="68">
        <f t="shared" si="18"/>
        <v>0</v>
      </c>
      <c r="H132" s="34"/>
      <c r="J132" s="26"/>
      <c r="K132" s="26"/>
      <c r="L132" s="27"/>
      <c r="M132" s="27"/>
    </row>
    <row r="133" spans="2:13" s="16" customFormat="1" x14ac:dyDescent="0.25">
      <c r="B133" s="229"/>
      <c r="C133" s="64"/>
      <c r="D133" s="68">
        <v>0</v>
      </c>
      <c r="E133" s="64">
        <v>0</v>
      </c>
      <c r="F133" s="58">
        <v>0</v>
      </c>
      <c r="G133" s="50">
        <v>0</v>
      </c>
      <c r="H133" s="34"/>
      <c r="J133" s="26"/>
      <c r="K133" s="26"/>
      <c r="L133" s="27"/>
      <c r="M133" s="27"/>
    </row>
    <row r="134" spans="2:13" s="16" customFormat="1" x14ac:dyDescent="0.25">
      <c r="B134" s="229"/>
      <c r="C134" s="64"/>
      <c r="D134" s="68">
        <v>0</v>
      </c>
      <c r="E134" s="61">
        <v>0</v>
      </c>
      <c r="F134" s="61">
        <v>0</v>
      </c>
      <c r="G134" s="61">
        <v>0</v>
      </c>
      <c r="H134" s="61"/>
      <c r="J134" s="26"/>
      <c r="K134" s="26"/>
      <c r="L134" s="27"/>
      <c r="M134" s="27"/>
    </row>
    <row r="135" spans="2:13" s="16" customFormat="1" x14ac:dyDescent="0.25">
      <c r="B135" s="229"/>
      <c r="C135" s="61"/>
      <c r="D135" s="63">
        <v>0</v>
      </c>
      <c r="E135" s="61"/>
      <c r="F135" s="61"/>
      <c r="G135" s="61"/>
      <c r="H135" s="61"/>
      <c r="J135" s="26"/>
      <c r="K135" s="26"/>
      <c r="L135" s="27"/>
      <c r="M135" s="27"/>
    </row>
    <row r="136" spans="2:13" ht="15.75" x14ac:dyDescent="0.25">
      <c r="B136" s="230"/>
      <c r="C136" s="19" t="s">
        <v>17</v>
      </c>
      <c r="D136" s="19">
        <f>SUM(D123:D135)</f>
        <v>0</v>
      </c>
      <c r="E136" s="19">
        <f>SUM(E123:E134)</f>
        <v>1067000</v>
      </c>
      <c r="F136" s="19">
        <f>SUM(F123:F134)</f>
        <v>4000</v>
      </c>
      <c r="G136" s="19">
        <f>SUM(G123:G134)</f>
        <v>1071000</v>
      </c>
      <c r="H136" s="19">
        <f>SUM(H122:H135)</f>
        <v>902000</v>
      </c>
      <c r="I136" s="20">
        <f>Q25+D136+H136</f>
        <v>2177000</v>
      </c>
      <c r="K136" s="231" t="s">
        <v>50</v>
      </c>
      <c r="L136" s="231"/>
      <c r="M136" s="231"/>
    </row>
    <row r="137" spans="2:13" ht="15.75" x14ac:dyDescent="0.25">
      <c r="B137" s="228" t="s">
        <v>50</v>
      </c>
      <c r="C137" s="15" t="s">
        <v>18</v>
      </c>
      <c r="D137" s="7">
        <f>+I136-M142</f>
        <v>392000</v>
      </c>
      <c r="E137" s="7"/>
      <c r="F137" s="7"/>
      <c r="G137" s="7"/>
      <c r="H137" s="7"/>
      <c r="I137" s="16"/>
      <c r="J137" s="26" t="s">
        <v>23</v>
      </c>
      <c r="K137" s="26" t="s">
        <v>22</v>
      </c>
      <c r="L137" s="26" t="s">
        <v>20</v>
      </c>
      <c r="M137" s="26" t="s">
        <v>21</v>
      </c>
    </row>
    <row r="138" spans="2:13" x14ac:dyDescent="0.25">
      <c r="B138" s="229"/>
      <c r="C138" s="68" t="s">
        <v>303</v>
      </c>
      <c r="D138" s="69">
        <v>0</v>
      </c>
      <c r="E138" s="71">
        <v>75000</v>
      </c>
      <c r="F138" s="71">
        <v>1000</v>
      </c>
      <c r="G138" s="64">
        <f t="shared" ref="G138:G149" si="19">E138+F138</f>
        <v>76000</v>
      </c>
      <c r="H138" s="7">
        <v>76000</v>
      </c>
      <c r="I138" s="16"/>
      <c r="J138" s="26" t="s">
        <v>315</v>
      </c>
      <c r="K138" s="26">
        <v>900000</v>
      </c>
      <c r="L138" s="27">
        <v>7500</v>
      </c>
      <c r="M138" s="26">
        <f>K138-L138</f>
        <v>892500</v>
      </c>
    </row>
    <row r="139" spans="2:13" x14ac:dyDescent="0.25">
      <c r="B139" s="229"/>
      <c r="C139" s="68" t="s">
        <v>237</v>
      </c>
      <c r="D139" s="71">
        <v>0</v>
      </c>
      <c r="E139" s="71">
        <v>75000</v>
      </c>
      <c r="F139" s="71">
        <v>1000</v>
      </c>
      <c r="G139" s="64">
        <f t="shared" si="19"/>
        <v>76000</v>
      </c>
      <c r="H139" s="7">
        <v>76000</v>
      </c>
      <c r="I139" s="16"/>
      <c r="J139" s="26" t="s">
        <v>46</v>
      </c>
      <c r="K139" s="26">
        <v>900000</v>
      </c>
      <c r="L139" s="27">
        <v>7500</v>
      </c>
      <c r="M139" s="26">
        <f t="shared" ref="M139:M141" si="20">K139-L139</f>
        <v>892500</v>
      </c>
    </row>
    <row r="140" spans="2:13" x14ac:dyDescent="0.25">
      <c r="B140" s="229"/>
      <c r="C140" s="64" t="s">
        <v>237</v>
      </c>
      <c r="D140" s="71">
        <v>0</v>
      </c>
      <c r="E140" s="71">
        <v>75000</v>
      </c>
      <c r="F140" s="71">
        <v>1000</v>
      </c>
      <c r="G140" s="63">
        <f t="shared" si="19"/>
        <v>76000</v>
      </c>
      <c r="H140" s="7">
        <v>76000</v>
      </c>
      <c r="I140" s="16"/>
      <c r="J140" s="26"/>
      <c r="K140" s="26">
        <v>0</v>
      </c>
      <c r="L140" s="27">
        <v>0</v>
      </c>
      <c r="M140" s="26">
        <f t="shared" si="20"/>
        <v>0</v>
      </c>
    </row>
    <row r="141" spans="2:13" x14ac:dyDescent="0.25">
      <c r="B141" s="229"/>
      <c r="C141" s="68" t="s">
        <v>303</v>
      </c>
      <c r="D141" s="71">
        <v>0</v>
      </c>
      <c r="E141" s="71">
        <v>92000</v>
      </c>
      <c r="F141" s="71">
        <v>1000</v>
      </c>
      <c r="G141" s="68">
        <f t="shared" si="19"/>
        <v>93000</v>
      </c>
      <c r="H141" s="7">
        <v>93000</v>
      </c>
      <c r="I141" s="16"/>
      <c r="J141" s="26"/>
      <c r="K141" s="26">
        <v>0</v>
      </c>
      <c r="L141" s="27">
        <v>0</v>
      </c>
      <c r="M141" s="26">
        <f t="shared" si="20"/>
        <v>0</v>
      </c>
    </row>
    <row r="142" spans="2:13" s="16" customFormat="1" x14ac:dyDescent="0.25">
      <c r="B142" s="229"/>
      <c r="C142" s="68" t="s">
        <v>302</v>
      </c>
      <c r="D142" s="71">
        <v>0</v>
      </c>
      <c r="E142" s="71">
        <v>75000</v>
      </c>
      <c r="F142" s="71">
        <v>1000</v>
      </c>
      <c r="G142" s="68">
        <f t="shared" si="19"/>
        <v>76000</v>
      </c>
      <c r="H142" s="34">
        <v>76000</v>
      </c>
      <c r="J142" s="26"/>
      <c r="K142" s="26"/>
      <c r="L142" s="27">
        <f>SUM(L138:L141)</f>
        <v>15000</v>
      </c>
      <c r="M142" s="27">
        <f>SUM(M138:M141)</f>
        <v>1785000</v>
      </c>
    </row>
    <row r="143" spans="2:13" s="16" customFormat="1" x14ac:dyDescent="0.25">
      <c r="B143" s="229"/>
      <c r="C143" s="68" t="s">
        <v>377</v>
      </c>
      <c r="D143" s="71">
        <v>0</v>
      </c>
      <c r="E143" s="71">
        <v>0</v>
      </c>
      <c r="F143" s="71">
        <v>0</v>
      </c>
      <c r="G143" s="68">
        <f t="shared" si="19"/>
        <v>0</v>
      </c>
      <c r="H143" s="63">
        <v>78000</v>
      </c>
      <c r="J143" s="26"/>
      <c r="K143" s="26"/>
      <c r="L143" s="27"/>
      <c r="M143" s="27"/>
    </row>
    <row r="144" spans="2:13" s="16" customFormat="1" x14ac:dyDescent="0.25">
      <c r="B144" s="229"/>
      <c r="C144" s="68" t="s">
        <v>377</v>
      </c>
      <c r="D144" s="71">
        <v>0</v>
      </c>
      <c r="E144" s="71">
        <v>0</v>
      </c>
      <c r="F144" s="71">
        <v>0</v>
      </c>
      <c r="G144" s="63">
        <f t="shared" si="19"/>
        <v>0</v>
      </c>
      <c r="H144" s="63">
        <v>93000</v>
      </c>
      <c r="J144" s="26"/>
      <c r="K144" s="26"/>
      <c r="L144" s="27"/>
      <c r="M144" s="27"/>
    </row>
    <row r="145" spans="2:13" s="16" customFormat="1" x14ac:dyDescent="0.25">
      <c r="B145" s="229"/>
      <c r="C145" s="68"/>
      <c r="D145" s="71">
        <v>0</v>
      </c>
      <c r="E145" s="71">
        <v>0</v>
      </c>
      <c r="F145" s="71">
        <v>0</v>
      </c>
      <c r="G145" s="63">
        <f t="shared" si="19"/>
        <v>0</v>
      </c>
      <c r="H145" s="63"/>
      <c r="J145" s="26"/>
      <c r="K145" s="26"/>
      <c r="L145" s="27"/>
      <c r="M145" s="27"/>
    </row>
    <row r="146" spans="2:13" s="16" customFormat="1" x14ac:dyDescent="0.25">
      <c r="B146" s="229"/>
      <c r="C146" s="68"/>
      <c r="D146" s="71">
        <v>0</v>
      </c>
      <c r="E146" s="71">
        <v>0</v>
      </c>
      <c r="F146" s="71">
        <v>0</v>
      </c>
      <c r="G146" s="63">
        <f t="shared" si="19"/>
        <v>0</v>
      </c>
      <c r="H146" s="63"/>
      <c r="J146" s="26"/>
      <c r="K146" s="26"/>
      <c r="L146" s="27"/>
      <c r="M146" s="27"/>
    </row>
    <row r="147" spans="2:13" s="16" customFormat="1" x14ac:dyDescent="0.25">
      <c r="B147" s="229"/>
      <c r="C147" s="68"/>
      <c r="D147" s="71">
        <v>0</v>
      </c>
      <c r="E147" s="71">
        <v>0</v>
      </c>
      <c r="F147" s="71">
        <v>0</v>
      </c>
      <c r="G147" s="64">
        <f t="shared" si="19"/>
        <v>0</v>
      </c>
      <c r="H147" s="64"/>
      <c r="J147" s="26"/>
      <c r="K147" s="26"/>
      <c r="L147" s="27"/>
      <c r="M147" s="27"/>
    </row>
    <row r="148" spans="2:13" s="16" customFormat="1" x14ac:dyDescent="0.25">
      <c r="B148" s="229"/>
      <c r="C148" s="68"/>
      <c r="D148" s="71">
        <v>0</v>
      </c>
      <c r="E148" s="71">
        <v>0</v>
      </c>
      <c r="F148" s="71">
        <v>0</v>
      </c>
      <c r="G148" s="64">
        <f t="shared" si="19"/>
        <v>0</v>
      </c>
      <c r="H148" s="64"/>
      <c r="J148" s="26"/>
      <c r="K148" s="26"/>
      <c r="L148" s="27"/>
      <c r="M148" s="27"/>
    </row>
    <row r="149" spans="2:13" s="16" customFormat="1" x14ac:dyDescent="0.25">
      <c r="B149" s="229"/>
      <c r="C149" s="67"/>
      <c r="D149" s="67">
        <v>0</v>
      </c>
      <c r="E149" s="67">
        <v>0</v>
      </c>
      <c r="F149" s="67">
        <v>0</v>
      </c>
      <c r="G149" s="63">
        <f t="shared" si="19"/>
        <v>0</v>
      </c>
      <c r="H149" s="34"/>
      <c r="J149" s="26"/>
      <c r="K149" s="26"/>
      <c r="L149" s="27"/>
      <c r="M149" s="27"/>
    </row>
    <row r="150" spans="2:13" s="16" customFormat="1" x14ac:dyDescent="0.25">
      <c r="B150" s="229"/>
      <c r="C150" s="68" t="s">
        <v>45</v>
      </c>
      <c r="D150" s="64">
        <v>0</v>
      </c>
      <c r="E150" s="64"/>
      <c r="F150" s="64"/>
      <c r="G150" s="64">
        <v>0</v>
      </c>
      <c r="H150" s="64"/>
      <c r="J150" s="26"/>
      <c r="K150" s="26"/>
      <c r="L150" s="27"/>
      <c r="M150" s="27"/>
    </row>
    <row r="151" spans="2:13" ht="15.75" x14ac:dyDescent="0.25">
      <c r="B151" s="230"/>
      <c r="C151" s="19" t="s">
        <v>17</v>
      </c>
      <c r="D151" s="19">
        <f>SUM(D138:D150)</f>
        <v>0</v>
      </c>
      <c r="E151" s="19">
        <f>SUM(E138:E150)</f>
        <v>392000</v>
      </c>
      <c r="F151" s="19">
        <f>SUM(F138:F150)</f>
        <v>5000</v>
      </c>
      <c r="G151" s="19">
        <f>SUM(G138:G150)</f>
        <v>397000</v>
      </c>
      <c r="H151" s="19">
        <f>SUM(H138:H150)</f>
        <v>568000</v>
      </c>
      <c r="I151" s="20">
        <f>S25+D151+H151</f>
        <v>1843000</v>
      </c>
      <c r="K151" s="232">
        <v>45186</v>
      </c>
      <c r="L151" s="231"/>
      <c r="M151" s="231"/>
    </row>
    <row r="152" spans="2:13" ht="15.75" x14ac:dyDescent="0.25">
      <c r="B152" s="228">
        <v>45186</v>
      </c>
      <c r="C152" s="15" t="s">
        <v>18</v>
      </c>
      <c r="D152" s="7">
        <f>I151-M162</f>
        <v>58000</v>
      </c>
      <c r="E152" s="7"/>
      <c r="F152" s="7"/>
      <c r="G152" s="7"/>
      <c r="H152" s="7"/>
      <c r="I152" s="16"/>
      <c r="J152" s="26" t="s">
        <v>23</v>
      </c>
      <c r="K152" s="26" t="s">
        <v>22</v>
      </c>
      <c r="L152" s="26" t="s">
        <v>20</v>
      </c>
      <c r="M152" s="26" t="s">
        <v>21</v>
      </c>
    </row>
    <row r="153" spans="2:13" x14ac:dyDescent="0.25">
      <c r="B153" s="229"/>
      <c r="C153" s="69"/>
      <c r="D153" s="71">
        <v>0</v>
      </c>
      <c r="E153" s="71">
        <v>0</v>
      </c>
      <c r="F153" s="71">
        <v>0</v>
      </c>
      <c r="G153" s="7">
        <f>E153+F153</f>
        <v>0</v>
      </c>
      <c r="H153" s="7"/>
      <c r="I153" s="16"/>
      <c r="J153" s="26" t="s">
        <v>397</v>
      </c>
      <c r="K153" s="26">
        <v>900000</v>
      </c>
      <c r="L153" s="26">
        <v>7500</v>
      </c>
      <c r="M153" s="26">
        <f>K153-L153</f>
        <v>892500</v>
      </c>
    </row>
    <row r="154" spans="2:13" x14ac:dyDescent="0.25">
      <c r="B154" s="229"/>
      <c r="C154" s="67" t="s">
        <v>303</v>
      </c>
      <c r="D154" s="71">
        <v>0</v>
      </c>
      <c r="E154" s="71">
        <v>58000</v>
      </c>
      <c r="F154" s="71">
        <v>1000</v>
      </c>
      <c r="G154" s="63">
        <f t="shared" ref="G154:G155" si="21">E154+F154</f>
        <v>59000</v>
      </c>
      <c r="H154" s="7">
        <v>59000</v>
      </c>
      <c r="I154" s="16"/>
      <c r="J154" s="26" t="s">
        <v>398</v>
      </c>
      <c r="K154" s="26">
        <v>900000</v>
      </c>
      <c r="L154" s="26">
        <v>7500</v>
      </c>
      <c r="M154" s="26">
        <f t="shared" ref="M154:M156" si="22">K154-L154</f>
        <v>892500</v>
      </c>
    </row>
    <row r="155" spans="2:13" s="16" customFormat="1" x14ac:dyDescent="0.25">
      <c r="B155" s="229"/>
      <c r="C155" s="69"/>
      <c r="D155" s="71">
        <v>0</v>
      </c>
      <c r="E155" s="71">
        <v>0</v>
      </c>
      <c r="F155" s="71">
        <v>0</v>
      </c>
      <c r="G155" s="63">
        <f t="shared" si="21"/>
        <v>0</v>
      </c>
      <c r="H155" s="39"/>
      <c r="J155" s="26">
        <v>0</v>
      </c>
      <c r="K155" s="26">
        <v>0</v>
      </c>
      <c r="L155" s="26">
        <v>0</v>
      </c>
      <c r="M155" s="26">
        <f t="shared" si="22"/>
        <v>0</v>
      </c>
    </row>
    <row r="156" spans="2:13" x14ac:dyDescent="0.25">
      <c r="B156" s="229"/>
      <c r="C156" s="69"/>
      <c r="D156" s="71">
        <v>0</v>
      </c>
      <c r="E156" s="71">
        <v>0</v>
      </c>
      <c r="F156" s="71">
        <v>0</v>
      </c>
      <c r="G156" s="59">
        <v>0</v>
      </c>
      <c r="H156" s="7"/>
      <c r="I156" s="16"/>
      <c r="J156" s="26">
        <v>0</v>
      </c>
      <c r="K156" s="26">
        <v>0</v>
      </c>
      <c r="L156" s="26">
        <v>0</v>
      </c>
      <c r="M156" s="26">
        <f t="shared" si="22"/>
        <v>0</v>
      </c>
    </row>
    <row r="157" spans="2:13" s="16" customFormat="1" x14ac:dyDescent="0.25">
      <c r="B157" s="229"/>
      <c r="C157" s="68"/>
      <c r="D157" s="68">
        <v>0</v>
      </c>
      <c r="E157" s="68">
        <v>0</v>
      </c>
      <c r="F157" s="68">
        <v>0</v>
      </c>
      <c r="G157" s="39">
        <f t="shared" ref="G157:G163" si="23">E157+F157</f>
        <v>0</v>
      </c>
      <c r="H157" s="39"/>
      <c r="J157" s="26">
        <v>0</v>
      </c>
      <c r="K157" s="26">
        <v>0</v>
      </c>
      <c r="L157" s="26">
        <v>0</v>
      </c>
      <c r="M157" s="26"/>
    </row>
    <row r="158" spans="2:13" s="16" customFormat="1" x14ac:dyDescent="0.25">
      <c r="B158" s="229"/>
      <c r="C158" s="68"/>
      <c r="D158" s="68">
        <v>0</v>
      </c>
      <c r="E158" s="68">
        <v>0</v>
      </c>
      <c r="F158" s="68">
        <v>0</v>
      </c>
      <c r="G158" s="68">
        <f t="shared" si="23"/>
        <v>0</v>
      </c>
      <c r="H158" s="39"/>
      <c r="J158" s="26"/>
      <c r="K158" s="26"/>
      <c r="L158" s="26"/>
      <c r="M158" s="26"/>
    </row>
    <row r="159" spans="2:13" s="16" customFormat="1" x14ac:dyDescent="0.25">
      <c r="B159" s="229"/>
      <c r="C159" s="68"/>
      <c r="D159" s="68">
        <v>0</v>
      </c>
      <c r="E159" s="67">
        <v>0</v>
      </c>
      <c r="F159" s="67">
        <v>0</v>
      </c>
      <c r="G159" s="61">
        <f t="shared" si="23"/>
        <v>0</v>
      </c>
      <c r="H159" s="39"/>
      <c r="J159" s="26"/>
      <c r="K159" s="26"/>
      <c r="L159" s="26"/>
      <c r="M159" s="26"/>
    </row>
    <row r="160" spans="2:13" s="16" customFormat="1" x14ac:dyDescent="0.25">
      <c r="B160" s="229"/>
      <c r="C160" s="67"/>
      <c r="D160" s="64">
        <v>0</v>
      </c>
      <c r="E160" s="64">
        <v>0</v>
      </c>
      <c r="F160" s="64">
        <v>0</v>
      </c>
      <c r="G160" s="64">
        <v>0</v>
      </c>
      <c r="H160" s="64"/>
      <c r="J160" s="26"/>
      <c r="K160" s="26"/>
      <c r="L160" s="26"/>
      <c r="M160" s="26"/>
    </row>
    <row r="161" spans="2:13" s="16" customFormat="1" x14ac:dyDescent="0.25">
      <c r="B161" s="229"/>
      <c r="C161" s="64"/>
      <c r="D161" s="64">
        <v>0</v>
      </c>
      <c r="E161" s="64">
        <v>0</v>
      </c>
      <c r="F161" s="64">
        <v>0</v>
      </c>
      <c r="G161" s="64">
        <f t="shared" si="23"/>
        <v>0</v>
      </c>
      <c r="H161" s="64"/>
      <c r="J161" s="26"/>
      <c r="K161" s="26"/>
      <c r="L161" s="26"/>
      <c r="M161" s="26"/>
    </row>
    <row r="162" spans="2:13" x14ac:dyDescent="0.25">
      <c r="B162" s="229"/>
      <c r="C162" s="64"/>
      <c r="D162" s="64">
        <v>0</v>
      </c>
      <c r="E162" s="64">
        <v>0</v>
      </c>
      <c r="F162" s="64">
        <v>0</v>
      </c>
      <c r="G162" s="61">
        <f t="shared" si="23"/>
        <v>0</v>
      </c>
      <c r="H162" s="7"/>
      <c r="I162" s="16"/>
      <c r="J162" s="26"/>
      <c r="K162" s="26"/>
      <c r="L162" s="27">
        <f>SUM(L153:L156)</f>
        <v>15000</v>
      </c>
      <c r="M162" s="27">
        <f>SUM(M153:M156)</f>
        <v>1785000</v>
      </c>
    </row>
    <row r="163" spans="2:13" x14ac:dyDescent="0.25">
      <c r="B163" s="229"/>
      <c r="C163" s="64"/>
      <c r="D163" s="64">
        <v>0</v>
      </c>
      <c r="E163" s="64">
        <v>0</v>
      </c>
      <c r="F163" s="64">
        <v>0</v>
      </c>
      <c r="G163" s="51">
        <f t="shared" si="23"/>
        <v>0</v>
      </c>
      <c r="H163" s="7"/>
      <c r="I163" s="16"/>
    </row>
    <row r="164" spans="2:13" s="16" customFormat="1" x14ac:dyDescent="0.25">
      <c r="B164" s="229"/>
      <c r="C164" s="64"/>
      <c r="D164" s="64"/>
      <c r="E164" s="64"/>
      <c r="F164" s="64"/>
      <c r="G164" s="64">
        <v>0</v>
      </c>
      <c r="H164" s="64"/>
    </row>
    <row r="165" spans="2:13" s="16" customFormat="1" x14ac:dyDescent="0.25">
      <c r="B165" s="229"/>
      <c r="C165" s="64"/>
      <c r="D165" s="64"/>
      <c r="E165" s="64"/>
      <c r="F165" s="64"/>
      <c r="G165" s="64">
        <v>0</v>
      </c>
      <c r="H165" s="64"/>
    </row>
    <row r="166" spans="2:13" ht="15.75" x14ac:dyDescent="0.25">
      <c r="B166" s="230"/>
      <c r="C166" s="19" t="s">
        <v>17</v>
      </c>
      <c r="D166" s="19">
        <f>SUM(D153:D165)</f>
        <v>0</v>
      </c>
      <c r="E166" s="19">
        <f>SUM(E153:E165)</f>
        <v>58000</v>
      </c>
      <c r="F166" s="19">
        <f>SUM(F153:F165)</f>
        <v>1000</v>
      </c>
      <c r="G166" s="19">
        <f>SUM(G153:G165)</f>
        <v>59000</v>
      </c>
      <c r="H166" s="19">
        <f>SUM(H154:H165)</f>
        <v>59000</v>
      </c>
      <c r="I166" s="20">
        <f>U25+D166+H166</f>
        <v>1334000</v>
      </c>
      <c r="K166" s="232">
        <v>45214</v>
      </c>
      <c r="L166" s="231"/>
      <c r="M166" s="231"/>
    </row>
    <row r="167" spans="2:13" ht="15.75" x14ac:dyDescent="0.25">
      <c r="B167" s="228">
        <v>45214</v>
      </c>
      <c r="C167" s="15" t="s">
        <v>18</v>
      </c>
      <c r="D167" s="7">
        <f>I166-M173</f>
        <v>1334000</v>
      </c>
      <c r="E167" s="7"/>
      <c r="F167" s="7"/>
      <c r="G167" s="7"/>
      <c r="H167" s="7"/>
      <c r="I167" s="16"/>
      <c r="J167" s="26" t="s">
        <v>23</v>
      </c>
      <c r="K167" s="26" t="s">
        <v>22</v>
      </c>
      <c r="L167" s="26" t="s">
        <v>20</v>
      </c>
      <c r="M167" s="26" t="s">
        <v>21</v>
      </c>
    </row>
    <row r="168" spans="2:13" x14ac:dyDescent="0.25">
      <c r="B168" s="229"/>
      <c r="C168" s="71" t="s">
        <v>361</v>
      </c>
      <c r="D168" s="71">
        <v>0</v>
      </c>
      <c r="E168" s="71">
        <v>959000</v>
      </c>
      <c r="F168" s="71">
        <v>0</v>
      </c>
      <c r="G168" s="7">
        <f>E168+F168</f>
        <v>959000</v>
      </c>
      <c r="H168" s="7"/>
      <c r="I168" s="16"/>
      <c r="J168" s="26">
        <v>0</v>
      </c>
      <c r="K168" s="26">
        <v>0</v>
      </c>
      <c r="L168" s="26">
        <v>0</v>
      </c>
      <c r="M168" s="26">
        <f>K168-L168</f>
        <v>0</v>
      </c>
    </row>
    <row r="169" spans="2:13" x14ac:dyDescent="0.25">
      <c r="B169" s="229"/>
      <c r="C169" s="71" t="s">
        <v>303</v>
      </c>
      <c r="D169" s="71">
        <v>0</v>
      </c>
      <c r="E169" s="71">
        <v>75000</v>
      </c>
      <c r="F169" s="71">
        <v>1000</v>
      </c>
      <c r="G169" s="63">
        <f t="shared" ref="G169:G173" si="24">E169+F169</f>
        <v>76000</v>
      </c>
      <c r="H169" s="7"/>
      <c r="I169" s="16"/>
      <c r="J169" s="26">
        <v>0</v>
      </c>
      <c r="K169" s="26">
        <v>0</v>
      </c>
      <c r="L169" s="26">
        <v>0</v>
      </c>
      <c r="M169" s="26">
        <f t="shared" ref="M169:M171" si="25">K169-L169</f>
        <v>0</v>
      </c>
    </row>
    <row r="170" spans="2:13" s="16" customFormat="1" x14ac:dyDescent="0.25">
      <c r="B170" s="229"/>
      <c r="C170" s="71" t="s">
        <v>301</v>
      </c>
      <c r="D170" s="71">
        <v>0</v>
      </c>
      <c r="E170" s="71">
        <v>150000</v>
      </c>
      <c r="F170" s="71">
        <v>2000</v>
      </c>
      <c r="G170" s="68">
        <f t="shared" si="24"/>
        <v>152000</v>
      </c>
      <c r="H170" s="52"/>
      <c r="J170" s="26">
        <v>0</v>
      </c>
      <c r="K170" s="26">
        <v>0</v>
      </c>
      <c r="L170" s="26">
        <v>0</v>
      </c>
      <c r="M170" s="26">
        <f t="shared" si="25"/>
        <v>0</v>
      </c>
    </row>
    <row r="171" spans="2:13" x14ac:dyDescent="0.25">
      <c r="B171" s="229"/>
      <c r="C171" s="71" t="s">
        <v>237</v>
      </c>
      <c r="D171" s="71">
        <v>0</v>
      </c>
      <c r="E171" s="71">
        <v>150000</v>
      </c>
      <c r="F171" s="71">
        <v>2000</v>
      </c>
      <c r="G171" s="68">
        <f t="shared" si="24"/>
        <v>152000</v>
      </c>
      <c r="H171" s="7"/>
      <c r="I171" s="16"/>
      <c r="J171" s="26">
        <v>0</v>
      </c>
      <c r="K171" s="26">
        <v>0</v>
      </c>
      <c r="L171" s="26">
        <v>0</v>
      </c>
      <c r="M171" s="26">
        <f t="shared" si="25"/>
        <v>0</v>
      </c>
    </row>
    <row r="172" spans="2:13" s="16" customFormat="1" x14ac:dyDescent="0.25">
      <c r="B172" s="229"/>
      <c r="C172" s="71">
        <v>0</v>
      </c>
      <c r="D172" s="71">
        <v>0</v>
      </c>
      <c r="E172" s="71">
        <v>0</v>
      </c>
      <c r="F172" s="71">
        <v>0</v>
      </c>
      <c r="G172" s="68">
        <f t="shared" si="24"/>
        <v>0</v>
      </c>
      <c r="H172" s="39"/>
      <c r="J172" s="26"/>
      <c r="K172" s="26"/>
      <c r="L172" s="26"/>
      <c r="M172" s="26"/>
    </row>
    <row r="173" spans="2:13" x14ac:dyDescent="0.25">
      <c r="B173" s="229"/>
      <c r="C173" s="71">
        <v>0</v>
      </c>
      <c r="D173" s="70">
        <v>0</v>
      </c>
      <c r="E173" s="71">
        <v>0</v>
      </c>
      <c r="F173" s="71">
        <v>0</v>
      </c>
      <c r="G173" s="68">
        <f t="shared" si="24"/>
        <v>0</v>
      </c>
      <c r="H173" s="7"/>
      <c r="I173" s="16"/>
      <c r="J173" s="26"/>
      <c r="K173" s="26"/>
      <c r="L173" s="27">
        <v>0</v>
      </c>
      <c r="M173" s="27">
        <f>SUM(M168:M171)</f>
        <v>0</v>
      </c>
    </row>
    <row r="174" spans="2:13" s="16" customFormat="1" x14ac:dyDescent="0.25">
      <c r="B174" s="229"/>
      <c r="C174" s="70"/>
      <c r="D174" s="70">
        <v>0</v>
      </c>
      <c r="E174" s="70">
        <v>0</v>
      </c>
      <c r="F174" s="70">
        <v>0</v>
      </c>
      <c r="G174" s="52">
        <f t="shared" ref="G174:G179" si="26">E174+F174</f>
        <v>0</v>
      </c>
      <c r="H174" s="39"/>
      <c r="J174" s="26"/>
      <c r="K174" s="26"/>
      <c r="L174" s="27"/>
      <c r="M174" s="27"/>
    </row>
    <row r="175" spans="2:13" s="16" customFormat="1" x14ac:dyDescent="0.25">
      <c r="B175" s="229"/>
      <c r="C175" s="64"/>
      <c r="D175" s="64">
        <v>0</v>
      </c>
      <c r="E175" s="64">
        <v>0</v>
      </c>
      <c r="F175" s="64">
        <v>0</v>
      </c>
      <c r="G175" s="61">
        <f t="shared" si="26"/>
        <v>0</v>
      </c>
      <c r="H175" s="41"/>
      <c r="J175" s="26"/>
      <c r="K175" s="26"/>
      <c r="L175" s="27"/>
      <c r="M175" s="27"/>
    </row>
    <row r="176" spans="2:13" s="16" customFormat="1" x14ac:dyDescent="0.25">
      <c r="B176" s="229"/>
      <c r="C176" s="64"/>
      <c r="D176" s="64">
        <v>0</v>
      </c>
      <c r="E176" s="64">
        <v>0</v>
      </c>
      <c r="F176" s="64">
        <v>0</v>
      </c>
      <c r="G176" s="61">
        <f t="shared" si="26"/>
        <v>0</v>
      </c>
      <c r="H176" s="39"/>
      <c r="J176" s="26"/>
      <c r="K176" s="26"/>
      <c r="L176" s="27"/>
      <c r="M176" s="27"/>
    </row>
    <row r="177" spans="2:13" s="16" customFormat="1" x14ac:dyDescent="0.25">
      <c r="B177" s="229"/>
      <c r="C177" s="64"/>
      <c r="D177" s="64">
        <v>0</v>
      </c>
      <c r="E177" s="64">
        <v>0</v>
      </c>
      <c r="F177" s="64">
        <v>0</v>
      </c>
      <c r="G177" s="64">
        <f t="shared" si="26"/>
        <v>0</v>
      </c>
      <c r="H177" s="64"/>
      <c r="J177" s="26"/>
      <c r="K177" s="26"/>
      <c r="L177" s="27"/>
      <c r="M177" s="27"/>
    </row>
    <row r="178" spans="2:13" s="16" customFormat="1" x14ac:dyDescent="0.25">
      <c r="B178" s="229"/>
      <c r="C178" s="64"/>
      <c r="D178" s="64">
        <v>0</v>
      </c>
      <c r="E178" s="64">
        <v>0</v>
      </c>
      <c r="F178" s="64">
        <v>0</v>
      </c>
      <c r="G178" s="64">
        <f t="shared" si="26"/>
        <v>0</v>
      </c>
      <c r="H178" s="64"/>
      <c r="J178" s="26"/>
      <c r="K178" s="26"/>
      <c r="L178" s="27"/>
      <c r="M178" s="27"/>
    </row>
    <row r="179" spans="2:13" x14ac:dyDescent="0.25">
      <c r="B179" s="229"/>
      <c r="C179" s="64"/>
      <c r="D179" s="64">
        <v>0</v>
      </c>
      <c r="E179" s="64">
        <v>0</v>
      </c>
      <c r="F179" s="64">
        <v>0</v>
      </c>
      <c r="G179" s="61">
        <f t="shared" si="26"/>
        <v>0</v>
      </c>
      <c r="H179" s="7"/>
      <c r="I179" s="16"/>
    </row>
    <row r="180" spans="2:13" s="16" customFormat="1" x14ac:dyDescent="0.25">
      <c r="B180" s="229"/>
      <c r="C180" s="64"/>
      <c r="D180" s="64">
        <v>0</v>
      </c>
      <c r="E180" s="64"/>
      <c r="F180" s="64"/>
      <c r="G180" s="64">
        <v>0</v>
      </c>
      <c r="H180" s="64"/>
    </row>
    <row r="181" spans="2:13" ht="15.75" x14ac:dyDescent="0.25">
      <c r="B181" s="230"/>
      <c r="C181" s="19" t="s">
        <v>17</v>
      </c>
      <c r="D181" s="19">
        <f t="shared" ref="D181:F181" si="27">SUM(D168:D179)</f>
        <v>0</v>
      </c>
      <c r="E181" s="19">
        <f t="shared" si="27"/>
        <v>1334000</v>
      </c>
      <c r="F181" s="19">
        <f t="shared" si="27"/>
        <v>5000</v>
      </c>
      <c r="G181" s="19">
        <f>SUM(G168:G180)</f>
        <v>1339000</v>
      </c>
      <c r="H181" s="19">
        <f t="shared" ref="H181" si="28">D167-E181</f>
        <v>0</v>
      </c>
      <c r="I181" s="20">
        <f>W25+D181+H181</f>
        <v>1275000</v>
      </c>
      <c r="J181" s="16"/>
      <c r="K181" s="232">
        <v>45249</v>
      </c>
      <c r="L181" s="231"/>
      <c r="M181" s="231"/>
    </row>
    <row r="182" spans="2:13" ht="15.75" x14ac:dyDescent="0.25">
      <c r="B182" s="228">
        <v>45249</v>
      </c>
      <c r="C182" s="15" t="s">
        <v>18</v>
      </c>
      <c r="D182" s="38">
        <f>I181-M187</f>
        <v>1275000</v>
      </c>
      <c r="E182" s="38"/>
      <c r="F182" s="38"/>
      <c r="G182" s="38"/>
      <c r="H182" s="38"/>
      <c r="I182" s="16"/>
      <c r="J182" s="26" t="s">
        <v>23</v>
      </c>
      <c r="K182" s="26" t="s">
        <v>22</v>
      </c>
      <c r="L182" s="26" t="s">
        <v>20</v>
      </c>
      <c r="M182" s="26" t="s">
        <v>21</v>
      </c>
    </row>
    <row r="183" spans="2:13" x14ac:dyDescent="0.25">
      <c r="B183" s="229"/>
      <c r="C183" s="71">
        <v>0</v>
      </c>
      <c r="D183" s="71">
        <v>0</v>
      </c>
      <c r="E183" s="71">
        <v>0</v>
      </c>
      <c r="F183" s="71">
        <v>0</v>
      </c>
      <c r="G183" s="64">
        <f t="shared" ref="G183:G199" si="29">E183+F183</f>
        <v>0</v>
      </c>
      <c r="H183" s="38"/>
      <c r="I183" s="16"/>
      <c r="J183" s="26"/>
      <c r="K183" s="26">
        <v>0</v>
      </c>
      <c r="L183" s="26">
        <v>0</v>
      </c>
      <c r="M183" s="26">
        <f>K183-L183</f>
        <v>0</v>
      </c>
    </row>
    <row r="184" spans="2:13" x14ac:dyDescent="0.25">
      <c r="B184" s="229"/>
      <c r="C184" s="71">
        <v>0</v>
      </c>
      <c r="D184" s="71">
        <v>0</v>
      </c>
      <c r="E184" s="71">
        <v>0</v>
      </c>
      <c r="F184" s="71">
        <v>0</v>
      </c>
      <c r="G184" s="61">
        <f t="shared" si="29"/>
        <v>0</v>
      </c>
      <c r="H184" s="38"/>
      <c r="I184" s="16"/>
      <c r="J184" s="26"/>
      <c r="K184" s="26">
        <v>0</v>
      </c>
      <c r="L184" s="26">
        <v>0</v>
      </c>
      <c r="M184" s="26">
        <f t="shared" ref="M184:M186" si="30">K184-L184</f>
        <v>0</v>
      </c>
    </row>
    <row r="185" spans="2:13" x14ac:dyDescent="0.25">
      <c r="B185" s="229"/>
      <c r="C185" s="71">
        <v>0</v>
      </c>
      <c r="D185" s="71">
        <v>0</v>
      </c>
      <c r="E185" s="71">
        <v>0</v>
      </c>
      <c r="F185" s="71">
        <v>0</v>
      </c>
      <c r="G185" s="61">
        <f t="shared" si="29"/>
        <v>0</v>
      </c>
      <c r="H185" s="38"/>
      <c r="I185" s="16"/>
      <c r="J185" s="26"/>
      <c r="K185" s="26">
        <v>0</v>
      </c>
      <c r="L185" s="26">
        <v>0</v>
      </c>
      <c r="M185" s="26">
        <f t="shared" si="30"/>
        <v>0</v>
      </c>
    </row>
    <row r="186" spans="2:13" x14ac:dyDescent="0.25">
      <c r="B186" s="229"/>
      <c r="C186" s="71">
        <v>0</v>
      </c>
      <c r="D186" s="71">
        <v>0</v>
      </c>
      <c r="E186" s="71">
        <v>0</v>
      </c>
      <c r="F186" s="71">
        <v>0</v>
      </c>
      <c r="G186" s="61">
        <f t="shared" si="29"/>
        <v>0</v>
      </c>
      <c r="H186" s="38"/>
      <c r="I186" s="16"/>
      <c r="J186" s="26"/>
      <c r="K186" s="26">
        <v>0</v>
      </c>
      <c r="L186" s="26">
        <v>0</v>
      </c>
      <c r="M186" s="26">
        <f t="shared" si="30"/>
        <v>0</v>
      </c>
    </row>
    <row r="187" spans="2:13" s="16" customFormat="1" x14ac:dyDescent="0.25">
      <c r="B187" s="229"/>
      <c r="C187" s="71">
        <v>0</v>
      </c>
      <c r="D187" s="71">
        <v>0</v>
      </c>
      <c r="E187" s="71">
        <v>0</v>
      </c>
      <c r="F187" s="71">
        <v>0</v>
      </c>
      <c r="G187" s="64">
        <f t="shared" si="29"/>
        <v>0</v>
      </c>
      <c r="H187" s="41"/>
      <c r="J187" s="26"/>
      <c r="K187" s="26"/>
      <c r="L187" s="27">
        <f>SUM(L183:L186)</f>
        <v>0</v>
      </c>
      <c r="M187" s="27">
        <f>SUM(M183:M186)</f>
        <v>0</v>
      </c>
    </row>
    <row r="188" spans="2:13" s="16" customFormat="1" x14ac:dyDescent="0.25">
      <c r="B188" s="229"/>
      <c r="C188" s="71">
        <v>0</v>
      </c>
      <c r="D188" s="71">
        <v>0</v>
      </c>
      <c r="E188" s="71">
        <v>0</v>
      </c>
      <c r="F188" s="71">
        <v>0</v>
      </c>
      <c r="G188" s="64">
        <f t="shared" si="29"/>
        <v>0</v>
      </c>
      <c r="H188" s="41"/>
      <c r="J188" s="26"/>
      <c r="K188" s="26"/>
      <c r="L188" s="27"/>
      <c r="M188" s="27"/>
    </row>
    <row r="189" spans="2:13" s="16" customFormat="1" x14ac:dyDescent="0.25">
      <c r="B189" s="229"/>
      <c r="C189" s="71">
        <v>0</v>
      </c>
      <c r="D189" s="71">
        <v>0</v>
      </c>
      <c r="E189" s="71">
        <v>0</v>
      </c>
      <c r="F189" s="71">
        <v>0</v>
      </c>
      <c r="G189" s="61">
        <f t="shared" si="29"/>
        <v>0</v>
      </c>
      <c r="H189" s="41"/>
      <c r="J189" s="26"/>
      <c r="K189" s="26"/>
      <c r="L189" s="27"/>
      <c r="M189" s="27"/>
    </row>
    <row r="190" spans="2:13" s="16" customFormat="1" x14ac:dyDescent="0.25">
      <c r="B190" s="229"/>
      <c r="C190" s="71">
        <v>0</v>
      </c>
      <c r="D190" s="71">
        <v>0</v>
      </c>
      <c r="E190" s="71">
        <v>0</v>
      </c>
      <c r="F190" s="71">
        <v>0</v>
      </c>
      <c r="G190" s="61">
        <f t="shared" si="29"/>
        <v>0</v>
      </c>
      <c r="H190" s="41"/>
      <c r="J190" s="26"/>
      <c r="K190" s="26"/>
      <c r="L190" s="27"/>
      <c r="M190" s="27"/>
    </row>
    <row r="191" spans="2:13" s="16" customFormat="1" x14ac:dyDescent="0.25">
      <c r="B191" s="229"/>
      <c r="C191" s="71">
        <v>0</v>
      </c>
      <c r="D191" s="71">
        <v>0</v>
      </c>
      <c r="E191" s="71">
        <v>0</v>
      </c>
      <c r="F191" s="71">
        <v>0</v>
      </c>
      <c r="G191" s="68">
        <f t="shared" si="29"/>
        <v>0</v>
      </c>
      <c r="H191" s="42"/>
      <c r="J191" s="26"/>
      <c r="K191" s="26"/>
      <c r="L191" s="27"/>
      <c r="M191" s="27"/>
    </row>
    <row r="192" spans="2:13" s="16" customFormat="1" x14ac:dyDescent="0.25">
      <c r="B192" s="229"/>
      <c r="C192" s="71">
        <v>0</v>
      </c>
      <c r="D192" s="71">
        <v>0</v>
      </c>
      <c r="E192" s="71">
        <v>0</v>
      </c>
      <c r="F192" s="71">
        <v>0</v>
      </c>
      <c r="G192" s="68">
        <f t="shared" si="29"/>
        <v>0</v>
      </c>
      <c r="H192" s="41"/>
      <c r="J192" s="26"/>
      <c r="K192" s="26"/>
      <c r="L192" s="27"/>
      <c r="M192" s="27"/>
    </row>
    <row r="193" spans="2:13" x14ac:dyDescent="0.25">
      <c r="B193" s="229"/>
      <c r="C193" s="71">
        <v>0</v>
      </c>
      <c r="D193" s="67">
        <v>0</v>
      </c>
      <c r="E193" s="71">
        <v>0</v>
      </c>
      <c r="F193" s="71">
        <v>0</v>
      </c>
      <c r="G193" s="61">
        <f t="shared" si="29"/>
        <v>0</v>
      </c>
      <c r="H193" s="38"/>
      <c r="I193" s="16"/>
    </row>
    <row r="194" spans="2:13" s="16" customFormat="1" x14ac:dyDescent="0.25">
      <c r="B194" s="229"/>
      <c r="C194" s="67"/>
      <c r="D194" s="67">
        <v>0</v>
      </c>
      <c r="E194" s="67">
        <v>0</v>
      </c>
      <c r="F194" s="67">
        <v>0</v>
      </c>
      <c r="G194" s="64">
        <f t="shared" si="29"/>
        <v>0</v>
      </c>
      <c r="H194" s="61"/>
    </row>
    <row r="195" spans="2:13" s="16" customFormat="1" x14ac:dyDescent="0.25">
      <c r="B195" s="229"/>
      <c r="C195" s="67"/>
      <c r="D195" s="67">
        <v>0</v>
      </c>
      <c r="E195" s="67">
        <v>0</v>
      </c>
      <c r="F195" s="67">
        <v>0</v>
      </c>
      <c r="G195" s="64">
        <f t="shared" si="29"/>
        <v>0</v>
      </c>
      <c r="H195" s="61"/>
    </row>
    <row r="196" spans="2:13" s="16" customFormat="1" x14ac:dyDescent="0.25">
      <c r="B196" s="229"/>
      <c r="C196" s="67"/>
      <c r="D196" s="67">
        <v>0</v>
      </c>
      <c r="E196" s="67">
        <v>0</v>
      </c>
      <c r="F196" s="67">
        <v>0</v>
      </c>
      <c r="G196" s="64">
        <f t="shared" si="29"/>
        <v>0</v>
      </c>
      <c r="H196" s="64"/>
    </row>
    <row r="197" spans="2:13" s="16" customFormat="1" x14ac:dyDescent="0.25">
      <c r="B197" s="229"/>
      <c r="C197" s="67"/>
      <c r="D197" s="67">
        <v>0</v>
      </c>
      <c r="E197" s="67">
        <v>0</v>
      </c>
      <c r="F197" s="67">
        <v>0</v>
      </c>
      <c r="G197" s="64">
        <f t="shared" si="29"/>
        <v>0</v>
      </c>
      <c r="H197" s="64"/>
    </row>
    <row r="198" spans="2:13" s="16" customFormat="1" x14ac:dyDescent="0.25">
      <c r="B198" s="229"/>
      <c r="C198" s="67"/>
      <c r="D198" s="67">
        <v>0</v>
      </c>
      <c r="E198" s="67">
        <v>0</v>
      </c>
      <c r="F198" s="67">
        <v>0</v>
      </c>
      <c r="G198" s="64">
        <f t="shared" si="29"/>
        <v>0</v>
      </c>
      <c r="H198" s="64"/>
    </row>
    <row r="199" spans="2:13" s="16" customFormat="1" x14ac:dyDescent="0.25">
      <c r="B199" s="229"/>
      <c r="C199" s="67"/>
      <c r="D199" s="67">
        <v>0</v>
      </c>
      <c r="E199" s="64">
        <v>0</v>
      </c>
      <c r="F199" s="67">
        <v>0</v>
      </c>
      <c r="G199" s="64">
        <f t="shared" si="29"/>
        <v>0</v>
      </c>
      <c r="H199" s="62"/>
    </row>
    <row r="200" spans="2:13" s="16" customFormat="1" x14ac:dyDescent="0.25">
      <c r="B200" s="229"/>
      <c r="C200" s="67"/>
      <c r="D200" s="64"/>
      <c r="E200" s="64"/>
      <c r="F200" s="64"/>
      <c r="G200" s="64">
        <v>0</v>
      </c>
      <c r="H200" s="64"/>
    </row>
    <row r="201" spans="2:13" s="16" customFormat="1" x14ac:dyDescent="0.25">
      <c r="B201" s="229"/>
      <c r="C201" s="67"/>
      <c r="D201" s="64"/>
      <c r="E201" s="64"/>
      <c r="F201" s="64"/>
      <c r="G201" s="64">
        <v>0</v>
      </c>
      <c r="H201" s="64"/>
    </row>
    <row r="202" spans="2:13" ht="15.75" x14ac:dyDescent="0.25">
      <c r="B202" s="230"/>
      <c r="C202" s="19" t="s">
        <v>17</v>
      </c>
      <c r="D202" s="19">
        <f>SUM(D183:D201)</f>
        <v>0</v>
      </c>
      <c r="E202" s="19">
        <f>SUM(E183:E201)</f>
        <v>0</v>
      </c>
      <c r="F202" s="19">
        <f>SUM(F183:F201)</f>
        <v>0</v>
      </c>
      <c r="G202" s="19">
        <f>SUM(G183:G201)</f>
        <v>0</v>
      </c>
      <c r="H202" s="19">
        <f t="shared" ref="H202" si="31">D182-E202</f>
        <v>1275000</v>
      </c>
      <c r="I202" s="20">
        <f>Y25+D202+H202</f>
        <v>2550000</v>
      </c>
      <c r="J202" s="16"/>
      <c r="K202" s="231" t="s">
        <v>51</v>
      </c>
      <c r="L202" s="231"/>
      <c r="M202" s="231"/>
    </row>
    <row r="203" spans="2:13" ht="15.75" x14ac:dyDescent="0.25">
      <c r="B203" s="228" t="s">
        <v>51</v>
      </c>
      <c r="C203" s="15" t="s">
        <v>18</v>
      </c>
      <c r="D203" s="38">
        <f>I202-M207</f>
        <v>2550000</v>
      </c>
      <c r="E203" s="38"/>
      <c r="F203" s="38"/>
      <c r="G203" s="38"/>
      <c r="H203" s="38"/>
      <c r="I203" s="16"/>
      <c r="J203" s="26" t="s">
        <v>23</v>
      </c>
      <c r="K203" s="26" t="s">
        <v>22</v>
      </c>
      <c r="L203" s="26" t="s">
        <v>20</v>
      </c>
      <c r="M203" s="26" t="s">
        <v>21</v>
      </c>
    </row>
    <row r="204" spans="2:13" x14ac:dyDescent="0.25">
      <c r="B204" s="229"/>
      <c r="C204" s="67"/>
      <c r="D204" s="38">
        <v>0</v>
      </c>
      <c r="E204" s="38">
        <v>0</v>
      </c>
      <c r="F204" s="38">
        <v>0</v>
      </c>
      <c r="G204" s="38">
        <f t="shared" ref="G204:G217" si="32">E204+F204</f>
        <v>0</v>
      </c>
      <c r="H204" s="38"/>
      <c r="I204" s="16"/>
      <c r="J204" s="26"/>
      <c r="K204" s="26">
        <v>0</v>
      </c>
      <c r="L204" s="26">
        <v>0</v>
      </c>
      <c r="M204" s="26">
        <f>K204-L204</f>
        <v>0</v>
      </c>
    </row>
    <row r="205" spans="2:13" x14ac:dyDescent="0.25">
      <c r="B205" s="229"/>
      <c r="C205" s="71">
        <v>0</v>
      </c>
      <c r="D205" s="71">
        <v>0</v>
      </c>
      <c r="E205" s="71">
        <v>0</v>
      </c>
      <c r="F205" s="71">
        <v>0</v>
      </c>
      <c r="G205" s="53">
        <f t="shared" si="32"/>
        <v>0</v>
      </c>
      <c r="H205" s="38"/>
      <c r="I205" s="16"/>
      <c r="J205" s="26"/>
      <c r="K205" s="26">
        <v>0</v>
      </c>
      <c r="L205" s="26">
        <v>0</v>
      </c>
      <c r="M205" s="26">
        <f t="shared" ref="M205:M206" si="33">K205-L205</f>
        <v>0</v>
      </c>
    </row>
    <row r="206" spans="2:13" x14ac:dyDescent="0.25">
      <c r="B206" s="229"/>
      <c r="C206" s="71">
        <v>0</v>
      </c>
      <c r="D206" s="71">
        <v>0</v>
      </c>
      <c r="E206" s="71">
        <v>0</v>
      </c>
      <c r="F206" s="71">
        <v>0</v>
      </c>
      <c r="G206" s="53">
        <f t="shared" si="32"/>
        <v>0</v>
      </c>
      <c r="H206" s="38"/>
      <c r="I206" s="16"/>
      <c r="J206" s="26"/>
      <c r="K206" s="26">
        <v>0</v>
      </c>
      <c r="L206" s="26">
        <v>0</v>
      </c>
      <c r="M206" s="26">
        <f t="shared" si="33"/>
        <v>0</v>
      </c>
    </row>
    <row r="207" spans="2:13" x14ac:dyDescent="0.25">
      <c r="B207" s="229"/>
      <c r="C207" s="71">
        <v>0</v>
      </c>
      <c r="D207" s="71">
        <v>0</v>
      </c>
      <c r="E207" s="71">
        <v>0</v>
      </c>
      <c r="F207" s="71">
        <v>0</v>
      </c>
      <c r="G207" s="53">
        <f t="shared" si="32"/>
        <v>0</v>
      </c>
      <c r="H207" s="38"/>
      <c r="I207" s="16"/>
      <c r="J207" s="26"/>
      <c r="K207" s="26"/>
      <c r="L207" s="27">
        <f>SUM(L204:L206)</f>
        <v>0</v>
      </c>
      <c r="M207" s="27">
        <f>SUM(M204:M206)</f>
        <v>0</v>
      </c>
    </row>
    <row r="208" spans="2:13" s="16" customFormat="1" x14ac:dyDescent="0.25">
      <c r="B208" s="229"/>
      <c r="C208" s="71">
        <v>0</v>
      </c>
      <c r="D208" s="71">
        <v>0</v>
      </c>
      <c r="E208" s="71">
        <v>0</v>
      </c>
      <c r="F208" s="71">
        <v>0</v>
      </c>
      <c r="G208" s="53">
        <f t="shared" si="32"/>
        <v>0</v>
      </c>
      <c r="H208" s="53"/>
      <c r="J208" s="26"/>
      <c r="K208" s="26"/>
      <c r="L208" s="27"/>
      <c r="M208" s="27"/>
    </row>
    <row r="209" spans="2:13" s="16" customFormat="1" x14ac:dyDescent="0.25">
      <c r="B209" s="229"/>
      <c r="C209" s="71">
        <v>0</v>
      </c>
      <c r="D209" s="71">
        <v>0</v>
      </c>
      <c r="E209" s="71">
        <v>0</v>
      </c>
      <c r="F209" s="71">
        <v>0</v>
      </c>
      <c r="G209" s="64">
        <f t="shared" si="32"/>
        <v>0</v>
      </c>
      <c r="H209" s="53"/>
      <c r="J209" s="26"/>
      <c r="K209" s="26"/>
      <c r="L209" s="27"/>
      <c r="M209" s="27"/>
    </row>
    <row r="210" spans="2:13" s="16" customFormat="1" x14ac:dyDescent="0.25">
      <c r="B210" s="229"/>
      <c r="C210" s="71">
        <v>0</v>
      </c>
      <c r="D210" s="71">
        <v>0</v>
      </c>
      <c r="E210" s="71">
        <v>0</v>
      </c>
      <c r="F210" s="71">
        <v>0</v>
      </c>
      <c r="G210" s="53">
        <f t="shared" si="32"/>
        <v>0</v>
      </c>
      <c r="H210" s="53"/>
      <c r="J210" s="26"/>
      <c r="K210" s="26"/>
      <c r="L210" s="27"/>
      <c r="M210" s="27"/>
    </row>
    <row r="211" spans="2:13" x14ac:dyDescent="0.25">
      <c r="B211" s="229"/>
      <c r="C211" s="71">
        <v>0</v>
      </c>
      <c r="D211" s="71">
        <v>0</v>
      </c>
      <c r="E211" s="71">
        <v>0</v>
      </c>
      <c r="F211" s="71">
        <v>0</v>
      </c>
      <c r="G211" s="64">
        <f t="shared" si="32"/>
        <v>0</v>
      </c>
      <c r="H211" s="38"/>
      <c r="I211" s="16"/>
    </row>
    <row r="212" spans="2:13" s="16" customFormat="1" x14ac:dyDescent="0.25">
      <c r="B212" s="229"/>
      <c r="C212" s="71">
        <v>0</v>
      </c>
      <c r="D212" s="71">
        <v>0</v>
      </c>
      <c r="E212" s="71">
        <v>0</v>
      </c>
      <c r="F212" s="71">
        <v>0</v>
      </c>
      <c r="G212" s="61">
        <f t="shared" si="32"/>
        <v>0</v>
      </c>
      <c r="H212" s="54"/>
    </row>
    <row r="213" spans="2:13" s="16" customFormat="1" x14ac:dyDescent="0.25">
      <c r="B213" s="229"/>
      <c r="C213" s="71">
        <v>0</v>
      </c>
      <c r="D213" s="71">
        <v>0</v>
      </c>
      <c r="E213" s="71">
        <v>0</v>
      </c>
      <c r="F213" s="71">
        <v>0</v>
      </c>
      <c r="G213" s="68">
        <f t="shared" si="32"/>
        <v>0</v>
      </c>
      <c r="H213" s="54"/>
    </row>
    <row r="214" spans="2:13" s="16" customFormat="1" x14ac:dyDescent="0.25">
      <c r="B214" s="229"/>
      <c r="C214" s="71">
        <v>0</v>
      </c>
      <c r="D214" s="71">
        <v>0</v>
      </c>
      <c r="E214" s="71">
        <v>0</v>
      </c>
      <c r="F214" s="71">
        <v>0</v>
      </c>
      <c r="G214" s="68">
        <f t="shared" si="32"/>
        <v>0</v>
      </c>
      <c r="H214" s="68"/>
    </row>
    <row r="215" spans="2:13" s="16" customFormat="1" x14ac:dyDescent="0.25">
      <c r="B215" s="229"/>
      <c r="C215" s="71">
        <v>0</v>
      </c>
      <c r="D215" s="71">
        <v>0</v>
      </c>
      <c r="E215" s="71">
        <v>0</v>
      </c>
      <c r="F215" s="71">
        <v>0</v>
      </c>
      <c r="G215" s="68">
        <f t="shared" si="32"/>
        <v>0</v>
      </c>
      <c r="H215" s="68"/>
    </row>
    <row r="216" spans="2:13" s="16" customFormat="1" x14ac:dyDescent="0.25">
      <c r="B216" s="229"/>
      <c r="C216" s="71">
        <v>0</v>
      </c>
      <c r="D216" s="71">
        <v>0</v>
      </c>
      <c r="E216" s="71">
        <v>0</v>
      </c>
      <c r="F216" s="71">
        <v>0</v>
      </c>
      <c r="G216" s="68">
        <f t="shared" si="32"/>
        <v>0</v>
      </c>
      <c r="H216" s="54"/>
    </row>
    <row r="217" spans="2:13" s="16" customFormat="1" x14ac:dyDescent="0.25">
      <c r="B217" s="229"/>
      <c r="C217" s="71">
        <v>0</v>
      </c>
      <c r="D217" s="71">
        <v>0</v>
      </c>
      <c r="E217" s="71">
        <v>0</v>
      </c>
      <c r="F217" s="71">
        <v>0</v>
      </c>
      <c r="G217" s="68">
        <f t="shared" si="32"/>
        <v>0</v>
      </c>
      <c r="H217" s="54"/>
    </row>
    <row r="218" spans="2:13" ht="15.75" x14ac:dyDescent="0.25">
      <c r="B218" s="230"/>
      <c r="C218" s="19" t="s">
        <v>17</v>
      </c>
      <c r="D218" s="19">
        <f>SUM(D204:D217)</f>
        <v>0</v>
      </c>
      <c r="E218" s="19">
        <f>SUM(E204:E217)</f>
        <v>0</v>
      </c>
      <c r="F218" s="19">
        <f>SUM(F204:F217)</f>
        <v>0</v>
      </c>
      <c r="G218" s="19">
        <f>SUM(G204:G217)</f>
        <v>0</v>
      </c>
      <c r="H218" s="19">
        <f>D203-E218</f>
        <v>2550000</v>
      </c>
      <c r="I218" s="20">
        <f>AA25+D218+H218</f>
        <v>2550000</v>
      </c>
      <c r="J218" s="16"/>
      <c r="K218" s="231"/>
      <c r="L218" s="231"/>
      <c r="M218" s="231"/>
    </row>
    <row r="219" spans="2:13" ht="15.75" x14ac:dyDescent="0.25">
      <c r="B219" s="228"/>
      <c r="C219" s="15" t="s">
        <v>18</v>
      </c>
      <c r="D219" s="38">
        <f>I218-M223</f>
        <v>2550000</v>
      </c>
      <c r="E219" s="38"/>
      <c r="F219" s="38"/>
      <c r="G219" s="38"/>
      <c r="H219" s="38"/>
      <c r="I219" s="16"/>
      <c r="J219" s="26" t="s">
        <v>23</v>
      </c>
      <c r="K219" s="26" t="s">
        <v>22</v>
      </c>
      <c r="L219" s="26" t="s">
        <v>20</v>
      </c>
      <c r="M219" s="26" t="s">
        <v>21</v>
      </c>
    </row>
    <row r="220" spans="2:13" x14ac:dyDescent="0.25">
      <c r="B220" s="229"/>
      <c r="C220" s="71">
        <v>0</v>
      </c>
      <c r="D220" s="71">
        <v>0</v>
      </c>
      <c r="E220" s="71">
        <v>0</v>
      </c>
      <c r="F220" s="71">
        <v>0</v>
      </c>
      <c r="G220" s="38">
        <f>E220+F220</f>
        <v>0</v>
      </c>
      <c r="H220" s="38"/>
      <c r="I220" s="16"/>
      <c r="J220" s="26"/>
      <c r="K220" s="26">
        <v>0</v>
      </c>
      <c r="L220" s="26">
        <v>0</v>
      </c>
      <c r="M220" s="26">
        <f>K220-L220</f>
        <v>0</v>
      </c>
    </row>
    <row r="221" spans="2:13" x14ac:dyDescent="0.25">
      <c r="B221" s="229"/>
      <c r="C221" s="71">
        <v>0</v>
      </c>
      <c r="D221" s="71">
        <v>0</v>
      </c>
      <c r="E221" s="71">
        <v>0</v>
      </c>
      <c r="F221" s="71">
        <v>0</v>
      </c>
      <c r="G221" s="38">
        <f t="shared" ref="G221:G231" si="34">E221+F221</f>
        <v>0</v>
      </c>
      <c r="H221" s="38"/>
      <c r="I221" s="16"/>
      <c r="J221" s="26"/>
      <c r="K221" s="26">
        <v>0</v>
      </c>
      <c r="L221" s="26">
        <v>0</v>
      </c>
      <c r="M221" s="26">
        <f t="shared" ref="M221:M222" si="35">K221-L221</f>
        <v>0</v>
      </c>
    </row>
    <row r="222" spans="2:13" x14ac:dyDescent="0.25">
      <c r="B222" s="229"/>
      <c r="C222" s="71">
        <v>0</v>
      </c>
      <c r="D222" s="71">
        <v>0</v>
      </c>
      <c r="E222" s="71">
        <v>0</v>
      </c>
      <c r="F222" s="71">
        <v>0</v>
      </c>
      <c r="G222" s="54">
        <f t="shared" si="34"/>
        <v>0</v>
      </c>
      <c r="H222" s="38"/>
      <c r="I222" s="16"/>
      <c r="J222" s="26"/>
      <c r="K222" s="26">
        <v>0</v>
      </c>
      <c r="L222" s="26">
        <v>0</v>
      </c>
      <c r="M222" s="26">
        <f t="shared" si="35"/>
        <v>0</v>
      </c>
    </row>
    <row r="223" spans="2:13" x14ac:dyDescent="0.25">
      <c r="B223" s="229"/>
      <c r="C223" s="71">
        <v>0</v>
      </c>
      <c r="D223" s="71">
        <v>0</v>
      </c>
      <c r="E223" s="71">
        <v>0</v>
      </c>
      <c r="F223" s="71">
        <v>0</v>
      </c>
      <c r="G223" s="68">
        <f t="shared" si="34"/>
        <v>0</v>
      </c>
      <c r="H223" s="38"/>
      <c r="I223" s="16"/>
      <c r="J223" s="26"/>
      <c r="K223" s="26"/>
      <c r="L223" s="27">
        <f>SUM(L220:L222)</f>
        <v>0</v>
      </c>
      <c r="M223" s="27">
        <f>SUM(M220:M222)</f>
        <v>0</v>
      </c>
    </row>
    <row r="224" spans="2:13" x14ac:dyDescent="0.25">
      <c r="B224" s="229"/>
      <c r="C224" s="71">
        <v>0</v>
      </c>
      <c r="D224" s="71">
        <v>0</v>
      </c>
      <c r="E224" s="71">
        <v>0</v>
      </c>
      <c r="F224" s="71">
        <v>0</v>
      </c>
      <c r="G224" s="68">
        <f t="shared" si="34"/>
        <v>0</v>
      </c>
      <c r="H224" s="38"/>
      <c r="I224" s="16"/>
    </row>
    <row r="225" spans="2:13" s="16" customFormat="1" x14ac:dyDescent="0.25">
      <c r="B225" s="229"/>
      <c r="C225" s="71">
        <v>0</v>
      </c>
      <c r="D225" s="71">
        <v>0</v>
      </c>
      <c r="E225" s="71">
        <v>0</v>
      </c>
      <c r="F225" s="71">
        <v>0</v>
      </c>
      <c r="G225" s="68">
        <f t="shared" si="34"/>
        <v>0</v>
      </c>
      <c r="H225" s="54"/>
    </row>
    <row r="226" spans="2:13" s="16" customFormat="1" x14ac:dyDescent="0.25">
      <c r="B226" s="229"/>
      <c r="C226" s="71">
        <v>0</v>
      </c>
      <c r="D226" s="71">
        <v>0</v>
      </c>
      <c r="E226" s="71">
        <v>0</v>
      </c>
      <c r="F226" s="71">
        <v>0</v>
      </c>
      <c r="G226" s="64">
        <f t="shared" si="34"/>
        <v>0</v>
      </c>
      <c r="H226" s="54"/>
    </row>
    <row r="227" spans="2:13" s="16" customFormat="1" x14ac:dyDescent="0.25">
      <c r="B227" s="229"/>
      <c r="C227" s="71">
        <v>0</v>
      </c>
      <c r="D227" s="71">
        <v>0</v>
      </c>
      <c r="E227" s="71">
        <v>0</v>
      </c>
      <c r="F227" s="71">
        <v>0</v>
      </c>
      <c r="G227" s="63">
        <f t="shared" si="34"/>
        <v>0</v>
      </c>
      <c r="H227" s="54"/>
    </row>
    <row r="228" spans="2:13" s="16" customFormat="1" x14ac:dyDescent="0.25">
      <c r="B228" s="229"/>
      <c r="C228" s="71">
        <v>0</v>
      </c>
      <c r="D228" s="71">
        <v>0</v>
      </c>
      <c r="E228" s="71">
        <v>0</v>
      </c>
      <c r="F228" s="71">
        <v>0</v>
      </c>
      <c r="G228" s="63">
        <f t="shared" si="34"/>
        <v>0</v>
      </c>
      <c r="H228" s="54"/>
    </row>
    <row r="229" spans="2:13" s="16" customFormat="1" x14ac:dyDescent="0.25">
      <c r="B229" s="229"/>
      <c r="C229" s="71">
        <v>0</v>
      </c>
      <c r="D229" s="63">
        <v>0</v>
      </c>
      <c r="E229" s="71">
        <v>0</v>
      </c>
      <c r="F229" s="71">
        <v>0</v>
      </c>
      <c r="G229" s="63">
        <f t="shared" si="34"/>
        <v>0</v>
      </c>
      <c r="H229" s="54"/>
    </row>
    <row r="230" spans="2:13" s="16" customFormat="1" x14ac:dyDescent="0.25">
      <c r="B230" s="229"/>
      <c r="C230" s="71">
        <v>0</v>
      </c>
      <c r="D230" s="71">
        <v>0</v>
      </c>
      <c r="E230" s="71">
        <v>0</v>
      </c>
      <c r="F230" s="71">
        <v>0</v>
      </c>
      <c r="G230" s="63">
        <f t="shared" si="34"/>
        <v>0</v>
      </c>
      <c r="H230" s="43"/>
    </row>
    <row r="231" spans="2:13" s="16" customFormat="1" x14ac:dyDescent="0.25">
      <c r="B231" s="229"/>
      <c r="C231" s="71">
        <v>0</v>
      </c>
      <c r="D231" s="71">
        <v>0</v>
      </c>
      <c r="E231" s="71">
        <v>0</v>
      </c>
      <c r="F231" s="71">
        <v>0</v>
      </c>
      <c r="G231" s="63">
        <f t="shared" si="34"/>
        <v>0</v>
      </c>
      <c r="H231" s="54"/>
    </row>
    <row r="232" spans="2:13" ht="15.75" x14ac:dyDescent="0.25">
      <c r="B232" s="230"/>
      <c r="C232" s="71">
        <v>0</v>
      </c>
      <c r="D232" s="71">
        <v>0</v>
      </c>
      <c r="E232" s="71">
        <v>0</v>
      </c>
      <c r="F232" s="71">
        <v>0</v>
      </c>
      <c r="G232" s="19">
        <f>SUM(G220:G231)</f>
        <v>0</v>
      </c>
      <c r="H232" s="19">
        <f>D219-E232</f>
        <v>2550000</v>
      </c>
      <c r="I232" s="20">
        <f>AA25+D232+H232</f>
        <v>2550000</v>
      </c>
      <c r="J232" s="16"/>
      <c r="K232" s="231"/>
      <c r="L232" s="231"/>
      <c r="M232" s="231"/>
    </row>
    <row r="233" spans="2:13" ht="15.75" x14ac:dyDescent="0.25">
      <c r="B233" s="228"/>
      <c r="C233" s="15" t="s">
        <v>18</v>
      </c>
      <c r="D233" s="38">
        <f>I232-M239</f>
        <v>2550000</v>
      </c>
      <c r="E233" s="38"/>
      <c r="F233" s="38"/>
      <c r="G233" s="38"/>
      <c r="H233" s="38"/>
      <c r="I233" s="16"/>
      <c r="J233" s="26" t="s">
        <v>23</v>
      </c>
      <c r="K233" s="26" t="s">
        <v>22</v>
      </c>
      <c r="L233" s="26" t="s">
        <v>20</v>
      </c>
      <c r="M233" s="26" t="s">
        <v>21</v>
      </c>
    </row>
    <row r="234" spans="2:13" x14ac:dyDescent="0.25">
      <c r="B234" s="229"/>
      <c r="C234" s="64"/>
      <c r="D234" s="38">
        <v>0</v>
      </c>
      <c r="E234" s="38">
        <v>0</v>
      </c>
      <c r="F234" s="38">
        <v>0</v>
      </c>
      <c r="G234" s="64">
        <v>0</v>
      </c>
      <c r="H234" s="38"/>
      <c r="I234" s="16"/>
      <c r="J234" s="26"/>
      <c r="K234" s="26">
        <v>0</v>
      </c>
      <c r="L234" s="26">
        <v>0</v>
      </c>
      <c r="M234" s="26">
        <f>K234-L234</f>
        <v>0</v>
      </c>
    </row>
    <row r="235" spans="2:13" x14ac:dyDescent="0.25">
      <c r="B235" s="229"/>
      <c r="C235" s="67"/>
      <c r="D235" s="67">
        <v>0</v>
      </c>
      <c r="E235" s="67">
        <v>0</v>
      </c>
      <c r="F235" s="67">
        <v>0</v>
      </c>
      <c r="G235" s="63">
        <f t="shared" ref="G235:G238" si="36">E235+F235</f>
        <v>0</v>
      </c>
      <c r="H235" s="38"/>
      <c r="I235" s="16"/>
      <c r="J235" s="26"/>
      <c r="K235" s="26">
        <v>0</v>
      </c>
      <c r="L235" s="26">
        <v>0</v>
      </c>
      <c r="M235" s="26">
        <f t="shared" ref="M235:M238" si="37">K235-L235</f>
        <v>0</v>
      </c>
    </row>
    <row r="236" spans="2:13" s="16" customFormat="1" x14ac:dyDescent="0.25">
      <c r="B236" s="229"/>
      <c r="C236" s="67"/>
      <c r="D236" s="67">
        <v>0</v>
      </c>
      <c r="E236" s="67">
        <v>0</v>
      </c>
      <c r="F236" s="67">
        <v>0</v>
      </c>
      <c r="G236" s="63">
        <f t="shared" si="36"/>
        <v>0</v>
      </c>
      <c r="H236" s="55"/>
      <c r="J236" s="26"/>
      <c r="K236" s="26">
        <v>0</v>
      </c>
      <c r="L236" s="26">
        <v>0</v>
      </c>
      <c r="M236" s="26">
        <f t="shared" si="37"/>
        <v>0</v>
      </c>
    </row>
    <row r="237" spans="2:13" s="16" customFormat="1" x14ac:dyDescent="0.25">
      <c r="B237" s="229"/>
      <c r="C237" s="67"/>
      <c r="D237" s="67">
        <v>0</v>
      </c>
      <c r="E237" s="67">
        <v>0</v>
      </c>
      <c r="F237" s="67">
        <v>0</v>
      </c>
      <c r="G237" s="63">
        <f t="shared" si="36"/>
        <v>0</v>
      </c>
      <c r="H237" s="55"/>
      <c r="J237" s="26"/>
      <c r="K237" s="26">
        <v>0</v>
      </c>
      <c r="L237" s="26">
        <v>0</v>
      </c>
      <c r="M237" s="26">
        <f t="shared" si="37"/>
        <v>0</v>
      </c>
    </row>
    <row r="238" spans="2:13" x14ac:dyDescent="0.25">
      <c r="B238" s="229"/>
      <c r="C238" s="67"/>
      <c r="D238" s="67">
        <v>0</v>
      </c>
      <c r="E238" s="67">
        <v>0</v>
      </c>
      <c r="F238" s="67">
        <v>0</v>
      </c>
      <c r="G238" s="63">
        <f t="shared" si="36"/>
        <v>0</v>
      </c>
      <c r="H238" s="38"/>
      <c r="I238" s="16"/>
      <c r="J238" s="26"/>
      <c r="K238" s="26">
        <v>0</v>
      </c>
      <c r="L238" s="26">
        <v>0</v>
      </c>
      <c r="M238" s="26">
        <f t="shared" si="37"/>
        <v>0</v>
      </c>
    </row>
    <row r="239" spans="2:13" x14ac:dyDescent="0.25">
      <c r="B239" s="229"/>
      <c r="C239" s="67"/>
      <c r="D239" s="67">
        <v>0</v>
      </c>
      <c r="E239" s="67">
        <v>0</v>
      </c>
      <c r="F239" s="67">
        <v>0</v>
      </c>
      <c r="G239" s="38">
        <f t="shared" ref="G239:G244" si="38">E239+F239</f>
        <v>0</v>
      </c>
      <c r="H239" s="38"/>
      <c r="I239" s="16"/>
      <c r="J239" s="26"/>
      <c r="K239" s="26"/>
      <c r="L239" s="27">
        <f>SUM(L234:L238)</f>
        <v>0</v>
      </c>
      <c r="M239" s="27">
        <f>SUM(M234:M238)</f>
        <v>0</v>
      </c>
    </row>
    <row r="240" spans="2:13" s="16" customFormat="1" x14ac:dyDescent="0.25">
      <c r="B240" s="229"/>
      <c r="C240" s="67"/>
      <c r="D240" s="67">
        <v>0</v>
      </c>
      <c r="E240" s="67">
        <v>0</v>
      </c>
      <c r="F240" s="67">
        <v>0</v>
      </c>
      <c r="G240" s="64">
        <f t="shared" si="38"/>
        <v>0</v>
      </c>
      <c r="H240" s="44"/>
      <c r="J240" s="26"/>
      <c r="K240" s="26"/>
      <c r="L240" s="27"/>
      <c r="M240" s="27"/>
    </row>
    <row r="241" spans="2:13" s="16" customFormat="1" x14ac:dyDescent="0.25">
      <c r="B241" s="229"/>
      <c r="C241" s="67"/>
      <c r="D241" s="67">
        <v>0</v>
      </c>
      <c r="E241" s="67">
        <v>0</v>
      </c>
      <c r="F241" s="67">
        <v>0</v>
      </c>
      <c r="G241" s="64">
        <f t="shared" si="38"/>
        <v>0</v>
      </c>
      <c r="H241" s="44"/>
      <c r="J241" s="26"/>
      <c r="K241" s="26"/>
      <c r="L241" s="27"/>
      <c r="M241" s="27"/>
    </row>
    <row r="242" spans="2:13" s="16" customFormat="1" x14ac:dyDescent="0.25">
      <c r="B242" s="229"/>
      <c r="C242" s="67"/>
      <c r="D242" s="67">
        <v>0</v>
      </c>
      <c r="E242" s="67">
        <v>0</v>
      </c>
      <c r="F242" s="67">
        <v>0</v>
      </c>
      <c r="G242" s="64">
        <f t="shared" si="38"/>
        <v>0</v>
      </c>
      <c r="H242" s="44"/>
      <c r="J242" s="26"/>
      <c r="K242" s="26"/>
      <c r="L242" s="27"/>
      <c r="M242" s="27"/>
    </row>
    <row r="243" spans="2:13" s="16" customFormat="1" x14ac:dyDescent="0.25">
      <c r="B243" s="229"/>
      <c r="C243" s="67"/>
      <c r="D243" s="67">
        <v>0</v>
      </c>
      <c r="E243" s="67">
        <v>0</v>
      </c>
      <c r="F243" s="67">
        <v>0</v>
      </c>
      <c r="G243" s="64">
        <f t="shared" si="38"/>
        <v>0</v>
      </c>
      <c r="H243" s="44"/>
      <c r="J243" s="26"/>
      <c r="K243" s="26"/>
      <c r="L243" s="27"/>
      <c r="M243" s="27"/>
    </row>
    <row r="244" spans="2:13" s="16" customFormat="1" x14ac:dyDescent="0.25">
      <c r="B244" s="229"/>
      <c r="C244" s="67"/>
      <c r="D244" s="67">
        <v>0</v>
      </c>
      <c r="E244" s="67">
        <v>0</v>
      </c>
      <c r="F244" s="67">
        <v>0</v>
      </c>
      <c r="G244" s="64">
        <f t="shared" si="38"/>
        <v>0</v>
      </c>
      <c r="H244" s="64"/>
      <c r="J244" s="26"/>
      <c r="K244" s="26"/>
      <c r="L244" s="27"/>
      <c r="M244" s="27"/>
    </row>
    <row r="245" spans="2:13" s="16" customFormat="1" x14ac:dyDescent="0.25">
      <c r="B245" s="229"/>
      <c r="C245" s="67"/>
      <c r="D245" s="64"/>
      <c r="E245" s="64"/>
      <c r="F245" s="64"/>
      <c r="G245" s="64">
        <v>0</v>
      </c>
      <c r="H245" s="64"/>
      <c r="J245" s="26"/>
      <c r="K245" s="26"/>
      <c r="L245" s="27"/>
      <c r="M245" s="27"/>
    </row>
    <row r="246" spans="2:13" x14ac:dyDescent="0.25">
      <c r="B246" s="229"/>
      <c r="C246" s="67"/>
      <c r="D246" s="38">
        <v>0</v>
      </c>
      <c r="E246" s="38">
        <v>0</v>
      </c>
      <c r="F246" s="38">
        <v>0</v>
      </c>
      <c r="G246" s="38">
        <v>0</v>
      </c>
      <c r="H246" s="38"/>
      <c r="I246" s="16"/>
    </row>
    <row r="247" spans="2:13" ht="15.75" x14ac:dyDescent="0.25">
      <c r="B247" s="230"/>
      <c r="C247" s="19" t="s">
        <v>17</v>
      </c>
      <c r="D247" s="19">
        <f t="shared" ref="D247" si="39">SUM(D234:D246)</f>
        <v>0</v>
      </c>
      <c r="E247" s="19">
        <f t="shared" ref="E247" si="40">SUM(E234:E246)</f>
        <v>0</v>
      </c>
      <c r="F247" s="19">
        <f t="shared" ref="F247" si="41">SUM(F234:F246)</f>
        <v>0</v>
      </c>
      <c r="G247" s="19">
        <f t="shared" ref="G247" si="42">SUM(G234:G246)</f>
        <v>0</v>
      </c>
      <c r="H247" s="19">
        <f t="shared" ref="H247" si="43">D233-E247</f>
        <v>2550000</v>
      </c>
      <c r="I247" s="20">
        <f>AE25+D247+H247</f>
        <v>2550000</v>
      </c>
      <c r="J247" s="16"/>
      <c r="K247" s="231"/>
      <c r="L247" s="231"/>
      <c r="M247" s="231"/>
    </row>
    <row r="248" spans="2:13" ht="15.75" x14ac:dyDescent="0.25">
      <c r="B248" s="228"/>
      <c r="C248" s="15" t="s">
        <v>18</v>
      </c>
      <c r="D248" s="38">
        <f>I247-M252</f>
        <v>2550000</v>
      </c>
      <c r="E248" s="38"/>
      <c r="F248" s="38"/>
      <c r="G248" s="38"/>
      <c r="H248" s="38"/>
      <c r="I248" s="16"/>
      <c r="J248" s="26" t="s">
        <v>23</v>
      </c>
      <c r="K248" s="26" t="s">
        <v>22</v>
      </c>
      <c r="L248" s="26" t="s">
        <v>20</v>
      </c>
      <c r="M248" s="26" t="s">
        <v>21</v>
      </c>
    </row>
    <row r="249" spans="2:13" x14ac:dyDescent="0.25">
      <c r="B249" s="229"/>
      <c r="C249" s="68" t="s">
        <v>44</v>
      </c>
      <c r="D249" s="38">
        <v>0</v>
      </c>
      <c r="E249" s="38">
        <v>0</v>
      </c>
      <c r="F249" s="38">
        <v>0</v>
      </c>
      <c r="G249" s="38">
        <v>0</v>
      </c>
      <c r="H249" s="38"/>
      <c r="I249" s="16"/>
      <c r="J249" s="26"/>
      <c r="K249" s="26">
        <v>0</v>
      </c>
      <c r="L249" s="26">
        <v>0</v>
      </c>
      <c r="M249" s="26">
        <f>K249-L249</f>
        <v>0</v>
      </c>
    </row>
    <row r="250" spans="2:13" x14ac:dyDescent="0.25">
      <c r="B250" s="229"/>
      <c r="C250" s="64"/>
      <c r="D250" s="38">
        <v>0</v>
      </c>
      <c r="E250" s="38">
        <v>0</v>
      </c>
      <c r="F250" s="38">
        <v>0</v>
      </c>
      <c r="G250" s="38">
        <v>0</v>
      </c>
      <c r="H250" s="38"/>
      <c r="I250" s="16"/>
      <c r="J250" s="26"/>
      <c r="K250" s="26">
        <v>0</v>
      </c>
      <c r="L250" s="26">
        <v>0</v>
      </c>
      <c r="M250" s="26">
        <f t="shared" ref="M250:M251" si="44">K250-L250</f>
        <v>0</v>
      </c>
    </row>
    <row r="251" spans="2:13" x14ac:dyDescent="0.25">
      <c r="B251" s="229"/>
      <c r="C251" s="17"/>
      <c r="D251" s="38">
        <v>0</v>
      </c>
      <c r="E251" s="38">
        <v>0</v>
      </c>
      <c r="F251" s="38">
        <v>0</v>
      </c>
      <c r="G251" s="38">
        <f t="shared" ref="G251:G253" si="45">E251+F251</f>
        <v>0</v>
      </c>
      <c r="H251" s="38"/>
      <c r="I251" s="16"/>
      <c r="J251" s="26"/>
      <c r="K251" s="26">
        <v>0</v>
      </c>
      <c r="L251" s="26">
        <v>0</v>
      </c>
      <c r="M251" s="26">
        <f t="shared" si="44"/>
        <v>0</v>
      </c>
    </row>
    <row r="252" spans="2:13" x14ac:dyDescent="0.25">
      <c r="B252" s="229"/>
      <c r="C252" s="38"/>
      <c r="D252" s="38">
        <v>0</v>
      </c>
      <c r="E252" s="38">
        <v>0</v>
      </c>
      <c r="F252" s="38">
        <v>0</v>
      </c>
      <c r="G252" s="38">
        <f t="shared" si="45"/>
        <v>0</v>
      </c>
      <c r="H252" s="38"/>
      <c r="I252" s="16"/>
      <c r="J252" s="26"/>
      <c r="K252" s="26"/>
      <c r="L252" s="27">
        <f>SUM(L249:L251)</f>
        <v>0</v>
      </c>
      <c r="M252" s="27">
        <f>SUM(M249:M251)</f>
        <v>0</v>
      </c>
    </row>
    <row r="253" spans="2:13" x14ac:dyDescent="0.25">
      <c r="B253" s="229"/>
      <c r="C253" s="38" t="s">
        <v>48</v>
      </c>
      <c r="D253" s="38">
        <v>24</v>
      </c>
      <c r="E253" s="38">
        <v>0</v>
      </c>
      <c r="F253" s="38">
        <v>0</v>
      </c>
      <c r="G253" s="38">
        <f t="shared" si="45"/>
        <v>0</v>
      </c>
      <c r="H253" s="38"/>
      <c r="I253" s="16"/>
    </row>
    <row r="254" spans="2:13" ht="15.75" x14ac:dyDescent="0.25">
      <c r="B254" s="230"/>
      <c r="C254" s="19" t="s">
        <v>17</v>
      </c>
      <c r="D254" s="19">
        <f t="shared" ref="D254" si="46">SUM(D249:D253)</f>
        <v>24</v>
      </c>
      <c r="E254" s="19">
        <f t="shared" ref="E254" si="47">SUM(E249:E253)</f>
        <v>0</v>
      </c>
      <c r="F254" s="19">
        <f t="shared" ref="F254" si="48">SUM(F249:F253)</f>
        <v>0</v>
      </c>
      <c r="G254" s="19">
        <f t="shared" ref="G254" si="49">SUM(G249:G253)</f>
        <v>0</v>
      </c>
      <c r="H254" s="19">
        <f t="shared" ref="H254" si="50">D248-E254</f>
        <v>2550000</v>
      </c>
      <c r="I254" s="20" t="e">
        <f>#REF!+D254+H247</f>
        <v>#REF!</v>
      </c>
      <c r="J254" s="16"/>
      <c r="K254" s="231"/>
      <c r="L254" s="231"/>
      <c r="M254" s="231"/>
    </row>
  </sheetData>
  <sortState ref="B5:B21">
    <sortCondition ref="B5"/>
  </sortState>
  <mergeCells count="53">
    <mergeCell ref="W3:X3"/>
    <mergeCell ref="Y3:Z3"/>
    <mergeCell ref="AI3:AJ3"/>
    <mergeCell ref="K181:M181"/>
    <mergeCell ref="K202:M202"/>
    <mergeCell ref="U3:V3"/>
    <mergeCell ref="K166:M166"/>
    <mergeCell ref="K90:M90"/>
    <mergeCell ref="K107:M107"/>
    <mergeCell ref="K121:M121"/>
    <mergeCell ref="K136:M136"/>
    <mergeCell ref="K151:M151"/>
    <mergeCell ref="K218:M218"/>
    <mergeCell ref="K232:M232"/>
    <mergeCell ref="K247:M247"/>
    <mergeCell ref="K254:M254"/>
    <mergeCell ref="B203:B218"/>
    <mergeCell ref="B219:B232"/>
    <mergeCell ref="B233:B247"/>
    <mergeCell ref="B248:B254"/>
    <mergeCell ref="B182:B202"/>
    <mergeCell ref="B152:B166"/>
    <mergeCell ref="B167:B181"/>
    <mergeCell ref="B76:B90"/>
    <mergeCell ref="B91:B107"/>
    <mergeCell ref="B108:B121"/>
    <mergeCell ref="B122:B136"/>
    <mergeCell ref="B137:B151"/>
    <mergeCell ref="F2:H2"/>
    <mergeCell ref="B29:B30"/>
    <mergeCell ref="O3:P3"/>
    <mergeCell ref="Q3:R3"/>
    <mergeCell ref="C29:D29"/>
    <mergeCell ref="E29:E30"/>
    <mergeCell ref="F29:F30"/>
    <mergeCell ref="G29:G30"/>
    <mergeCell ref="H29:H30"/>
    <mergeCell ref="I29:I30"/>
    <mergeCell ref="O28:R28"/>
    <mergeCell ref="B44:B59"/>
    <mergeCell ref="B60:B75"/>
    <mergeCell ref="C28:G28"/>
    <mergeCell ref="S3:T3"/>
    <mergeCell ref="C3:D3"/>
    <mergeCell ref="E3:F3"/>
    <mergeCell ref="G3:H3"/>
    <mergeCell ref="I3:J3"/>
    <mergeCell ref="K3:L3"/>
    <mergeCell ref="M3:N3"/>
    <mergeCell ref="K29:M29"/>
    <mergeCell ref="K43:M43"/>
    <mergeCell ref="K59:M59"/>
    <mergeCell ref="K75:M75"/>
  </mergeCells>
  <pageMargins left="0.7" right="0.7" top="0.75" bottom="0.75" header="0.3" footer="0.3"/>
  <pageSetup paperSize="9" orientation="portrait" horizontalDpi="300" verticalDpi="300" r:id="rId1"/>
  <ignoredErrors>
    <ignoredError sqref="D43:G43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54"/>
  <sheetViews>
    <sheetView topLeftCell="A9" zoomScaleNormal="100" workbookViewId="0">
      <pane xSplit="2" topLeftCell="R1" activePane="topRight" state="frozen"/>
      <selection activeCell="A2" sqref="A2"/>
      <selection pane="topRight" activeCell="AA28" sqref="AA28"/>
    </sheetView>
  </sheetViews>
  <sheetFormatPr baseColWidth="10" defaultRowHeight="15" x14ac:dyDescent="0.25"/>
  <cols>
    <col min="1" max="1" width="7" style="16" customWidth="1"/>
    <col min="2" max="2" width="26.42578125" style="16" customWidth="1"/>
    <col min="3" max="3" width="21.28515625" style="16" customWidth="1"/>
    <col min="4" max="4" width="10.7109375" style="16" customWidth="1"/>
    <col min="5" max="5" width="12" style="16" customWidth="1"/>
    <col min="6" max="6" width="11.7109375" style="16" customWidth="1"/>
    <col min="7" max="7" width="14.7109375" style="16" customWidth="1"/>
    <col min="8" max="8" width="11.7109375" style="16" customWidth="1"/>
    <col min="9" max="9" width="12.28515625" style="16" customWidth="1"/>
    <col min="10" max="10" width="21.140625" style="16" customWidth="1"/>
    <col min="11" max="11" width="13.5703125" style="16" customWidth="1"/>
    <col min="12" max="12" width="11.7109375" style="16" customWidth="1"/>
    <col min="13" max="13" width="12.7109375" style="16" customWidth="1"/>
    <col min="14" max="14" width="9.140625" style="16" customWidth="1"/>
    <col min="15" max="15" width="18.140625" style="16" customWidth="1"/>
    <col min="16" max="16" width="13.42578125" style="16" customWidth="1"/>
    <col min="17" max="17" width="12" style="16" customWidth="1"/>
    <col min="18" max="18" width="14.7109375" style="16" customWidth="1"/>
    <col min="19" max="19" width="12.140625" style="16" customWidth="1"/>
    <col min="20" max="26" width="11.7109375" style="16" customWidth="1"/>
    <col min="27" max="27" width="16.85546875" style="16" customWidth="1"/>
    <col min="28" max="35" width="11.7109375" style="16" customWidth="1"/>
    <col min="36" max="36" width="11.42578125" style="16"/>
    <col min="37" max="37" width="15.28515625" style="16" customWidth="1"/>
    <col min="38" max="16384" width="11.42578125" style="16"/>
  </cols>
  <sheetData>
    <row r="1" spans="1:37" x14ac:dyDescent="0.25">
      <c r="B1" s="1" t="s">
        <v>47</v>
      </c>
    </row>
    <row r="2" spans="1:37" ht="18.75" x14ac:dyDescent="0.3">
      <c r="B2" s="1"/>
      <c r="F2" s="259" t="s">
        <v>35</v>
      </c>
      <c r="G2" s="259"/>
      <c r="H2" s="259"/>
    </row>
    <row r="3" spans="1:37" ht="15.75" x14ac:dyDescent="0.25">
      <c r="B3" s="10" t="s">
        <v>9</v>
      </c>
      <c r="C3" s="242">
        <v>44941</v>
      </c>
      <c r="D3" s="242"/>
      <c r="E3" s="258" t="s">
        <v>261</v>
      </c>
      <c r="F3" s="258"/>
      <c r="G3" s="242">
        <v>45004</v>
      </c>
      <c r="H3" s="242"/>
      <c r="I3" s="258">
        <v>45032</v>
      </c>
      <c r="J3" s="258"/>
      <c r="K3" s="242">
        <v>45067</v>
      </c>
      <c r="L3" s="242"/>
      <c r="M3" s="258">
        <v>45095</v>
      </c>
      <c r="N3" s="258"/>
      <c r="O3" s="242">
        <v>45123</v>
      </c>
      <c r="P3" s="242"/>
      <c r="Q3" s="258" t="s">
        <v>385</v>
      </c>
      <c r="R3" s="258"/>
      <c r="S3" s="242">
        <v>45186</v>
      </c>
      <c r="T3" s="242"/>
      <c r="U3" s="242">
        <v>45214</v>
      </c>
      <c r="V3" s="242"/>
      <c r="W3" s="242">
        <v>45249</v>
      </c>
      <c r="X3" s="242"/>
      <c r="Y3" s="242" t="s">
        <v>51</v>
      </c>
      <c r="Z3" s="242"/>
      <c r="AA3" s="65"/>
      <c r="AB3" s="73"/>
      <c r="AC3" s="65"/>
      <c r="AD3" s="65"/>
      <c r="AE3" s="65"/>
      <c r="AF3" s="73"/>
      <c r="AG3" s="65"/>
      <c r="AH3" s="73"/>
      <c r="AI3" s="243"/>
      <c r="AJ3" s="243"/>
    </row>
    <row r="4" spans="1:37" ht="15.75" x14ac:dyDescent="0.25">
      <c r="B4" s="10" t="s">
        <v>8</v>
      </c>
      <c r="C4" s="14" t="s">
        <v>10</v>
      </c>
      <c r="D4" s="13" t="s">
        <v>11</v>
      </c>
      <c r="E4" s="14" t="s">
        <v>10</v>
      </c>
      <c r="F4" s="13" t="s">
        <v>11</v>
      </c>
      <c r="G4" s="14" t="s">
        <v>10</v>
      </c>
      <c r="H4" s="13" t="s">
        <v>11</v>
      </c>
      <c r="I4" s="14" t="s">
        <v>10</v>
      </c>
      <c r="J4" s="13" t="s">
        <v>11</v>
      </c>
      <c r="K4" s="14" t="s">
        <v>10</v>
      </c>
      <c r="L4" s="13" t="s">
        <v>11</v>
      </c>
      <c r="M4" s="14" t="s">
        <v>10</v>
      </c>
      <c r="N4" s="13" t="s">
        <v>11</v>
      </c>
      <c r="O4" s="14" t="s">
        <v>10</v>
      </c>
      <c r="P4" s="13" t="s">
        <v>11</v>
      </c>
      <c r="Q4" s="14" t="s">
        <v>10</v>
      </c>
      <c r="R4" s="13" t="s">
        <v>11</v>
      </c>
      <c r="S4" s="14" t="s">
        <v>10</v>
      </c>
      <c r="T4" s="13" t="s">
        <v>11</v>
      </c>
      <c r="U4" s="13" t="s">
        <v>16</v>
      </c>
      <c r="V4" s="13" t="s">
        <v>33</v>
      </c>
      <c r="W4" s="13" t="s">
        <v>16</v>
      </c>
      <c r="X4" s="13" t="s">
        <v>33</v>
      </c>
      <c r="Y4" s="13" t="s">
        <v>16</v>
      </c>
      <c r="Z4" s="13" t="s">
        <v>33</v>
      </c>
      <c r="AA4" s="13"/>
      <c r="AB4" s="13"/>
      <c r="AC4" s="13"/>
      <c r="AD4" s="13"/>
      <c r="AE4" s="13"/>
      <c r="AF4" s="13"/>
      <c r="AG4" s="13"/>
      <c r="AH4" s="13"/>
      <c r="AI4" s="14"/>
      <c r="AJ4" s="13"/>
      <c r="AK4" s="18"/>
    </row>
    <row r="5" spans="1:37" x14ac:dyDescent="0.25">
      <c r="A5" s="81">
        <v>1</v>
      </c>
      <c r="B5" s="151" t="s">
        <v>216</v>
      </c>
      <c r="C5" s="152">
        <v>100000</v>
      </c>
      <c r="D5" s="153"/>
      <c r="E5" s="152">
        <v>100000</v>
      </c>
      <c r="F5" s="152"/>
      <c r="G5" s="152">
        <v>100000</v>
      </c>
      <c r="H5" s="153">
        <v>10000</v>
      </c>
      <c r="I5" s="121">
        <v>100000</v>
      </c>
      <c r="J5" s="74"/>
      <c r="K5" s="121">
        <v>100000</v>
      </c>
      <c r="L5" s="74"/>
      <c r="M5" s="121">
        <v>100000</v>
      </c>
      <c r="N5" s="74"/>
      <c r="O5" s="121">
        <v>100000</v>
      </c>
      <c r="P5" s="74"/>
      <c r="Q5" s="121">
        <v>100000</v>
      </c>
      <c r="R5" s="74"/>
      <c r="S5" s="152">
        <v>100000</v>
      </c>
      <c r="T5" s="74"/>
      <c r="U5" s="152">
        <v>100000</v>
      </c>
      <c r="V5" s="74"/>
      <c r="W5" s="74"/>
      <c r="X5" s="74"/>
      <c r="Y5" s="74"/>
      <c r="Z5" s="74"/>
      <c r="AA5" s="77"/>
      <c r="AB5" s="77"/>
      <c r="AC5" s="77"/>
      <c r="AD5" s="77"/>
      <c r="AE5" s="77"/>
      <c r="AF5" s="78"/>
    </row>
    <row r="6" spans="1:37" x14ac:dyDescent="0.25">
      <c r="A6" s="81">
        <f>1+A5</f>
        <v>2</v>
      </c>
      <c r="B6" s="151" t="s">
        <v>217</v>
      </c>
      <c r="C6" s="152">
        <v>100000</v>
      </c>
      <c r="D6" s="153"/>
      <c r="E6" s="152">
        <v>100000</v>
      </c>
      <c r="F6" s="152"/>
      <c r="G6" s="152">
        <v>100000</v>
      </c>
      <c r="H6" s="153">
        <v>10000</v>
      </c>
      <c r="I6" s="121">
        <v>100000</v>
      </c>
      <c r="J6" s="74"/>
      <c r="K6" s="121">
        <v>100000</v>
      </c>
      <c r="L6" s="74"/>
      <c r="M6" s="121">
        <v>100000</v>
      </c>
      <c r="N6" s="74"/>
      <c r="O6" s="121">
        <v>100000</v>
      </c>
      <c r="P6" s="74"/>
      <c r="Q6" s="121">
        <v>100000</v>
      </c>
      <c r="R6" s="74"/>
      <c r="S6" s="152">
        <v>100000</v>
      </c>
      <c r="T6" s="74"/>
      <c r="U6" s="152">
        <v>100000</v>
      </c>
      <c r="V6" s="74"/>
      <c r="W6" s="74"/>
      <c r="X6" s="74"/>
      <c r="Y6" s="74"/>
      <c r="Z6" s="74"/>
      <c r="AA6" s="77"/>
      <c r="AB6" s="77"/>
      <c r="AC6" s="77"/>
      <c r="AD6" s="77"/>
      <c r="AE6" s="77"/>
      <c r="AF6" s="78"/>
    </row>
    <row r="7" spans="1:37" x14ac:dyDescent="0.25">
      <c r="A7" s="81">
        <f t="shared" ref="A7:A24" si="0">1+A6</f>
        <v>3</v>
      </c>
      <c r="B7" s="151" t="s">
        <v>218</v>
      </c>
      <c r="C7" s="152">
        <v>100000</v>
      </c>
      <c r="D7" s="153"/>
      <c r="E7" s="152">
        <v>100000</v>
      </c>
      <c r="F7" s="152"/>
      <c r="G7" s="152">
        <v>100000</v>
      </c>
      <c r="H7" s="153"/>
      <c r="I7" s="152">
        <v>100000</v>
      </c>
      <c r="J7" s="153"/>
      <c r="K7" s="152">
        <v>100000</v>
      </c>
      <c r="L7" s="153"/>
      <c r="M7" s="152">
        <v>100000</v>
      </c>
      <c r="N7" s="153"/>
      <c r="O7" s="152">
        <v>100000</v>
      </c>
      <c r="P7" s="153"/>
      <c r="Q7" s="152">
        <v>100000</v>
      </c>
      <c r="R7" s="153">
        <v>10000</v>
      </c>
      <c r="S7" s="152">
        <v>100000</v>
      </c>
      <c r="T7" s="76"/>
      <c r="U7" s="152">
        <v>100000</v>
      </c>
      <c r="V7" s="74"/>
      <c r="W7" s="74"/>
      <c r="X7" s="74"/>
      <c r="Y7" s="74"/>
      <c r="Z7" s="74"/>
      <c r="AA7" s="77"/>
      <c r="AB7" s="77"/>
      <c r="AC7" s="77"/>
      <c r="AD7" s="77"/>
      <c r="AE7" s="77"/>
      <c r="AF7" s="78"/>
    </row>
    <row r="8" spans="1:37" x14ac:dyDescent="0.25">
      <c r="A8" s="81">
        <f t="shared" si="0"/>
        <v>4</v>
      </c>
      <c r="B8" s="151" t="s">
        <v>37</v>
      </c>
      <c r="C8" s="152">
        <v>100000</v>
      </c>
      <c r="D8" s="153"/>
      <c r="E8" s="152">
        <v>100000</v>
      </c>
      <c r="F8" s="152">
        <v>28000</v>
      </c>
      <c r="G8" s="121">
        <v>100000</v>
      </c>
      <c r="H8" s="74"/>
      <c r="I8" s="121">
        <v>100000</v>
      </c>
      <c r="J8" s="74"/>
      <c r="K8" s="121">
        <v>100000</v>
      </c>
      <c r="L8" s="74"/>
      <c r="M8" s="121">
        <v>100000</v>
      </c>
      <c r="N8" s="74"/>
      <c r="O8" s="121">
        <v>100000</v>
      </c>
      <c r="P8" s="74"/>
      <c r="Q8" s="121">
        <v>100000</v>
      </c>
      <c r="R8" s="74"/>
      <c r="S8" s="152">
        <v>100000</v>
      </c>
      <c r="T8" s="74"/>
      <c r="U8" s="152">
        <v>100000</v>
      </c>
      <c r="V8" s="74"/>
      <c r="W8" s="74"/>
      <c r="X8" s="74"/>
      <c r="Y8" s="74"/>
      <c r="Z8" s="74"/>
      <c r="AA8" s="77"/>
      <c r="AB8" s="77"/>
      <c r="AC8" s="77"/>
      <c r="AD8" s="77"/>
      <c r="AE8" s="77"/>
      <c r="AF8" s="78"/>
    </row>
    <row r="9" spans="1:37" x14ac:dyDescent="0.25">
      <c r="A9" s="81">
        <f t="shared" si="0"/>
        <v>5</v>
      </c>
      <c r="B9" s="151" t="s">
        <v>94</v>
      </c>
      <c r="C9" s="191">
        <v>100000</v>
      </c>
      <c r="D9" s="192"/>
      <c r="E9" s="152">
        <v>100000</v>
      </c>
      <c r="F9" s="152">
        <v>28000</v>
      </c>
      <c r="G9" s="121">
        <v>100000</v>
      </c>
      <c r="H9" s="74"/>
      <c r="I9" s="121">
        <v>100000</v>
      </c>
      <c r="J9" s="74"/>
      <c r="K9" s="121">
        <v>100000</v>
      </c>
      <c r="L9" s="74"/>
      <c r="M9" s="121">
        <v>100000</v>
      </c>
      <c r="N9" s="74"/>
      <c r="O9" s="121">
        <v>100000</v>
      </c>
      <c r="P9" s="74"/>
      <c r="Q9" s="121">
        <v>100000</v>
      </c>
      <c r="R9" s="74"/>
      <c r="S9" s="152">
        <v>100000</v>
      </c>
      <c r="T9" s="74"/>
      <c r="U9" s="152">
        <v>100000</v>
      </c>
      <c r="V9" s="74"/>
      <c r="W9" s="74"/>
      <c r="X9" s="74"/>
      <c r="Y9" s="74"/>
      <c r="Z9" s="74"/>
      <c r="AA9" s="77"/>
      <c r="AB9" s="77"/>
      <c r="AC9" s="77"/>
      <c r="AD9" s="77"/>
      <c r="AE9" s="77"/>
      <c r="AF9" s="78"/>
    </row>
    <row r="10" spans="1:37" x14ac:dyDescent="0.25">
      <c r="A10" s="81">
        <f t="shared" si="0"/>
        <v>6</v>
      </c>
      <c r="B10" s="151" t="s">
        <v>36</v>
      </c>
      <c r="C10" s="152">
        <v>100000</v>
      </c>
      <c r="D10" s="153">
        <v>35000</v>
      </c>
      <c r="E10" s="152">
        <v>100000</v>
      </c>
      <c r="F10" s="152"/>
      <c r="G10" s="152">
        <v>100000</v>
      </c>
      <c r="H10" s="153"/>
      <c r="I10" s="152">
        <v>100000</v>
      </c>
      <c r="J10" s="153"/>
      <c r="K10" s="152">
        <v>100000</v>
      </c>
      <c r="L10" s="74"/>
      <c r="M10" s="152">
        <v>100000</v>
      </c>
      <c r="N10" s="153"/>
      <c r="O10" s="152">
        <v>100000</v>
      </c>
      <c r="P10" s="74"/>
      <c r="Q10" s="152">
        <v>100000</v>
      </c>
      <c r="R10" s="74"/>
      <c r="S10" s="152">
        <v>100000</v>
      </c>
      <c r="T10" s="74"/>
      <c r="U10" s="152">
        <v>100000</v>
      </c>
      <c r="V10" s="74"/>
      <c r="W10" s="74"/>
      <c r="X10" s="74"/>
      <c r="Y10" s="74"/>
      <c r="Z10" s="74"/>
      <c r="AA10" s="77"/>
      <c r="AB10" s="77"/>
      <c r="AC10" s="77"/>
      <c r="AD10" s="77"/>
      <c r="AE10" s="77"/>
      <c r="AF10" s="78"/>
    </row>
    <row r="11" spans="1:37" x14ac:dyDescent="0.25">
      <c r="A11" s="81">
        <f t="shared" si="0"/>
        <v>7</v>
      </c>
      <c r="B11" s="151" t="s">
        <v>207</v>
      </c>
      <c r="C11" s="152">
        <v>100000</v>
      </c>
      <c r="D11" s="153">
        <v>35000</v>
      </c>
      <c r="E11" s="152">
        <v>100000</v>
      </c>
      <c r="F11" s="152"/>
      <c r="G11" s="152">
        <v>100000</v>
      </c>
      <c r="H11" s="153"/>
      <c r="I11" s="152">
        <v>100000</v>
      </c>
      <c r="J11" s="153"/>
      <c r="K11" s="152">
        <v>100000</v>
      </c>
      <c r="L11" s="74"/>
      <c r="M11" s="152">
        <v>100000</v>
      </c>
      <c r="N11" s="153"/>
      <c r="O11" s="152">
        <v>100000</v>
      </c>
      <c r="P11" s="74"/>
      <c r="Q11" s="152">
        <v>100000</v>
      </c>
      <c r="R11" s="74"/>
      <c r="S11" s="152">
        <v>100000</v>
      </c>
      <c r="T11" s="74"/>
      <c r="U11" s="152">
        <v>100000</v>
      </c>
      <c r="V11" s="74"/>
      <c r="W11" s="74"/>
      <c r="X11" s="74"/>
      <c r="Y11" s="74"/>
      <c r="Z11" s="74"/>
      <c r="AA11" s="77"/>
      <c r="AB11" s="77"/>
      <c r="AC11" s="77"/>
      <c r="AD11" s="77"/>
      <c r="AE11" s="77"/>
      <c r="AF11" s="78"/>
    </row>
    <row r="12" spans="1:37" x14ac:dyDescent="0.25">
      <c r="A12" s="81">
        <f t="shared" si="0"/>
        <v>8</v>
      </c>
      <c r="B12" s="151" t="s">
        <v>219</v>
      </c>
      <c r="C12" s="152">
        <v>100000</v>
      </c>
      <c r="D12" s="153"/>
      <c r="E12" s="152">
        <v>100000</v>
      </c>
      <c r="F12" s="152"/>
      <c r="G12" s="152">
        <v>100000</v>
      </c>
      <c r="H12" s="167"/>
      <c r="I12" s="152">
        <v>100000</v>
      </c>
      <c r="J12" s="153"/>
      <c r="K12" s="152">
        <v>100000</v>
      </c>
      <c r="L12" s="153"/>
      <c r="M12" s="152">
        <v>100000</v>
      </c>
      <c r="N12" s="153">
        <v>10000</v>
      </c>
      <c r="O12" s="152">
        <v>100000</v>
      </c>
      <c r="P12" s="74"/>
      <c r="Q12" s="152">
        <v>100000</v>
      </c>
      <c r="R12" s="74"/>
      <c r="S12" s="152">
        <v>100000</v>
      </c>
      <c r="T12" s="74"/>
      <c r="U12" s="152">
        <v>100000</v>
      </c>
      <c r="V12" s="74"/>
      <c r="W12" s="74"/>
      <c r="X12" s="74"/>
      <c r="Y12" s="74"/>
      <c r="Z12" s="74"/>
      <c r="AA12" s="77"/>
      <c r="AB12" s="77"/>
      <c r="AC12" s="77"/>
      <c r="AD12" s="77"/>
      <c r="AE12" s="77"/>
      <c r="AF12" s="78"/>
    </row>
    <row r="13" spans="1:37" x14ac:dyDescent="0.25">
      <c r="A13" s="81">
        <f t="shared" si="0"/>
        <v>9</v>
      </c>
      <c r="B13" s="151" t="s">
        <v>220</v>
      </c>
      <c r="C13" s="152">
        <v>100000</v>
      </c>
      <c r="D13" s="153"/>
      <c r="E13" s="152">
        <v>100000</v>
      </c>
      <c r="F13" s="152"/>
      <c r="G13" s="152">
        <v>100000</v>
      </c>
      <c r="H13" s="153"/>
      <c r="I13" s="152">
        <v>100000</v>
      </c>
      <c r="J13" s="153"/>
      <c r="K13" s="152">
        <v>100000</v>
      </c>
      <c r="L13" s="153"/>
      <c r="M13" s="152">
        <v>100000</v>
      </c>
      <c r="N13" s="153"/>
      <c r="O13" s="152">
        <v>100000</v>
      </c>
      <c r="P13" s="153"/>
      <c r="Q13" s="152">
        <v>100000</v>
      </c>
      <c r="R13" s="153">
        <v>10000</v>
      </c>
      <c r="S13" s="152">
        <v>100000</v>
      </c>
      <c r="T13" s="74"/>
      <c r="U13" s="152">
        <v>100000</v>
      </c>
      <c r="V13" s="74"/>
      <c r="W13" s="74"/>
      <c r="X13" s="74"/>
      <c r="Y13" s="74"/>
      <c r="Z13" s="74"/>
      <c r="AA13" s="77"/>
      <c r="AB13" s="77"/>
      <c r="AC13" s="77"/>
      <c r="AD13" s="77"/>
      <c r="AE13" s="77"/>
      <c r="AF13" s="78"/>
      <c r="AJ13" s="21"/>
    </row>
    <row r="14" spans="1:37" x14ac:dyDescent="0.25">
      <c r="A14" s="81">
        <f t="shared" si="0"/>
        <v>10</v>
      </c>
      <c r="B14" s="151" t="s">
        <v>38</v>
      </c>
      <c r="C14" s="152">
        <v>100000</v>
      </c>
      <c r="D14" s="153">
        <v>35000</v>
      </c>
      <c r="E14" s="152">
        <v>100000</v>
      </c>
      <c r="F14" s="152"/>
      <c r="G14" s="152">
        <v>100000</v>
      </c>
      <c r="H14" s="153"/>
      <c r="I14" s="152">
        <v>100000</v>
      </c>
      <c r="J14" s="153"/>
      <c r="K14" s="152">
        <v>100000</v>
      </c>
      <c r="L14" s="74"/>
      <c r="M14" s="152">
        <v>100000</v>
      </c>
      <c r="N14" s="74"/>
      <c r="O14" s="152">
        <v>100000</v>
      </c>
      <c r="P14" s="74"/>
      <c r="Q14" s="152">
        <v>100000</v>
      </c>
      <c r="R14" s="74"/>
      <c r="S14" s="152">
        <v>100000</v>
      </c>
      <c r="T14" s="74"/>
      <c r="U14" s="152">
        <v>100000</v>
      </c>
      <c r="V14" s="74"/>
      <c r="W14" s="74"/>
      <c r="X14" s="74"/>
      <c r="Y14" s="74"/>
      <c r="Z14" s="74"/>
      <c r="AA14" s="77"/>
      <c r="AB14" s="77"/>
      <c r="AC14" s="77"/>
      <c r="AD14" s="77"/>
      <c r="AE14" s="77"/>
      <c r="AF14" s="78"/>
      <c r="AJ14" s="21"/>
    </row>
    <row r="15" spans="1:37" x14ac:dyDescent="0.25">
      <c r="A15" s="81">
        <f t="shared" si="0"/>
        <v>11</v>
      </c>
      <c r="B15" s="151" t="s">
        <v>221</v>
      </c>
      <c r="C15" s="152">
        <v>100000</v>
      </c>
      <c r="D15" s="153"/>
      <c r="E15" s="152">
        <v>100000</v>
      </c>
      <c r="F15" s="152"/>
      <c r="G15" s="152">
        <v>100000</v>
      </c>
      <c r="H15" s="153"/>
      <c r="I15" s="152">
        <v>100000</v>
      </c>
      <c r="J15" s="153">
        <v>20000</v>
      </c>
      <c r="K15" s="152">
        <v>100000</v>
      </c>
      <c r="L15" s="153"/>
      <c r="M15" s="152">
        <v>100000</v>
      </c>
      <c r="N15" s="153"/>
      <c r="O15" s="152">
        <v>100000</v>
      </c>
      <c r="P15" s="153"/>
      <c r="Q15" s="152">
        <v>100000</v>
      </c>
      <c r="R15" s="153"/>
      <c r="S15" s="152">
        <v>100000</v>
      </c>
      <c r="T15" s="74"/>
      <c r="U15" s="152">
        <v>100000</v>
      </c>
      <c r="V15" s="74"/>
      <c r="W15" s="74"/>
      <c r="X15" s="74"/>
      <c r="Y15" s="74"/>
      <c r="Z15" s="74"/>
      <c r="AA15" s="77"/>
      <c r="AB15" s="77"/>
      <c r="AC15" s="77"/>
      <c r="AD15" s="77"/>
      <c r="AE15" s="77"/>
      <c r="AF15" s="78"/>
    </row>
    <row r="16" spans="1:37" x14ac:dyDescent="0.25">
      <c r="A16" s="81">
        <f t="shared" si="0"/>
        <v>12</v>
      </c>
      <c r="B16" s="151" t="s">
        <v>222</v>
      </c>
      <c r="C16" s="152">
        <v>100000</v>
      </c>
      <c r="D16" s="153"/>
      <c r="E16" s="152">
        <v>100000</v>
      </c>
      <c r="F16" s="152"/>
      <c r="G16" s="152">
        <v>100000</v>
      </c>
      <c r="H16" s="153"/>
      <c r="I16" s="152">
        <v>100000</v>
      </c>
      <c r="J16" s="153"/>
      <c r="K16" s="152">
        <v>100000</v>
      </c>
      <c r="L16" s="153">
        <v>10000</v>
      </c>
      <c r="M16" s="152">
        <v>100000</v>
      </c>
      <c r="N16" s="153"/>
      <c r="O16" s="152">
        <v>100000</v>
      </c>
      <c r="P16" s="153"/>
      <c r="Q16" s="152">
        <v>100000</v>
      </c>
      <c r="R16" s="153"/>
      <c r="S16" s="152">
        <v>100000</v>
      </c>
      <c r="T16" s="74"/>
      <c r="U16" s="152">
        <v>100000</v>
      </c>
      <c r="V16" s="74"/>
      <c r="W16" s="74"/>
      <c r="X16" s="74"/>
      <c r="Y16" s="74"/>
      <c r="Z16" s="74"/>
      <c r="AA16" s="77"/>
      <c r="AB16" s="77"/>
      <c r="AC16" s="77"/>
      <c r="AD16" s="77"/>
      <c r="AE16" s="77"/>
      <c r="AF16" s="78"/>
    </row>
    <row r="17" spans="1:36" x14ac:dyDescent="0.25">
      <c r="A17" s="81">
        <f t="shared" si="0"/>
        <v>13</v>
      </c>
      <c r="B17" s="151" t="s">
        <v>107</v>
      </c>
      <c r="C17" s="152">
        <v>100000</v>
      </c>
      <c r="D17" s="153"/>
      <c r="E17" s="152">
        <v>100000</v>
      </c>
      <c r="F17" s="152"/>
      <c r="G17" s="152">
        <v>100000</v>
      </c>
      <c r="H17" s="153"/>
      <c r="I17" s="152">
        <v>100000</v>
      </c>
      <c r="J17" s="153"/>
      <c r="K17" s="152">
        <v>100000</v>
      </c>
      <c r="L17" s="153"/>
      <c r="M17" s="152">
        <v>100000</v>
      </c>
      <c r="N17" s="153">
        <v>10000</v>
      </c>
      <c r="O17" s="152">
        <v>100000</v>
      </c>
      <c r="P17" s="153"/>
      <c r="Q17" s="152">
        <v>100000</v>
      </c>
      <c r="R17" s="153"/>
      <c r="S17" s="152">
        <v>100000</v>
      </c>
      <c r="T17" s="74"/>
      <c r="U17" s="152">
        <v>100000</v>
      </c>
      <c r="V17" s="74"/>
      <c r="W17" s="74"/>
      <c r="X17" s="74"/>
      <c r="Y17" s="74"/>
      <c r="Z17" s="74"/>
      <c r="AA17" s="77"/>
      <c r="AB17" s="77"/>
      <c r="AC17" s="77"/>
      <c r="AD17" s="77"/>
      <c r="AE17" s="77"/>
      <c r="AF17" s="78"/>
    </row>
    <row r="18" spans="1:36" x14ac:dyDescent="0.25">
      <c r="A18" s="81">
        <f t="shared" si="0"/>
        <v>14</v>
      </c>
      <c r="B18" s="80" t="s">
        <v>88</v>
      </c>
      <c r="C18" s="154">
        <v>100000</v>
      </c>
      <c r="D18" s="154"/>
      <c r="E18" s="154">
        <v>100000</v>
      </c>
      <c r="F18" s="121"/>
      <c r="G18" s="121">
        <v>100000</v>
      </c>
      <c r="H18" s="75"/>
      <c r="I18" s="121">
        <v>100000</v>
      </c>
      <c r="J18" s="74"/>
      <c r="K18" s="121">
        <v>100000</v>
      </c>
      <c r="L18" s="74"/>
      <c r="M18" s="121">
        <v>100000</v>
      </c>
      <c r="N18" s="74"/>
      <c r="O18" s="121">
        <v>100000</v>
      </c>
      <c r="P18" s="74"/>
      <c r="Q18" s="121">
        <v>100000</v>
      </c>
      <c r="R18" s="74"/>
      <c r="S18" s="121">
        <v>100000</v>
      </c>
      <c r="T18" s="74"/>
      <c r="U18" s="121">
        <v>100000</v>
      </c>
      <c r="V18" s="74"/>
      <c r="W18" s="74"/>
      <c r="X18" s="74">
        <v>10000</v>
      </c>
      <c r="Y18" s="74"/>
      <c r="Z18" s="74"/>
      <c r="AA18" s="77"/>
      <c r="AB18" s="77"/>
      <c r="AC18" s="77"/>
      <c r="AD18" s="77"/>
      <c r="AE18" s="77"/>
      <c r="AF18" s="78"/>
    </row>
    <row r="19" spans="1:36" x14ac:dyDescent="0.25">
      <c r="A19" s="81">
        <f t="shared" si="0"/>
        <v>15</v>
      </c>
      <c r="B19" s="80"/>
      <c r="C19" s="74"/>
      <c r="D19" s="74"/>
      <c r="E19" s="76"/>
      <c r="F19" s="74"/>
      <c r="G19" s="75"/>
      <c r="H19" s="74"/>
      <c r="I19" s="75"/>
      <c r="J19" s="74"/>
      <c r="K19" s="74"/>
      <c r="L19" s="74"/>
      <c r="M19" s="74"/>
      <c r="N19" s="74"/>
      <c r="O19" s="74"/>
      <c r="P19" s="74"/>
      <c r="Q19" s="74"/>
      <c r="R19" s="74"/>
      <c r="S19" s="74"/>
      <c r="T19" s="74"/>
      <c r="U19" s="74"/>
      <c r="V19" s="74"/>
      <c r="W19" s="74"/>
      <c r="X19" s="74"/>
      <c r="Y19" s="74"/>
      <c r="Z19" s="74"/>
      <c r="AA19" s="77"/>
      <c r="AB19" s="77"/>
      <c r="AC19" s="77"/>
      <c r="AD19" s="77"/>
      <c r="AE19" s="77"/>
      <c r="AF19" s="78"/>
    </row>
    <row r="20" spans="1:36" x14ac:dyDescent="0.25">
      <c r="A20" s="81">
        <f t="shared" si="0"/>
        <v>16</v>
      </c>
      <c r="B20" s="80"/>
      <c r="C20" s="74"/>
      <c r="D20" s="74"/>
      <c r="E20" s="74"/>
      <c r="F20" s="74"/>
      <c r="G20" s="75"/>
      <c r="H20" s="74"/>
      <c r="I20" s="74"/>
      <c r="J20" s="74"/>
      <c r="K20" s="74"/>
      <c r="L20" s="74"/>
      <c r="M20" s="74"/>
      <c r="N20" s="74"/>
      <c r="O20" s="74"/>
      <c r="P20" s="74"/>
      <c r="Q20" s="76"/>
      <c r="R20" s="74"/>
      <c r="S20" s="74"/>
      <c r="T20" s="74"/>
      <c r="U20" s="74"/>
      <c r="V20" s="74"/>
      <c r="W20" s="74"/>
      <c r="X20" s="74"/>
      <c r="Y20" s="74"/>
      <c r="Z20" s="74"/>
      <c r="AA20" s="77"/>
      <c r="AB20" s="77"/>
      <c r="AC20" s="77"/>
      <c r="AD20" s="77"/>
      <c r="AE20" s="77"/>
      <c r="AF20" s="78"/>
    </row>
    <row r="21" spans="1:36" x14ac:dyDescent="0.25">
      <c r="A21" s="81">
        <f t="shared" si="0"/>
        <v>17</v>
      </c>
      <c r="B21" s="80"/>
      <c r="C21" s="74"/>
      <c r="D21" s="74"/>
      <c r="E21" s="74"/>
      <c r="F21" s="74"/>
      <c r="G21" s="75"/>
      <c r="H21" s="74"/>
      <c r="I21" s="74"/>
      <c r="J21" s="74"/>
      <c r="K21" s="74"/>
      <c r="L21" s="74"/>
      <c r="M21" s="74"/>
      <c r="N21" s="74"/>
      <c r="O21" s="74"/>
      <c r="P21" s="74"/>
      <c r="Q21" s="74"/>
      <c r="R21" s="74"/>
      <c r="S21" s="74"/>
      <c r="T21" s="74"/>
      <c r="U21" s="74"/>
      <c r="V21" s="74"/>
      <c r="W21" s="74"/>
      <c r="X21" s="74"/>
      <c r="Y21" s="74"/>
      <c r="Z21" s="74"/>
      <c r="AA21" s="77"/>
      <c r="AB21" s="77"/>
      <c r="AC21" s="77"/>
      <c r="AD21" s="77"/>
      <c r="AE21" s="77"/>
      <c r="AF21" s="78"/>
    </row>
    <row r="22" spans="1:36" x14ac:dyDescent="0.25">
      <c r="A22" s="81">
        <f t="shared" si="0"/>
        <v>18</v>
      </c>
      <c r="B22" s="80"/>
      <c r="C22" s="74"/>
      <c r="D22" s="74"/>
      <c r="E22" s="74"/>
      <c r="F22" s="74"/>
      <c r="G22" s="75"/>
      <c r="H22" s="74"/>
      <c r="I22" s="74"/>
      <c r="J22" s="74"/>
      <c r="K22" s="74"/>
      <c r="L22" s="74"/>
      <c r="M22" s="74"/>
      <c r="N22" s="74"/>
      <c r="O22" s="74"/>
      <c r="P22" s="74"/>
      <c r="Q22" s="74"/>
      <c r="R22" s="74"/>
      <c r="S22" s="74"/>
      <c r="T22" s="74"/>
      <c r="U22" s="74"/>
      <c r="V22" s="74"/>
      <c r="W22" s="74"/>
      <c r="X22" s="74"/>
      <c r="Y22" s="74"/>
      <c r="Z22" s="74"/>
      <c r="AA22" s="77"/>
      <c r="AB22" s="77"/>
      <c r="AC22" s="77"/>
      <c r="AD22" s="77"/>
      <c r="AE22" s="77"/>
      <c r="AF22" s="78"/>
    </row>
    <row r="23" spans="1:36" x14ac:dyDescent="0.25">
      <c r="A23" s="81">
        <f t="shared" si="0"/>
        <v>19</v>
      </c>
      <c r="B23" s="80"/>
      <c r="C23" s="74"/>
      <c r="D23" s="74"/>
      <c r="E23" s="74"/>
      <c r="F23" s="74"/>
      <c r="G23" s="75"/>
      <c r="H23" s="74"/>
      <c r="I23" s="74"/>
      <c r="J23" s="74"/>
      <c r="K23" s="74"/>
      <c r="L23" s="74"/>
      <c r="M23" s="74"/>
      <c r="N23" s="74"/>
      <c r="O23" s="74"/>
      <c r="P23" s="74"/>
      <c r="Q23" s="74"/>
      <c r="R23" s="74"/>
      <c r="S23" s="74"/>
      <c r="T23" s="74"/>
      <c r="U23" s="74"/>
      <c r="V23" s="74"/>
      <c r="W23" s="74"/>
      <c r="X23" s="74"/>
      <c r="Y23" s="74"/>
      <c r="Z23" s="74"/>
      <c r="AA23" s="77"/>
      <c r="AB23" s="77"/>
      <c r="AC23" s="77"/>
      <c r="AD23" s="77"/>
      <c r="AE23" s="77"/>
      <c r="AF23" s="78"/>
    </row>
    <row r="24" spans="1:36" x14ac:dyDescent="0.25">
      <c r="A24" s="81">
        <f t="shared" si="0"/>
        <v>20</v>
      </c>
      <c r="B24" s="80"/>
      <c r="C24" s="74"/>
      <c r="D24" s="74"/>
      <c r="E24" s="74"/>
      <c r="F24" s="74"/>
      <c r="G24" s="75"/>
      <c r="H24" s="74"/>
      <c r="I24" s="74"/>
      <c r="J24" s="74"/>
      <c r="K24" s="76"/>
      <c r="L24" s="74"/>
      <c r="M24" s="74"/>
      <c r="N24" s="74"/>
      <c r="O24" s="74"/>
      <c r="P24" s="74"/>
      <c r="Q24" s="74"/>
      <c r="R24" s="74"/>
      <c r="S24" s="74"/>
      <c r="T24" s="74"/>
      <c r="U24" s="75"/>
      <c r="V24" s="74"/>
      <c r="W24" s="74"/>
      <c r="X24" s="74"/>
      <c r="Y24" s="74"/>
      <c r="Z24" s="74"/>
      <c r="AA24" s="77"/>
      <c r="AB24" s="77"/>
      <c r="AC24" s="77"/>
      <c r="AD24" s="77"/>
      <c r="AE24" s="77"/>
      <c r="AF24" s="78"/>
    </row>
    <row r="25" spans="1:36" ht="15.75" x14ac:dyDescent="0.25">
      <c r="B25" s="9" t="s">
        <v>0</v>
      </c>
      <c r="C25" s="11">
        <f t="shared" ref="C25:S25" si="1">SUM(C5:C24)</f>
        <v>1400000</v>
      </c>
      <c r="D25" s="12">
        <f t="shared" si="1"/>
        <v>105000</v>
      </c>
      <c r="E25" s="11">
        <f t="shared" si="1"/>
        <v>1400000</v>
      </c>
      <c r="F25" s="12">
        <f t="shared" si="1"/>
        <v>56000</v>
      </c>
      <c r="G25" s="11">
        <f t="shared" si="1"/>
        <v>1400000</v>
      </c>
      <c r="H25" s="12">
        <f t="shared" si="1"/>
        <v>20000</v>
      </c>
      <c r="I25" s="11">
        <f t="shared" si="1"/>
        <v>1400000</v>
      </c>
      <c r="J25" s="12">
        <f t="shared" si="1"/>
        <v>20000</v>
      </c>
      <c r="K25" s="11">
        <f t="shared" si="1"/>
        <v>1400000</v>
      </c>
      <c r="L25" s="12">
        <f t="shared" si="1"/>
        <v>10000</v>
      </c>
      <c r="M25" s="11">
        <f t="shared" si="1"/>
        <v>1400000</v>
      </c>
      <c r="N25" s="12">
        <f t="shared" si="1"/>
        <v>20000</v>
      </c>
      <c r="O25" s="11">
        <f t="shared" si="1"/>
        <v>1400000</v>
      </c>
      <c r="P25" s="12">
        <f t="shared" si="1"/>
        <v>0</v>
      </c>
      <c r="Q25" s="11">
        <f t="shared" si="1"/>
        <v>1400000</v>
      </c>
      <c r="R25" s="12">
        <f t="shared" si="1"/>
        <v>20000</v>
      </c>
      <c r="S25" s="11">
        <f t="shared" si="1"/>
        <v>1400000</v>
      </c>
      <c r="T25" s="12">
        <f>SUM(T5:T16)</f>
        <v>0</v>
      </c>
      <c r="U25" s="11">
        <f t="shared" ref="U25:AF25" si="2">SUM(U5:U24)</f>
        <v>1400000</v>
      </c>
      <c r="V25" s="12">
        <f t="shared" si="2"/>
        <v>0</v>
      </c>
      <c r="W25" s="12">
        <f t="shared" si="2"/>
        <v>0</v>
      </c>
      <c r="X25" s="12">
        <f t="shared" si="2"/>
        <v>10000</v>
      </c>
      <c r="Y25" s="12">
        <f t="shared" si="2"/>
        <v>0</v>
      </c>
      <c r="Z25" s="12">
        <f t="shared" si="2"/>
        <v>0</v>
      </c>
      <c r="AA25" s="12">
        <f>+X25+V25+Z25+T25+R25+P25+N25+L25+J25+H25+F25+D25</f>
        <v>261000</v>
      </c>
      <c r="AB25" s="12">
        <f t="shared" si="2"/>
        <v>0</v>
      </c>
      <c r="AC25" s="12">
        <f t="shared" si="2"/>
        <v>0</v>
      </c>
      <c r="AD25" s="12">
        <f t="shared" si="2"/>
        <v>0</v>
      </c>
      <c r="AE25" s="12">
        <f t="shared" si="2"/>
        <v>0</v>
      </c>
      <c r="AF25" s="12">
        <f t="shared" si="2"/>
        <v>0</v>
      </c>
      <c r="AG25" s="12"/>
      <c r="AH25" s="12"/>
      <c r="AI25" s="11">
        <f>SUM(AI5:AI16)</f>
        <v>0</v>
      </c>
      <c r="AJ25" s="12">
        <f>SUM(AJ5:AJ16)</f>
        <v>0</v>
      </c>
    </row>
    <row r="26" spans="1:36" x14ac:dyDescent="0.25">
      <c r="C26" s="1" t="s">
        <v>211</v>
      </c>
      <c r="D26" s="155">
        <v>250000</v>
      </c>
      <c r="E26" s="16" t="s">
        <v>212</v>
      </c>
      <c r="G26" s="16" t="s">
        <v>213</v>
      </c>
      <c r="I26" s="16" t="s">
        <v>214</v>
      </c>
      <c r="K26" s="16" t="s">
        <v>215</v>
      </c>
      <c r="L26" s="16">
        <v>85500</v>
      </c>
      <c r="M26" s="16" t="s">
        <v>30</v>
      </c>
      <c r="N26" s="16">
        <v>93500</v>
      </c>
      <c r="O26" s="16" t="s">
        <v>31</v>
      </c>
      <c r="P26" s="16">
        <v>240500</v>
      </c>
      <c r="Q26" s="16" t="s">
        <v>32</v>
      </c>
      <c r="R26" s="16">
        <v>-53500</v>
      </c>
      <c r="S26" s="16" t="s">
        <v>32</v>
      </c>
      <c r="T26" s="16">
        <v>0</v>
      </c>
      <c r="U26" s="16" t="s">
        <v>32</v>
      </c>
      <c r="AA26" s="204">
        <f>+F43+F59+F75+F90+F107+F121+F136+F151+F166+F181+F202+F218</f>
        <v>76500</v>
      </c>
      <c r="AI26" s="16" t="s">
        <v>13</v>
      </c>
      <c r="AJ26" s="16">
        <v>0</v>
      </c>
    </row>
    <row r="27" spans="1:36" x14ac:dyDescent="0.25">
      <c r="AA27" s="16">
        <f>SUM(AA25:AA26)</f>
        <v>337500</v>
      </c>
    </row>
    <row r="28" spans="1:36" ht="21" x14ac:dyDescent="0.35">
      <c r="B28" s="4"/>
      <c r="C28" s="244" t="s">
        <v>19</v>
      </c>
      <c r="D28" s="245"/>
      <c r="E28" s="245"/>
      <c r="F28" s="245"/>
      <c r="G28" s="246"/>
      <c r="H28" s="8"/>
      <c r="I28" s="4"/>
      <c r="O28" s="247" t="s">
        <v>29</v>
      </c>
      <c r="P28" s="247"/>
      <c r="Q28" s="247"/>
      <c r="R28" s="247"/>
      <c r="AA28" s="207">
        <f>+AA27/14</f>
        <v>24107.142857142859</v>
      </c>
    </row>
    <row r="29" spans="1:36" ht="31.5" x14ac:dyDescent="0.25">
      <c r="B29" s="248" t="s">
        <v>5</v>
      </c>
      <c r="C29" s="250" t="s">
        <v>6</v>
      </c>
      <c r="D29" s="251"/>
      <c r="E29" s="252" t="s">
        <v>2</v>
      </c>
      <c r="F29" s="254" t="s">
        <v>4</v>
      </c>
      <c r="G29" s="254" t="s">
        <v>7</v>
      </c>
      <c r="H29" s="256" t="s">
        <v>15</v>
      </c>
      <c r="I29" s="240" t="s">
        <v>14</v>
      </c>
      <c r="K29" s="241">
        <v>44941</v>
      </c>
      <c r="L29" s="241"/>
      <c r="M29" s="241"/>
      <c r="O29" s="30" t="s">
        <v>23</v>
      </c>
      <c r="P29" s="30" t="s">
        <v>25</v>
      </c>
      <c r="Q29" s="31" t="s">
        <v>26</v>
      </c>
      <c r="R29" s="32" t="s">
        <v>27</v>
      </c>
      <c r="S29" s="29"/>
    </row>
    <row r="30" spans="1:36" ht="15.75" x14ac:dyDescent="0.25">
      <c r="B30" s="249"/>
      <c r="C30" s="5" t="s">
        <v>12</v>
      </c>
      <c r="D30" s="6" t="s">
        <v>3</v>
      </c>
      <c r="E30" s="253"/>
      <c r="F30" s="255"/>
      <c r="G30" s="255"/>
      <c r="H30" s="257"/>
      <c r="I30" s="240"/>
      <c r="J30" s="26" t="s">
        <v>23</v>
      </c>
      <c r="K30" s="26" t="s">
        <v>22</v>
      </c>
      <c r="L30" s="26" t="s">
        <v>20</v>
      </c>
      <c r="M30" s="26" t="s">
        <v>21</v>
      </c>
      <c r="O30" s="3"/>
      <c r="P30" s="16">
        <v>1</v>
      </c>
      <c r="Q30" s="28">
        <f>D248/P64</f>
        <v>32625</v>
      </c>
      <c r="R30" s="24">
        <f>P30*$Q$30</f>
        <v>32625</v>
      </c>
    </row>
    <row r="31" spans="1:36" ht="15.75" x14ac:dyDescent="0.25">
      <c r="B31" s="79">
        <v>44941</v>
      </c>
      <c r="C31" s="15" t="s">
        <v>18</v>
      </c>
      <c r="D31" s="72">
        <f>C25-M34</f>
        <v>-1825000</v>
      </c>
      <c r="E31" s="72"/>
      <c r="F31" s="72"/>
      <c r="G31" s="72"/>
      <c r="H31" s="72"/>
      <c r="J31" s="26" t="s">
        <v>207</v>
      </c>
      <c r="K31" s="26">
        <v>1200000</v>
      </c>
      <c r="L31" s="26">
        <v>125000</v>
      </c>
      <c r="M31" s="26">
        <f>K31-L31</f>
        <v>1075000</v>
      </c>
      <c r="O31" s="3"/>
      <c r="P31" s="16">
        <v>1</v>
      </c>
      <c r="Q31" s="28">
        <v>0</v>
      </c>
      <c r="R31" s="24">
        <f t="shared" ref="R31:R62" si="3">P31*$Q$30</f>
        <v>32625</v>
      </c>
    </row>
    <row r="32" spans="1:36" ht="15.75" x14ac:dyDescent="0.25">
      <c r="B32" s="79"/>
      <c r="C32" s="72" t="s">
        <v>232</v>
      </c>
      <c r="D32" s="72">
        <v>0</v>
      </c>
      <c r="E32" s="72">
        <v>25000</v>
      </c>
      <c r="F32" s="72">
        <v>1000</v>
      </c>
      <c r="G32" s="72">
        <f>E32+F32</f>
        <v>26000</v>
      </c>
      <c r="H32" s="72">
        <v>26000</v>
      </c>
      <c r="J32" s="26" t="s">
        <v>38</v>
      </c>
      <c r="K32" s="26">
        <v>1200000</v>
      </c>
      <c r="L32" s="26">
        <v>125000</v>
      </c>
      <c r="M32" s="26">
        <f t="shared" ref="M32:M33" si="4">K32-L32</f>
        <v>1075000</v>
      </c>
      <c r="O32" s="3"/>
      <c r="P32" s="16">
        <v>1</v>
      </c>
      <c r="Q32" s="28">
        <v>0</v>
      </c>
      <c r="R32" s="24">
        <f t="shared" si="3"/>
        <v>32625</v>
      </c>
    </row>
    <row r="33" spans="2:18" ht="15.75" x14ac:dyDescent="0.25">
      <c r="B33" s="79"/>
      <c r="C33" s="72" t="s">
        <v>233</v>
      </c>
      <c r="D33" s="72">
        <v>0</v>
      </c>
      <c r="E33" s="72">
        <v>100000</v>
      </c>
      <c r="F33" s="72">
        <v>4000</v>
      </c>
      <c r="G33" s="72">
        <f t="shared" ref="G33:G42" si="5">E33+F33</f>
        <v>104000</v>
      </c>
      <c r="H33" s="72">
        <v>104000</v>
      </c>
      <c r="J33" s="26" t="s">
        <v>206</v>
      </c>
      <c r="K33" s="26">
        <v>1200000</v>
      </c>
      <c r="L33" s="26">
        <v>125000</v>
      </c>
      <c r="M33" s="26">
        <f t="shared" si="4"/>
        <v>1075000</v>
      </c>
      <c r="O33" s="3"/>
      <c r="P33" s="16">
        <v>1</v>
      </c>
      <c r="Q33" s="28">
        <v>0</v>
      </c>
      <c r="R33" s="24">
        <f t="shared" si="3"/>
        <v>32625</v>
      </c>
    </row>
    <row r="34" spans="2:18" ht="15.75" x14ac:dyDescent="0.25">
      <c r="B34" s="79"/>
      <c r="C34" s="72" t="s">
        <v>234</v>
      </c>
      <c r="D34" s="72">
        <v>0</v>
      </c>
      <c r="E34" s="72">
        <v>50000</v>
      </c>
      <c r="F34" s="72">
        <v>2000</v>
      </c>
      <c r="G34" s="72">
        <f t="shared" si="5"/>
        <v>52000</v>
      </c>
      <c r="H34" s="72">
        <v>52000</v>
      </c>
      <c r="J34" s="26"/>
      <c r="K34" s="26"/>
      <c r="L34" s="27">
        <f>SUM(L31:L33)</f>
        <v>375000</v>
      </c>
      <c r="M34" s="27">
        <f>SUM(M31:M33)</f>
        <v>3225000</v>
      </c>
      <c r="O34" s="3"/>
      <c r="P34" s="16">
        <v>1</v>
      </c>
      <c r="Q34" s="28">
        <v>0</v>
      </c>
      <c r="R34" s="24">
        <f t="shared" si="3"/>
        <v>32625</v>
      </c>
    </row>
    <row r="35" spans="2:18" ht="15.75" x14ac:dyDescent="0.25">
      <c r="B35" s="79"/>
      <c r="C35" s="72" t="s">
        <v>233</v>
      </c>
      <c r="D35" s="72">
        <v>0</v>
      </c>
      <c r="E35" s="72">
        <v>100000</v>
      </c>
      <c r="F35" s="72">
        <v>4000</v>
      </c>
      <c r="G35" s="72">
        <f t="shared" si="5"/>
        <v>104000</v>
      </c>
      <c r="H35" s="72">
        <v>104000</v>
      </c>
      <c r="O35" s="3"/>
      <c r="P35" s="16">
        <v>1</v>
      </c>
      <c r="Q35" s="28">
        <v>0</v>
      </c>
      <c r="R35" s="24">
        <f t="shared" si="3"/>
        <v>32625</v>
      </c>
    </row>
    <row r="36" spans="2:18" ht="15.75" x14ac:dyDescent="0.25">
      <c r="B36" s="79"/>
      <c r="C36" s="72" t="s">
        <v>232</v>
      </c>
      <c r="D36" s="72">
        <v>0</v>
      </c>
      <c r="E36" s="72">
        <v>50000</v>
      </c>
      <c r="F36" s="72">
        <v>2000</v>
      </c>
      <c r="G36" s="72">
        <f t="shared" si="5"/>
        <v>52000</v>
      </c>
      <c r="H36" s="72">
        <v>52000</v>
      </c>
      <c r="O36" s="3"/>
      <c r="P36" s="16">
        <v>1</v>
      </c>
      <c r="Q36" s="28">
        <v>0</v>
      </c>
      <c r="R36" s="24">
        <f t="shared" si="3"/>
        <v>32625</v>
      </c>
    </row>
    <row r="37" spans="2:18" ht="15.75" x14ac:dyDescent="0.25">
      <c r="B37" s="79"/>
      <c r="C37" s="72" t="s">
        <v>88</v>
      </c>
      <c r="D37" s="72">
        <v>0</v>
      </c>
      <c r="E37" s="72">
        <v>250000</v>
      </c>
      <c r="F37" s="72">
        <v>0</v>
      </c>
      <c r="G37" s="72">
        <f t="shared" si="5"/>
        <v>250000</v>
      </c>
      <c r="H37" s="72">
        <v>250000</v>
      </c>
      <c r="O37" s="3"/>
      <c r="P37" s="16">
        <v>1</v>
      </c>
      <c r="Q37" s="28">
        <v>0</v>
      </c>
      <c r="R37" s="24">
        <f t="shared" si="3"/>
        <v>32625</v>
      </c>
    </row>
    <row r="38" spans="2:18" ht="15.75" x14ac:dyDescent="0.25">
      <c r="B38" s="79"/>
      <c r="C38" s="72"/>
      <c r="D38" s="72">
        <v>0</v>
      </c>
      <c r="E38" s="72">
        <v>0</v>
      </c>
      <c r="F38" s="72">
        <v>0</v>
      </c>
      <c r="G38" s="72">
        <f t="shared" si="5"/>
        <v>0</v>
      </c>
      <c r="H38" s="72"/>
      <c r="O38" s="3"/>
      <c r="P38" s="16">
        <v>1</v>
      </c>
      <c r="Q38" s="28">
        <v>0</v>
      </c>
      <c r="R38" s="24">
        <f t="shared" si="3"/>
        <v>32625</v>
      </c>
    </row>
    <row r="39" spans="2:18" ht="15.75" x14ac:dyDescent="0.25">
      <c r="B39" s="79"/>
      <c r="C39" s="72"/>
      <c r="D39" s="72">
        <v>0</v>
      </c>
      <c r="E39" s="72">
        <v>0</v>
      </c>
      <c r="F39" s="72">
        <v>0</v>
      </c>
      <c r="G39" s="72">
        <f t="shared" si="5"/>
        <v>0</v>
      </c>
      <c r="H39" s="72"/>
      <c r="O39" s="3"/>
      <c r="P39" s="16">
        <v>1</v>
      </c>
      <c r="Q39" s="28">
        <v>0</v>
      </c>
      <c r="R39" s="24">
        <f t="shared" si="3"/>
        <v>32625</v>
      </c>
    </row>
    <row r="40" spans="2:18" ht="15.75" x14ac:dyDescent="0.25">
      <c r="B40" s="79"/>
      <c r="C40" s="72"/>
      <c r="D40" s="72">
        <v>0</v>
      </c>
      <c r="E40" s="72">
        <v>0</v>
      </c>
      <c r="F40" s="72">
        <v>0</v>
      </c>
      <c r="G40" s="72">
        <f t="shared" si="5"/>
        <v>0</v>
      </c>
      <c r="H40" s="72"/>
      <c r="O40" s="3"/>
      <c r="P40" s="16">
        <v>1</v>
      </c>
      <c r="Q40" s="28">
        <v>0</v>
      </c>
      <c r="R40" s="24">
        <f t="shared" si="3"/>
        <v>32625</v>
      </c>
    </row>
    <row r="41" spans="2:18" ht="15.75" x14ac:dyDescent="0.25">
      <c r="B41" s="79"/>
      <c r="C41" s="72"/>
      <c r="D41" s="72">
        <v>0</v>
      </c>
      <c r="E41" s="72">
        <v>0</v>
      </c>
      <c r="F41" s="72">
        <v>0</v>
      </c>
      <c r="G41" s="72">
        <f t="shared" si="5"/>
        <v>0</v>
      </c>
      <c r="H41" s="72"/>
      <c r="O41" s="3"/>
      <c r="P41" s="16">
        <v>1</v>
      </c>
      <c r="Q41" s="28">
        <v>0</v>
      </c>
      <c r="R41" s="24">
        <f t="shared" si="3"/>
        <v>32625</v>
      </c>
    </row>
    <row r="42" spans="2:18" ht="15.75" x14ac:dyDescent="0.25">
      <c r="B42" s="79"/>
      <c r="C42" s="72" t="s">
        <v>45</v>
      </c>
      <c r="D42" s="72">
        <v>0</v>
      </c>
      <c r="E42" s="72">
        <v>0</v>
      </c>
      <c r="F42" s="72">
        <v>0</v>
      </c>
      <c r="G42" s="72">
        <f t="shared" si="5"/>
        <v>0</v>
      </c>
      <c r="H42" s="72"/>
      <c r="O42" s="3"/>
      <c r="P42" s="16">
        <v>1</v>
      </c>
      <c r="Q42" s="28">
        <v>0</v>
      </c>
      <c r="R42" s="24">
        <f t="shared" si="3"/>
        <v>32625</v>
      </c>
    </row>
    <row r="43" spans="2:18" ht="15.75" x14ac:dyDescent="0.25">
      <c r="B43" s="79"/>
      <c r="C43" s="19" t="s">
        <v>17</v>
      </c>
      <c r="D43" s="19">
        <f>SUM(D32:D42)</f>
        <v>0</v>
      </c>
      <c r="E43" s="19">
        <f>SUM(E32:E42)</f>
        <v>575000</v>
      </c>
      <c r="F43" s="19">
        <f>SUM(F32:F42)</f>
        <v>13000</v>
      </c>
      <c r="G43" s="19">
        <f>SUM(G32:G42)</f>
        <v>588000</v>
      </c>
      <c r="H43" s="19">
        <f>SUM(H32:H42)</f>
        <v>588000</v>
      </c>
      <c r="I43" s="20">
        <f>E25+D43+H43</f>
        <v>1988000</v>
      </c>
      <c r="K43" s="231" t="s">
        <v>262</v>
      </c>
      <c r="L43" s="231"/>
      <c r="M43" s="231"/>
      <c r="O43" s="3"/>
      <c r="P43" s="16">
        <v>1</v>
      </c>
      <c r="Q43" s="28">
        <v>0</v>
      </c>
      <c r="R43" s="24">
        <f t="shared" si="3"/>
        <v>32625</v>
      </c>
    </row>
    <row r="44" spans="2:18" ht="15.75" x14ac:dyDescent="0.25">
      <c r="B44" s="228" t="s">
        <v>49</v>
      </c>
      <c r="C44" s="15" t="s">
        <v>18</v>
      </c>
      <c r="D44" s="72">
        <f>I43-M49</f>
        <v>-356000</v>
      </c>
      <c r="E44" s="72"/>
      <c r="F44" s="72"/>
      <c r="G44" s="72"/>
      <c r="H44" s="72"/>
      <c r="J44" s="26" t="s">
        <v>23</v>
      </c>
      <c r="K44" s="26" t="s">
        <v>22</v>
      </c>
      <c r="L44" s="26" t="s">
        <v>20</v>
      </c>
      <c r="M44" s="26" t="s">
        <v>21</v>
      </c>
      <c r="O44" s="3"/>
      <c r="P44" s="16">
        <v>1</v>
      </c>
      <c r="Q44" s="28">
        <v>0</v>
      </c>
      <c r="R44" s="24">
        <f t="shared" si="3"/>
        <v>32625</v>
      </c>
    </row>
    <row r="45" spans="2:18" ht="15.75" x14ac:dyDescent="0.25">
      <c r="B45" s="229"/>
      <c r="C45" s="72"/>
      <c r="D45" s="72">
        <v>0</v>
      </c>
      <c r="E45" s="72">
        <v>0</v>
      </c>
      <c r="F45" s="72">
        <v>0</v>
      </c>
      <c r="G45" s="72">
        <f>E45+F45</f>
        <v>0</v>
      </c>
      <c r="H45" s="72"/>
      <c r="J45" s="26" t="s">
        <v>94</v>
      </c>
      <c r="K45" s="26">
        <v>1200000</v>
      </c>
      <c r="L45" s="26">
        <v>28000</v>
      </c>
      <c r="M45" s="26">
        <f>K45-L45</f>
        <v>1172000</v>
      </c>
      <c r="O45" s="3"/>
      <c r="P45" s="16">
        <v>0</v>
      </c>
      <c r="Q45" s="28">
        <v>0</v>
      </c>
      <c r="R45" s="24">
        <f t="shared" si="3"/>
        <v>0</v>
      </c>
    </row>
    <row r="46" spans="2:18" ht="15.75" x14ac:dyDescent="0.25">
      <c r="B46" s="229"/>
      <c r="C46" s="72"/>
      <c r="D46" s="72">
        <v>0</v>
      </c>
      <c r="E46" s="72">
        <v>0</v>
      </c>
      <c r="F46" s="72">
        <v>0</v>
      </c>
      <c r="G46" s="72">
        <f t="shared" ref="G46:G58" si="6">E46+F46</f>
        <v>0</v>
      </c>
      <c r="H46" s="72"/>
      <c r="J46" s="26" t="s">
        <v>37</v>
      </c>
      <c r="K46" s="26">
        <v>1200000</v>
      </c>
      <c r="L46" s="26">
        <v>28000</v>
      </c>
      <c r="M46" s="26">
        <f t="shared" ref="M46:M47" si="7">K46-L46</f>
        <v>1172000</v>
      </c>
      <c r="O46" s="3"/>
      <c r="P46" s="16">
        <v>0</v>
      </c>
      <c r="Q46" s="28">
        <v>0</v>
      </c>
      <c r="R46" s="24">
        <f t="shared" si="3"/>
        <v>0</v>
      </c>
    </row>
    <row r="47" spans="2:18" ht="15.75" x14ac:dyDescent="0.25">
      <c r="B47" s="229"/>
      <c r="C47" s="72"/>
      <c r="D47" s="72">
        <v>0</v>
      </c>
      <c r="E47" s="72">
        <v>0</v>
      </c>
      <c r="F47" s="72">
        <v>0</v>
      </c>
      <c r="G47" s="72">
        <f t="shared" si="6"/>
        <v>0</v>
      </c>
      <c r="H47" s="72"/>
      <c r="J47" s="26"/>
      <c r="K47" s="26">
        <v>0</v>
      </c>
      <c r="L47" s="26">
        <v>0</v>
      </c>
      <c r="M47" s="26">
        <f t="shared" si="7"/>
        <v>0</v>
      </c>
      <c r="O47" s="3"/>
      <c r="P47" s="16">
        <v>0</v>
      </c>
      <c r="Q47" s="28">
        <v>0</v>
      </c>
      <c r="R47" s="24">
        <f t="shared" si="3"/>
        <v>0</v>
      </c>
    </row>
    <row r="48" spans="2:18" ht="15.75" x14ac:dyDescent="0.25">
      <c r="B48" s="229"/>
      <c r="C48" s="72"/>
      <c r="D48" s="72">
        <v>0</v>
      </c>
      <c r="E48" s="72">
        <v>0</v>
      </c>
      <c r="F48" s="72">
        <v>0</v>
      </c>
      <c r="G48" s="72">
        <f t="shared" si="6"/>
        <v>0</v>
      </c>
      <c r="H48" s="72"/>
      <c r="J48" s="26"/>
      <c r="K48" s="26">
        <v>0</v>
      </c>
      <c r="L48" s="26">
        <v>0</v>
      </c>
      <c r="M48" s="26">
        <v>0</v>
      </c>
      <c r="O48" s="3"/>
      <c r="P48" s="16">
        <v>0</v>
      </c>
      <c r="Q48" s="28">
        <v>0</v>
      </c>
      <c r="R48" s="24">
        <f t="shared" si="3"/>
        <v>0</v>
      </c>
    </row>
    <row r="49" spans="2:18" ht="15.75" x14ac:dyDescent="0.25">
      <c r="B49" s="229"/>
      <c r="C49" s="72"/>
      <c r="D49" s="72">
        <v>0</v>
      </c>
      <c r="E49" s="72">
        <v>0</v>
      </c>
      <c r="F49" s="72">
        <v>0</v>
      </c>
      <c r="G49" s="72">
        <f t="shared" si="6"/>
        <v>0</v>
      </c>
      <c r="H49" s="72"/>
      <c r="J49" s="26"/>
      <c r="K49" s="26"/>
      <c r="L49" s="27">
        <f>SUM(L45:L48)</f>
        <v>56000</v>
      </c>
      <c r="M49" s="27">
        <f>SUM(M45:M48)</f>
        <v>2344000</v>
      </c>
      <c r="O49" s="3"/>
      <c r="P49" s="16">
        <v>0</v>
      </c>
      <c r="Q49" s="28">
        <v>0</v>
      </c>
      <c r="R49" s="24">
        <f t="shared" si="3"/>
        <v>0</v>
      </c>
    </row>
    <row r="50" spans="2:18" ht="15.75" x14ac:dyDescent="0.25">
      <c r="B50" s="229"/>
      <c r="C50" s="72"/>
      <c r="D50" s="72">
        <v>0</v>
      </c>
      <c r="E50" s="72">
        <v>0</v>
      </c>
      <c r="F50" s="72">
        <v>0</v>
      </c>
      <c r="G50" s="72">
        <f t="shared" si="6"/>
        <v>0</v>
      </c>
      <c r="H50" s="72"/>
      <c r="J50" s="26"/>
      <c r="K50" s="26"/>
      <c r="L50" s="27"/>
      <c r="M50" s="27"/>
      <c r="O50" s="3"/>
      <c r="P50" s="16">
        <v>0</v>
      </c>
      <c r="Q50" s="28">
        <v>0</v>
      </c>
      <c r="R50" s="24">
        <f t="shared" si="3"/>
        <v>0</v>
      </c>
    </row>
    <row r="51" spans="2:18" ht="15.75" x14ac:dyDescent="0.25">
      <c r="B51" s="229"/>
      <c r="C51" s="72"/>
      <c r="D51" s="72">
        <v>0</v>
      </c>
      <c r="E51" s="72">
        <v>0</v>
      </c>
      <c r="F51" s="72">
        <v>0</v>
      </c>
      <c r="G51" s="72">
        <f t="shared" si="6"/>
        <v>0</v>
      </c>
      <c r="H51" s="72"/>
      <c r="J51" s="26"/>
      <c r="K51" s="26"/>
      <c r="L51" s="27"/>
      <c r="M51" s="27"/>
      <c r="O51" s="3"/>
      <c r="P51" s="16">
        <v>0</v>
      </c>
      <c r="Q51" s="28">
        <v>0</v>
      </c>
      <c r="R51" s="24">
        <f t="shared" si="3"/>
        <v>0</v>
      </c>
    </row>
    <row r="52" spans="2:18" ht="15.75" x14ac:dyDescent="0.25">
      <c r="B52" s="229"/>
      <c r="C52" s="72"/>
      <c r="D52" s="72">
        <v>0</v>
      </c>
      <c r="E52" s="72">
        <v>0</v>
      </c>
      <c r="F52" s="72">
        <v>0</v>
      </c>
      <c r="G52" s="72">
        <f t="shared" si="6"/>
        <v>0</v>
      </c>
      <c r="H52" s="72"/>
      <c r="J52" s="26"/>
      <c r="K52" s="26"/>
      <c r="L52" s="27"/>
      <c r="M52" s="27"/>
      <c r="O52" s="3"/>
      <c r="P52" s="16">
        <v>1</v>
      </c>
      <c r="Q52" s="28">
        <v>0</v>
      </c>
      <c r="R52" s="24">
        <v>0</v>
      </c>
    </row>
    <row r="53" spans="2:18" ht="15.75" x14ac:dyDescent="0.25">
      <c r="B53" s="229"/>
      <c r="C53" s="72"/>
      <c r="D53" s="72">
        <v>0</v>
      </c>
      <c r="E53" s="72">
        <v>0</v>
      </c>
      <c r="F53" s="72">
        <v>0</v>
      </c>
      <c r="G53" s="72">
        <f t="shared" si="6"/>
        <v>0</v>
      </c>
      <c r="H53" s="72"/>
      <c r="J53" s="26"/>
      <c r="K53" s="26"/>
      <c r="L53" s="27"/>
      <c r="M53" s="27"/>
      <c r="O53" s="3"/>
      <c r="Q53" s="28"/>
      <c r="R53" s="24"/>
    </row>
    <row r="54" spans="2:18" ht="15.75" x14ac:dyDescent="0.25">
      <c r="B54" s="229"/>
      <c r="C54" s="72"/>
      <c r="D54" s="72">
        <v>0</v>
      </c>
      <c r="E54" s="72">
        <v>0</v>
      </c>
      <c r="F54" s="72">
        <v>0</v>
      </c>
      <c r="G54" s="72">
        <f t="shared" si="6"/>
        <v>0</v>
      </c>
      <c r="H54" s="72"/>
      <c r="J54" s="26"/>
      <c r="K54" s="26"/>
      <c r="L54" s="27"/>
      <c r="M54" s="27"/>
      <c r="O54" s="3"/>
      <c r="Q54" s="28"/>
      <c r="R54" s="24"/>
    </row>
    <row r="55" spans="2:18" ht="15.75" x14ac:dyDescent="0.25">
      <c r="B55" s="229"/>
      <c r="C55" s="72"/>
      <c r="D55" s="72">
        <v>0</v>
      </c>
      <c r="E55" s="72">
        <v>0</v>
      </c>
      <c r="F55" s="72">
        <v>0</v>
      </c>
      <c r="G55" s="72">
        <f t="shared" si="6"/>
        <v>0</v>
      </c>
      <c r="H55" s="72"/>
      <c r="J55" s="26"/>
      <c r="K55" s="26"/>
      <c r="L55" s="27"/>
      <c r="M55" s="27"/>
      <c r="O55" s="3"/>
      <c r="Q55" s="28"/>
      <c r="R55" s="24"/>
    </row>
    <row r="56" spans="2:18" ht="15.75" x14ac:dyDescent="0.25">
      <c r="B56" s="229"/>
      <c r="C56" s="72"/>
      <c r="D56" s="72">
        <v>0</v>
      </c>
      <c r="E56" s="72">
        <v>0</v>
      </c>
      <c r="F56" s="72">
        <v>0</v>
      </c>
      <c r="G56" s="72">
        <f t="shared" si="6"/>
        <v>0</v>
      </c>
      <c r="H56" s="72"/>
      <c r="J56" s="26"/>
      <c r="K56" s="26"/>
      <c r="L56" s="27"/>
      <c r="M56" s="27"/>
      <c r="O56" s="3"/>
      <c r="Q56" s="28"/>
      <c r="R56" s="24"/>
    </row>
    <row r="57" spans="2:18" ht="15.75" x14ac:dyDescent="0.25">
      <c r="B57" s="229"/>
      <c r="C57" s="72"/>
      <c r="D57" s="72">
        <v>0</v>
      </c>
      <c r="E57" s="72">
        <v>0</v>
      </c>
      <c r="F57" s="72">
        <v>0</v>
      </c>
      <c r="G57" s="72">
        <f t="shared" si="6"/>
        <v>0</v>
      </c>
      <c r="H57" s="72"/>
      <c r="J57" s="26"/>
      <c r="K57" s="26"/>
      <c r="L57" s="27"/>
      <c r="M57" s="27"/>
      <c r="O57" s="3"/>
      <c r="Q57" s="28"/>
      <c r="R57" s="24"/>
    </row>
    <row r="58" spans="2:18" ht="15.75" x14ac:dyDescent="0.25">
      <c r="B58" s="229"/>
      <c r="C58" s="72"/>
      <c r="D58" s="72">
        <v>0</v>
      </c>
      <c r="E58" s="72">
        <v>0</v>
      </c>
      <c r="F58" s="72">
        <v>0</v>
      </c>
      <c r="G58" s="72">
        <f t="shared" si="6"/>
        <v>0</v>
      </c>
      <c r="H58" s="72"/>
      <c r="O58" s="3"/>
      <c r="P58" s="16">
        <v>0</v>
      </c>
      <c r="Q58" s="28">
        <v>0</v>
      </c>
      <c r="R58" s="24">
        <f t="shared" si="3"/>
        <v>0</v>
      </c>
    </row>
    <row r="59" spans="2:18" ht="15.75" x14ac:dyDescent="0.25">
      <c r="B59" s="230"/>
      <c r="C59" s="19" t="s">
        <v>17</v>
      </c>
      <c r="D59" s="19">
        <f>SUM(D45:D58)</f>
        <v>0</v>
      </c>
      <c r="E59" s="19">
        <f>SUM(E45:E58)</f>
        <v>0</v>
      </c>
      <c r="F59" s="19">
        <f>SUM(F45:F58)</f>
        <v>0</v>
      </c>
      <c r="G59" s="19">
        <f>SUM(G45:G58)</f>
        <v>0</v>
      </c>
      <c r="H59" s="19">
        <f>D44-E59</f>
        <v>-356000</v>
      </c>
      <c r="I59" s="20">
        <f>G25+D59+H59</f>
        <v>1044000</v>
      </c>
      <c r="K59" s="241">
        <v>45004</v>
      </c>
      <c r="L59" s="241"/>
      <c r="M59" s="241"/>
      <c r="O59" s="3"/>
      <c r="P59" s="16">
        <v>0</v>
      </c>
      <c r="Q59" s="28">
        <v>0</v>
      </c>
      <c r="R59" s="24">
        <f t="shared" si="3"/>
        <v>0</v>
      </c>
    </row>
    <row r="60" spans="2:18" ht="15.75" x14ac:dyDescent="0.25">
      <c r="B60" s="228">
        <v>45004</v>
      </c>
      <c r="C60" s="15" t="s">
        <v>18</v>
      </c>
      <c r="D60" s="72">
        <f>I59-M68</f>
        <v>-1336000</v>
      </c>
      <c r="E60" s="72"/>
      <c r="F60" s="72"/>
      <c r="G60" s="72"/>
      <c r="H60" s="72"/>
      <c r="I60" s="16">
        <v>1064000</v>
      </c>
      <c r="J60" s="26" t="s">
        <v>23</v>
      </c>
      <c r="K60" s="26" t="s">
        <v>22</v>
      </c>
      <c r="L60" s="26" t="s">
        <v>20</v>
      </c>
      <c r="M60" s="26" t="s">
        <v>21</v>
      </c>
      <c r="O60" s="3"/>
      <c r="P60" s="16">
        <v>0</v>
      </c>
      <c r="Q60" s="28">
        <v>0</v>
      </c>
      <c r="R60" s="24">
        <f t="shared" si="3"/>
        <v>0</v>
      </c>
    </row>
    <row r="61" spans="2:18" x14ac:dyDescent="0.25">
      <c r="B61" s="229"/>
      <c r="C61" s="72" t="s">
        <v>237</v>
      </c>
      <c r="D61" s="72">
        <v>0</v>
      </c>
      <c r="E61" s="72">
        <v>100000</v>
      </c>
      <c r="F61" s="72">
        <v>1000</v>
      </c>
      <c r="G61" s="72">
        <f>E61+F61</f>
        <v>101000</v>
      </c>
      <c r="H61" s="72">
        <v>101000</v>
      </c>
      <c r="J61" s="37" t="s">
        <v>284</v>
      </c>
      <c r="K61" s="26">
        <v>1200000</v>
      </c>
      <c r="L61" s="26">
        <v>10000</v>
      </c>
      <c r="M61" s="26">
        <f>K61-L61</f>
        <v>1190000</v>
      </c>
      <c r="O61" s="3" t="s">
        <v>34</v>
      </c>
      <c r="Q61" s="24">
        <v>0</v>
      </c>
      <c r="R61" s="24">
        <v>0</v>
      </c>
    </row>
    <row r="62" spans="2:18" x14ac:dyDescent="0.25">
      <c r="B62" s="229"/>
      <c r="C62" s="72" t="s">
        <v>265</v>
      </c>
      <c r="D62" s="72">
        <v>0</v>
      </c>
      <c r="E62" s="72">
        <v>100000</v>
      </c>
      <c r="F62" s="72">
        <v>1000</v>
      </c>
      <c r="G62" s="72">
        <f>E62+F62</f>
        <v>101000</v>
      </c>
      <c r="H62" s="72">
        <v>101000</v>
      </c>
      <c r="J62" s="26" t="s">
        <v>285</v>
      </c>
      <c r="K62" s="26">
        <v>1200000</v>
      </c>
      <c r="L62" s="26">
        <v>10000</v>
      </c>
      <c r="M62" s="26">
        <f t="shared" ref="M62" si="8">K62-L62</f>
        <v>1190000</v>
      </c>
      <c r="O62" s="3"/>
      <c r="Q62" s="24">
        <v>0</v>
      </c>
      <c r="R62" s="24">
        <f t="shared" si="3"/>
        <v>0</v>
      </c>
    </row>
    <row r="63" spans="2:18" x14ac:dyDescent="0.25">
      <c r="B63" s="229"/>
      <c r="C63" s="72" t="s">
        <v>94</v>
      </c>
      <c r="D63" s="72">
        <v>0</v>
      </c>
      <c r="E63" s="72">
        <v>100000</v>
      </c>
      <c r="F63" s="72">
        <v>1000</v>
      </c>
      <c r="G63" s="72">
        <f>E63+F63</f>
        <v>101000</v>
      </c>
      <c r="H63" s="72">
        <v>101000</v>
      </c>
      <c r="J63" s="26">
        <v>0</v>
      </c>
      <c r="K63" s="26">
        <v>0</v>
      </c>
      <c r="L63" s="26">
        <v>0</v>
      </c>
      <c r="M63" s="26">
        <v>0</v>
      </c>
      <c r="O63" s="3"/>
      <c r="Q63" s="24"/>
      <c r="R63" s="24"/>
    </row>
    <row r="64" spans="2:18" ht="15.75" x14ac:dyDescent="0.25">
      <c r="B64" s="229"/>
      <c r="C64" s="72" t="s">
        <v>237</v>
      </c>
      <c r="D64" s="72">
        <v>0</v>
      </c>
      <c r="E64" s="72">
        <v>100000</v>
      </c>
      <c r="F64" s="72">
        <v>1000</v>
      </c>
      <c r="G64" s="72">
        <f t="shared" ref="G64:G74" si="9">E64+F64</f>
        <v>101000</v>
      </c>
      <c r="H64" s="72">
        <v>101000</v>
      </c>
      <c r="J64" s="26"/>
      <c r="K64" s="26">
        <v>0</v>
      </c>
      <c r="L64" s="26">
        <v>0</v>
      </c>
      <c r="M64" s="26">
        <v>0</v>
      </c>
      <c r="O64" s="12" t="s">
        <v>1</v>
      </c>
      <c r="P64" s="22">
        <f>SUM(P30:P62)</f>
        <v>16</v>
      </c>
      <c r="Q64" s="16" t="s">
        <v>28</v>
      </c>
      <c r="R64" s="23">
        <f>SUM(R30:R62)</f>
        <v>489375</v>
      </c>
    </row>
    <row r="65" spans="2:18" ht="15.75" x14ac:dyDescent="0.25">
      <c r="B65" s="229"/>
      <c r="C65" s="72" t="s">
        <v>206</v>
      </c>
      <c r="D65" s="72">
        <v>0</v>
      </c>
      <c r="E65" s="72">
        <v>100000</v>
      </c>
      <c r="F65" s="72">
        <v>1000</v>
      </c>
      <c r="G65" s="72">
        <f t="shared" si="9"/>
        <v>101000</v>
      </c>
      <c r="H65" s="72">
        <v>101000</v>
      </c>
      <c r="J65" s="26"/>
      <c r="K65" s="26"/>
      <c r="L65" s="26"/>
      <c r="M65" s="26"/>
      <c r="O65" s="12"/>
      <c r="P65" s="22"/>
      <c r="R65" s="23"/>
    </row>
    <row r="66" spans="2:18" ht="15.75" x14ac:dyDescent="0.25">
      <c r="B66" s="229"/>
      <c r="C66" s="72" t="s">
        <v>206</v>
      </c>
      <c r="D66" s="72">
        <v>0</v>
      </c>
      <c r="E66" s="72">
        <v>100000</v>
      </c>
      <c r="F66" s="72">
        <v>1000</v>
      </c>
      <c r="G66" s="72">
        <f t="shared" si="9"/>
        <v>101000</v>
      </c>
      <c r="H66" s="72">
        <v>101000</v>
      </c>
      <c r="J66" s="26"/>
      <c r="K66" s="26"/>
      <c r="L66" s="26"/>
      <c r="M66" s="26"/>
      <c r="O66" s="12"/>
      <c r="P66" s="22"/>
      <c r="R66" s="23"/>
    </row>
    <row r="67" spans="2:18" ht="15.75" x14ac:dyDescent="0.25">
      <c r="B67" s="229"/>
      <c r="C67" s="72" t="s">
        <v>100</v>
      </c>
      <c r="D67" s="72">
        <v>0</v>
      </c>
      <c r="E67" s="72">
        <v>100000</v>
      </c>
      <c r="F67" s="72">
        <v>1000</v>
      </c>
      <c r="G67" s="72">
        <f t="shared" si="9"/>
        <v>101000</v>
      </c>
      <c r="H67" s="72">
        <v>101000</v>
      </c>
      <c r="J67" s="26"/>
      <c r="K67" s="26"/>
      <c r="L67" s="26"/>
      <c r="M67" s="26"/>
      <c r="O67" s="12"/>
      <c r="P67" s="22"/>
      <c r="R67" s="23"/>
    </row>
    <row r="68" spans="2:18" x14ac:dyDescent="0.25">
      <c r="B68" s="229"/>
      <c r="C68" s="72" t="s">
        <v>100</v>
      </c>
      <c r="D68" s="72">
        <v>0</v>
      </c>
      <c r="E68" s="72">
        <v>100000</v>
      </c>
      <c r="F68" s="72">
        <v>1000</v>
      </c>
      <c r="G68" s="72">
        <f t="shared" si="9"/>
        <v>101000</v>
      </c>
      <c r="H68" s="72">
        <v>101000</v>
      </c>
      <c r="J68" s="26"/>
      <c r="K68" s="26"/>
      <c r="L68" s="27">
        <f>SUM(L61:L64)</f>
        <v>20000</v>
      </c>
      <c r="M68" s="27">
        <f>SUM(M61:M64)</f>
        <v>2380000</v>
      </c>
    </row>
    <row r="69" spans="2:18" x14ac:dyDescent="0.25">
      <c r="B69" s="229"/>
      <c r="C69" s="72" t="s">
        <v>265</v>
      </c>
      <c r="D69" s="72">
        <v>0</v>
      </c>
      <c r="E69" s="72">
        <v>164000</v>
      </c>
      <c r="F69" s="72">
        <v>1000</v>
      </c>
      <c r="G69" s="72">
        <f t="shared" si="9"/>
        <v>165000</v>
      </c>
      <c r="H69" s="72">
        <v>164000</v>
      </c>
      <c r="J69" s="26"/>
      <c r="K69" s="26"/>
      <c r="L69" s="27"/>
      <c r="M69" s="27"/>
    </row>
    <row r="70" spans="2:18" x14ac:dyDescent="0.25">
      <c r="B70" s="229"/>
      <c r="C70" s="72"/>
      <c r="D70" s="72">
        <v>0</v>
      </c>
      <c r="E70" s="72">
        <v>0</v>
      </c>
      <c r="F70" s="72">
        <v>0</v>
      </c>
      <c r="G70" s="72">
        <f t="shared" si="9"/>
        <v>0</v>
      </c>
      <c r="H70" s="72"/>
      <c r="J70" s="26"/>
      <c r="K70" s="26"/>
      <c r="L70" s="27"/>
      <c r="M70" s="27"/>
    </row>
    <row r="71" spans="2:18" x14ac:dyDescent="0.25">
      <c r="B71" s="229"/>
      <c r="C71" s="72"/>
      <c r="D71" s="72">
        <v>0</v>
      </c>
      <c r="E71" s="72">
        <v>0</v>
      </c>
      <c r="F71" s="72">
        <v>0</v>
      </c>
      <c r="G71" s="72">
        <v>0</v>
      </c>
      <c r="H71" s="72"/>
      <c r="J71" s="26"/>
      <c r="K71" s="26"/>
      <c r="L71" s="27"/>
      <c r="M71" s="27"/>
    </row>
    <row r="72" spans="2:18" x14ac:dyDescent="0.25">
      <c r="B72" s="229"/>
      <c r="C72" s="72"/>
      <c r="D72" s="72">
        <v>0</v>
      </c>
      <c r="E72" s="72">
        <v>0</v>
      </c>
      <c r="F72" s="72">
        <v>0</v>
      </c>
      <c r="G72" s="72">
        <f t="shared" si="9"/>
        <v>0</v>
      </c>
      <c r="H72" s="72"/>
      <c r="J72" s="26"/>
      <c r="K72" s="26"/>
      <c r="L72" s="27"/>
      <c r="M72" s="27"/>
    </row>
    <row r="73" spans="2:18" x14ac:dyDescent="0.25">
      <c r="B73" s="229"/>
      <c r="C73" s="72"/>
      <c r="D73" s="72">
        <v>0</v>
      </c>
      <c r="E73" s="72">
        <v>0</v>
      </c>
      <c r="F73" s="72">
        <v>0</v>
      </c>
      <c r="G73" s="72">
        <f t="shared" si="9"/>
        <v>0</v>
      </c>
      <c r="H73" s="72"/>
      <c r="J73" s="26"/>
      <c r="K73" s="26"/>
      <c r="L73" s="27"/>
      <c r="M73" s="27"/>
    </row>
    <row r="74" spans="2:18" x14ac:dyDescent="0.25">
      <c r="B74" s="229"/>
      <c r="C74" s="72"/>
      <c r="D74" s="72">
        <v>0</v>
      </c>
      <c r="E74" s="72">
        <v>0</v>
      </c>
      <c r="F74" s="72">
        <v>0</v>
      </c>
      <c r="G74" s="72">
        <f t="shared" si="9"/>
        <v>0</v>
      </c>
      <c r="H74" s="72"/>
      <c r="J74" s="26"/>
      <c r="K74" s="26"/>
      <c r="L74" s="27"/>
      <c r="M74" s="27"/>
    </row>
    <row r="75" spans="2:18" ht="15.75" x14ac:dyDescent="0.25">
      <c r="B75" s="230"/>
      <c r="C75" s="19" t="s">
        <v>17</v>
      </c>
      <c r="D75" s="19">
        <f>SUM(D61:D74)</f>
        <v>0</v>
      </c>
      <c r="E75" s="19">
        <f>SUM(E61:E74)</f>
        <v>964000</v>
      </c>
      <c r="F75" s="19">
        <f>SUM(F61:F74)</f>
        <v>9000</v>
      </c>
      <c r="G75" s="19">
        <f>SUM(G61:G74)</f>
        <v>973000</v>
      </c>
      <c r="H75" s="19">
        <f>D60-E75</f>
        <v>-2300000</v>
      </c>
      <c r="I75" s="20">
        <f>I25+D75+H75</f>
        <v>-900000</v>
      </c>
      <c r="K75" s="241">
        <v>45032</v>
      </c>
      <c r="L75" s="241"/>
      <c r="M75" s="241"/>
    </row>
    <row r="76" spans="2:18" ht="15.75" x14ac:dyDescent="0.25">
      <c r="B76" s="233">
        <v>45032</v>
      </c>
      <c r="C76" s="15" t="s">
        <v>18</v>
      </c>
      <c r="D76" s="72">
        <f>I75-M89</f>
        <v>-2080000</v>
      </c>
      <c r="E76" s="72"/>
      <c r="F76" s="72"/>
      <c r="G76" s="72"/>
      <c r="H76" s="72"/>
      <c r="J76" s="26" t="s">
        <v>23</v>
      </c>
      <c r="K76" s="26" t="s">
        <v>22</v>
      </c>
      <c r="L76" s="26" t="s">
        <v>20</v>
      </c>
      <c r="M76" s="26" t="s">
        <v>21</v>
      </c>
    </row>
    <row r="77" spans="2:18" ht="15" customHeight="1" x14ac:dyDescent="0.25">
      <c r="B77" s="234"/>
      <c r="C77" s="72" t="s">
        <v>232</v>
      </c>
      <c r="D77" s="72">
        <v>0</v>
      </c>
      <c r="E77" s="72">
        <v>93000</v>
      </c>
      <c r="F77" s="72">
        <v>6000</v>
      </c>
      <c r="G77" s="72">
        <f>E77+F77</f>
        <v>99000</v>
      </c>
      <c r="H77" s="72">
        <v>99000</v>
      </c>
      <c r="J77" s="26" t="s">
        <v>307</v>
      </c>
      <c r="K77" s="171">
        <v>1200000</v>
      </c>
      <c r="L77" s="171">
        <v>20000</v>
      </c>
      <c r="M77" s="171">
        <f>K77-L77</f>
        <v>1180000</v>
      </c>
    </row>
    <row r="78" spans="2:18" ht="15" customHeight="1" x14ac:dyDescent="0.25">
      <c r="B78" s="234"/>
      <c r="C78" s="72"/>
      <c r="D78" s="72">
        <v>0</v>
      </c>
      <c r="E78" s="72">
        <v>0</v>
      </c>
      <c r="F78" s="72">
        <v>0</v>
      </c>
      <c r="G78" s="72">
        <f>E78+F78</f>
        <v>0</v>
      </c>
      <c r="H78" s="72"/>
      <c r="J78" s="26"/>
      <c r="K78" s="171">
        <v>0</v>
      </c>
      <c r="L78" s="171">
        <v>0</v>
      </c>
      <c r="M78" s="171">
        <f t="shared" ref="M78" si="10">K78-L78</f>
        <v>0</v>
      </c>
    </row>
    <row r="79" spans="2:18" ht="15" customHeight="1" x14ac:dyDescent="0.25">
      <c r="B79" s="234"/>
      <c r="C79" s="72"/>
      <c r="D79" s="72">
        <v>0</v>
      </c>
      <c r="E79" s="72">
        <v>0</v>
      </c>
      <c r="F79" s="72">
        <v>0</v>
      </c>
      <c r="G79" s="72">
        <f t="shared" ref="G79:G89" si="11">E79+F79</f>
        <v>0</v>
      </c>
      <c r="H79" s="72"/>
      <c r="J79" s="26"/>
      <c r="K79" s="171">
        <v>0</v>
      </c>
      <c r="L79" s="171">
        <v>0</v>
      </c>
      <c r="M79" s="171">
        <v>0</v>
      </c>
    </row>
    <row r="80" spans="2:18" ht="15" customHeight="1" x14ac:dyDescent="0.25">
      <c r="B80" s="234"/>
      <c r="C80" s="72"/>
      <c r="D80" s="72">
        <v>0</v>
      </c>
      <c r="E80" s="72">
        <v>0</v>
      </c>
      <c r="F80" s="72">
        <v>0</v>
      </c>
      <c r="G80" s="72">
        <f t="shared" si="11"/>
        <v>0</v>
      </c>
      <c r="H80" s="72"/>
      <c r="J80" s="26"/>
      <c r="K80" s="171"/>
      <c r="L80" s="171"/>
      <c r="M80" s="171"/>
    </row>
    <row r="81" spans="2:13" ht="15" customHeight="1" x14ac:dyDescent="0.25">
      <c r="B81" s="234"/>
      <c r="C81" s="72"/>
      <c r="D81" s="72">
        <v>0</v>
      </c>
      <c r="E81" s="72">
        <v>0</v>
      </c>
      <c r="F81" s="72">
        <v>0</v>
      </c>
      <c r="G81" s="72">
        <f t="shared" si="11"/>
        <v>0</v>
      </c>
      <c r="H81" s="72"/>
      <c r="J81" s="26"/>
      <c r="K81" s="171"/>
      <c r="L81" s="171"/>
      <c r="M81" s="171"/>
    </row>
    <row r="82" spans="2:13" ht="15" customHeight="1" x14ac:dyDescent="0.25">
      <c r="B82" s="234"/>
      <c r="C82" s="72"/>
      <c r="D82" s="72">
        <v>0</v>
      </c>
      <c r="E82" s="72">
        <v>0</v>
      </c>
      <c r="F82" s="72">
        <v>0</v>
      </c>
      <c r="G82" s="72">
        <f t="shared" si="11"/>
        <v>0</v>
      </c>
      <c r="H82" s="72"/>
      <c r="J82" s="26"/>
      <c r="K82" s="171"/>
      <c r="L82" s="171"/>
      <c r="M82" s="171"/>
    </row>
    <row r="83" spans="2:13" ht="15" customHeight="1" x14ac:dyDescent="0.25">
      <c r="B83" s="234"/>
      <c r="C83" s="72"/>
      <c r="D83" s="72">
        <v>0</v>
      </c>
      <c r="E83" s="72">
        <v>0</v>
      </c>
      <c r="F83" s="72">
        <v>0</v>
      </c>
      <c r="G83" s="72">
        <f t="shared" si="11"/>
        <v>0</v>
      </c>
      <c r="H83" s="72"/>
      <c r="J83" s="26"/>
      <c r="K83" s="171"/>
      <c r="L83" s="171"/>
      <c r="M83" s="171"/>
    </row>
    <row r="84" spans="2:13" ht="15" customHeight="1" x14ac:dyDescent="0.25">
      <c r="B84" s="234"/>
      <c r="C84" s="72"/>
      <c r="D84" s="72">
        <v>0</v>
      </c>
      <c r="E84" s="72">
        <v>0</v>
      </c>
      <c r="F84" s="72">
        <v>0</v>
      </c>
      <c r="G84" s="72">
        <f t="shared" si="11"/>
        <v>0</v>
      </c>
      <c r="H84" s="72"/>
      <c r="J84" s="26"/>
      <c r="K84" s="171"/>
      <c r="L84" s="171"/>
      <c r="M84" s="171"/>
    </row>
    <row r="85" spans="2:13" ht="15" customHeight="1" x14ac:dyDescent="0.25">
      <c r="B85" s="234"/>
      <c r="C85" s="72"/>
      <c r="D85" s="72">
        <v>0</v>
      </c>
      <c r="E85" s="72">
        <v>0</v>
      </c>
      <c r="F85" s="72">
        <v>0</v>
      </c>
      <c r="G85" s="72">
        <f t="shared" si="11"/>
        <v>0</v>
      </c>
      <c r="H85" s="72"/>
      <c r="J85" s="26"/>
      <c r="K85" s="171"/>
      <c r="L85" s="171"/>
      <c r="M85" s="171"/>
    </row>
    <row r="86" spans="2:13" ht="15" customHeight="1" x14ac:dyDescent="0.25">
      <c r="B86" s="234"/>
      <c r="C86" s="72"/>
      <c r="D86" s="72">
        <v>0</v>
      </c>
      <c r="E86" s="72">
        <v>0</v>
      </c>
      <c r="F86" s="72">
        <v>0</v>
      </c>
      <c r="G86" s="72">
        <f t="shared" si="11"/>
        <v>0</v>
      </c>
      <c r="H86" s="72"/>
      <c r="J86" s="26"/>
      <c r="K86" s="171"/>
      <c r="L86" s="171"/>
      <c r="M86" s="171"/>
    </row>
    <row r="87" spans="2:13" ht="15" customHeight="1" x14ac:dyDescent="0.25">
      <c r="B87" s="234"/>
      <c r="C87" s="72"/>
      <c r="D87" s="72">
        <v>0</v>
      </c>
      <c r="E87" s="72">
        <v>0</v>
      </c>
      <c r="F87" s="72">
        <v>0</v>
      </c>
      <c r="G87" s="72">
        <f t="shared" si="11"/>
        <v>0</v>
      </c>
      <c r="H87" s="72"/>
      <c r="J87" s="26"/>
      <c r="K87" s="26"/>
      <c r="L87" s="26"/>
      <c r="M87" s="26"/>
    </row>
    <row r="88" spans="2:13" ht="15" customHeight="1" x14ac:dyDescent="0.25">
      <c r="B88" s="234"/>
      <c r="C88" s="72"/>
      <c r="D88" s="72">
        <v>0</v>
      </c>
      <c r="E88" s="72">
        <v>0</v>
      </c>
      <c r="F88" s="72">
        <v>0</v>
      </c>
      <c r="G88" s="72">
        <f t="shared" si="11"/>
        <v>0</v>
      </c>
      <c r="H88" s="72"/>
      <c r="J88" s="26"/>
      <c r="K88" s="26"/>
      <c r="L88" s="26"/>
      <c r="M88" s="26"/>
    </row>
    <row r="89" spans="2:13" ht="15" customHeight="1" x14ac:dyDescent="0.25">
      <c r="B89" s="234"/>
      <c r="C89" s="72"/>
      <c r="D89" s="72">
        <v>0</v>
      </c>
      <c r="E89" s="72">
        <v>0</v>
      </c>
      <c r="F89" s="72">
        <v>0</v>
      </c>
      <c r="G89" s="72">
        <f t="shared" si="11"/>
        <v>0</v>
      </c>
      <c r="H89" s="72"/>
      <c r="J89" s="26"/>
      <c r="K89" s="26"/>
      <c r="L89" s="27">
        <f>SUM(L77:L79)</f>
        <v>20000</v>
      </c>
      <c r="M89" s="27">
        <f>SUM(M77:M79)</f>
        <v>1180000</v>
      </c>
    </row>
    <row r="90" spans="2:13" ht="15.75" x14ac:dyDescent="0.25">
      <c r="B90" s="235"/>
      <c r="C90" s="19" t="s">
        <v>17</v>
      </c>
      <c r="D90" s="19">
        <f>SUM(D77:D89)</f>
        <v>0</v>
      </c>
      <c r="E90" s="19">
        <f>SUM(E77:E89)</f>
        <v>93000</v>
      </c>
      <c r="F90" s="19">
        <f>SUM(F77:F89)</f>
        <v>6000</v>
      </c>
      <c r="G90" s="19">
        <f>SUM(G77:G89)</f>
        <v>99000</v>
      </c>
      <c r="H90" s="19">
        <f>D76-E90</f>
        <v>-2173000</v>
      </c>
      <c r="I90" s="20">
        <f>K25+D90+H90</f>
        <v>-773000</v>
      </c>
      <c r="K90" s="236">
        <v>45067</v>
      </c>
      <c r="L90" s="236"/>
      <c r="M90" s="236"/>
    </row>
    <row r="91" spans="2:13" ht="15.75" x14ac:dyDescent="0.25">
      <c r="B91" s="237">
        <v>45067</v>
      </c>
      <c r="C91" s="15" t="s">
        <v>18</v>
      </c>
      <c r="D91" s="72">
        <f>+I90-M99</f>
        <v>-1963000</v>
      </c>
      <c r="E91" s="72"/>
      <c r="F91" s="72"/>
      <c r="G91" s="72"/>
      <c r="H91" s="72"/>
      <c r="J91" s="26" t="s">
        <v>23</v>
      </c>
      <c r="K91" s="26" t="s">
        <v>22</v>
      </c>
      <c r="L91" s="26" t="s">
        <v>20</v>
      </c>
      <c r="M91" s="26" t="s">
        <v>21</v>
      </c>
    </row>
    <row r="92" spans="2:13" ht="15" customHeight="1" x14ac:dyDescent="0.25">
      <c r="B92" s="238"/>
      <c r="C92" s="72" t="s">
        <v>321</v>
      </c>
      <c r="D92" s="72">
        <v>0</v>
      </c>
      <c r="E92" s="72">
        <v>200000</v>
      </c>
      <c r="F92" s="72">
        <v>2000</v>
      </c>
      <c r="G92" s="72">
        <f>E92+F92</f>
        <v>202000</v>
      </c>
      <c r="H92" s="72">
        <v>202000</v>
      </c>
      <c r="J92" s="26" t="s">
        <v>320</v>
      </c>
      <c r="K92" s="26">
        <v>1200000</v>
      </c>
      <c r="L92" s="26">
        <v>10000</v>
      </c>
      <c r="M92" s="26">
        <f>K92-L92</f>
        <v>1190000</v>
      </c>
    </row>
    <row r="93" spans="2:13" ht="15" customHeight="1" x14ac:dyDescent="0.25">
      <c r="B93" s="238"/>
      <c r="C93" s="72" t="s">
        <v>322</v>
      </c>
      <c r="D93" s="72">
        <v>0</v>
      </c>
      <c r="E93" s="72">
        <v>200000</v>
      </c>
      <c r="F93" s="72">
        <v>2000</v>
      </c>
      <c r="G93" s="72">
        <f t="shared" ref="G93:G106" si="12">E93+F93</f>
        <v>202000</v>
      </c>
      <c r="H93" s="72">
        <v>202000</v>
      </c>
      <c r="J93" s="26"/>
      <c r="K93" s="26">
        <v>0</v>
      </c>
      <c r="L93" s="26">
        <v>0</v>
      </c>
      <c r="M93" s="26">
        <f t="shared" ref="M93:M95" si="13">K93-L93</f>
        <v>0</v>
      </c>
    </row>
    <row r="94" spans="2:13" ht="15" customHeight="1" x14ac:dyDescent="0.25">
      <c r="B94" s="238"/>
      <c r="C94" s="72" t="s">
        <v>234</v>
      </c>
      <c r="D94" s="72">
        <v>0</v>
      </c>
      <c r="E94" s="72">
        <v>50000</v>
      </c>
      <c r="F94" s="72">
        <v>1000</v>
      </c>
      <c r="G94" s="72">
        <f t="shared" si="12"/>
        <v>51000</v>
      </c>
      <c r="H94" s="72">
        <v>51000</v>
      </c>
      <c r="J94" s="26"/>
      <c r="K94" s="26">
        <v>0</v>
      </c>
      <c r="L94" s="26">
        <v>0</v>
      </c>
      <c r="M94" s="26">
        <f t="shared" si="13"/>
        <v>0</v>
      </c>
    </row>
    <row r="95" spans="2:13" ht="15" customHeight="1" x14ac:dyDescent="0.25">
      <c r="B95" s="238"/>
      <c r="C95" s="72"/>
      <c r="D95" s="72">
        <v>0</v>
      </c>
      <c r="E95" s="72">
        <v>0</v>
      </c>
      <c r="F95" s="72">
        <v>0</v>
      </c>
      <c r="G95" s="72">
        <f t="shared" si="12"/>
        <v>0</v>
      </c>
      <c r="H95" s="72"/>
      <c r="J95" s="26"/>
      <c r="K95" s="26">
        <v>0</v>
      </c>
      <c r="L95" s="26">
        <v>0</v>
      </c>
      <c r="M95" s="26">
        <f t="shared" si="13"/>
        <v>0</v>
      </c>
    </row>
    <row r="96" spans="2:13" ht="15" customHeight="1" x14ac:dyDescent="0.25">
      <c r="B96" s="238"/>
      <c r="C96" s="72"/>
      <c r="D96" s="72">
        <v>0</v>
      </c>
      <c r="E96" s="72">
        <v>0</v>
      </c>
      <c r="F96" s="72">
        <v>0</v>
      </c>
      <c r="G96" s="72">
        <f t="shared" si="12"/>
        <v>0</v>
      </c>
      <c r="H96" s="72"/>
      <c r="J96" s="26"/>
      <c r="K96" s="26"/>
      <c r="L96" s="26"/>
      <c r="M96" s="26"/>
    </row>
    <row r="97" spans="2:13" ht="15" customHeight="1" x14ac:dyDescent="0.25">
      <c r="B97" s="238"/>
      <c r="C97" s="72"/>
      <c r="D97" s="72">
        <v>0</v>
      </c>
      <c r="E97" s="72">
        <v>0</v>
      </c>
      <c r="F97" s="72">
        <v>0</v>
      </c>
      <c r="G97" s="72">
        <f t="shared" si="12"/>
        <v>0</v>
      </c>
      <c r="H97" s="72"/>
      <c r="J97" s="26"/>
      <c r="K97" s="26"/>
      <c r="L97" s="26"/>
      <c r="M97" s="26"/>
    </row>
    <row r="98" spans="2:13" ht="15" customHeight="1" x14ac:dyDescent="0.25">
      <c r="B98" s="238"/>
      <c r="C98" s="72"/>
      <c r="D98" s="72">
        <v>0</v>
      </c>
      <c r="E98" s="72">
        <v>0</v>
      </c>
      <c r="F98" s="72">
        <v>0</v>
      </c>
      <c r="G98" s="72">
        <f t="shared" si="12"/>
        <v>0</v>
      </c>
      <c r="H98" s="72"/>
      <c r="J98" s="26"/>
      <c r="K98" s="26"/>
      <c r="L98" s="26"/>
      <c r="M98" s="26"/>
    </row>
    <row r="99" spans="2:13" ht="15" customHeight="1" x14ac:dyDescent="0.25">
      <c r="B99" s="238"/>
      <c r="C99" s="72"/>
      <c r="D99" s="72">
        <v>0</v>
      </c>
      <c r="E99" s="72">
        <v>0</v>
      </c>
      <c r="F99" s="72">
        <v>0</v>
      </c>
      <c r="G99" s="72">
        <f t="shared" si="12"/>
        <v>0</v>
      </c>
      <c r="H99" s="72"/>
      <c r="L99" s="27">
        <f>SUM(L92:L95)</f>
        <v>10000</v>
      </c>
      <c r="M99" s="27">
        <f>SUM(M92:M95)</f>
        <v>1190000</v>
      </c>
    </row>
    <row r="100" spans="2:13" ht="15" customHeight="1" x14ac:dyDescent="0.25">
      <c r="B100" s="238"/>
      <c r="C100" s="72"/>
      <c r="D100" s="72">
        <v>0</v>
      </c>
      <c r="E100" s="72">
        <v>0</v>
      </c>
      <c r="F100" s="72">
        <v>0</v>
      </c>
      <c r="G100" s="72">
        <f t="shared" si="12"/>
        <v>0</v>
      </c>
      <c r="H100" s="72"/>
      <c r="L100" s="27"/>
      <c r="M100" s="27"/>
    </row>
    <row r="101" spans="2:13" ht="15" customHeight="1" x14ac:dyDescent="0.25">
      <c r="B101" s="238"/>
      <c r="C101" s="72"/>
      <c r="D101" s="72">
        <v>0</v>
      </c>
      <c r="E101" s="72">
        <v>0</v>
      </c>
      <c r="F101" s="72">
        <v>0</v>
      </c>
      <c r="G101" s="72">
        <f t="shared" si="12"/>
        <v>0</v>
      </c>
      <c r="H101" s="72"/>
      <c r="L101" s="27"/>
      <c r="M101" s="27"/>
    </row>
    <row r="102" spans="2:13" ht="15" customHeight="1" x14ac:dyDescent="0.25">
      <c r="B102" s="238"/>
      <c r="C102" s="72"/>
      <c r="D102" s="72">
        <v>0</v>
      </c>
      <c r="E102" s="72">
        <v>0</v>
      </c>
      <c r="F102" s="72">
        <v>0</v>
      </c>
      <c r="G102" s="72">
        <f t="shared" si="12"/>
        <v>0</v>
      </c>
      <c r="H102" s="72"/>
      <c r="L102" s="27"/>
      <c r="M102" s="27"/>
    </row>
    <row r="103" spans="2:13" ht="15" customHeight="1" x14ac:dyDescent="0.25">
      <c r="B103" s="238"/>
      <c r="C103" s="72"/>
      <c r="D103" s="72">
        <v>0</v>
      </c>
      <c r="E103" s="72">
        <v>0</v>
      </c>
      <c r="F103" s="72">
        <v>0</v>
      </c>
      <c r="G103" s="72">
        <f t="shared" si="12"/>
        <v>0</v>
      </c>
      <c r="H103" s="72"/>
      <c r="L103" s="27"/>
      <c r="M103" s="27"/>
    </row>
    <row r="104" spans="2:13" ht="15" customHeight="1" x14ac:dyDescent="0.25">
      <c r="B104" s="238"/>
      <c r="C104" s="72"/>
      <c r="D104" s="72">
        <v>0</v>
      </c>
      <c r="E104" s="72">
        <v>0</v>
      </c>
      <c r="F104" s="72">
        <v>0</v>
      </c>
      <c r="G104" s="72">
        <f t="shared" si="12"/>
        <v>0</v>
      </c>
      <c r="H104" s="72"/>
      <c r="L104" s="27"/>
      <c r="M104" s="27"/>
    </row>
    <row r="105" spans="2:13" ht="15" customHeight="1" x14ac:dyDescent="0.25">
      <c r="B105" s="238"/>
      <c r="C105" s="72"/>
      <c r="D105" s="72">
        <v>0</v>
      </c>
      <c r="E105" s="72">
        <v>0</v>
      </c>
      <c r="F105" s="72">
        <v>0</v>
      </c>
      <c r="G105" s="72">
        <f t="shared" si="12"/>
        <v>0</v>
      </c>
      <c r="H105" s="72"/>
      <c r="L105" s="27"/>
      <c r="M105" s="27"/>
    </row>
    <row r="106" spans="2:13" ht="15" customHeight="1" x14ac:dyDescent="0.25">
      <c r="B106" s="238"/>
      <c r="C106" s="72"/>
      <c r="D106" s="72">
        <v>0</v>
      </c>
      <c r="E106" s="72">
        <v>0</v>
      </c>
      <c r="F106" s="72">
        <v>0</v>
      </c>
      <c r="G106" s="72">
        <f t="shared" si="12"/>
        <v>0</v>
      </c>
      <c r="H106" s="72"/>
      <c r="L106" s="27"/>
      <c r="M106" s="27"/>
    </row>
    <row r="107" spans="2:13" ht="15.75" x14ac:dyDescent="0.25">
      <c r="B107" s="239"/>
      <c r="C107" s="19" t="s">
        <v>17</v>
      </c>
      <c r="D107" s="19">
        <f>SUM(D92:D106)</f>
        <v>0</v>
      </c>
      <c r="E107" s="19">
        <f>SUM(E92:E106)</f>
        <v>450000</v>
      </c>
      <c r="F107" s="19">
        <f>SUM(F92:F100)</f>
        <v>5000</v>
      </c>
      <c r="G107" s="19">
        <f>SUM(G92:G106)</f>
        <v>455000</v>
      </c>
      <c r="H107" s="19">
        <f>D91-E107</f>
        <v>-2413000</v>
      </c>
      <c r="I107" s="20">
        <f>M25+D107+H107</f>
        <v>-1013000</v>
      </c>
      <c r="K107" s="232">
        <v>45095</v>
      </c>
      <c r="L107" s="231"/>
      <c r="M107" s="231"/>
    </row>
    <row r="108" spans="2:13" ht="15.75" x14ac:dyDescent="0.25">
      <c r="B108" s="228">
        <v>45095</v>
      </c>
      <c r="C108" s="15" t="s">
        <v>18</v>
      </c>
      <c r="D108" s="72">
        <f>+I107-M118</f>
        <v>-3393000</v>
      </c>
      <c r="E108" s="72">
        <v>0</v>
      </c>
      <c r="F108" s="72">
        <v>0</v>
      </c>
      <c r="G108" s="72">
        <v>0</v>
      </c>
      <c r="H108" s="72"/>
      <c r="J108" s="26" t="s">
        <v>23</v>
      </c>
      <c r="K108" s="26" t="s">
        <v>22</v>
      </c>
      <c r="L108" s="26" t="s">
        <v>20</v>
      </c>
      <c r="M108" s="26" t="s">
        <v>21</v>
      </c>
    </row>
    <row r="109" spans="2:13" x14ac:dyDescent="0.25">
      <c r="B109" s="229"/>
      <c r="C109" s="72" t="s">
        <v>234</v>
      </c>
      <c r="D109" s="72">
        <v>0</v>
      </c>
      <c r="E109" s="72">
        <v>100000</v>
      </c>
      <c r="F109" s="72">
        <v>1000</v>
      </c>
      <c r="G109" s="72">
        <f>E109+F109</f>
        <v>101000</v>
      </c>
      <c r="H109" s="72">
        <v>101000</v>
      </c>
      <c r="J109" s="26" t="s">
        <v>353</v>
      </c>
      <c r="K109" s="26">
        <v>1200000</v>
      </c>
      <c r="L109" s="26">
        <v>10000</v>
      </c>
      <c r="M109" s="26">
        <f>K109-L109</f>
        <v>1190000</v>
      </c>
    </row>
    <row r="110" spans="2:13" x14ac:dyDescent="0.25">
      <c r="B110" s="229"/>
      <c r="C110" s="72" t="s">
        <v>356</v>
      </c>
      <c r="D110" s="72">
        <v>0</v>
      </c>
      <c r="E110" s="72">
        <v>100000</v>
      </c>
      <c r="F110" s="72">
        <v>1000</v>
      </c>
      <c r="G110" s="72">
        <f t="shared" ref="G110:G120" si="14">E110+F110</f>
        <v>101000</v>
      </c>
      <c r="H110" s="72">
        <v>101000</v>
      </c>
      <c r="J110" s="26" t="s">
        <v>354</v>
      </c>
      <c r="K110" s="26">
        <v>1200000</v>
      </c>
      <c r="L110" s="26">
        <v>10000</v>
      </c>
      <c r="M110" s="26">
        <f>K110-L110</f>
        <v>1190000</v>
      </c>
    </row>
    <row r="111" spans="2:13" x14ac:dyDescent="0.25">
      <c r="B111" s="229"/>
      <c r="C111" s="17" t="s">
        <v>356</v>
      </c>
      <c r="D111" s="72">
        <v>0</v>
      </c>
      <c r="E111" s="72">
        <v>100000</v>
      </c>
      <c r="F111" s="72">
        <v>1000</v>
      </c>
      <c r="G111" s="72">
        <f t="shared" si="14"/>
        <v>101000</v>
      </c>
      <c r="H111" s="72">
        <v>101000</v>
      </c>
      <c r="J111" s="26"/>
      <c r="K111" s="26">
        <v>0</v>
      </c>
      <c r="L111" s="26">
        <v>0</v>
      </c>
      <c r="M111" s="26">
        <f t="shared" ref="M111" si="15">K111-L111</f>
        <v>0</v>
      </c>
    </row>
    <row r="112" spans="2:13" x14ac:dyDescent="0.25">
      <c r="B112" s="229"/>
      <c r="C112" s="72" t="s">
        <v>363</v>
      </c>
      <c r="D112" s="72">
        <v>0</v>
      </c>
      <c r="E112" s="72">
        <v>100000</v>
      </c>
      <c r="F112" s="72">
        <v>1000</v>
      </c>
      <c r="G112" s="72">
        <f t="shared" si="14"/>
        <v>101000</v>
      </c>
      <c r="H112" s="72">
        <v>101000</v>
      </c>
      <c r="J112" s="26"/>
      <c r="K112" s="26">
        <v>0</v>
      </c>
      <c r="L112" s="26">
        <v>0</v>
      </c>
      <c r="M112" s="26">
        <f>K112-L112</f>
        <v>0</v>
      </c>
    </row>
    <row r="113" spans="2:13" x14ac:dyDescent="0.25">
      <c r="B113" s="229"/>
      <c r="C113" s="72" t="s">
        <v>364</v>
      </c>
      <c r="D113" s="72">
        <v>0</v>
      </c>
      <c r="E113" s="72">
        <v>100000</v>
      </c>
      <c r="F113" s="72">
        <v>1000</v>
      </c>
      <c r="G113" s="72">
        <f t="shared" si="14"/>
        <v>101000</v>
      </c>
      <c r="H113" s="72">
        <v>101000</v>
      </c>
      <c r="J113" s="26"/>
      <c r="K113" s="26"/>
      <c r="L113" s="26"/>
      <c r="M113" s="26"/>
    </row>
    <row r="114" spans="2:13" x14ac:dyDescent="0.25">
      <c r="B114" s="229"/>
      <c r="C114" s="72" t="s">
        <v>234</v>
      </c>
      <c r="D114" s="72">
        <v>0</v>
      </c>
      <c r="E114" s="72">
        <v>84000</v>
      </c>
      <c r="F114" s="72">
        <v>500</v>
      </c>
      <c r="G114" s="72">
        <f t="shared" si="14"/>
        <v>84500</v>
      </c>
      <c r="H114" s="72">
        <v>84500</v>
      </c>
      <c r="J114" s="26"/>
      <c r="K114" s="26"/>
      <c r="L114" s="26"/>
      <c r="M114" s="26"/>
    </row>
    <row r="115" spans="2:13" x14ac:dyDescent="0.25">
      <c r="B115" s="229"/>
      <c r="C115" s="72"/>
      <c r="D115" s="72">
        <v>0</v>
      </c>
      <c r="E115" s="72">
        <v>0</v>
      </c>
      <c r="F115" s="72">
        <v>0</v>
      </c>
      <c r="G115" s="72">
        <f t="shared" si="14"/>
        <v>0</v>
      </c>
      <c r="H115" s="72"/>
      <c r="J115" s="26"/>
      <c r="K115" s="26"/>
      <c r="L115" s="26"/>
      <c r="M115" s="26"/>
    </row>
    <row r="116" spans="2:13" x14ac:dyDescent="0.25">
      <c r="B116" s="229"/>
      <c r="C116" s="72"/>
      <c r="D116" s="72">
        <v>0</v>
      </c>
      <c r="E116" s="72">
        <v>0</v>
      </c>
      <c r="F116" s="72">
        <v>0</v>
      </c>
      <c r="G116" s="72">
        <f t="shared" si="14"/>
        <v>0</v>
      </c>
      <c r="H116" s="72"/>
      <c r="J116" s="26"/>
      <c r="K116" s="26"/>
      <c r="L116" s="26"/>
      <c r="M116" s="26"/>
    </row>
    <row r="117" spans="2:13" x14ac:dyDescent="0.25">
      <c r="B117" s="229"/>
      <c r="C117" s="72"/>
      <c r="D117" s="72">
        <v>0</v>
      </c>
      <c r="E117" s="72">
        <v>0</v>
      </c>
      <c r="F117" s="72">
        <v>0</v>
      </c>
      <c r="G117" s="72">
        <f t="shared" si="14"/>
        <v>0</v>
      </c>
      <c r="H117" s="72"/>
      <c r="J117" s="26"/>
      <c r="K117" s="26"/>
      <c r="L117" s="26"/>
      <c r="M117" s="26"/>
    </row>
    <row r="118" spans="2:13" x14ac:dyDescent="0.25">
      <c r="B118" s="229"/>
      <c r="C118" s="72"/>
      <c r="D118" s="72">
        <v>0</v>
      </c>
      <c r="E118" s="72">
        <v>0</v>
      </c>
      <c r="F118" s="72">
        <v>0</v>
      </c>
      <c r="G118" s="72">
        <f t="shared" si="14"/>
        <v>0</v>
      </c>
      <c r="H118" s="72"/>
      <c r="L118" s="27">
        <f>SUM(L109:L112)</f>
        <v>20000</v>
      </c>
      <c r="M118" s="27">
        <f>SUM(M109:M112)</f>
        <v>2380000</v>
      </c>
    </row>
    <row r="119" spans="2:13" x14ac:dyDescent="0.25">
      <c r="B119" s="229"/>
      <c r="C119" s="72"/>
      <c r="D119" s="72">
        <v>0</v>
      </c>
      <c r="E119" s="72">
        <v>0</v>
      </c>
      <c r="F119" s="72">
        <v>0</v>
      </c>
      <c r="G119" s="72">
        <f t="shared" si="14"/>
        <v>0</v>
      </c>
      <c r="H119" s="72"/>
      <c r="L119" s="27"/>
      <c r="M119" s="27"/>
    </row>
    <row r="120" spans="2:13" x14ac:dyDescent="0.25">
      <c r="B120" s="229"/>
      <c r="C120" s="72"/>
      <c r="D120" s="72">
        <v>0</v>
      </c>
      <c r="E120" s="72">
        <v>0</v>
      </c>
      <c r="F120" s="72">
        <v>0</v>
      </c>
      <c r="G120" s="72">
        <f t="shared" si="14"/>
        <v>0</v>
      </c>
      <c r="H120" s="72"/>
      <c r="L120" s="27"/>
      <c r="M120" s="27"/>
    </row>
    <row r="121" spans="2:13" ht="15.75" x14ac:dyDescent="0.25">
      <c r="B121" s="230"/>
      <c r="C121" s="19" t="s">
        <v>17</v>
      </c>
      <c r="D121" s="19">
        <f>SUM(D109:D120)</f>
        <v>0</v>
      </c>
      <c r="E121" s="19">
        <f>SUM(E109:E120)</f>
        <v>584000</v>
      </c>
      <c r="F121" s="19">
        <f>SUM(F109:F120)</f>
        <v>5500</v>
      </c>
      <c r="G121" s="19">
        <f>SUM(G109:G120)</f>
        <v>589500</v>
      </c>
      <c r="H121" s="19">
        <f>D108-E121</f>
        <v>-3977000</v>
      </c>
      <c r="I121" s="20">
        <f>O25+D121+H121</f>
        <v>-2577000</v>
      </c>
      <c r="K121" s="232">
        <v>45123</v>
      </c>
      <c r="L121" s="231"/>
      <c r="M121" s="231"/>
    </row>
    <row r="122" spans="2:13" ht="15.75" x14ac:dyDescent="0.25">
      <c r="B122" s="228">
        <v>45123</v>
      </c>
      <c r="C122" s="15" t="s">
        <v>18</v>
      </c>
      <c r="D122" s="72">
        <f>+I121-M127</f>
        <v>-2577000</v>
      </c>
      <c r="E122" s="72"/>
      <c r="F122" s="72"/>
      <c r="G122" s="72"/>
      <c r="H122" s="72"/>
      <c r="J122" s="26" t="s">
        <v>23</v>
      </c>
      <c r="K122" s="26" t="s">
        <v>22</v>
      </c>
      <c r="L122" s="26" t="s">
        <v>20</v>
      </c>
      <c r="M122" s="26" t="s">
        <v>21</v>
      </c>
    </row>
    <row r="123" spans="2:13" x14ac:dyDescent="0.25">
      <c r="B123" s="229"/>
      <c r="C123" s="72" t="s">
        <v>237</v>
      </c>
      <c r="D123" s="72">
        <v>0</v>
      </c>
      <c r="E123" s="72">
        <v>100000</v>
      </c>
      <c r="F123" s="72">
        <v>1000</v>
      </c>
      <c r="G123" s="72">
        <f t="shared" ref="G123:G132" si="16">E123+F123</f>
        <v>101000</v>
      </c>
      <c r="H123" s="72">
        <v>101000</v>
      </c>
      <c r="J123" s="26"/>
      <c r="K123" s="26">
        <v>0</v>
      </c>
      <c r="L123" s="26">
        <v>0</v>
      </c>
      <c r="M123" s="26">
        <f>K123-L123</f>
        <v>0</v>
      </c>
    </row>
    <row r="124" spans="2:13" x14ac:dyDescent="0.25">
      <c r="B124" s="229"/>
      <c r="C124" s="72" t="s">
        <v>94</v>
      </c>
      <c r="D124" s="72">
        <v>0</v>
      </c>
      <c r="E124" s="72">
        <v>100000</v>
      </c>
      <c r="F124" s="72">
        <v>1000</v>
      </c>
      <c r="G124" s="72">
        <f t="shared" si="16"/>
        <v>101000</v>
      </c>
      <c r="H124" s="72">
        <v>101000</v>
      </c>
      <c r="J124" s="26"/>
      <c r="K124" s="26">
        <v>0</v>
      </c>
      <c r="L124" s="26">
        <v>0</v>
      </c>
      <c r="M124" s="26">
        <f t="shared" ref="M124:M126" si="17">K124-L124</f>
        <v>0</v>
      </c>
    </row>
    <row r="125" spans="2:13" x14ac:dyDescent="0.25">
      <c r="B125" s="229"/>
      <c r="C125" s="72" t="s">
        <v>232</v>
      </c>
      <c r="D125" s="72">
        <v>0</v>
      </c>
      <c r="E125" s="72">
        <v>100000</v>
      </c>
      <c r="F125" s="72">
        <v>1000</v>
      </c>
      <c r="G125" s="72">
        <f t="shared" si="16"/>
        <v>101000</v>
      </c>
      <c r="H125" s="72">
        <v>101000</v>
      </c>
      <c r="J125" s="26"/>
      <c r="K125" s="26">
        <v>0</v>
      </c>
      <c r="L125" s="26">
        <v>0</v>
      </c>
      <c r="M125" s="26">
        <f t="shared" si="17"/>
        <v>0</v>
      </c>
    </row>
    <row r="126" spans="2:13" x14ac:dyDescent="0.25">
      <c r="B126" s="229"/>
      <c r="C126" s="72" t="s">
        <v>234</v>
      </c>
      <c r="D126" s="72">
        <v>0</v>
      </c>
      <c r="E126" s="72">
        <v>100000</v>
      </c>
      <c r="F126" s="72">
        <v>1000</v>
      </c>
      <c r="G126" s="72">
        <f t="shared" si="16"/>
        <v>101000</v>
      </c>
      <c r="H126" s="72">
        <v>101000</v>
      </c>
      <c r="J126" s="26"/>
      <c r="K126" s="26">
        <v>0</v>
      </c>
      <c r="L126" s="26">
        <v>0</v>
      </c>
      <c r="M126" s="26">
        <f t="shared" si="17"/>
        <v>0</v>
      </c>
    </row>
    <row r="127" spans="2:13" x14ac:dyDescent="0.25">
      <c r="B127" s="229"/>
      <c r="C127" s="72" t="s">
        <v>234</v>
      </c>
      <c r="D127" s="72">
        <v>0</v>
      </c>
      <c r="E127" s="72">
        <v>100000</v>
      </c>
      <c r="F127" s="72">
        <v>1000</v>
      </c>
      <c r="G127" s="72">
        <f t="shared" si="16"/>
        <v>101000</v>
      </c>
      <c r="H127" s="72">
        <v>101000</v>
      </c>
      <c r="J127" s="26"/>
      <c r="K127" s="26"/>
      <c r="L127" s="27">
        <f>SUM(L123:L126)</f>
        <v>0</v>
      </c>
      <c r="M127" s="27">
        <f>SUM(M123:M126)</f>
        <v>0</v>
      </c>
    </row>
    <row r="128" spans="2:13" x14ac:dyDescent="0.25">
      <c r="B128" s="229"/>
      <c r="C128" s="72" t="s">
        <v>233</v>
      </c>
      <c r="D128" s="72">
        <v>0</v>
      </c>
      <c r="E128" s="72">
        <v>100000</v>
      </c>
      <c r="F128" s="72">
        <v>1000</v>
      </c>
      <c r="G128" s="72">
        <f t="shared" si="16"/>
        <v>101000</v>
      </c>
      <c r="H128" s="72">
        <v>101000</v>
      </c>
      <c r="J128" s="26"/>
      <c r="K128" s="26"/>
      <c r="L128" s="27"/>
      <c r="M128" s="27"/>
    </row>
    <row r="129" spans="2:13" x14ac:dyDescent="0.25">
      <c r="B129" s="229"/>
      <c r="C129" s="72" t="s">
        <v>237</v>
      </c>
      <c r="D129" s="72">
        <v>0</v>
      </c>
      <c r="E129" s="72">
        <v>189500</v>
      </c>
      <c r="F129" s="72">
        <v>1000</v>
      </c>
      <c r="G129" s="72">
        <f t="shared" si="16"/>
        <v>190500</v>
      </c>
      <c r="H129" s="72">
        <v>190500</v>
      </c>
      <c r="J129" s="26"/>
      <c r="K129" s="26"/>
      <c r="L129" s="27"/>
      <c r="M129" s="27"/>
    </row>
    <row r="130" spans="2:13" x14ac:dyDescent="0.25">
      <c r="B130" s="229"/>
      <c r="C130" s="72" t="s">
        <v>388</v>
      </c>
      <c r="D130" s="72">
        <v>0</v>
      </c>
      <c r="E130" s="72">
        <v>1200000</v>
      </c>
      <c r="F130" s="72">
        <v>0</v>
      </c>
      <c r="G130" s="72">
        <f t="shared" si="16"/>
        <v>1200000</v>
      </c>
      <c r="H130" s="72">
        <v>1200000</v>
      </c>
      <c r="J130" s="26"/>
      <c r="K130" s="26"/>
      <c r="L130" s="27"/>
      <c r="M130" s="27"/>
    </row>
    <row r="131" spans="2:13" x14ac:dyDescent="0.25">
      <c r="B131" s="229"/>
      <c r="C131" s="72"/>
      <c r="D131" s="72">
        <v>0</v>
      </c>
      <c r="E131" s="72">
        <v>0</v>
      </c>
      <c r="F131" s="72">
        <v>0</v>
      </c>
      <c r="G131" s="72">
        <f t="shared" si="16"/>
        <v>0</v>
      </c>
      <c r="H131" s="72"/>
      <c r="J131" s="26"/>
      <c r="K131" s="26"/>
      <c r="L131" s="27"/>
      <c r="M131" s="27"/>
    </row>
    <row r="132" spans="2:13" x14ac:dyDescent="0.25">
      <c r="B132" s="229"/>
      <c r="C132" s="72"/>
      <c r="D132" s="72">
        <v>0</v>
      </c>
      <c r="E132" s="72">
        <v>0</v>
      </c>
      <c r="F132" s="72">
        <v>0</v>
      </c>
      <c r="G132" s="72">
        <f t="shared" si="16"/>
        <v>0</v>
      </c>
      <c r="H132" s="72"/>
      <c r="J132" s="26"/>
      <c r="K132" s="26"/>
      <c r="L132" s="27"/>
      <c r="M132" s="27"/>
    </row>
    <row r="133" spans="2:13" x14ac:dyDescent="0.25">
      <c r="B133" s="229"/>
      <c r="C133" s="72"/>
      <c r="D133" s="72">
        <v>0</v>
      </c>
      <c r="E133" s="72">
        <v>0</v>
      </c>
      <c r="F133" s="72">
        <v>0</v>
      </c>
      <c r="G133" s="72">
        <v>0</v>
      </c>
      <c r="H133" s="72"/>
      <c r="J133" s="26"/>
      <c r="K133" s="26"/>
      <c r="L133" s="27"/>
      <c r="M133" s="27"/>
    </row>
    <row r="134" spans="2:13" x14ac:dyDescent="0.25">
      <c r="B134" s="229"/>
      <c r="C134" s="72"/>
      <c r="D134" s="72">
        <v>0</v>
      </c>
      <c r="E134" s="72">
        <v>0</v>
      </c>
      <c r="F134" s="72">
        <v>0</v>
      </c>
      <c r="G134" s="72">
        <v>0</v>
      </c>
      <c r="H134" s="72"/>
      <c r="J134" s="26"/>
      <c r="K134" s="26"/>
      <c r="L134" s="27"/>
      <c r="M134" s="27"/>
    </row>
    <row r="135" spans="2:13" x14ac:dyDescent="0.25">
      <c r="B135" s="229"/>
      <c r="C135" s="72"/>
      <c r="D135" s="72">
        <v>0</v>
      </c>
      <c r="E135" s="72"/>
      <c r="F135" s="72"/>
      <c r="G135" s="72"/>
      <c r="H135" s="72"/>
      <c r="J135" s="26"/>
      <c r="K135" s="26"/>
      <c r="L135" s="27"/>
      <c r="M135" s="27"/>
    </row>
    <row r="136" spans="2:13" ht="15.75" x14ac:dyDescent="0.25">
      <c r="B136" s="230"/>
      <c r="C136" s="19" t="s">
        <v>17</v>
      </c>
      <c r="D136" s="19">
        <f>SUM(D123:D135)</f>
        <v>0</v>
      </c>
      <c r="E136" s="19">
        <f>SUM(E123:E134)</f>
        <v>1989500</v>
      </c>
      <c r="F136" s="19">
        <f>SUM(F123:F134)</f>
        <v>7000</v>
      </c>
      <c r="G136" s="19">
        <f>SUM(G123:G134)</f>
        <v>1996500</v>
      </c>
      <c r="H136" s="19">
        <f>SUM(H122:H135)</f>
        <v>1996500</v>
      </c>
      <c r="I136" s="20">
        <f>Q25+D136+H136</f>
        <v>3396500</v>
      </c>
      <c r="K136" s="231" t="s">
        <v>387</v>
      </c>
      <c r="L136" s="231"/>
      <c r="M136" s="231"/>
    </row>
    <row r="137" spans="2:13" ht="15.75" x14ac:dyDescent="0.25">
      <c r="B137" s="228" t="s">
        <v>385</v>
      </c>
      <c r="C137" s="15" t="s">
        <v>18</v>
      </c>
      <c r="D137" s="72">
        <v>1016500</v>
      </c>
      <c r="E137" s="72"/>
      <c r="F137" s="72"/>
      <c r="G137" s="72"/>
      <c r="H137" s="72"/>
      <c r="J137" s="26" t="s">
        <v>23</v>
      </c>
      <c r="K137" s="26" t="s">
        <v>22</v>
      </c>
      <c r="L137" s="26" t="s">
        <v>20</v>
      </c>
      <c r="M137" s="26" t="s">
        <v>21</v>
      </c>
    </row>
    <row r="138" spans="2:13" x14ac:dyDescent="0.25">
      <c r="B138" s="229"/>
      <c r="C138" s="72" t="s">
        <v>234</v>
      </c>
      <c r="D138" s="72">
        <v>0</v>
      </c>
      <c r="E138" s="72">
        <v>100000</v>
      </c>
      <c r="F138" s="72">
        <v>1000</v>
      </c>
      <c r="G138" s="72">
        <f t="shared" ref="G138:G149" si="18">E138+F138</f>
        <v>101000</v>
      </c>
      <c r="H138" s="72">
        <v>101000</v>
      </c>
      <c r="J138" s="26" t="s">
        <v>353</v>
      </c>
      <c r="K138" s="26">
        <v>1200000</v>
      </c>
      <c r="L138" s="27">
        <v>10000</v>
      </c>
      <c r="M138" s="26">
        <f>K138-L138</f>
        <v>1190000</v>
      </c>
    </row>
    <row r="139" spans="2:13" x14ac:dyDescent="0.25">
      <c r="B139" s="229"/>
      <c r="C139" s="72" t="s">
        <v>234</v>
      </c>
      <c r="D139" s="72">
        <v>0</v>
      </c>
      <c r="E139" s="72">
        <v>200000</v>
      </c>
      <c r="F139" s="72">
        <v>2000</v>
      </c>
      <c r="G139" s="72">
        <f t="shared" si="18"/>
        <v>202000</v>
      </c>
      <c r="H139" s="72">
        <v>202000</v>
      </c>
      <c r="J139" s="26" t="s">
        <v>285</v>
      </c>
      <c r="K139" s="26">
        <v>1200000</v>
      </c>
      <c r="L139" s="27">
        <v>10000</v>
      </c>
      <c r="M139" s="26">
        <f t="shared" ref="M139:M141" si="19">K139-L139</f>
        <v>1190000</v>
      </c>
    </row>
    <row r="140" spans="2:13" x14ac:dyDescent="0.25">
      <c r="B140" s="229"/>
      <c r="C140" s="72" t="s">
        <v>237</v>
      </c>
      <c r="D140" s="72">
        <v>0</v>
      </c>
      <c r="E140" s="72">
        <v>100000</v>
      </c>
      <c r="F140" s="72">
        <v>1000</v>
      </c>
      <c r="G140" s="72">
        <f t="shared" si="18"/>
        <v>101000</v>
      </c>
      <c r="H140" s="72">
        <v>101000</v>
      </c>
      <c r="J140" s="26"/>
      <c r="K140" s="26">
        <v>0</v>
      </c>
      <c r="L140" s="27">
        <v>0</v>
      </c>
      <c r="M140" s="26">
        <f t="shared" si="19"/>
        <v>0</v>
      </c>
    </row>
    <row r="141" spans="2:13" x14ac:dyDescent="0.25">
      <c r="B141" s="229"/>
      <c r="C141" s="72" t="s">
        <v>361</v>
      </c>
      <c r="D141" s="72">
        <v>0</v>
      </c>
      <c r="E141" s="72">
        <v>616000</v>
      </c>
      <c r="F141" s="72">
        <v>0</v>
      </c>
      <c r="G141" s="72">
        <f t="shared" si="18"/>
        <v>616000</v>
      </c>
      <c r="H141" s="72">
        <v>616000</v>
      </c>
      <c r="J141" s="26"/>
      <c r="K141" s="26">
        <v>0</v>
      </c>
      <c r="L141" s="27">
        <v>0</v>
      </c>
      <c r="M141" s="26">
        <f t="shared" si="19"/>
        <v>0</v>
      </c>
    </row>
    <row r="142" spans="2:13" x14ac:dyDescent="0.25">
      <c r="B142" s="229"/>
      <c r="C142" s="72"/>
      <c r="D142" s="72">
        <v>0</v>
      </c>
      <c r="E142" s="72">
        <v>0</v>
      </c>
      <c r="F142" s="72">
        <v>0</v>
      </c>
      <c r="G142" s="72">
        <f t="shared" si="18"/>
        <v>0</v>
      </c>
      <c r="H142" s="72"/>
      <c r="J142" s="26"/>
      <c r="K142" s="26"/>
      <c r="L142" s="27">
        <f>SUM(L138:L141)</f>
        <v>20000</v>
      </c>
      <c r="M142" s="27">
        <f>SUM(M138:M141)</f>
        <v>2380000</v>
      </c>
    </row>
    <row r="143" spans="2:13" x14ac:dyDescent="0.25">
      <c r="B143" s="229"/>
      <c r="C143" s="72"/>
      <c r="D143" s="72">
        <v>0</v>
      </c>
      <c r="E143" s="72">
        <v>0</v>
      </c>
      <c r="F143" s="72">
        <v>0</v>
      </c>
      <c r="G143" s="72">
        <f t="shared" si="18"/>
        <v>0</v>
      </c>
      <c r="H143" s="72"/>
      <c r="J143" s="26"/>
      <c r="K143" s="26"/>
      <c r="L143" s="27"/>
      <c r="M143" s="27"/>
    </row>
    <row r="144" spans="2:13" x14ac:dyDescent="0.25">
      <c r="B144" s="229"/>
      <c r="C144" s="72"/>
      <c r="D144" s="72">
        <v>0</v>
      </c>
      <c r="E144" s="72">
        <v>0</v>
      </c>
      <c r="F144" s="72">
        <v>0</v>
      </c>
      <c r="G144" s="72">
        <f t="shared" si="18"/>
        <v>0</v>
      </c>
      <c r="H144" s="72"/>
      <c r="J144" s="26"/>
      <c r="K144" s="26"/>
      <c r="L144" s="27"/>
      <c r="M144" s="27"/>
    </row>
    <row r="145" spans="2:13" x14ac:dyDescent="0.25">
      <c r="B145" s="229"/>
      <c r="C145" s="72"/>
      <c r="D145" s="72">
        <v>0</v>
      </c>
      <c r="E145" s="72">
        <v>0</v>
      </c>
      <c r="F145" s="72">
        <v>0</v>
      </c>
      <c r="G145" s="72">
        <f t="shared" si="18"/>
        <v>0</v>
      </c>
      <c r="H145" s="72"/>
      <c r="J145" s="26"/>
      <c r="K145" s="26"/>
      <c r="L145" s="27"/>
      <c r="M145" s="27"/>
    </row>
    <row r="146" spans="2:13" x14ac:dyDescent="0.25">
      <c r="B146" s="229"/>
      <c r="C146" s="72"/>
      <c r="D146" s="72">
        <v>0</v>
      </c>
      <c r="E146" s="72">
        <v>0</v>
      </c>
      <c r="F146" s="72">
        <v>0</v>
      </c>
      <c r="G146" s="72">
        <f t="shared" si="18"/>
        <v>0</v>
      </c>
      <c r="H146" s="72"/>
      <c r="J146" s="26"/>
      <c r="K146" s="26"/>
      <c r="L146" s="27"/>
      <c r="M146" s="27"/>
    </row>
    <row r="147" spans="2:13" x14ac:dyDescent="0.25">
      <c r="B147" s="229"/>
      <c r="C147" s="72"/>
      <c r="D147" s="72">
        <v>0</v>
      </c>
      <c r="E147" s="72">
        <v>0</v>
      </c>
      <c r="F147" s="72">
        <v>0</v>
      </c>
      <c r="G147" s="72">
        <f t="shared" si="18"/>
        <v>0</v>
      </c>
      <c r="H147" s="72"/>
      <c r="J147" s="26"/>
      <c r="K147" s="26"/>
      <c r="L147" s="27"/>
      <c r="M147" s="27"/>
    </row>
    <row r="148" spans="2:13" x14ac:dyDescent="0.25">
      <c r="B148" s="229"/>
      <c r="C148" s="72"/>
      <c r="D148" s="72">
        <v>0</v>
      </c>
      <c r="E148" s="72">
        <v>0</v>
      </c>
      <c r="F148" s="72">
        <v>0</v>
      </c>
      <c r="G148" s="72">
        <f t="shared" si="18"/>
        <v>0</v>
      </c>
      <c r="H148" s="72"/>
      <c r="J148" s="26"/>
      <c r="K148" s="26"/>
      <c r="L148" s="27"/>
      <c r="M148" s="27"/>
    </row>
    <row r="149" spans="2:13" x14ac:dyDescent="0.25">
      <c r="B149" s="229"/>
      <c r="C149" s="72"/>
      <c r="D149" s="72">
        <v>0</v>
      </c>
      <c r="E149" s="72">
        <v>0</v>
      </c>
      <c r="F149" s="72">
        <v>0</v>
      </c>
      <c r="G149" s="72">
        <f t="shared" si="18"/>
        <v>0</v>
      </c>
      <c r="H149" s="72"/>
      <c r="J149" s="26"/>
      <c r="K149" s="26"/>
      <c r="L149" s="27"/>
      <c r="M149" s="27"/>
    </row>
    <row r="150" spans="2:13" x14ac:dyDescent="0.25">
      <c r="B150" s="229"/>
      <c r="C150" s="72" t="s">
        <v>45</v>
      </c>
      <c r="D150" s="72">
        <v>0</v>
      </c>
      <c r="E150" s="72"/>
      <c r="F150" s="72"/>
      <c r="G150" s="72">
        <v>0</v>
      </c>
      <c r="H150" s="72"/>
      <c r="J150" s="26"/>
      <c r="K150" s="26"/>
      <c r="L150" s="27"/>
      <c r="M150" s="27"/>
    </row>
    <row r="151" spans="2:13" ht="15.75" x14ac:dyDescent="0.25">
      <c r="B151" s="230"/>
      <c r="C151" s="19" t="s">
        <v>17</v>
      </c>
      <c r="D151" s="19">
        <f>SUM(D138:D150)</f>
        <v>0</v>
      </c>
      <c r="E151" s="19">
        <f>SUM(E138:E150)</f>
        <v>1016000</v>
      </c>
      <c r="F151" s="19">
        <f>SUM(F138:F150)</f>
        <v>4000</v>
      </c>
      <c r="G151" s="19">
        <f>SUM(G138:G150)</f>
        <v>1020000</v>
      </c>
      <c r="H151" s="19">
        <f>SUM(H138:H150)</f>
        <v>1020000</v>
      </c>
      <c r="I151" s="20">
        <f>S25+D151+H151</f>
        <v>2420000</v>
      </c>
      <c r="K151" s="232">
        <v>45186</v>
      </c>
      <c r="L151" s="231"/>
      <c r="M151" s="231"/>
    </row>
    <row r="152" spans="2:13" ht="15.75" x14ac:dyDescent="0.25">
      <c r="B152" s="228">
        <v>45186</v>
      </c>
      <c r="C152" s="15" t="s">
        <v>18</v>
      </c>
      <c r="D152" s="72">
        <f>I151-M162</f>
        <v>2420000</v>
      </c>
      <c r="E152" s="72"/>
      <c r="F152" s="72"/>
      <c r="G152" s="72"/>
      <c r="H152" s="72"/>
      <c r="J152" s="26" t="s">
        <v>23</v>
      </c>
      <c r="K152" s="26" t="s">
        <v>22</v>
      </c>
      <c r="L152" s="26" t="s">
        <v>20</v>
      </c>
      <c r="M152" s="26" t="s">
        <v>21</v>
      </c>
    </row>
    <row r="153" spans="2:13" x14ac:dyDescent="0.25">
      <c r="B153" s="229"/>
      <c r="C153" s="72" t="s">
        <v>234</v>
      </c>
      <c r="D153" s="72">
        <v>0</v>
      </c>
      <c r="E153" s="72">
        <v>200000</v>
      </c>
      <c r="F153" s="72">
        <v>2000</v>
      </c>
      <c r="G153" s="72">
        <f>E153+F153</f>
        <v>202000</v>
      </c>
      <c r="H153" s="72">
        <v>202000</v>
      </c>
      <c r="J153" s="26">
        <v>0</v>
      </c>
      <c r="K153" s="26">
        <v>0</v>
      </c>
      <c r="L153" s="26">
        <v>0</v>
      </c>
      <c r="M153" s="26">
        <f>K153-L153</f>
        <v>0</v>
      </c>
    </row>
    <row r="154" spans="2:13" x14ac:dyDescent="0.25">
      <c r="B154" s="229"/>
      <c r="C154" s="72" t="s">
        <v>232</v>
      </c>
      <c r="D154" s="72">
        <v>0</v>
      </c>
      <c r="E154" s="72">
        <v>200000</v>
      </c>
      <c r="F154" s="72">
        <v>2000</v>
      </c>
      <c r="G154" s="72">
        <f t="shared" ref="G154:G156" si="20">E154+F154</f>
        <v>202000</v>
      </c>
      <c r="H154" s="72">
        <v>202000</v>
      </c>
      <c r="J154" s="26">
        <v>0</v>
      </c>
      <c r="K154" s="26">
        <v>0</v>
      </c>
      <c r="L154" s="26">
        <v>0</v>
      </c>
      <c r="M154" s="26">
        <f t="shared" ref="M154:M156" si="21">K154-L154</f>
        <v>0</v>
      </c>
    </row>
    <row r="155" spans="2:13" x14ac:dyDescent="0.25">
      <c r="B155" s="229"/>
      <c r="C155" s="72" t="s">
        <v>237</v>
      </c>
      <c r="D155" s="72">
        <v>0</v>
      </c>
      <c r="E155" s="72">
        <v>200000</v>
      </c>
      <c r="F155" s="72">
        <v>2000</v>
      </c>
      <c r="G155" s="72">
        <f t="shared" si="20"/>
        <v>202000</v>
      </c>
      <c r="H155" s="72">
        <v>202000</v>
      </c>
      <c r="J155" s="26">
        <v>0</v>
      </c>
      <c r="K155" s="26">
        <v>0</v>
      </c>
      <c r="L155" s="26">
        <v>0</v>
      </c>
      <c r="M155" s="26">
        <f t="shared" si="21"/>
        <v>0</v>
      </c>
    </row>
    <row r="156" spans="2:13" x14ac:dyDescent="0.25">
      <c r="B156" s="229"/>
      <c r="C156" s="72" t="s">
        <v>265</v>
      </c>
      <c r="D156" s="72">
        <v>0</v>
      </c>
      <c r="E156" s="72">
        <v>200000</v>
      </c>
      <c r="F156" s="72">
        <v>2000</v>
      </c>
      <c r="G156" s="72">
        <f t="shared" si="20"/>
        <v>202000</v>
      </c>
      <c r="H156" s="72">
        <v>202000</v>
      </c>
      <c r="J156" s="26">
        <v>0</v>
      </c>
      <c r="K156" s="26">
        <v>0</v>
      </c>
      <c r="L156" s="26">
        <v>0</v>
      </c>
      <c r="M156" s="26">
        <f t="shared" si="21"/>
        <v>0</v>
      </c>
    </row>
    <row r="157" spans="2:13" x14ac:dyDescent="0.25">
      <c r="B157" s="229"/>
      <c r="C157" s="72" t="s">
        <v>233</v>
      </c>
      <c r="D157" s="72">
        <v>0</v>
      </c>
      <c r="E157" s="72">
        <v>200000</v>
      </c>
      <c r="F157" s="72">
        <v>2000</v>
      </c>
      <c r="G157" s="72">
        <f t="shared" ref="G157:G163" si="22">E157+F157</f>
        <v>202000</v>
      </c>
      <c r="H157" s="72">
        <v>202000</v>
      </c>
      <c r="J157" s="26">
        <v>0</v>
      </c>
      <c r="K157" s="26">
        <v>0</v>
      </c>
      <c r="L157" s="26">
        <v>0</v>
      </c>
      <c r="M157" s="26"/>
    </row>
    <row r="158" spans="2:13" x14ac:dyDescent="0.25">
      <c r="B158" s="229"/>
      <c r="C158" s="72" t="s">
        <v>399</v>
      </c>
      <c r="D158" s="72">
        <v>0</v>
      </c>
      <c r="E158" s="72">
        <v>200000</v>
      </c>
      <c r="F158" s="72">
        <v>2000</v>
      </c>
      <c r="G158" s="72">
        <f t="shared" si="22"/>
        <v>202000</v>
      </c>
      <c r="H158" s="72">
        <v>202000</v>
      </c>
      <c r="J158" s="26"/>
      <c r="K158" s="26"/>
      <c r="L158" s="26"/>
      <c r="M158" s="26"/>
    </row>
    <row r="159" spans="2:13" x14ac:dyDescent="0.25">
      <c r="B159" s="229"/>
      <c r="C159" s="72" t="s">
        <v>400</v>
      </c>
      <c r="D159" s="72">
        <v>0</v>
      </c>
      <c r="E159" s="72">
        <v>100000</v>
      </c>
      <c r="F159" s="72">
        <v>1000</v>
      </c>
      <c r="G159" s="72">
        <f t="shared" si="22"/>
        <v>101000</v>
      </c>
      <c r="H159" s="72">
        <v>101000</v>
      </c>
      <c r="J159" s="26"/>
      <c r="K159" s="26"/>
      <c r="L159" s="26"/>
      <c r="M159" s="26"/>
    </row>
    <row r="160" spans="2:13" x14ac:dyDescent="0.25">
      <c r="B160" s="229"/>
      <c r="C160" s="72" t="s">
        <v>320</v>
      </c>
      <c r="D160" s="72">
        <v>0</v>
      </c>
      <c r="E160" s="72">
        <v>30000</v>
      </c>
      <c r="F160" s="72">
        <v>1000</v>
      </c>
      <c r="G160" s="72">
        <f t="shared" si="22"/>
        <v>31000</v>
      </c>
      <c r="H160" s="72">
        <v>31000</v>
      </c>
      <c r="J160" s="26"/>
      <c r="K160" s="26"/>
      <c r="L160" s="26"/>
      <c r="M160" s="26"/>
    </row>
    <row r="161" spans="2:13" x14ac:dyDescent="0.25">
      <c r="B161" s="229"/>
      <c r="C161" s="72" t="s">
        <v>301</v>
      </c>
      <c r="D161" s="72">
        <v>0</v>
      </c>
      <c r="E161" s="72">
        <v>100000</v>
      </c>
      <c r="F161" s="72">
        <v>1000</v>
      </c>
      <c r="G161" s="72">
        <f t="shared" si="22"/>
        <v>101000</v>
      </c>
      <c r="H161" s="72">
        <v>101000</v>
      </c>
      <c r="J161" s="26"/>
      <c r="K161" s="26"/>
      <c r="L161" s="26"/>
      <c r="M161" s="26"/>
    </row>
    <row r="162" spans="2:13" x14ac:dyDescent="0.25">
      <c r="B162" s="229"/>
      <c r="C162" s="72" t="s">
        <v>388</v>
      </c>
      <c r="D162" s="72">
        <v>0</v>
      </c>
      <c r="E162" s="72">
        <v>990000</v>
      </c>
      <c r="F162" s="72">
        <v>0</v>
      </c>
      <c r="G162" s="72">
        <f t="shared" si="22"/>
        <v>990000</v>
      </c>
      <c r="H162" s="72">
        <v>990000</v>
      </c>
      <c r="J162" s="26"/>
      <c r="K162" s="26"/>
      <c r="L162" s="27">
        <f>SUM(L153:L156)</f>
        <v>0</v>
      </c>
      <c r="M162" s="27">
        <f>SUM(M153:M156)</f>
        <v>0</v>
      </c>
    </row>
    <row r="163" spans="2:13" x14ac:dyDescent="0.25">
      <c r="B163" s="229"/>
      <c r="C163" s="72"/>
      <c r="D163" s="72">
        <v>0</v>
      </c>
      <c r="E163" s="72">
        <v>0</v>
      </c>
      <c r="F163" s="72">
        <v>0</v>
      </c>
      <c r="G163" s="72">
        <f t="shared" si="22"/>
        <v>0</v>
      </c>
      <c r="H163" s="72"/>
    </row>
    <row r="164" spans="2:13" x14ac:dyDescent="0.25">
      <c r="B164" s="229"/>
      <c r="C164" s="72"/>
      <c r="D164" s="72"/>
      <c r="E164" s="72"/>
      <c r="F164" s="72"/>
      <c r="G164" s="72">
        <v>0</v>
      </c>
      <c r="H164" s="72"/>
    </row>
    <row r="165" spans="2:13" x14ac:dyDescent="0.25">
      <c r="B165" s="229"/>
      <c r="C165" s="72"/>
      <c r="D165" s="72"/>
      <c r="E165" s="72"/>
      <c r="F165" s="72"/>
      <c r="G165" s="72">
        <v>0</v>
      </c>
      <c r="H165" s="72"/>
    </row>
    <row r="166" spans="2:13" ht="15.75" x14ac:dyDescent="0.25">
      <c r="B166" s="230"/>
      <c r="C166" s="19" t="s">
        <v>17</v>
      </c>
      <c r="D166" s="19">
        <f>SUM(D153:D165)</f>
        <v>0</v>
      </c>
      <c r="E166" s="19">
        <f>SUM(E153:E165)</f>
        <v>2420000</v>
      </c>
      <c r="F166" s="19">
        <f>SUM(F153:F165)</f>
        <v>15000</v>
      </c>
      <c r="G166" s="19">
        <f>SUM(G153:G165)</f>
        <v>2435000</v>
      </c>
      <c r="H166" s="19">
        <f>SUM(H153:H165)</f>
        <v>2435000</v>
      </c>
      <c r="I166" s="20">
        <f>U25+D166+H166</f>
        <v>3835000</v>
      </c>
      <c r="K166" s="232">
        <v>45214</v>
      </c>
      <c r="L166" s="231"/>
      <c r="M166" s="231"/>
    </row>
    <row r="167" spans="2:13" ht="15.75" x14ac:dyDescent="0.25">
      <c r="B167" s="228">
        <v>45214</v>
      </c>
      <c r="C167" s="15" t="s">
        <v>18</v>
      </c>
      <c r="D167" s="72">
        <f>I166-M173</f>
        <v>3835000</v>
      </c>
      <c r="E167" s="72"/>
      <c r="F167" s="72"/>
      <c r="G167" s="72"/>
      <c r="H167" s="72"/>
      <c r="J167" s="26" t="s">
        <v>23</v>
      </c>
      <c r="K167" s="26" t="s">
        <v>22</v>
      </c>
      <c r="L167" s="26" t="s">
        <v>20</v>
      </c>
      <c r="M167" s="26" t="s">
        <v>21</v>
      </c>
    </row>
    <row r="168" spans="2:13" x14ac:dyDescent="0.25">
      <c r="B168" s="229"/>
      <c r="C168" s="72" t="s">
        <v>237</v>
      </c>
      <c r="D168" s="72">
        <v>0</v>
      </c>
      <c r="E168" s="72">
        <v>200000</v>
      </c>
      <c r="F168" s="72">
        <v>2000</v>
      </c>
      <c r="G168" s="72">
        <f>E168+F168</f>
        <v>202000</v>
      </c>
      <c r="H168" s="72"/>
      <c r="J168" s="26">
        <v>0</v>
      </c>
      <c r="K168" s="26">
        <v>0</v>
      </c>
      <c r="L168" s="26">
        <v>0</v>
      </c>
      <c r="M168" s="26">
        <f>K168-L168</f>
        <v>0</v>
      </c>
    </row>
    <row r="169" spans="2:13" x14ac:dyDescent="0.25">
      <c r="B169" s="229"/>
      <c r="C169" s="72" t="s">
        <v>399</v>
      </c>
      <c r="D169" s="72">
        <v>0</v>
      </c>
      <c r="E169" s="72">
        <v>200000</v>
      </c>
      <c r="F169" s="72">
        <v>2000</v>
      </c>
      <c r="G169" s="72">
        <f t="shared" ref="G169:G179" si="23">E169+F169</f>
        <v>202000</v>
      </c>
      <c r="H169" s="72"/>
      <c r="J169" s="26">
        <v>0</v>
      </c>
      <c r="K169" s="26">
        <v>0</v>
      </c>
      <c r="L169" s="26">
        <v>0</v>
      </c>
      <c r="M169" s="26">
        <f t="shared" ref="M169:M171" si="24">K169-L169</f>
        <v>0</v>
      </c>
    </row>
    <row r="170" spans="2:13" x14ac:dyDescent="0.25">
      <c r="B170" s="229"/>
      <c r="C170" s="72" t="s">
        <v>234</v>
      </c>
      <c r="D170" s="72">
        <v>0</v>
      </c>
      <c r="E170" s="72">
        <v>200000</v>
      </c>
      <c r="F170" s="72">
        <v>2000</v>
      </c>
      <c r="G170" s="72">
        <f t="shared" si="23"/>
        <v>202000</v>
      </c>
      <c r="H170" s="72"/>
      <c r="J170" s="26">
        <v>0</v>
      </c>
      <c r="K170" s="26">
        <v>0</v>
      </c>
      <c r="L170" s="26">
        <v>0</v>
      </c>
      <c r="M170" s="26">
        <f t="shared" si="24"/>
        <v>0</v>
      </c>
    </row>
    <row r="171" spans="2:13" x14ac:dyDescent="0.25">
      <c r="B171" s="229"/>
      <c r="C171" s="72" t="s">
        <v>233</v>
      </c>
      <c r="D171" s="72">
        <v>0</v>
      </c>
      <c r="E171" s="72">
        <v>200000</v>
      </c>
      <c r="F171" s="72">
        <v>2000</v>
      </c>
      <c r="G171" s="72">
        <f t="shared" si="23"/>
        <v>202000</v>
      </c>
      <c r="H171" s="72"/>
      <c r="J171" s="26">
        <v>0</v>
      </c>
      <c r="K171" s="26">
        <v>0</v>
      </c>
      <c r="L171" s="26">
        <v>0</v>
      </c>
      <c r="M171" s="26">
        <f t="shared" si="24"/>
        <v>0</v>
      </c>
    </row>
    <row r="172" spans="2:13" x14ac:dyDescent="0.25">
      <c r="B172" s="229"/>
      <c r="C172" s="72" t="s">
        <v>232</v>
      </c>
      <c r="D172" s="72">
        <v>0</v>
      </c>
      <c r="E172" s="72">
        <v>200000</v>
      </c>
      <c r="F172" s="72">
        <v>2000</v>
      </c>
      <c r="G172" s="72">
        <f t="shared" si="23"/>
        <v>202000</v>
      </c>
      <c r="H172" s="72"/>
      <c r="J172" s="26"/>
      <c r="K172" s="26"/>
      <c r="L172" s="26"/>
      <c r="M172" s="26"/>
    </row>
    <row r="173" spans="2:13" x14ac:dyDescent="0.25">
      <c r="B173" s="229"/>
      <c r="C173" s="72" t="s">
        <v>265</v>
      </c>
      <c r="D173" s="72">
        <v>0</v>
      </c>
      <c r="E173" s="72">
        <v>200000</v>
      </c>
      <c r="F173" s="72">
        <v>2000</v>
      </c>
      <c r="G173" s="72">
        <f t="shared" si="23"/>
        <v>202000</v>
      </c>
      <c r="H173" s="72"/>
      <c r="J173" s="26"/>
      <c r="K173" s="26"/>
      <c r="L173" s="27">
        <v>0</v>
      </c>
      <c r="M173" s="27">
        <f>SUM(M168:M171)</f>
        <v>0</v>
      </c>
    </row>
    <row r="174" spans="2:13" x14ac:dyDescent="0.25">
      <c r="B174" s="229"/>
      <c r="C174" s="72" t="s">
        <v>388</v>
      </c>
      <c r="D174" s="72">
        <v>0</v>
      </c>
      <c r="E174" s="72">
        <v>2635000</v>
      </c>
      <c r="F174" s="72">
        <v>0</v>
      </c>
      <c r="G174" s="72">
        <f t="shared" si="23"/>
        <v>2635000</v>
      </c>
      <c r="H174" s="72"/>
      <c r="J174" s="26"/>
      <c r="K174" s="26"/>
      <c r="L174" s="27"/>
      <c r="M174" s="27"/>
    </row>
    <row r="175" spans="2:13" x14ac:dyDescent="0.25">
      <c r="B175" s="229"/>
      <c r="C175" s="72"/>
      <c r="D175" s="72">
        <v>0</v>
      </c>
      <c r="E175" s="72">
        <v>0</v>
      </c>
      <c r="F175" s="72">
        <v>0</v>
      </c>
      <c r="G175" s="72">
        <f t="shared" si="23"/>
        <v>0</v>
      </c>
      <c r="H175" s="72"/>
      <c r="J175" s="26"/>
      <c r="K175" s="26"/>
      <c r="L175" s="27"/>
      <c r="M175" s="27"/>
    </row>
    <row r="176" spans="2:13" x14ac:dyDescent="0.25">
      <c r="B176" s="229"/>
      <c r="C176" s="72"/>
      <c r="D176" s="72">
        <v>0</v>
      </c>
      <c r="E176" s="72">
        <v>0</v>
      </c>
      <c r="F176" s="72">
        <v>0</v>
      </c>
      <c r="G176" s="72">
        <f t="shared" si="23"/>
        <v>0</v>
      </c>
      <c r="H176" s="72"/>
      <c r="J176" s="26"/>
      <c r="K176" s="26"/>
      <c r="L176" s="27"/>
      <c r="M176" s="27"/>
    </row>
    <row r="177" spans="2:13" x14ac:dyDescent="0.25">
      <c r="B177" s="229"/>
      <c r="C177" s="72"/>
      <c r="D177" s="72">
        <v>0</v>
      </c>
      <c r="E177" s="72">
        <v>0</v>
      </c>
      <c r="F177" s="72">
        <v>0</v>
      </c>
      <c r="G177" s="72">
        <f t="shared" si="23"/>
        <v>0</v>
      </c>
      <c r="H177" s="72"/>
      <c r="J177" s="26"/>
      <c r="K177" s="26"/>
      <c r="L177" s="27"/>
      <c r="M177" s="27"/>
    </row>
    <row r="178" spans="2:13" x14ac:dyDescent="0.25">
      <c r="B178" s="229"/>
      <c r="C178" s="72"/>
      <c r="D178" s="72">
        <v>0</v>
      </c>
      <c r="E178" s="72">
        <v>0</v>
      </c>
      <c r="F178" s="72">
        <v>0</v>
      </c>
      <c r="G178" s="72">
        <f t="shared" si="23"/>
        <v>0</v>
      </c>
      <c r="H178" s="72"/>
      <c r="J178" s="26"/>
      <c r="K178" s="26"/>
      <c r="L178" s="27"/>
      <c r="M178" s="27"/>
    </row>
    <row r="179" spans="2:13" x14ac:dyDescent="0.25">
      <c r="B179" s="229"/>
      <c r="C179" s="72"/>
      <c r="D179" s="72">
        <v>0</v>
      </c>
      <c r="E179" s="72">
        <v>0</v>
      </c>
      <c r="F179" s="72">
        <v>0</v>
      </c>
      <c r="G179" s="72">
        <f t="shared" si="23"/>
        <v>0</v>
      </c>
      <c r="H179" s="72"/>
    </row>
    <row r="180" spans="2:13" x14ac:dyDescent="0.25">
      <c r="B180" s="229"/>
      <c r="C180" s="72"/>
      <c r="D180" s="72">
        <v>0</v>
      </c>
      <c r="E180" s="72"/>
      <c r="F180" s="72"/>
      <c r="G180" s="72">
        <v>0</v>
      </c>
      <c r="H180" s="72"/>
    </row>
    <row r="181" spans="2:13" ht="15.75" x14ac:dyDescent="0.25">
      <c r="B181" s="230"/>
      <c r="C181" s="19" t="s">
        <v>17</v>
      </c>
      <c r="D181" s="19">
        <f t="shared" ref="D181:F181" si="25">SUM(D168:D179)</f>
        <v>0</v>
      </c>
      <c r="E181" s="19">
        <f t="shared" si="25"/>
        <v>3835000</v>
      </c>
      <c r="F181" s="19">
        <f t="shared" si="25"/>
        <v>12000</v>
      </c>
      <c r="G181" s="19">
        <f>SUM(G168:G180)</f>
        <v>3847000</v>
      </c>
      <c r="H181" s="19">
        <f t="shared" ref="H181" si="26">D167-E181</f>
        <v>0</v>
      </c>
      <c r="I181" s="20">
        <f>W25+D181+H181</f>
        <v>0</v>
      </c>
      <c r="K181" s="232">
        <v>45249</v>
      </c>
      <c r="L181" s="231"/>
      <c r="M181" s="231"/>
    </row>
    <row r="182" spans="2:13" ht="15.75" x14ac:dyDescent="0.25">
      <c r="B182" s="228">
        <v>45249</v>
      </c>
      <c r="C182" s="15" t="s">
        <v>18</v>
      </c>
      <c r="D182" s="72">
        <f>I181-M187</f>
        <v>0</v>
      </c>
      <c r="E182" s="72"/>
      <c r="F182" s="72"/>
      <c r="G182" s="72"/>
      <c r="H182" s="72"/>
      <c r="J182" s="26" t="s">
        <v>23</v>
      </c>
      <c r="K182" s="26" t="s">
        <v>22</v>
      </c>
      <c r="L182" s="26" t="s">
        <v>20</v>
      </c>
      <c r="M182" s="26" t="s">
        <v>21</v>
      </c>
    </row>
    <row r="183" spans="2:13" x14ac:dyDescent="0.25">
      <c r="B183" s="229"/>
      <c r="C183" s="72">
        <v>0</v>
      </c>
      <c r="D183" s="72">
        <v>0</v>
      </c>
      <c r="E183" s="72">
        <v>0</v>
      </c>
      <c r="F183" s="72">
        <v>0</v>
      </c>
      <c r="G183" s="72">
        <f t="shared" ref="G183:G199" si="27">E183+F183</f>
        <v>0</v>
      </c>
      <c r="H183" s="72"/>
      <c r="J183" s="26"/>
      <c r="K183" s="26">
        <v>0</v>
      </c>
      <c r="L183" s="26">
        <v>0</v>
      </c>
      <c r="M183" s="26">
        <f>K183-L183</f>
        <v>0</v>
      </c>
    </row>
    <row r="184" spans="2:13" x14ac:dyDescent="0.25">
      <c r="B184" s="229"/>
      <c r="C184" s="72">
        <v>0</v>
      </c>
      <c r="D184" s="72">
        <v>0</v>
      </c>
      <c r="E184" s="72">
        <v>0</v>
      </c>
      <c r="F184" s="72">
        <v>0</v>
      </c>
      <c r="G184" s="72">
        <f t="shared" si="27"/>
        <v>0</v>
      </c>
      <c r="H184" s="72"/>
      <c r="J184" s="26"/>
      <c r="K184" s="26">
        <v>0</v>
      </c>
      <c r="L184" s="26">
        <v>0</v>
      </c>
      <c r="M184" s="26">
        <f t="shared" ref="M184:M186" si="28">K184-L184</f>
        <v>0</v>
      </c>
    </row>
    <row r="185" spans="2:13" x14ac:dyDescent="0.25">
      <c r="B185" s="229"/>
      <c r="C185" s="72">
        <v>0</v>
      </c>
      <c r="D185" s="72">
        <v>0</v>
      </c>
      <c r="E185" s="72">
        <v>0</v>
      </c>
      <c r="F185" s="72">
        <v>0</v>
      </c>
      <c r="G185" s="72">
        <f t="shared" si="27"/>
        <v>0</v>
      </c>
      <c r="H185" s="72"/>
      <c r="J185" s="26"/>
      <c r="K185" s="26">
        <v>0</v>
      </c>
      <c r="L185" s="26">
        <v>0</v>
      </c>
      <c r="M185" s="26">
        <f t="shared" si="28"/>
        <v>0</v>
      </c>
    </row>
    <row r="186" spans="2:13" x14ac:dyDescent="0.25">
      <c r="B186" s="229"/>
      <c r="C186" s="72">
        <v>0</v>
      </c>
      <c r="D186" s="72">
        <v>0</v>
      </c>
      <c r="E186" s="72">
        <v>0</v>
      </c>
      <c r="F186" s="72">
        <v>0</v>
      </c>
      <c r="G186" s="72">
        <f t="shared" si="27"/>
        <v>0</v>
      </c>
      <c r="H186" s="72"/>
      <c r="J186" s="26"/>
      <c r="K186" s="26">
        <v>0</v>
      </c>
      <c r="L186" s="26">
        <v>0</v>
      </c>
      <c r="M186" s="26">
        <f t="shared" si="28"/>
        <v>0</v>
      </c>
    </row>
    <row r="187" spans="2:13" x14ac:dyDescent="0.25">
      <c r="B187" s="229"/>
      <c r="C187" s="72">
        <v>0</v>
      </c>
      <c r="D187" s="72">
        <v>0</v>
      </c>
      <c r="E187" s="72">
        <v>0</v>
      </c>
      <c r="F187" s="72">
        <v>0</v>
      </c>
      <c r="G187" s="72">
        <f t="shared" si="27"/>
        <v>0</v>
      </c>
      <c r="H187" s="72"/>
      <c r="J187" s="26"/>
      <c r="K187" s="26"/>
      <c r="L187" s="27">
        <f>SUM(L183:L186)</f>
        <v>0</v>
      </c>
      <c r="M187" s="27">
        <f>SUM(M183:M186)</f>
        <v>0</v>
      </c>
    </row>
    <row r="188" spans="2:13" x14ac:dyDescent="0.25">
      <c r="B188" s="229"/>
      <c r="C188" s="72">
        <v>0</v>
      </c>
      <c r="D188" s="72">
        <v>0</v>
      </c>
      <c r="E188" s="72">
        <v>0</v>
      </c>
      <c r="F188" s="72">
        <v>0</v>
      </c>
      <c r="G188" s="72">
        <f t="shared" si="27"/>
        <v>0</v>
      </c>
      <c r="H188" s="72"/>
      <c r="J188" s="26"/>
      <c r="K188" s="26"/>
      <c r="L188" s="27"/>
      <c r="M188" s="27"/>
    </row>
    <row r="189" spans="2:13" x14ac:dyDescent="0.25">
      <c r="B189" s="229"/>
      <c r="C189" s="72">
        <v>0</v>
      </c>
      <c r="D189" s="72">
        <v>0</v>
      </c>
      <c r="E189" s="72">
        <v>0</v>
      </c>
      <c r="F189" s="72">
        <v>0</v>
      </c>
      <c r="G189" s="72">
        <f t="shared" si="27"/>
        <v>0</v>
      </c>
      <c r="H189" s="72"/>
      <c r="J189" s="26"/>
      <c r="K189" s="26"/>
      <c r="L189" s="27"/>
      <c r="M189" s="27"/>
    </row>
    <row r="190" spans="2:13" x14ac:dyDescent="0.25">
      <c r="B190" s="229"/>
      <c r="C190" s="72">
        <v>0</v>
      </c>
      <c r="D190" s="72">
        <v>0</v>
      </c>
      <c r="E190" s="72">
        <v>0</v>
      </c>
      <c r="F190" s="72">
        <v>0</v>
      </c>
      <c r="G190" s="72">
        <f t="shared" si="27"/>
        <v>0</v>
      </c>
      <c r="H190" s="72"/>
      <c r="J190" s="26"/>
      <c r="K190" s="26"/>
      <c r="L190" s="27"/>
      <c r="M190" s="27"/>
    </row>
    <row r="191" spans="2:13" x14ac:dyDescent="0.25">
      <c r="B191" s="229"/>
      <c r="C191" s="72">
        <v>0</v>
      </c>
      <c r="D191" s="72">
        <v>0</v>
      </c>
      <c r="E191" s="72">
        <v>0</v>
      </c>
      <c r="F191" s="72">
        <v>0</v>
      </c>
      <c r="G191" s="72">
        <f t="shared" si="27"/>
        <v>0</v>
      </c>
      <c r="H191" s="72"/>
      <c r="J191" s="26"/>
      <c r="K191" s="26"/>
      <c r="L191" s="27"/>
      <c r="M191" s="27"/>
    </row>
    <row r="192" spans="2:13" x14ac:dyDescent="0.25">
      <c r="B192" s="229"/>
      <c r="C192" s="72">
        <v>0</v>
      </c>
      <c r="D192" s="72">
        <v>0</v>
      </c>
      <c r="E192" s="72">
        <v>0</v>
      </c>
      <c r="F192" s="72">
        <v>0</v>
      </c>
      <c r="G192" s="72">
        <f t="shared" si="27"/>
        <v>0</v>
      </c>
      <c r="H192" s="72"/>
      <c r="J192" s="26"/>
      <c r="K192" s="26"/>
      <c r="L192" s="27"/>
      <c r="M192" s="27"/>
    </row>
    <row r="193" spans="2:13" x14ac:dyDescent="0.25">
      <c r="B193" s="229"/>
      <c r="C193" s="72">
        <v>0</v>
      </c>
      <c r="D193" s="72">
        <v>0</v>
      </c>
      <c r="E193" s="72">
        <v>0</v>
      </c>
      <c r="F193" s="72">
        <v>0</v>
      </c>
      <c r="G193" s="72">
        <f t="shared" si="27"/>
        <v>0</v>
      </c>
      <c r="H193" s="72"/>
    </row>
    <row r="194" spans="2:13" x14ac:dyDescent="0.25">
      <c r="B194" s="229"/>
      <c r="C194" s="72"/>
      <c r="D194" s="72">
        <v>0</v>
      </c>
      <c r="E194" s="72">
        <v>0</v>
      </c>
      <c r="F194" s="72">
        <v>0</v>
      </c>
      <c r="G194" s="72">
        <f t="shared" si="27"/>
        <v>0</v>
      </c>
      <c r="H194" s="72"/>
    </row>
    <row r="195" spans="2:13" x14ac:dyDescent="0.25">
      <c r="B195" s="229"/>
      <c r="C195" s="72"/>
      <c r="D195" s="72">
        <v>0</v>
      </c>
      <c r="E195" s="72">
        <v>0</v>
      </c>
      <c r="F195" s="72">
        <v>0</v>
      </c>
      <c r="G195" s="72">
        <f t="shared" si="27"/>
        <v>0</v>
      </c>
      <c r="H195" s="72"/>
    </row>
    <row r="196" spans="2:13" x14ac:dyDescent="0.25">
      <c r="B196" s="229"/>
      <c r="C196" s="72"/>
      <c r="D196" s="72">
        <v>0</v>
      </c>
      <c r="E196" s="72">
        <v>0</v>
      </c>
      <c r="F196" s="72">
        <v>0</v>
      </c>
      <c r="G196" s="72">
        <f t="shared" si="27"/>
        <v>0</v>
      </c>
      <c r="H196" s="72"/>
    </row>
    <row r="197" spans="2:13" x14ac:dyDescent="0.25">
      <c r="B197" s="229"/>
      <c r="C197" s="72"/>
      <c r="D197" s="72">
        <v>0</v>
      </c>
      <c r="E197" s="72">
        <v>0</v>
      </c>
      <c r="F197" s="72">
        <v>0</v>
      </c>
      <c r="G197" s="72">
        <f t="shared" si="27"/>
        <v>0</v>
      </c>
      <c r="H197" s="72"/>
    </row>
    <row r="198" spans="2:13" x14ac:dyDescent="0.25">
      <c r="B198" s="229"/>
      <c r="C198" s="72"/>
      <c r="D198" s="72">
        <v>0</v>
      </c>
      <c r="E198" s="72">
        <v>0</v>
      </c>
      <c r="F198" s="72">
        <v>0</v>
      </c>
      <c r="G198" s="72">
        <f t="shared" si="27"/>
        <v>0</v>
      </c>
      <c r="H198" s="72"/>
    </row>
    <row r="199" spans="2:13" x14ac:dyDescent="0.25">
      <c r="B199" s="229"/>
      <c r="C199" s="72"/>
      <c r="D199" s="72">
        <v>0</v>
      </c>
      <c r="E199" s="72">
        <v>0</v>
      </c>
      <c r="F199" s="72">
        <v>0</v>
      </c>
      <c r="G199" s="72">
        <f t="shared" si="27"/>
        <v>0</v>
      </c>
      <c r="H199" s="72"/>
    </row>
    <row r="200" spans="2:13" x14ac:dyDescent="0.25">
      <c r="B200" s="229"/>
      <c r="C200" s="72"/>
      <c r="D200" s="72"/>
      <c r="E200" s="72"/>
      <c r="F200" s="72"/>
      <c r="G200" s="72">
        <v>0</v>
      </c>
      <c r="H200" s="72"/>
    </row>
    <row r="201" spans="2:13" x14ac:dyDescent="0.25">
      <c r="B201" s="229"/>
      <c r="C201" s="72"/>
      <c r="D201" s="72"/>
      <c r="E201" s="72"/>
      <c r="F201" s="72"/>
      <c r="G201" s="72">
        <v>0</v>
      </c>
      <c r="H201" s="72"/>
    </row>
    <row r="202" spans="2:13" ht="15.75" x14ac:dyDescent="0.25">
      <c r="B202" s="230"/>
      <c r="C202" s="19" t="s">
        <v>17</v>
      </c>
      <c r="D202" s="19">
        <f>SUM(D183:D201)</f>
        <v>0</v>
      </c>
      <c r="E202" s="19">
        <f>SUM(E183:E201)</f>
        <v>0</v>
      </c>
      <c r="F202" s="19">
        <f>SUM(F183:F201)</f>
        <v>0</v>
      </c>
      <c r="G202" s="19">
        <f>SUM(G183:G201)</f>
        <v>0</v>
      </c>
      <c r="H202" s="19">
        <f t="shared" ref="H202" si="29">D182-E202</f>
        <v>0</v>
      </c>
      <c r="I202" s="20">
        <f>Y25+D202+H202</f>
        <v>0</v>
      </c>
      <c r="K202" s="231" t="s">
        <v>51</v>
      </c>
      <c r="L202" s="231"/>
      <c r="M202" s="231"/>
    </row>
    <row r="203" spans="2:13" ht="15.75" x14ac:dyDescent="0.25">
      <c r="B203" s="228" t="s">
        <v>51</v>
      </c>
      <c r="C203" s="15" t="s">
        <v>18</v>
      </c>
      <c r="D203" s="72">
        <f>I202-M207</f>
        <v>0</v>
      </c>
      <c r="E203" s="72"/>
      <c r="F203" s="72"/>
      <c r="G203" s="72"/>
      <c r="H203" s="72"/>
      <c r="J203" s="26" t="s">
        <v>23</v>
      </c>
      <c r="K203" s="26" t="s">
        <v>22</v>
      </c>
      <c r="L203" s="26" t="s">
        <v>20</v>
      </c>
      <c r="M203" s="26" t="s">
        <v>21</v>
      </c>
    </row>
    <row r="204" spans="2:13" x14ac:dyDescent="0.25">
      <c r="B204" s="229"/>
      <c r="C204" s="72"/>
      <c r="D204" s="72">
        <v>0</v>
      </c>
      <c r="E204" s="72">
        <v>0</v>
      </c>
      <c r="F204" s="72">
        <v>0</v>
      </c>
      <c r="G204" s="72">
        <f t="shared" ref="G204:G217" si="30">E204+F204</f>
        <v>0</v>
      </c>
      <c r="H204" s="72"/>
      <c r="J204" s="26"/>
      <c r="K204" s="26">
        <v>0</v>
      </c>
      <c r="L204" s="26">
        <v>0</v>
      </c>
      <c r="M204" s="26">
        <f>K204-L204</f>
        <v>0</v>
      </c>
    </row>
    <row r="205" spans="2:13" x14ac:dyDescent="0.25">
      <c r="B205" s="229"/>
      <c r="C205" s="72">
        <v>0</v>
      </c>
      <c r="D205" s="72">
        <v>0</v>
      </c>
      <c r="E205" s="72">
        <v>0</v>
      </c>
      <c r="F205" s="72">
        <v>0</v>
      </c>
      <c r="G205" s="72">
        <f t="shared" si="30"/>
        <v>0</v>
      </c>
      <c r="H205" s="72"/>
      <c r="J205" s="26"/>
      <c r="K205" s="26">
        <v>0</v>
      </c>
      <c r="L205" s="26">
        <v>0</v>
      </c>
      <c r="M205" s="26">
        <f t="shared" ref="M205:M206" si="31">K205-L205</f>
        <v>0</v>
      </c>
    </row>
    <row r="206" spans="2:13" x14ac:dyDescent="0.25">
      <c r="B206" s="229"/>
      <c r="C206" s="72">
        <v>0</v>
      </c>
      <c r="D206" s="72">
        <v>0</v>
      </c>
      <c r="E206" s="72">
        <v>0</v>
      </c>
      <c r="F206" s="72">
        <v>0</v>
      </c>
      <c r="G206" s="72">
        <f t="shared" si="30"/>
        <v>0</v>
      </c>
      <c r="H206" s="72"/>
      <c r="J206" s="26"/>
      <c r="K206" s="26">
        <v>0</v>
      </c>
      <c r="L206" s="26">
        <v>0</v>
      </c>
      <c r="M206" s="26">
        <f t="shared" si="31"/>
        <v>0</v>
      </c>
    </row>
    <row r="207" spans="2:13" x14ac:dyDescent="0.25">
      <c r="B207" s="229"/>
      <c r="C207" s="72">
        <v>0</v>
      </c>
      <c r="D207" s="72">
        <v>0</v>
      </c>
      <c r="E207" s="72">
        <v>0</v>
      </c>
      <c r="F207" s="72">
        <v>0</v>
      </c>
      <c r="G207" s="72">
        <f t="shared" si="30"/>
        <v>0</v>
      </c>
      <c r="H207" s="72"/>
      <c r="J207" s="26"/>
      <c r="K207" s="26"/>
      <c r="L207" s="27">
        <f>SUM(L204:L206)</f>
        <v>0</v>
      </c>
      <c r="M207" s="27">
        <f>SUM(M204:M206)</f>
        <v>0</v>
      </c>
    </row>
    <row r="208" spans="2:13" x14ac:dyDescent="0.25">
      <c r="B208" s="229"/>
      <c r="C208" s="72">
        <v>0</v>
      </c>
      <c r="D208" s="72">
        <v>0</v>
      </c>
      <c r="E208" s="72">
        <v>0</v>
      </c>
      <c r="F208" s="72">
        <v>0</v>
      </c>
      <c r="G208" s="72">
        <f t="shared" si="30"/>
        <v>0</v>
      </c>
      <c r="H208" s="72"/>
      <c r="J208" s="26"/>
      <c r="K208" s="26"/>
      <c r="L208" s="27"/>
      <c r="M208" s="27"/>
    </row>
    <row r="209" spans="2:13" x14ac:dyDescent="0.25">
      <c r="B209" s="229"/>
      <c r="C209" s="72">
        <v>0</v>
      </c>
      <c r="D209" s="72">
        <v>0</v>
      </c>
      <c r="E209" s="72">
        <v>0</v>
      </c>
      <c r="F209" s="72">
        <v>0</v>
      </c>
      <c r="G209" s="72">
        <f t="shared" si="30"/>
        <v>0</v>
      </c>
      <c r="H209" s="72"/>
      <c r="J209" s="26"/>
      <c r="K209" s="26"/>
      <c r="L209" s="27"/>
      <c r="M209" s="27"/>
    </row>
    <row r="210" spans="2:13" x14ac:dyDescent="0.25">
      <c r="B210" s="229"/>
      <c r="C210" s="72">
        <v>0</v>
      </c>
      <c r="D210" s="72">
        <v>0</v>
      </c>
      <c r="E210" s="72">
        <v>0</v>
      </c>
      <c r="F210" s="72">
        <v>0</v>
      </c>
      <c r="G210" s="72">
        <f t="shared" si="30"/>
        <v>0</v>
      </c>
      <c r="H210" s="72"/>
      <c r="J210" s="26"/>
      <c r="K210" s="26"/>
      <c r="L210" s="27"/>
      <c r="M210" s="27"/>
    </row>
    <row r="211" spans="2:13" x14ac:dyDescent="0.25">
      <c r="B211" s="229"/>
      <c r="C211" s="72">
        <v>0</v>
      </c>
      <c r="D211" s="72">
        <v>0</v>
      </c>
      <c r="E211" s="72">
        <v>0</v>
      </c>
      <c r="F211" s="72">
        <v>0</v>
      </c>
      <c r="G211" s="72">
        <f t="shared" si="30"/>
        <v>0</v>
      </c>
      <c r="H211" s="72"/>
    </row>
    <row r="212" spans="2:13" x14ac:dyDescent="0.25">
      <c r="B212" s="229"/>
      <c r="C212" s="72">
        <v>0</v>
      </c>
      <c r="D212" s="72">
        <v>0</v>
      </c>
      <c r="E212" s="72">
        <v>0</v>
      </c>
      <c r="F212" s="72">
        <v>0</v>
      </c>
      <c r="G212" s="72">
        <f t="shared" si="30"/>
        <v>0</v>
      </c>
      <c r="H212" s="72"/>
    </row>
    <row r="213" spans="2:13" x14ac:dyDescent="0.25">
      <c r="B213" s="229"/>
      <c r="C213" s="72">
        <v>0</v>
      </c>
      <c r="D213" s="72">
        <v>0</v>
      </c>
      <c r="E213" s="72">
        <v>0</v>
      </c>
      <c r="F213" s="72">
        <v>0</v>
      </c>
      <c r="G213" s="72">
        <f t="shared" si="30"/>
        <v>0</v>
      </c>
      <c r="H213" s="72"/>
    </row>
    <row r="214" spans="2:13" x14ac:dyDescent="0.25">
      <c r="B214" s="229"/>
      <c r="C214" s="72">
        <v>0</v>
      </c>
      <c r="D214" s="72">
        <v>0</v>
      </c>
      <c r="E214" s="72">
        <v>0</v>
      </c>
      <c r="F214" s="72">
        <v>0</v>
      </c>
      <c r="G214" s="72">
        <f t="shared" si="30"/>
        <v>0</v>
      </c>
      <c r="H214" s="72"/>
    </row>
    <row r="215" spans="2:13" x14ac:dyDescent="0.25">
      <c r="B215" s="229"/>
      <c r="C215" s="72">
        <v>0</v>
      </c>
      <c r="D215" s="72">
        <v>0</v>
      </c>
      <c r="E215" s="72">
        <v>0</v>
      </c>
      <c r="F215" s="72">
        <v>0</v>
      </c>
      <c r="G215" s="72">
        <f t="shared" si="30"/>
        <v>0</v>
      </c>
      <c r="H215" s="72"/>
    </row>
    <row r="216" spans="2:13" x14ac:dyDescent="0.25">
      <c r="B216" s="229"/>
      <c r="C216" s="72">
        <v>0</v>
      </c>
      <c r="D216" s="72">
        <v>0</v>
      </c>
      <c r="E216" s="72">
        <v>0</v>
      </c>
      <c r="F216" s="72">
        <v>0</v>
      </c>
      <c r="G216" s="72">
        <f t="shared" si="30"/>
        <v>0</v>
      </c>
      <c r="H216" s="72"/>
    </row>
    <row r="217" spans="2:13" x14ac:dyDescent="0.25">
      <c r="B217" s="229"/>
      <c r="C217" s="72">
        <v>0</v>
      </c>
      <c r="D217" s="72">
        <v>0</v>
      </c>
      <c r="E217" s="72">
        <v>0</v>
      </c>
      <c r="F217" s="72">
        <v>0</v>
      </c>
      <c r="G217" s="72">
        <f t="shared" si="30"/>
        <v>0</v>
      </c>
      <c r="H217" s="72"/>
    </row>
    <row r="218" spans="2:13" ht="15.75" x14ac:dyDescent="0.25">
      <c r="B218" s="230"/>
      <c r="C218" s="19" t="s">
        <v>17</v>
      </c>
      <c r="D218" s="19">
        <f>SUM(D204:D217)</f>
        <v>0</v>
      </c>
      <c r="E218" s="19">
        <f>SUM(E204:E217)</f>
        <v>0</v>
      </c>
      <c r="F218" s="19">
        <f>SUM(F204:F217)</f>
        <v>0</v>
      </c>
      <c r="G218" s="19">
        <f>SUM(G204:G217)</f>
        <v>0</v>
      </c>
      <c r="H218" s="19">
        <f>D203-E218</f>
        <v>0</v>
      </c>
      <c r="I218" s="20">
        <f>AA25+D218+H218</f>
        <v>261000</v>
      </c>
      <c r="K218" s="231"/>
      <c r="L218" s="231"/>
      <c r="M218" s="231"/>
    </row>
    <row r="219" spans="2:13" ht="15.75" x14ac:dyDescent="0.25">
      <c r="B219" s="228"/>
      <c r="C219" s="15" t="s">
        <v>18</v>
      </c>
      <c r="D219" s="72">
        <f>I218-M223</f>
        <v>261000</v>
      </c>
      <c r="E219" s="72"/>
      <c r="F219" s="72"/>
      <c r="G219" s="72"/>
      <c r="H219" s="72"/>
      <c r="J219" s="26" t="s">
        <v>23</v>
      </c>
      <c r="K219" s="26" t="s">
        <v>22</v>
      </c>
      <c r="L219" s="26" t="s">
        <v>20</v>
      </c>
      <c r="M219" s="26" t="s">
        <v>21</v>
      </c>
    </row>
    <row r="220" spans="2:13" x14ac:dyDescent="0.25">
      <c r="B220" s="229"/>
      <c r="C220" s="72">
        <v>0</v>
      </c>
      <c r="D220" s="72">
        <v>0</v>
      </c>
      <c r="E220" s="72">
        <v>0</v>
      </c>
      <c r="F220" s="72">
        <v>0</v>
      </c>
      <c r="G220" s="72">
        <f>E220+F220</f>
        <v>0</v>
      </c>
      <c r="H220" s="72"/>
      <c r="J220" s="26"/>
      <c r="K220" s="26">
        <v>0</v>
      </c>
      <c r="L220" s="26">
        <v>0</v>
      </c>
      <c r="M220" s="26">
        <f>K220-L220</f>
        <v>0</v>
      </c>
    </row>
    <row r="221" spans="2:13" x14ac:dyDescent="0.25">
      <c r="B221" s="229"/>
      <c r="C221" s="72">
        <v>0</v>
      </c>
      <c r="D221" s="72">
        <v>0</v>
      </c>
      <c r="E221" s="72">
        <v>0</v>
      </c>
      <c r="F221" s="72">
        <v>0</v>
      </c>
      <c r="G221" s="72">
        <f t="shared" ref="G221:G231" si="32">E221+F221</f>
        <v>0</v>
      </c>
      <c r="H221" s="72"/>
      <c r="J221" s="26"/>
      <c r="K221" s="26">
        <v>0</v>
      </c>
      <c r="L221" s="26">
        <v>0</v>
      </c>
      <c r="M221" s="26">
        <f t="shared" ref="M221:M222" si="33">K221-L221</f>
        <v>0</v>
      </c>
    </row>
    <row r="222" spans="2:13" x14ac:dyDescent="0.25">
      <c r="B222" s="229"/>
      <c r="C222" s="72">
        <v>0</v>
      </c>
      <c r="D222" s="72">
        <v>0</v>
      </c>
      <c r="E222" s="72">
        <v>0</v>
      </c>
      <c r="F222" s="72">
        <v>0</v>
      </c>
      <c r="G222" s="72">
        <f t="shared" si="32"/>
        <v>0</v>
      </c>
      <c r="H222" s="72"/>
      <c r="J222" s="26"/>
      <c r="K222" s="26">
        <v>0</v>
      </c>
      <c r="L222" s="26">
        <v>0</v>
      </c>
      <c r="M222" s="26">
        <f t="shared" si="33"/>
        <v>0</v>
      </c>
    </row>
    <row r="223" spans="2:13" x14ac:dyDescent="0.25">
      <c r="B223" s="229"/>
      <c r="C223" s="72">
        <v>0</v>
      </c>
      <c r="D223" s="72">
        <v>0</v>
      </c>
      <c r="E223" s="72">
        <v>0</v>
      </c>
      <c r="F223" s="72">
        <v>0</v>
      </c>
      <c r="G223" s="72">
        <f t="shared" si="32"/>
        <v>0</v>
      </c>
      <c r="H223" s="72"/>
      <c r="J223" s="26"/>
      <c r="K223" s="26"/>
      <c r="L223" s="27">
        <f>SUM(L220:L222)</f>
        <v>0</v>
      </c>
      <c r="M223" s="27">
        <f>SUM(M220:M222)</f>
        <v>0</v>
      </c>
    </row>
    <row r="224" spans="2:13" x14ac:dyDescent="0.25">
      <c r="B224" s="229"/>
      <c r="C224" s="72">
        <v>0</v>
      </c>
      <c r="D224" s="72">
        <v>0</v>
      </c>
      <c r="E224" s="72">
        <v>0</v>
      </c>
      <c r="F224" s="72">
        <v>0</v>
      </c>
      <c r="G224" s="72">
        <f t="shared" si="32"/>
        <v>0</v>
      </c>
      <c r="H224" s="72"/>
    </row>
    <row r="225" spans="2:13" x14ac:dyDescent="0.25">
      <c r="B225" s="229"/>
      <c r="C225" s="72">
        <v>0</v>
      </c>
      <c r="D225" s="72">
        <v>0</v>
      </c>
      <c r="E225" s="72">
        <v>0</v>
      </c>
      <c r="F225" s="72">
        <v>0</v>
      </c>
      <c r="G225" s="72">
        <f t="shared" si="32"/>
        <v>0</v>
      </c>
      <c r="H225" s="72"/>
    </row>
    <row r="226" spans="2:13" x14ac:dyDescent="0.25">
      <c r="B226" s="229"/>
      <c r="C226" s="72">
        <v>0</v>
      </c>
      <c r="D226" s="72">
        <v>0</v>
      </c>
      <c r="E226" s="72">
        <v>0</v>
      </c>
      <c r="F226" s="72">
        <v>0</v>
      </c>
      <c r="G226" s="72">
        <f t="shared" si="32"/>
        <v>0</v>
      </c>
      <c r="H226" s="72"/>
    </row>
    <row r="227" spans="2:13" x14ac:dyDescent="0.25">
      <c r="B227" s="229"/>
      <c r="C227" s="72">
        <v>0</v>
      </c>
      <c r="D227" s="72">
        <v>0</v>
      </c>
      <c r="E227" s="72">
        <v>0</v>
      </c>
      <c r="F227" s="72">
        <v>0</v>
      </c>
      <c r="G227" s="72">
        <f t="shared" si="32"/>
        <v>0</v>
      </c>
      <c r="H227" s="72"/>
    </row>
    <row r="228" spans="2:13" x14ac:dyDescent="0.25">
      <c r="B228" s="229"/>
      <c r="C228" s="72">
        <v>0</v>
      </c>
      <c r="D228" s="72">
        <v>0</v>
      </c>
      <c r="E228" s="72">
        <v>0</v>
      </c>
      <c r="F228" s="72">
        <v>0</v>
      </c>
      <c r="G228" s="72">
        <f t="shared" si="32"/>
        <v>0</v>
      </c>
      <c r="H228" s="72"/>
    </row>
    <row r="229" spans="2:13" x14ac:dyDescent="0.25">
      <c r="B229" s="229"/>
      <c r="C229" s="72">
        <v>0</v>
      </c>
      <c r="D229" s="72">
        <v>0</v>
      </c>
      <c r="E229" s="72">
        <v>0</v>
      </c>
      <c r="F229" s="72">
        <v>0</v>
      </c>
      <c r="G229" s="72">
        <f t="shared" si="32"/>
        <v>0</v>
      </c>
      <c r="H229" s="72"/>
    </row>
    <row r="230" spans="2:13" x14ac:dyDescent="0.25">
      <c r="B230" s="229"/>
      <c r="C230" s="72">
        <v>0</v>
      </c>
      <c r="D230" s="72">
        <v>0</v>
      </c>
      <c r="E230" s="72">
        <v>0</v>
      </c>
      <c r="F230" s="72">
        <v>0</v>
      </c>
      <c r="G230" s="72">
        <f t="shared" si="32"/>
        <v>0</v>
      </c>
      <c r="H230" s="72"/>
    </row>
    <row r="231" spans="2:13" x14ac:dyDescent="0.25">
      <c r="B231" s="229"/>
      <c r="C231" s="72">
        <v>0</v>
      </c>
      <c r="D231" s="72">
        <v>0</v>
      </c>
      <c r="E231" s="72">
        <v>0</v>
      </c>
      <c r="F231" s="72">
        <v>0</v>
      </c>
      <c r="G231" s="72">
        <f t="shared" si="32"/>
        <v>0</v>
      </c>
      <c r="H231" s="72"/>
    </row>
    <row r="232" spans="2:13" ht="15.75" x14ac:dyDescent="0.25">
      <c r="B232" s="230"/>
      <c r="C232" s="72">
        <v>0</v>
      </c>
      <c r="D232" s="72">
        <v>0</v>
      </c>
      <c r="E232" s="72">
        <v>0</v>
      </c>
      <c r="F232" s="72">
        <v>0</v>
      </c>
      <c r="G232" s="19">
        <f>SUM(G220:G231)</f>
        <v>0</v>
      </c>
      <c r="H232" s="19">
        <f>D219-E232</f>
        <v>261000</v>
      </c>
      <c r="I232" s="20">
        <f>AA25+D232+H232</f>
        <v>522000</v>
      </c>
      <c r="K232" s="231"/>
      <c r="L232" s="231"/>
      <c r="M232" s="231"/>
    </row>
    <row r="233" spans="2:13" ht="15.75" x14ac:dyDescent="0.25">
      <c r="B233" s="228"/>
      <c r="C233" s="15" t="s">
        <v>18</v>
      </c>
      <c r="D233" s="72">
        <f>I232-M239</f>
        <v>522000</v>
      </c>
      <c r="E233" s="72"/>
      <c r="F233" s="72"/>
      <c r="G233" s="72"/>
      <c r="H233" s="72"/>
      <c r="J233" s="26" t="s">
        <v>23</v>
      </c>
      <c r="K233" s="26" t="s">
        <v>22</v>
      </c>
      <c r="L233" s="26" t="s">
        <v>20</v>
      </c>
      <c r="M233" s="26" t="s">
        <v>21</v>
      </c>
    </row>
    <row r="234" spans="2:13" x14ac:dyDescent="0.25">
      <c r="B234" s="229"/>
      <c r="C234" s="72"/>
      <c r="D234" s="72">
        <v>0</v>
      </c>
      <c r="E234" s="72">
        <v>0</v>
      </c>
      <c r="F234" s="72">
        <v>0</v>
      </c>
      <c r="G234" s="72">
        <v>0</v>
      </c>
      <c r="H234" s="72"/>
      <c r="J234" s="26"/>
      <c r="K234" s="26">
        <v>0</v>
      </c>
      <c r="L234" s="26">
        <v>0</v>
      </c>
      <c r="M234" s="26">
        <f>K234-L234</f>
        <v>0</v>
      </c>
    </row>
    <row r="235" spans="2:13" x14ac:dyDescent="0.25">
      <c r="B235" s="229"/>
      <c r="C235" s="72"/>
      <c r="D235" s="72">
        <v>0</v>
      </c>
      <c r="E235" s="72">
        <v>0</v>
      </c>
      <c r="F235" s="72">
        <v>0</v>
      </c>
      <c r="G235" s="72">
        <f t="shared" ref="G235:G244" si="34">E235+F235</f>
        <v>0</v>
      </c>
      <c r="H235" s="72"/>
      <c r="J235" s="26"/>
      <c r="K235" s="26">
        <v>0</v>
      </c>
      <c r="L235" s="26">
        <v>0</v>
      </c>
      <c r="M235" s="26">
        <f t="shared" ref="M235:M238" si="35">K235-L235</f>
        <v>0</v>
      </c>
    </row>
    <row r="236" spans="2:13" x14ac:dyDescent="0.25">
      <c r="B236" s="229"/>
      <c r="C236" s="72"/>
      <c r="D236" s="72">
        <v>0</v>
      </c>
      <c r="E236" s="72">
        <v>0</v>
      </c>
      <c r="F236" s="72">
        <v>0</v>
      </c>
      <c r="G236" s="72">
        <f t="shared" si="34"/>
        <v>0</v>
      </c>
      <c r="H236" s="72"/>
      <c r="J236" s="26"/>
      <c r="K236" s="26">
        <v>0</v>
      </c>
      <c r="L236" s="26">
        <v>0</v>
      </c>
      <c r="M236" s="26">
        <f t="shared" si="35"/>
        <v>0</v>
      </c>
    </row>
    <row r="237" spans="2:13" x14ac:dyDescent="0.25">
      <c r="B237" s="229"/>
      <c r="C237" s="72"/>
      <c r="D237" s="72">
        <v>0</v>
      </c>
      <c r="E237" s="72">
        <v>0</v>
      </c>
      <c r="F237" s="72">
        <v>0</v>
      </c>
      <c r="G237" s="72">
        <f t="shared" si="34"/>
        <v>0</v>
      </c>
      <c r="H237" s="72"/>
      <c r="J237" s="26"/>
      <c r="K237" s="26">
        <v>0</v>
      </c>
      <c r="L237" s="26">
        <v>0</v>
      </c>
      <c r="M237" s="26">
        <f t="shared" si="35"/>
        <v>0</v>
      </c>
    </row>
    <row r="238" spans="2:13" x14ac:dyDescent="0.25">
      <c r="B238" s="229"/>
      <c r="C238" s="72"/>
      <c r="D238" s="72">
        <v>0</v>
      </c>
      <c r="E238" s="72">
        <v>0</v>
      </c>
      <c r="F238" s="72">
        <v>0</v>
      </c>
      <c r="G238" s="72">
        <f t="shared" si="34"/>
        <v>0</v>
      </c>
      <c r="H238" s="72"/>
      <c r="J238" s="26"/>
      <c r="K238" s="26">
        <v>0</v>
      </c>
      <c r="L238" s="26">
        <v>0</v>
      </c>
      <c r="M238" s="26">
        <f t="shared" si="35"/>
        <v>0</v>
      </c>
    </row>
    <row r="239" spans="2:13" x14ac:dyDescent="0.25">
      <c r="B239" s="229"/>
      <c r="C239" s="72"/>
      <c r="D239" s="72">
        <v>0</v>
      </c>
      <c r="E239" s="72">
        <v>0</v>
      </c>
      <c r="F239" s="72">
        <v>0</v>
      </c>
      <c r="G239" s="72">
        <f t="shared" si="34"/>
        <v>0</v>
      </c>
      <c r="H239" s="72"/>
      <c r="J239" s="26"/>
      <c r="K239" s="26"/>
      <c r="L239" s="27">
        <f>SUM(L234:L238)</f>
        <v>0</v>
      </c>
      <c r="M239" s="27">
        <f>SUM(M234:M238)</f>
        <v>0</v>
      </c>
    </row>
    <row r="240" spans="2:13" x14ac:dyDescent="0.25">
      <c r="B240" s="229"/>
      <c r="C240" s="72"/>
      <c r="D240" s="72">
        <v>0</v>
      </c>
      <c r="E240" s="72">
        <v>0</v>
      </c>
      <c r="F240" s="72">
        <v>0</v>
      </c>
      <c r="G240" s="72">
        <f t="shared" si="34"/>
        <v>0</v>
      </c>
      <c r="H240" s="72"/>
      <c r="J240" s="26"/>
      <c r="K240" s="26"/>
      <c r="L240" s="27"/>
      <c r="M240" s="27"/>
    </row>
    <row r="241" spans="2:13" x14ac:dyDescent="0.25">
      <c r="B241" s="229"/>
      <c r="C241" s="72"/>
      <c r="D241" s="72">
        <v>0</v>
      </c>
      <c r="E241" s="72">
        <v>0</v>
      </c>
      <c r="F241" s="72">
        <v>0</v>
      </c>
      <c r="G241" s="72">
        <f t="shared" si="34"/>
        <v>0</v>
      </c>
      <c r="H241" s="72"/>
      <c r="J241" s="26"/>
      <c r="K241" s="26"/>
      <c r="L241" s="27"/>
      <c r="M241" s="27"/>
    </row>
    <row r="242" spans="2:13" x14ac:dyDescent="0.25">
      <c r="B242" s="229"/>
      <c r="C242" s="72"/>
      <c r="D242" s="72">
        <v>0</v>
      </c>
      <c r="E242" s="72">
        <v>0</v>
      </c>
      <c r="F242" s="72">
        <v>0</v>
      </c>
      <c r="G242" s="72">
        <f t="shared" si="34"/>
        <v>0</v>
      </c>
      <c r="H242" s="72"/>
      <c r="J242" s="26"/>
      <c r="K242" s="26"/>
      <c r="L242" s="27"/>
      <c r="M242" s="27"/>
    </row>
    <row r="243" spans="2:13" x14ac:dyDescent="0.25">
      <c r="B243" s="229"/>
      <c r="C243" s="72"/>
      <c r="D243" s="72">
        <v>0</v>
      </c>
      <c r="E243" s="72">
        <v>0</v>
      </c>
      <c r="F243" s="72">
        <v>0</v>
      </c>
      <c r="G243" s="72">
        <f t="shared" si="34"/>
        <v>0</v>
      </c>
      <c r="H243" s="72"/>
      <c r="J243" s="26"/>
      <c r="K243" s="26"/>
      <c r="L243" s="27"/>
      <c r="M243" s="27"/>
    </row>
    <row r="244" spans="2:13" x14ac:dyDescent="0.25">
      <c r="B244" s="229"/>
      <c r="C244" s="72"/>
      <c r="D244" s="72">
        <v>0</v>
      </c>
      <c r="E244" s="72">
        <v>0</v>
      </c>
      <c r="F244" s="72">
        <v>0</v>
      </c>
      <c r="G244" s="72">
        <f t="shared" si="34"/>
        <v>0</v>
      </c>
      <c r="H244" s="72"/>
      <c r="J244" s="26"/>
      <c r="K244" s="26"/>
      <c r="L244" s="27"/>
      <c r="M244" s="27"/>
    </row>
    <row r="245" spans="2:13" x14ac:dyDescent="0.25">
      <c r="B245" s="229"/>
      <c r="C245" s="72"/>
      <c r="D245" s="72"/>
      <c r="E245" s="72"/>
      <c r="F245" s="72"/>
      <c r="G245" s="72">
        <v>0</v>
      </c>
      <c r="H245" s="72"/>
      <c r="J245" s="26"/>
      <c r="K245" s="26"/>
      <c r="L245" s="27"/>
      <c r="M245" s="27"/>
    </row>
    <row r="246" spans="2:13" x14ac:dyDescent="0.25">
      <c r="B246" s="229"/>
      <c r="C246" s="72"/>
      <c r="D246" s="72">
        <v>0</v>
      </c>
      <c r="E246" s="72">
        <v>0</v>
      </c>
      <c r="F246" s="72">
        <v>0</v>
      </c>
      <c r="G246" s="72">
        <v>0</v>
      </c>
      <c r="H246" s="72"/>
    </row>
    <row r="247" spans="2:13" ht="15.75" x14ac:dyDescent="0.25">
      <c r="B247" s="230"/>
      <c r="C247" s="19" t="s">
        <v>17</v>
      </c>
      <c r="D247" s="19">
        <f t="shared" ref="D247:G247" si="36">SUM(D234:D246)</f>
        <v>0</v>
      </c>
      <c r="E247" s="19">
        <f t="shared" si="36"/>
        <v>0</v>
      </c>
      <c r="F247" s="19">
        <f t="shared" si="36"/>
        <v>0</v>
      </c>
      <c r="G247" s="19">
        <f t="shared" si="36"/>
        <v>0</v>
      </c>
      <c r="H247" s="19">
        <f t="shared" ref="H247" si="37">D233-E247</f>
        <v>522000</v>
      </c>
      <c r="I247" s="20">
        <f>AE25+D247+H247</f>
        <v>522000</v>
      </c>
      <c r="K247" s="231"/>
      <c r="L247" s="231"/>
      <c r="M247" s="231"/>
    </row>
    <row r="248" spans="2:13" ht="15.75" x14ac:dyDescent="0.25">
      <c r="B248" s="228"/>
      <c r="C248" s="15" t="s">
        <v>18</v>
      </c>
      <c r="D248" s="72">
        <f>I247-M252</f>
        <v>522000</v>
      </c>
      <c r="E248" s="72"/>
      <c r="F248" s="72"/>
      <c r="G248" s="72"/>
      <c r="H248" s="72"/>
      <c r="J248" s="26" t="s">
        <v>23</v>
      </c>
      <c r="K248" s="26" t="s">
        <v>22</v>
      </c>
      <c r="L248" s="26" t="s">
        <v>20</v>
      </c>
      <c r="M248" s="26" t="s">
        <v>21</v>
      </c>
    </row>
    <row r="249" spans="2:13" x14ac:dyDescent="0.25">
      <c r="B249" s="229"/>
      <c r="C249" s="72" t="s">
        <v>44</v>
      </c>
      <c r="D249" s="72">
        <v>0</v>
      </c>
      <c r="E249" s="72">
        <v>0</v>
      </c>
      <c r="F249" s="72">
        <v>0</v>
      </c>
      <c r="G249" s="72">
        <v>0</v>
      </c>
      <c r="H249" s="72"/>
      <c r="J249" s="26"/>
      <c r="K249" s="26">
        <v>0</v>
      </c>
      <c r="L249" s="26">
        <v>0</v>
      </c>
      <c r="M249" s="26">
        <f>K249-L249</f>
        <v>0</v>
      </c>
    </row>
    <row r="250" spans="2:13" x14ac:dyDescent="0.25">
      <c r="B250" s="229"/>
      <c r="C250" s="72"/>
      <c r="D250" s="72">
        <v>0</v>
      </c>
      <c r="E250" s="72">
        <v>0</v>
      </c>
      <c r="F250" s="72">
        <v>0</v>
      </c>
      <c r="G250" s="72">
        <v>0</v>
      </c>
      <c r="H250" s="72"/>
      <c r="J250" s="26"/>
      <c r="K250" s="26">
        <v>0</v>
      </c>
      <c r="L250" s="26">
        <v>0</v>
      </c>
      <c r="M250" s="26">
        <f t="shared" ref="M250:M251" si="38">K250-L250</f>
        <v>0</v>
      </c>
    </row>
    <row r="251" spans="2:13" x14ac:dyDescent="0.25">
      <c r="B251" s="229"/>
      <c r="C251" s="17"/>
      <c r="D251" s="72">
        <v>0</v>
      </c>
      <c r="E251" s="72">
        <v>0</v>
      </c>
      <c r="F251" s="72">
        <v>0</v>
      </c>
      <c r="G251" s="72">
        <f t="shared" ref="G251:G253" si="39">E251+F251</f>
        <v>0</v>
      </c>
      <c r="H251" s="72"/>
      <c r="J251" s="26"/>
      <c r="K251" s="26">
        <v>0</v>
      </c>
      <c r="L251" s="26">
        <v>0</v>
      </c>
      <c r="M251" s="26">
        <f t="shared" si="38"/>
        <v>0</v>
      </c>
    </row>
    <row r="252" spans="2:13" x14ac:dyDescent="0.25">
      <c r="B252" s="229"/>
      <c r="C252" s="72"/>
      <c r="D252" s="72">
        <v>0</v>
      </c>
      <c r="E252" s="72">
        <v>0</v>
      </c>
      <c r="F252" s="72">
        <v>0</v>
      </c>
      <c r="G252" s="72">
        <f t="shared" si="39"/>
        <v>0</v>
      </c>
      <c r="H252" s="72"/>
      <c r="J252" s="26"/>
      <c r="K252" s="26"/>
      <c r="L252" s="27">
        <f>SUM(L249:L251)</f>
        <v>0</v>
      </c>
      <c r="M252" s="27">
        <f>SUM(M249:M251)</f>
        <v>0</v>
      </c>
    </row>
    <row r="253" spans="2:13" x14ac:dyDescent="0.25">
      <c r="B253" s="229"/>
      <c r="C253" s="72" t="s">
        <v>48</v>
      </c>
      <c r="D253" s="72">
        <v>24</v>
      </c>
      <c r="E253" s="72">
        <v>0</v>
      </c>
      <c r="F253" s="72">
        <v>0</v>
      </c>
      <c r="G253" s="72">
        <f t="shared" si="39"/>
        <v>0</v>
      </c>
      <c r="H253" s="72"/>
    </row>
    <row r="254" spans="2:13" ht="15.75" x14ac:dyDescent="0.25">
      <c r="B254" s="230"/>
      <c r="C254" s="19" t="s">
        <v>17</v>
      </c>
      <c r="D254" s="19">
        <f t="shared" ref="D254:G254" si="40">SUM(D249:D253)</f>
        <v>24</v>
      </c>
      <c r="E254" s="19">
        <f t="shared" si="40"/>
        <v>0</v>
      </c>
      <c r="F254" s="19">
        <f t="shared" si="40"/>
        <v>0</v>
      </c>
      <c r="G254" s="19">
        <f t="shared" si="40"/>
        <v>0</v>
      </c>
      <c r="H254" s="19">
        <f t="shared" ref="H254" si="41">D248-E254</f>
        <v>522000</v>
      </c>
      <c r="I254" s="20" t="e">
        <f>#REF!+D254+H247</f>
        <v>#REF!</v>
      </c>
      <c r="K254" s="231"/>
      <c r="L254" s="231"/>
      <c r="M254" s="231"/>
    </row>
  </sheetData>
  <sortState ref="B5:B17">
    <sortCondition ref="B5"/>
  </sortState>
  <mergeCells count="53">
    <mergeCell ref="U3:V3"/>
    <mergeCell ref="W3:X3"/>
    <mergeCell ref="F2:H2"/>
    <mergeCell ref="C3:D3"/>
    <mergeCell ref="E3:F3"/>
    <mergeCell ref="G3:H3"/>
    <mergeCell ref="I3:J3"/>
    <mergeCell ref="K3:L3"/>
    <mergeCell ref="B60:B75"/>
    <mergeCell ref="K75:M75"/>
    <mergeCell ref="Y3:Z3"/>
    <mergeCell ref="AI3:AJ3"/>
    <mergeCell ref="C28:G28"/>
    <mergeCell ref="O28:R28"/>
    <mergeCell ref="B29:B30"/>
    <mergeCell ref="C29:D29"/>
    <mergeCell ref="E29:E30"/>
    <mergeCell ref="F29:F30"/>
    <mergeCell ref="G29:G30"/>
    <mergeCell ref="H29:H30"/>
    <mergeCell ref="M3:N3"/>
    <mergeCell ref="O3:P3"/>
    <mergeCell ref="Q3:R3"/>
    <mergeCell ref="S3:T3"/>
    <mergeCell ref="I29:I30"/>
    <mergeCell ref="K29:M29"/>
    <mergeCell ref="K43:M43"/>
    <mergeCell ref="B44:B59"/>
    <mergeCell ref="K59:M59"/>
    <mergeCell ref="B76:B90"/>
    <mergeCell ref="K90:M90"/>
    <mergeCell ref="B91:B107"/>
    <mergeCell ref="K107:M107"/>
    <mergeCell ref="B108:B121"/>
    <mergeCell ref="K121:M121"/>
    <mergeCell ref="B122:B136"/>
    <mergeCell ref="K136:M136"/>
    <mergeCell ref="B137:B151"/>
    <mergeCell ref="K151:M151"/>
    <mergeCell ref="B152:B166"/>
    <mergeCell ref="K166:M166"/>
    <mergeCell ref="B167:B181"/>
    <mergeCell ref="K181:M181"/>
    <mergeCell ref="B182:B202"/>
    <mergeCell ref="K202:M202"/>
    <mergeCell ref="B203:B218"/>
    <mergeCell ref="K218:M218"/>
    <mergeCell ref="B219:B232"/>
    <mergeCell ref="K232:M232"/>
    <mergeCell ref="B233:B247"/>
    <mergeCell ref="K247:M247"/>
    <mergeCell ref="B248:B254"/>
    <mergeCell ref="K254:M254"/>
  </mergeCells>
  <pageMargins left="0.7" right="0.7" top="0.75" bottom="0.75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G47"/>
  <sheetViews>
    <sheetView tabSelected="1" workbookViewId="0">
      <pane xSplit="7" ySplit="9" topLeftCell="AF16" activePane="bottomRight" state="frozen"/>
      <selection pane="topRight" activeCell="H1" sqref="H1"/>
      <selection pane="bottomLeft" activeCell="A10" sqref="A10"/>
      <selection pane="bottomRight" activeCell="AF16" sqref="AF16"/>
    </sheetView>
  </sheetViews>
  <sheetFormatPr baseColWidth="10" defaultRowHeight="15" x14ac:dyDescent="0.25"/>
  <cols>
    <col min="1" max="1" width="21.140625" customWidth="1"/>
    <col min="2" max="2" width="31.5703125" customWidth="1"/>
    <col min="3" max="7" width="12.7109375" customWidth="1"/>
    <col min="8" max="19" width="12.85546875" customWidth="1"/>
    <col min="20" max="58" width="12.42578125" customWidth="1"/>
  </cols>
  <sheetData>
    <row r="1" spans="1:59" ht="15.75" x14ac:dyDescent="0.3">
      <c r="A1" s="82"/>
      <c r="B1" s="260" t="s">
        <v>52</v>
      </c>
      <c r="C1" s="261"/>
      <c r="D1" s="261"/>
      <c r="E1" s="262"/>
      <c r="F1" s="263" t="s">
        <v>52</v>
      </c>
      <c r="G1" s="263"/>
      <c r="H1" s="263"/>
      <c r="I1" s="263"/>
      <c r="J1" s="263"/>
      <c r="K1" s="263" t="s">
        <v>52</v>
      </c>
      <c r="L1" s="263"/>
      <c r="M1" s="263"/>
      <c r="N1" s="263"/>
      <c r="O1" s="263"/>
      <c r="P1" s="263" t="s">
        <v>53</v>
      </c>
      <c r="Q1" s="263"/>
      <c r="R1" s="263"/>
      <c r="S1" s="263"/>
      <c r="T1" s="263"/>
      <c r="U1" s="263"/>
      <c r="V1" s="263" t="s">
        <v>52</v>
      </c>
      <c r="W1" s="263"/>
      <c r="X1" s="263"/>
      <c r="Y1" s="263"/>
      <c r="Z1" s="263"/>
      <c r="AA1" s="263"/>
      <c r="AB1" s="263" t="s">
        <v>52</v>
      </c>
      <c r="AC1" s="263"/>
      <c r="AD1" s="263"/>
      <c r="AE1" s="263"/>
      <c r="AF1" s="263"/>
      <c r="AG1" s="263"/>
      <c r="AH1" s="263"/>
      <c r="AI1" s="263" t="s">
        <v>52</v>
      </c>
      <c r="AJ1" s="263"/>
      <c r="AK1" s="263"/>
      <c r="AL1" s="263"/>
      <c r="AM1" s="263"/>
      <c r="AN1" s="263"/>
      <c r="AO1" s="263"/>
      <c r="AP1" s="263" t="s">
        <v>54</v>
      </c>
      <c r="AQ1" s="263"/>
      <c r="AR1" s="263"/>
      <c r="AS1" s="263"/>
      <c r="AT1" s="263"/>
      <c r="AU1" s="263"/>
      <c r="AV1" s="264" t="s">
        <v>54</v>
      </c>
      <c r="AW1" s="264"/>
      <c r="AX1" s="264"/>
      <c r="AY1" s="264"/>
      <c r="AZ1" s="264"/>
      <c r="BA1" s="264"/>
      <c r="BB1" s="264" t="s">
        <v>54</v>
      </c>
      <c r="BC1" s="264"/>
      <c r="BD1" s="264"/>
      <c r="BE1" s="264"/>
      <c r="BF1" s="264"/>
    </row>
    <row r="2" spans="1:59" ht="30" x14ac:dyDescent="0.3">
      <c r="A2" s="141" t="s">
        <v>55</v>
      </c>
      <c r="B2" s="141" t="s">
        <v>56</v>
      </c>
      <c r="C2" s="141" t="s">
        <v>57</v>
      </c>
      <c r="D2" s="142" t="s">
        <v>58</v>
      </c>
      <c r="E2" s="143" t="s">
        <v>0</v>
      </c>
      <c r="F2" s="265" t="s">
        <v>59</v>
      </c>
      <c r="G2" s="266"/>
      <c r="H2" s="267" t="s">
        <v>60</v>
      </c>
      <c r="I2" s="268"/>
      <c r="J2" s="269"/>
      <c r="K2" s="270" t="s">
        <v>61</v>
      </c>
      <c r="L2" s="271"/>
      <c r="M2" s="272"/>
      <c r="N2" s="267" t="s">
        <v>62</v>
      </c>
      <c r="O2" s="268"/>
      <c r="P2" s="269"/>
      <c r="Q2" s="267" t="s">
        <v>63</v>
      </c>
      <c r="R2" s="268"/>
      <c r="S2" s="269"/>
      <c r="T2" s="267" t="s">
        <v>64</v>
      </c>
      <c r="U2" s="268"/>
      <c r="V2" s="269"/>
      <c r="W2" s="267" t="s">
        <v>65</v>
      </c>
      <c r="X2" s="268"/>
      <c r="Y2" s="269"/>
      <c r="Z2" s="267" t="s">
        <v>66</v>
      </c>
      <c r="AA2" s="268"/>
      <c r="AB2" s="269"/>
      <c r="AC2" s="267" t="s">
        <v>67</v>
      </c>
      <c r="AD2" s="268"/>
      <c r="AE2" s="269"/>
      <c r="AF2" s="267" t="s">
        <v>68</v>
      </c>
      <c r="AG2" s="268"/>
      <c r="AH2" s="269"/>
      <c r="AI2" s="267" t="s">
        <v>69</v>
      </c>
      <c r="AJ2" s="268"/>
      <c r="AK2" s="269"/>
      <c r="AL2" s="267" t="s">
        <v>70</v>
      </c>
      <c r="AM2" s="268"/>
      <c r="AN2" s="269"/>
      <c r="AO2" s="267" t="s">
        <v>71</v>
      </c>
      <c r="AP2" s="268"/>
      <c r="AQ2" s="269"/>
      <c r="AR2" s="267" t="s">
        <v>72</v>
      </c>
      <c r="AS2" s="268"/>
      <c r="AT2" s="268"/>
      <c r="AU2" s="268"/>
      <c r="AV2" s="269"/>
      <c r="AW2" s="278" t="s">
        <v>199</v>
      </c>
      <c r="AX2" s="279"/>
      <c r="AY2" s="279"/>
      <c r="AZ2" s="279"/>
      <c r="BA2" s="279"/>
      <c r="BB2" s="279"/>
      <c r="BC2" s="279"/>
      <c r="BD2" s="279"/>
      <c r="BE2" s="279"/>
      <c r="BF2" s="279"/>
    </row>
    <row r="3" spans="1:59" ht="15.75" customHeight="1" x14ac:dyDescent="0.3">
      <c r="A3" s="83"/>
      <c r="B3" s="83"/>
      <c r="C3" s="83"/>
      <c r="D3" s="84"/>
      <c r="E3" s="85"/>
      <c r="F3" s="273">
        <v>1268000</v>
      </c>
      <c r="G3" s="275"/>
      <c r="H3" s="273">
        <v>0</v>
      </c>
      <c r="I3" s="274"/>
      <c r="J3" s="275"/>
      <c r="K3" s="273">
        <f>30000+0</f>
        <v>30000</v>
      </c>
      <c r="L3" s="274"/>
      <c r="M3" s="275"/>
      <c r="N3" s="273">
        <f>0+6000</f>
        <v>6000</v>
      </c>
      <c r="O3" s="274"/>
      <c r="P3" s="275"/>
      <c r="Q3" s="273">
        <f>10000+80000+12000+42000+60000</f>
        <v>204000</v>
      </c>
      <c r="R3" s="274"/>
      <c r="S3" s="275"/>
      <c r="T3" s="273">
        <v>30000</v>
      </c>
      <c r="U3" s="274"/>
      <c r="V3" s="275"/>
      <c r="W3" s="273">
        <v>74200</v>
      </c>
      <c r="X3" s="274"/>
      <c r="Y3" s="275"/>
      <c r="Z3" s="273">
        <v>50000</v>
      </c>
      <c r="AA3" s="274"/>
      <c r="AB3" s="275"/>
      <c r="AC3" s="273">
        <v>64000</v>
      </c>
      <c r="AD3" s="274"/>
      <c r="AE3" s="275"/>
      <c r="AF3" s="273">
        <v>0</v>
      </c>
      <c r="AG3" s="274"/>
      <c r="AH3" s="275"/>
      <c r="AI3" s="273">
        <v>20000</v>
      </c>
      <c r="AJ3" s="274"/>
      <c r="AK3" s="275"/>
      <c r="AL3" s="273">
        <v>0</v>
      </c>
      <c r="AM3" s="274"/>
      <c r="AN3" s="275"/>
      <c r="AO3" s="273"/>
      <c r="AP3" s="274"/>
      <c r="AQ3" s="275"/>
      <c r="AR3" s="273">
        <f>+F3+H3+K3+N3+Q3+T3+W3+Z3+AC3+AF3+AI3+AL3+AO3</f>
        <v>1746200</v>
      </c>
      <c r="AS3" s="274"/>
      <c r="AT3" s="274"/>
      <c r="AU3" s="274"/>
      <c r="AV3" s="275"/>
      <c r="AW3" s="83"/>
      <c r="AX3" s="83"/>
      <c r="AY3" s="83"/>
      <c r="AZ3" s="83"/>
      <c r="BA3" s="83"/>
      <c r="BB3" s="83"/>
      <c r="BC3" s="83"/>
      <c r="BD3" s="83"/>
      <c r="BE3" s="280" t="s">
        <v>86</v>
      </c>
      <c r="BF3" s="282" t="s">
        <v>87</v>
      </c>
    </row>
    <row r="4" spans="1:59" ht="30" customHeight="1" x14ac:dyDescent="0.3">
      <c r="A4" s="86"/>
      <c r="B4" s="86"/>
      <c r="C4" s="86"/>
      <c r="D4" s="84"/>
      <c r="E4" s="85"/>
      <c r="F4" s="87" t="s">
        <v>73</v>
      </c>
      <c r="G4" s="87" t="s">
        <v>74</v>
      </c>
      <c r="H4" s="87" t="s">
        <v>75</v>
      </c>
      <c r="I4" s="87" t="s">
        <v>73</v>
      </c>
      <c r="J4" s="87" t="s">
        <v>74</v>
      </c>
      <c r="K4" s="87" t="s">
        <v>75</v>
      </c>
      <c r="L4" s="87" t="s">
        <v>73</v>
      </c>
      <c r="M4" s="87" t="s">
        <v>74</v>
      </c>
      <c r="N4" s="87" t="s">
        <v>75</v>
      </c>
      <c r="O4" s="87" t="s">
        <v>73</v>
      </c>
      <c r="P4" s="87" t="s">
        <v>74</v>
      </c>
      <c r="Q4" s="87" t="s">
        <v>75</v>
      </c>
      <c r="R4" s="87" t="s">
        <v>73</v>
      </c>
      <c r="S4" s="87" t="s">
        <v>74</v>
      </c>
      <c r="T4" s="87" t="s">
        <v>75</v>
      </c>
      <c r="U4" s="87" t="s">
        <v>73</v>
      </c>
      <c r="V4" s="87" t="s">
        <v>74</v>
      </c>
      <c r="W4" s="87" t="s">
        <v>75</v>
      </c>
      <c r="X4" s="87" t="s">
        <v>73</v>
      </c>
      <c r="Y4" s="87" t="s">
        <v>74</v>
      </c>
      <c r="Z4" s="87" t="s">
        <v>75</v>
      </c>
      <c r="AA4" s="87" t="s">
        <v>73</v>
      </c>
      <c r="AB4" s="87" t="s">
        <v>74</v>
      </c>
      <c r="AC4" s="87" t="s">
        <v>75</v>
      </c>
      <c r="AD4" s="87" t="s">
        <v>73</v>
      </c>
      <c r="AE4" s="87" t="s">
        <v>74</v>
      </c>
      <c r="AF4" s="87" t="s">
        <v>75</v>
      </c>
      <c r="AG4" s="87" t="s">
        <v>73</v>
      </c>
      <c r="AH4" s="87" t="s">
        <v>74</v>
      </c>
      <c r="AI4" s="87" t="s">
        <v>75</v>
      </c>
      <c r="AJ4" s="87" t="s">
        <v>73</v>
      </c>
      <c r="AK4" s="87" t="s">
        <v>74</v>
      </c>
      <c r="AL4" s="87" t="s">
        <v>75</v>
      </c>
      <c r="AM4" s="87" t="s">
        <v>73</v>
      </c>
      <c r="AN4" s="87" t="s">
        <v>74</v>
      </c>
      <c r="AO4" s="87" t="s">
        <v>75</v>
      </c>
      <c r="AP4" s="87" t="s">
        <v>73</v>
      </c>
      <c r="AQ4" s="87" t="s">
        <v>74</v>
      </c>
      <c r="AR4" s="87" t="s">
        <v>57</v>
      </c>
      <c r="AS4" s="87" t="s">
        <v>76</v>
      </c>
      <c r="AT4" s="87" t="s">
        <v>77</v>
      </c>
      <c r="AU4" s="87" t="s">
        <v>73</v>
      </c>
      <c r="AV4" s="87" t="s">
        <v>74</v>
      </c>
      <c r="AW4" s="86" t="s">
        <v>78</v>
      </c>
      <c r="AX4" s="86" t="s">
        <v>79</v>
      </c>
      <c r="AY4" s="86" t="s">
        <v>80</v>
      </c>
      <c r="AZ4" s="86" t="s">
        <v>81</v>
      </c>
      <c r="BA4" s="86" t="s">
        <v>82</v>
      </c>
      <c r="BB4" s="86" t="s">
        <v>83</v>
      </c>
      <c r="BC4" s="86" t="s">
        <v>84</v>
      </c>
      <c r="BD4" s="86" t="s">
        <v>85</v>
      </c>
      <c r="BE4" s="281"/>
      <c r="BF4" s="283"/>
    </row>
    <row r="5" spans="1:59" ht="15.75" x14ac:dyDescent="0.3">
      <c r="A5" s="208" t="s">
        <v>432</v>
      </c>
      <c r="B5" s="83" t="s">
        <v>88</v>
      </c>
      <c r="C5" s="88"/>
      <c r="D5" s="89">
        <f>736543.521348481+80000</f>
        <v>816543.52134848095</v>
      </c>
      <c r="E5" s="88">
        <f>+C5+D5</f>
        <v>816543.52134848095</v>
      </c>
      <c r="F5" s="88">
        <f>+(1268000/19961560)*E5</f>
        <v>51868.550607761812</v>
      </c>
      <c r="G5" s="88">
        <f>+E5+F5</f>
        <v>868412.07195624278</v>
      </c>
      <c r="H5" s="88">
        <v>0</v>
      </c>
      <c r="I5" s="88">
        <f>+(0/(21229560+1050000))*(G5+H5)</f>
        <v>0</v>
      </c>
      <c r="J5" s="88">
        <f>+G5+H5+I5</f>
        <v>868412.07195624278</v>
      </c>
      <c r="K5" s="88">
        <v>0</v>
      </c>
      <c r="L5" s="88">
        <f>+(30000/((21638859-36000)+(328000-36000))*(J5+K5))</f>
        <v>1189.8849021447127</v>
      </c>
      <c r="M5" s="88">
        <f>+J5+K5+L5</f>
        <v>869601.95685838745</v>
      </c>
      <c r="N5" s="88">
        <v>0</v>
      </c>
      <c r="O5" s="88">
        <f>+(6000/(21996859-72000+345000-18000-19000-44000))*(M5+N5)</f>
        <v>235.14556296699732</v>
      </c>
      <c r="P5" s="88">
        <f>+M5+N5+O5</f>
        <v>869837.1024213545</v>
      </c>
      <c r="Q5" s="88">
        <v>0</v>
      </c>
      <c r="R5" s="88">
        <f>+(204000/(22347859-54000-37000-62000+386000-18000-19000-66000))*(P5+Q5)</f>
        <v>7894.2913955442255</v>
      </c>
      <c r="S5" s="88">
        <f>+P5+Q5+R5</f>
        <v>877731.39381689869</v>
      </c>
      <c r="T5" s="88">
        <v>0</v>
      </c>
      <c r="U5" s="88">
        <f>+((30000/(22937859+882000-36000-36000-56000-128000-6000-9000-409000-69000))*(S5+T5))</f>
        <v>1141.3507323029005</v>
      </c>
      <c r="V5" s="88">
        <f>+S5+T5+U5</f>
        <v>878872.74454920157</v>
      </c>
      <c r="W5" s="88">
        <v>0</v>
      </c>
      <c r="X5" s="88">
        <f>+(74200/(23849859+426500-42000-45000-465000-197000-9000-9000-14000-69000))*(V5+W5)</f>
        <v>2783.7171643084084</v>
      </c>
      <c r="Y5" s="88">
        <f t="shared" ref="Y5:Y38" si="0">+V5+W5+X5</f>
        <v>881656.46171350998</v>
      </c>
      <c r="Z5" s="88">
        <v>0</v>
      </c>
      <c r="AA5" s="88">
        <f>+(50000/(24350559+561768-51000-54000-479000-266000-9000-9000-19000-69000-153468))*(Y5+Z5)</f>
        <v>1851.9969842982098</v>
      </c>
      <c r="AB5" s="88">
        <f t="shared" ref="AB5:AB31" si="1">+Y5+Z5+AA5</f>
        <v>883508.45869780821</v>
      </c>
      <c r="AC5" s="88">
        <v>0</v>
      </c>
      <c r="AD5" s="88">
        <f>+(64000/(24962327+403000-60000-63000-498000-335000-153468-9000-9000-19000-69000))*(AB5+AC5)</f>
        <v>2341.4025463527437</v>
      </c>
      <c r="AE5" s="88">
        <f t="shared" ref="AE5:AE31" si="2">+AB5+AC5+AD5</f>
        <v>885849.86124416091</v>
      </c>
      <c r="AF5" s="88">
        <v>0</v>
      </c>
      <c r="AG5" s="88">
        <f t="shared" ref="AG5:AG31" si="3">+(0/20256265)*(AE5+AF5)</f>
        <v>0</v>
      </c>
      <c r="AH5" s="88">
        <f t="shared" ref="AH5:AH31" si="4">+AE5+AF5+AG5</f>
        <v>885849.86124416091</v>
      </c>
      <c r="AI5" s="88">
        <v>0</v>
      </c>
      <c r="AJ5" s="88">
        <f>+((20000/(26194827+596000-60000-258500-9000-153468))*(AH5+AI5))</f>
        <v>673.39765009319194</v>
      </c>
      <c r="AK5" s="88">
        <f t="shared" ref="AK5:AK31" si="5">+AH5+AI5+AJ5</f>
        <v>886523.2588942541</v>
      </c>
      <c r="AL5" s="88">
        <v>0</v>
      </c>
      <c r="AM5" s="88">
        <f>+(0/(23068716+171000))*(AK5+AL5)</f>
        <v>0</v>
      </c>
      <c r="AN5" s="88">
        <f t="shared" ref="AN5:AN31" si="6">+AK5+AL5+AM5</f>
        <v>886523.2588942541</v>
      </c>
      <c r="AO5" s="88">
        <v>0</v>
      </c>
      <c r="AP5" s="88">
        <f>+(0/20000)*(AN5+AO5)</f>
        <v>0</v>
      </c>
      <c r="AQ5" s="88">
        <f>+AN5+AO5+AP5</f>
        <v>886523.2588942541</v>
      </c>
      <c r="AR5" s="88">
        <f>+C5</f>
        <v>0</v>
      </c>
      <c r="AS5" s="88">
        <f>+D5</f>
        <v>816543.52134848095</v>
      </c>
      <c r="AT5" s="88">
        <f>+H5+K5+N5+Q5+T5+W5+Z5+AC5+AF5+AI5+AL5+AO5</f>
        <v>0</v>
      </c>
      <c r="AU5" s="88">
        <f>+F5+I5+L5+O5+R5+U5+X5+AA5+AD5+AG5+AJ5+AM5+AP5</f>
        <v>69979.737545773198</v>
      </c>
      <c r="AV5" s="88">
        <f>+AN5+AO5+AP5</f>
        <v>886523.2588942541</v>
      </c>
      <c r="AW5" s="88"/>
      <c r="AX5" s="88"/>
      <c r="AY5" s="88"/>
      <c r="AZ5" s="88"/>
      <c r="BA5" s="88"/>
      <c r="BB5" s="88">
        <f>+AV5-AW5-AX5-AY5-AZ5-BA5</f>
        <v>886523.2588942541</v>
      </c>
      <c r="BC5" s="88"/>
      <c r="BD5" s="88">
        <f>+BB5-BC5</f>
        <v>886523.2588942541</v>
      </c>
      <c r="BE5" s="83">
        <v>0</v>
      </c>
      <c r="BF5" s="90">
        <f>+BD5-BE5</f>
        <v>886523.2588942541</v>
      </c>
      <c r="BG5" t="s">
        <v>117</v>
      </c>
    </row>
    <row r="6" spans="1:59" ht="15.75" x14ac:dyDescent="0.3">
      <c r="A6" s="208" t="s">
        <v>434</v>
      </c>
      <c r="B6" s="83" t="s">
        <v>39</v>
      </c>
      <c r="C6" s="144">
        <v>600000</v>
      </c>
      <c r="D6" s="89">
        <v>7023.6611389458412</v>
      </c>
      <c r="E6" s="88">
        <f t="shared" ref="E6:E31" si="7">+C6+D6</f>
        <v>607023.66113894584</v>
      </c>
      <c r="F6" s="88">
        <f t="shared" ref="F6:F31" si="8">+(1268000/19961560)*E6</f>
        <v>38559.411304736874</v>
      </c>
      <c r="G6" s="88">
        <f t="shared" ref="G6:G31" si="9">+E6+F6</f>
        <v>645583.0724436827</v>
      </c>
      <c r="H6" s="88">
        <v>9000</v>
      </c>
      <c r="I6" s="88">
        <f t="shared" ref="I6:I38" si="10">+(0/(21229560+1050000))*(G6+H6)</f>
        <v>0</v>
      </c>
      <c r="J6" s="88">
        <f t="shared" ref="J6:J38" si="11">+G6+H6+I6</f>
        <v>654583.0724436827</v>
      </c>
      <c r="K6" s="135">
        <v>9000</v>
      </c>
      <c r="L6" s="88">
        <f t="shared" ref="L6:L32" si="12">+(30000/((21638859-36000)+(328000-36000))*(J6+K6))</f>
        <v>909.2313484782195</v>
      </c>
      <c r="M6" s="88">
        <f t="shared" ref="M6:M36" si="13">+J6+K6+L6</f>
        <v>664492.30379216094</v>
      </c>
      <c r="N6" s="88">
        <v>9000</v>
      </c>
      <c r="O6" s="88">
        <f t="shared" ref="O6:O32" si="14">+(6000/(21996859-72000+345000-18000-19000-44000))*(M6+N6)</f>
        <v>182.11634148258665</v>
      </c>
      <c r="P6" s="88">
        <f t="shared" ref="P6:P36" si="15">+M6+N6+O6</f>
        <v>673674.42013364355</v>
      </c>
      <c r="Q6" s="88">
        <v>9000</v>
      </c>
      <c r="R6" s="88">
        <f t="shared" ref="R6:R32" si="16">+(204000/(22347859-54000-37000-62000+386000-18000-19000-66000))*(P6+Q6)</f>
        <v>6195.6782319554231</v>
      </c>
      <c r="S6" s="88">
        <f t="shared" ref="S6:S36" si="17">+P6+Q6+R6</f>
        <v>688870.09836559894</v>
      </c>
      <c r="T6" s="88">
        <v>9000</v>
      </c>
      <c r="U6" s="88">
        <f t="shared" ref="U6:U32" si="18">+((30000/(22937859+882000-36000-36000-56000-128000-6000-9000-409000-69000))*(S6+T6))</f>
        <v>907.46958970916376</v>
      </c>
      <c r="V6" s="88">
        <f t="shared" ref="V6:V31" si="19">+S6+T6+U6</f>
        <v>698777.56795530813</v>
      </c>
      <c r="W6" s="88">
        <v>9000</v>
      </c>
      <c r="X6" s="88">
        <f t="shared" ref="X6:X32" si="20">+(74200/(23849859+426500-42000-45000-465000-197000-9000-9000-14000-69000))*(V6+W6)</f>
        <v>2241.7950455845003</v>
      </c>
      <c r="Y6" s="88">
        <f t="shared" si="0"/>
        <v>710019.36300089268</v>
      </c>
      <c r="Z6" s="88">
        <v>9000</v>
      </c>
      <c r="AA6" s="88">
        <f t="shared" ref="AA6:AA32" si="21">+(50000/(24350559+561768-51000-54000-479000-266000-9000-9000-19000-69000-153468))*(Y6+Z6)</f>
        <v>1510.3634462584782</v>
      </c>
      <c r="AB6" s="88">
        <f t="shared" si="1"/>
        <v>720529.72644715116</v>
      </c>
      <c r="AC6" s="88">
        <v>9000</v>
      </c>
      <c r="AD6" s="88">
        <f t="shared" ref="AD6:AD32" si="22">+(64000/(24962327+403000-60000-63000-498000-335000-153468-9000-9000-19000-69000))*(AB6+AC6)</f>
        <v>1933.340583587576</v>
      </c>
      <c r="AE6" s="88">
        <f t="shared" si="2"/>
        <v>731463.06703073869</v>
      </c>
      <c r="AF6" s="88">
        <v>9000</v>
      </c>
      <c r="AG6" s="88">
        <f t="shared" si="3"/>
        <v>0</v>
      </c>
      <c r="AH6" s="88">
        <f t="shared" si="4"/>
        <v>740463.06703073869</v>
      </c>
      <c r="AI6" s="88">
        <v>9000</v>
      </c>
      <c r="AJ6" s="88">
        <f t="shared" ref="AJ6:AJ32" si="23">+((20000/(26194827+596000-60000-258500-9000-153468))*(AH6+AI6))</f>
        <v>569.72032197568114</v>
      </c>
      <c r="AK6" s="88">
        <f t="shared" si="5"/>
        <v>750032.78735271434</v>
      </c>
      <c r="AL6" s="88">
        <v>9000</v>
      </c>
      <c r="AM6" s="88">
        <f t="shared" ref="AM6:AM31" si="24">+(0/(23068716+171000))*(AK6+AL6)</f>
        <v>0</v>
      </c>
      <c r="AN6" s="88">
        <f t="shared" si="6"/>
        <v>759032.78735271434</v>
      </c>
      <c r="AO6" s="88">
        <v>9000</v>
      </c>
      <c r="AP6" s="88">
        <f t="shared" ref="AP6:AP31" si="25">+(0/20000)*(AN6+AO6)</f>
        <v>0</v>
      </c>
      <c r="AQ6" s="88">
        <f t="shared" ref="AQ6:AQ31" si="26">+AN6+AO6+AP6</f>
        <v>768032.78735271434</v>
      </c>
      <c r="AR6" s="88">
        <f t="shared" ref="AR6:AS31" si="27">+C6</f>
        <v>600000</v>
      </c>
      <c r="AS6" s="88">
        <f t="shared" si="27"/>
        <v>7023.6611389458412</v>
      </c>
      <c r="AT6" s="88">
        <f>+H6+K6+N6+Q6+T6+W6+Z6+AC6+AF6+AI6+AL6+AO6</f>
        <v>108000</v>
      </c>
      <c r="AU6" s="88">
        <f t="shared" ref="AU6:AU31" si="28">+F6+I6+L6+O6+R6+U6+X6+AA6+AD6+AG6+AJ6+AM6+AP6</f>
        <v>53009.126213768512</v>
      </c>
      <c r="AV6" s="88">
        <f t="shared" ref="AV6:AV31" si="29">+AN6+AO6+AP6</f>
        <v>768032.78735271434</v>
      </c>
      <c r="AW6" s="88">
        <v>630000</v>
      </c>
      <c r="AX6" s="88"/>
      <c r="AY6" s="88"/>
      <c r="AZ6" s="88"/>
      <c r="BA6" s="88"/>
      <c r="BB6" s="88">
        <f t="shared" ref="BB6:BB38" si="30">+AV6-AW6-AX6-AY6-AZ6-BA6</f>
        <v>138032.78735271434</v>
      </c>
      <c r="BC6" s="88"/>
      <c r="BD6" s="88">
        <f>+BB6</f>
        <v>138032.78735271434</v>
      </c>
      <c r="BE6" s="83">
        <v>0</v>
      </c>
      <c r="BF6" s="90">
        <f t="shared" ref="BF6:BF46" si="31">+BD6-BE6</f>
        <v>138032.78735271434</v>
      </c>
    </row>
    <row r="7" spans="1:59" ht="15.75" x14ac:dyDescent="0.3">
      <c r="A7" s="208" t="s">
        <v>435</v>
      </c>
      <c r="B7" s="83" t="s">
        <v>43</v>
      </c>
      <c r="C7" s="144">
        <v>600000</v>
      </c>
      <c r="D7" s="89">
        <v>4809.8069585817866</v>
      </c>
      <c r="E7" s="88">
        <f t="shared" si="7"/>
        <v>604809.80695858179</v>
      </c>
      <c r="F7" s="88">
        <f t="shared" si="8"/>
        <v>38418.78266144939</v>
      </c>
      <c r="G7" s="88">
        <f t="shared" si="9"/>
        <v>643228.58962003118</v>
      </c>
      <c r="H7" s="88">
        <v>29000</v>
      </c>
      <c r="I7" s="88">
        <f t="shared" si="10"/>
        <v>0</v>
      </c>
      <c r="J7" s="88">
        <f t="shared" si="11"/>
        <v>672228.58962003118</v>
      </c>
      <c r="K7" s="135">
        <v>17000</v>
      </c>
      <c r="L7" s="88">
        <f t="shared" si="12"/>
        <v>944.3704427875482</v>
      </c>
      <c r="M7" s="88">
        <f t="shared" si="13"/>
        <v>690172.96006281872</v>
      </c>
      <c r="N7" s="88">
        <v>9000</v>
      </c>
      <c r="O7" s="88">
        <f t="shared" si="14"/>
        <v>189.06054431987297</v>
      </c>
      <c r="P7" s="88">
        <f t="shared" si="15"/>
        <v>699362.02060713863</v>
      </c>
      <c r="Q7" s="88">
        <v>14000</v>
      </c>
      <c r="R7" s="88">
        <f t="shared" si="16"/>
        <v>6474.1865408024978</v>
      </c>
      <c r="S7" s="88">
        <f t="shared" si="17"/>
        <v>719836.20714794111</v>
      </c>
      <c r="T7" s="88">
        <v>14000</v>
      </c>
      <c r="U7" s="88">
        <f t="shared" si="18"/>
        <v>954.23782072606116</v>
      </c>
      <c r="V7" s="88">
        <f t="shared" si="19"/>
        <v>734790.44496866711</v>
      </c>
      <c r="W7" s="88">
        <v>9000</v>
      </c>
      <c r="X7" s="88">
        <f t="shared" si="20"/>
        <v>2355.8612337783734</v>
      </c>
      <c r="Y7" s="88">
        <f t="shared" si="0"/>
        <v>746146.30620244553</v>
      </c>
      <c r="Z7" s="88">
        <v>9000</v>
      </c>
      <c r="AA7" s="88">
        <f t="shared" si="21"/>
        <v>1586.2512696530396</v>
      </c>
      <c r="AB7" s="88">
        <f t="shared" si="1"/>
        <v>756732.55747209862</v>
      </c>
      <c r="AC7" s="88">
        <v>9000</v>
      </c>
      <c r="AD7" s="88">
        <f t="shared" si="22"/>
        <v>2029.282393665914</v>
      </c>
      <c r="AE7" s="88">
        <f t="shared" si="2"/>
        <v>767761.83986576449</v>
      </c>
      <c r="AF7" s="88">
        <v>7000</v>
      </c>
      <c r="AG7" s="88">
        <f t="shared" si="3"/>
        <v>0</v>
      </c>
      <c r="AH7" s="88">
        <f t="shared" si="4"/>
        <v>774761.83986576449</v>
      </c>
      <c r="AI7" s="88">
        <v>9000</v>
      </c>
      <c r="AJ7" s="88">
        <f t="shared" si="23"/>
        <v>595.7932650766121</v>
      </c>
      <c r="AK7" s="88">
        <f t="shared" si="5"/>
        <v>784357.63313084107</v>
      </c>
      <c r="AL7" s="88">
        <v>9000</v>
      </c>
      <c r="AM7" s="88">
        <f t="shared" si="24"/>
        <v>0</v>
      </c>
      <c r="AN7" s="88">
        <f t="shared" si="6"/>
        <v>793357.63313084107</v>
      </c>
      <c r="AO7" s="88">
        <v>9000</v>
      </c>
      <c r="AP7" s="88">
        <f t="shared" si="25"/>
        <v>0</v>
      </c>
      <c r="AQ7" s="88">
        <f t="shared" si="26"/>
        <v>802357.63313084107</v>
      </c>
      <c r="AR7" s="88">
        <f t="shared" si="27"/>
        <v>600000</v>
      </c>
      <c r="AS7" s="88">
        <f t="shared" si="27"/>
        <v>4809.8069585817866</v>
      </c>
      <c r="AT7" s="88">
        <f t="shared" ref="AT7:AT31" si="32">+H7+K7+N7+Q7+T7+W7+Z7+AC7+AF7+AI7+AL7+AO7</f>
        <v>144000</v>
      </c>
      <c r="AU7" s="88">
        <f t="shared" si="28"/>
        <v>53547.826172259302</v>
      </c>
      <c r="AV7" s="88">
        <f t="shared" si="29"/>
        <v>802357.63313084107</v>
      </c>
      <c r="AW7" s="88">
        <v>630000</v>
      </c>
      <c r="AX7" s="88"/>
      <c r="AY7" s="88"/>
      <c r="AZ7" s="88"/>
      <c r="BA7" s="88"/>
      <c r="BB7" s="88">
        <f t="shared" si="30"/>
        <v>172357.63313084107</v>
      </c>
      <c r="BC7" s="88"/>
      <c r="BD7" s="88">
        <f t="shared" ref="BD7:BD31" si="33">+BB7</f>
        <v>172357.63313084107</v>
      </c>
      <c r="BE7" s="83">
        <v>0</v>
      </c>
      <c r="BF7" s="90">
        <f t="shared" si="31"/>
        <v>172357.63313084107</v>
      </c>
    </row>
    <row r="8" spans="1:59" ht="15.75" x14ac:dyDescent="0.3">
      <c r="A8" s="208" t="s">
        <v>436</v>
      </c>
      <c r="B8" s="83" t="s">
        <v>89</v>
      </c>
      <c r="C8" s="144">
        <v>600000</v>
      </c>
      <c r="D8" s="89">
        <v>48710.412466726033</v>
      </c>
      <c r="E8" s="88">
        <f t="shared" si="7"/>
        <v>648710.41246672603</v>
      </c>
      <c r="F8" s="88">
        <f t="shared" si="8"/>
        <v>41207.440851707412</v>
      </c>
      <c r="G8" s="88">
        <f t="shared" si="9"/>
        <v>689917.85331843339</v>
      </c>
      <c r="H8" s="88">
        <v>9000</v>
      </c>
      <c r="I8" s="88">
        <f t="shared" si="10"/>
        <v>0</v>
      </c>
      <c r="J8" s="88">
        <f t="shared" si="11"/>
        <v>698917.85331843339</v>
      </c>
      <c r="K8" s="135">
        <v>9000</v>
      </c>
      <c r="L8" s="88">
        <f t="shared" si="12"/>
        <v>969.97818526956496</v>
      </c>
      <c r="M8" s="88">
        <f t="shared" si="13"/>
        <v>708887.83150370291</v>
      </c>
      <c r="N8" s="88">
        <v>10000</v>
      </c>
      <c r="O8" s="88">
        <f t="shared" si="14"/>
        <v>194.39156330761386</v>
      </c>
      <c r="P8" s="88">
        <f t="shared" si="15"/>
        <v>719082.22306701052</v>
      </c>
      <c r="Q8" s="88">
        <v>9000</v>
      </c>
      <c r="R8" s="88">
        <f t="shared" si="16"/>
        <v>6607.7811728274546</v>
      </c>
      <c r="S8" s="88">
        <f t="shared" si="17"/>
        <v>734690.00423983799</v>
      </c>
      <c r="T8" s="88">
        <v>9000</v>
      </c>
      <c r="U8" s="88">
        <f t="shared" si="18"/>
        <v>967.05112398264578</v>
      </c>
      <c r="V8" s="88">
        <f t="shared" si="19"/>
        <v>744657.05536382063</v>
      </c>
      <c r="W8" s="88">
        <v>9000</v>
      </c>
      <c r="X8" s="88">
        <f t="shared" si="20"/>
        <v>2387.1124619918742</v>
      </c>
      <c r="Y8" s="88">
        <f t="shared" si="0"/>
        <v>756044.16782581247</v>
      </c>
      <c r="Z8" s="88">
        <v>6000</v>
      </c>
      <c r="AA8" s="88">
        <f t="shared" si="21"/>
        <v>1600.7408350102241</v>
      </c>
      <c r="AB8" s="88">
        <f t="shared" si="1"/>
        <v>763644.90866082266</v>
      </c>
      <c r="AC8" s="88">
        <v>9000</v>
      </c>
      <c r="AD8" s="88">
        <f t="shared" si="22"/>
        <v>2047.6009468333814</v>
      </c>
      <c r="AE8" s="88">
        <f t="shared" si="2"/>
        <v>774692.50960765604</v>
      </c>
      <c r="AF8" s="88">
        <v>9000</v>
      </c>
      <c r="AG8" s="88">
        <f t="shared" si="3"/>
        <v>0</v>
      </c>
      <c r="AH8" s="88">
        <f t="shared" si="4"/>
        <v>783692.50960765604</v>
      </c>
      <c r="AI8" s="88">
        <v>9000</v>
      </c>
      <c r="AJ8" s="88">
        <f t="shared" si="23"/>
        <v>602.58210399961172</v>
      </c>
      <c r="AK8" s="88">
        <f t="shared" si="5"/>
        <v>793295.09171165561</v>
      </c>
      <c r="AL8" s="88">
        <v>9000</v>
      </c>
      <c r="AM8" s="88">
        <f t="shared" si="24"/>
        <v>0</v>
      </c>
      <c r="AN8" s="88">
        <f t="shared" si="6"/>
        <v>802295.09171165561</v>
      </c>
      <c r="AO8" s="88">
        <v>9000</v>
      </c>
      <c r="AP8" s="88">
        <f t="shared" si="25"/>
        <v>0</v>
      </c>
      <c r="AQ8" s="88">
        <f t="shared" si="26"/>
        <v>811295.09171165561</v>
      </c>
      <c r="AR8" s="88">
        <f t="shared" si="27"/>
        <v>600000</v>
      </c>
      <c r="AS8" s="88">
        <f t="shared" si="27"/>
        <v>48710.412466726033</v>
      </c>
      <c r="AT8" s="88">
        <f t="shared" si="32"/>
        <v>106000</v>
      </c>
      <c r="AU8" s="88">
        <f t="shared" si="28"/>
        <v>56584.679244929779</v>
      </c>
      <c r="AV8" s="88">
        <f t="shared" si="29"/>
        <v>811295.09171165561</v>
      </c>
      <c r="AW8" s="88">
        <v>630000</v>
      </c>
      <c r="AX8" s="88"/>
      <c r="AY8" s="88"/>
      <c r="AZ8" s="88"/>
      <c r="BA8" s="88"/>
      <c r="BB8" s="88">
        <f t="shared" si="30"/>
        <v>181295.09171165561</v>
      </c>
      <c r="BC8" s="88"/>
      <c r="BD8" s="88">
        <f t="shared" si="33"/>
        <v>181295.09171165561</v>
      </c>
      <c r="BE8" s="83">
        <v>0</v>
      </c>
      <c r="BF8" s="90">
        <f t="shared" si="31"/>
        <v>181295.09171165561</v>
      </c>
    </row>
    <row r="9" spans="1:59" ht="15.75" x14ac:dyDescent="0.3">
      <c r="A9" s="208" t="s">
        <v>437</v>
      </c>
      <c r="B9" s="83" t="s">
        <v>90</v>
      </c>
      <c r="C9" s="144">
        <v>600000</v>
      </c>
      <c r="D9" s="89">
        <v>4750.0783119258704</v>
      </c>
      <c r="E9" s="88">
        <f t="shared" si="7"/>
        <v>604750.07831192587</v>
      </c>
      <c r="F9" s="88">
        <f t="shared" si="8"/>
        <v>38414.988573013434</v>
      </c>
      <c r="G9" s="88">
        <f t="shared" si="9"/>
        <v>643165.06688493933</v>
      </c>
      <c r="H9" s="88">
        <v>9000</v>
      </c>
      <c r="I9" s="88">
        <f t="shared" si="10"/>
        <v>0</v>
      </c>
      <c r="J9" s="88">
        <f t="shared" si="11"/>
        <v>652165.06688493933</v>
      </c>
      <c r="K9" s="135">
        <v>9000</v>
      </c>
      <c r="L9" s="88">
        <f t="shared" si="12"/>
        <v>905.91823434661899</v>
      </c>
      <c r="M9" s="88">
        <f t="shared" si="13"/>
        <v>662070.98511928599</v>
      </c>
      <c r="N9" s="88">
        <v>14000</v>
      </c>
      <c r="O9" s="88">
        <f t="shared" si="14"/>
        <v>182.81363231501521</v>
      </c>
      <c r="P9" s="88">
        <f t="shared" si="15"/>
        <v>676253.79875160102</v>
      </c>
      <c r="Q9" s="88">
        <v>9000</v>
      </c>
      <c r="R9" s="88">
        <f t="shared" si="16"/>
        <v>6219.0876339835841</v>
      </c>
      <c r="S9" s="88">
        <f t="shared" si="17"/>
        <v>691472.8863855846</v>
      </c>
      <c r="T9" s="88">
        <v>9000</v>
      </c>
      <c r="U9" s="88">
        <f t="shared" si="18"/>
        <v>910.85410350639904</v>
      </c>
      <c r="V9" s="88">
        <f t="shared" si="19"/>
        <v>701383.74048909103</v>
      </c>
      <c r="W9" s="88">
        <v>13000</v>
      </c>
      <c r="X9" s="88">
        <f t="shared" si="20"/>
        <v>2262.7192533116458</v>
      </c>
      <c r="Y9" s="88">
        <f t="shared" si="0"/>
        <v>716646.45974240266</v>
      </c>
      <c r="Z9" s="88">
        <v>9000</v>
      </c>
      <c r="AA9" s="88">
        <f t="shared" si="21"/>
        <v>1524.2842461537975</v>
      </c>
      <c r="AB9" s="88">
        <f t="shared" si="1"/>
        <v>727170.74398855644</v>
      </c>
      <c r="AC9" s="88">
        <v>9000</v>
      </c>
      <c r="AD9" s="88">
        <f t="shared" si="22"/>
        <v>1950.9400703030033</v>
      </c>
      <c r="AE9" s="88">
        <f t="shared" si="2"/>
        <v>738121.68405885948</v>
      </c>
      <c r="AF9" s="88">
        <v>9500</v>
      </c>
      <c r="AG9" s="88">
        <f t="shared" si="3"/>
        <v>0</v>
      </c>
      <c r="AH9" s="88">
        <f t="shared" si="4"/>
        <v>747621.68405885948</v>
      </c>
      <c r="AI9" s="88">
        <v>9000</v>
      </c>
      <c r="AJ9" s="88">
        <f t="shared" si="23"/>
        <v>575.16209726464854</v>
      </c>
      <c r="AK9" s="88">
        <f t="shared" si="5"/>
        <v>757196.84615612414</v>
      </c>
      <c r="AL9" s="88">
        <v>9000</v>
      </c>
      <c r="AM9" s="88">
        <f t="shared" si="24"/>
        <v>0</v>
      </c>
      <c r="AN9" s="88">
        <f t="shared" si="6"/>
        <v>766196.84615612414</v>
      </c>
      <c r="AO9" s="88">
        <v>9000</v>
      </c>
      <c r="AP9" s="88">
        <f t="shared" si="25"/>
        <v>0</v>
      </c>
      <c r="AQ9" s="88">
        <f t="shared" si="26"/>
        <v>775196.84615612414</v>
      </c>
      <c r="AR9" s="88">
        <f t="shared" si="27"/>
        <v>600000</v>
      </c>
      <c r="AS9" s="88">
        <f t="shared" si="27"/>
        <v>4750.0783119258704</v>
      </c>
      <c r="AT9" s="88">
        <f t="shared" si="32"/>
        <v>117500</v>
      </c>
      <c r="AU9" s="88">
        <f t="shared" si="28"/>
        <v>52946.767844198141</v>
      </c>
      <c r="AV9" s="88">
        <f t="shared" si="29"/>
        <v>775196.84615612414</v>
      </c>
      <c r="AW9" s="88">
        <v>630000</v>
      </c>
      <c r="AX9" s="88"/>
      <c r="AY9" s="88"/>
      <c r="AZ9" s="88"/>
      <c r="BA9" s="88"/>
      <c r="BB9" s="88">
        <f t="shared" si="30"/>
        <v>145196.84615612414</v>
      </c>
      <c r="BC9" s="88"/>
      <c r="BD9" s="88">
        <f t="shared" si="33"/>
        <v>145196.84615612414</v>
      </c>
      <c r="BE9" s="83">
        <v>0</v>
      </c>
      <c r="BF9" s="90">
        <f t="shared" si="31"/>
        <v>145196.84615612414</v>
      </c>
    </row>
    <row r="10" spans="1:59" ht="15.75" x14ac:dyDescent="0.3">
      <c r="A10" s="208" t="s">
        <v>438</v>
      </c>
      <c r="B10" s="83" t="s">
        <v>91</v>
      </c>
      <c r="C10" s="144">
        <v>600000</v>
      </c>
      <c r="D10" s="89">
        <v>10718.850200936431</v>
      </c>
      <c r="E10" s="88">
        <f t="shared" si="7"/>
        <v>610718.85020093643</v>
      </c>
      <c r="F10" s="88">
        <f t="shared" si="8"/>
        <v>38794.137434889228</v>
      </c>
      <c r="G10" s="88">
        <f t="shared" si="9"/>
        <v>649512.98763582564</v>
      </c>
      <c r="H10" s="88">
        <v>14000</v>
      </c>
      <c r="I10" s="88">
        <f t="shared" si="10"/>
        <v>0</v>
      </c>
      <c r="J10" s="88">
        <f t="shared" si="11"/>
        <v>663512.98763582564</v>
      </c>
      <c r="K10" s="135">
        <v>14000</v>
      </c>
      <c r="L10" s="88">
        <f t="shared" si="12"/>
        <v>928.3179046311634</v>
      </c>
      <c r="M10" s="88">
        <f t="shared" si="13"/>
        <v>678441.30554045679</v>
      </c>
      <c r="N10" s="88">
        <v>14000</v>
      </c>
      <c r="O10" s="88">
        <f t="shared" si="14"/>
        <v>187.24026473117618</v>
      </c>
      <c r="P10" s="88">
        <f t="shared" si="15"/>
        <v>692628.54580518801</v>
      </c>
      <c r="Q10" s="88">
        <v>14000</v>
      </c>
      <c r="R10" s="88">
        <f t="shared" si="16"/>
        <v>6413.0762340069114</v>
      </c>
      <c r="S10" s="88">
        <f t="shared" si="17"/>
        <v>713041.62203919492</v>
      </c>
      <c r="T10" s="88">
        <v>114000</v>
      </c>
      <c r="U10" s="88">
        <f t="shared" si="18"/>
        <v>1075.4367083243778</v>
      </c>
      <c r="V10" s="88">
        <f t="shared" si="19"/>
        <v>828117.05874751927</v>
      </c>
      <c r="W10" s="88">
        <v>43500</v>
      </c>
      <c r="X10" s="88">
        <f t="shared" si="20"/>
        <v>2760.7357062642955</v>
      </c>
      <c r="Y10" s="88">
        <f t="shared" si="0"/>
        <v>874377.79445378354</v>
      </c>
      <c r="Z10" s="88">
        <v>25300</v>
      </c>
      <c r="AA10" s="88">
        <f t="shared" si="21"/>
        <v>1889.8523796107511</v>
      </c>
      <c r="AB10" s="88">
        <f t="shared" si="1"/>
        <v>901567.6468333943</v>
      </c>
      <c r="AC10" s="88">
        <v>14000</v>
      </c>
      <c r="AD10" s="88">
        <f t="shared" si="22"/>
        <v>2426.3632097122072</v>
      </c>
      <c r="AE10" s="88">
        <f t="shared" si="2"/>
        <v>917994.01004310651</v>
      </c>
      <c r="AF10" s="88">
        <v>14000</v>
      </c>
      <c r="AG10" s="88">
        <f t="shared" si="3"/>
        <v>0</v>
      </c>
      <c r="AH10" s="88">
        <f t="shared" si="4"/>
        <v>931994.01004310651</v>
      </c>
      <c r="AI10" s="88">
        <v>14000</v>
      </c>
      <c r="AJ10" s="88">
        <f t="shared" si="23"/>
        <v>719.11750651579428</v>
      </c>
      <c r="AK10" s="88">
        <f t="shared" si="5"/>
        <v>946713.12754962232</v>
      </c>
      <c r="AL10" s="88">
        <v>14000</v>
      </c>
      <c r="AM10" s="88">
        <f t="shared" si="24"/>
        <v>0</v>
      </c>
      <c r="AN10" s="88">
        <f t="shared" si="6"/>
        <v>960713.12754962232</v>
      </c>
      <c r="AO10" s="88">
        <v>14000</v>
      </c>
      <c r="AP10" s="88">
        <f t="shared" si="25"/>
        <v>0</v>
      </c>
      <c r="AQ10" s="88">
        <f t="shared" si="26"/>
        <v>974713.12754962232</v>
      </c>
      <c r="AR10" s="88">
        <f t="shared" si="27"/>
        <v>600000</v>
      </c>
      <c r="AS10" s="88">
        <f t="shared" si="27"/>
        <v>10718.850200936431</v>
      </c>
      <c r="AT10" s="88">
        <f t="shared" si="32"/>
        <v>308800</v>
      </c>
      <c r="AU10" s="88">
        <f t="shared" si="28"/>
        <v>55194.277348685908</v>
      </c>
      <c r="AV10" s="88">
        <f t="shared" si="29"/>
        <v>974713.12754962232</v>
      </c>
      <c r="AW10" s="88">
        <v>630000</v>
      </c>
      <c r="AX10" s="88"/>
      <c r="AY10" s="88"/>
      <c r="AZ10" s="88"/>
      <c r="BA10" s="88"/>
      <c r="BB10" s="88">
        <f t="shared" si="30"/>
        <v>344713.12754962232</v>
      </c>
      <c r="BC10" s="88"/>
      <c r="BD10" s="88">
        <f t="shared" si="33"/>
        <v>344713.12754962232</v>
      </c>
      <c r="BE10" s="83">
        <v>0</v>
      </c>
      <c r="BF10" s="90">
        <f t="shared" si="31"/>
        <v>344713.12754962232</v>
      </c>
    </row>
    <row r="11" spans="1:59" ht="15.75" x14ac:dyDescent="0.3">
      <c r="A11" s="208" t="s">
        <v>439</v>
      </c>
      <c r="B11" s="83" t="s">
        <v>92</v>
      </c>
      <c r="C11" s="144">
        <v>600000</v>
      </c>
      <c r="D11" s="89">
        <v>584.0460014406126</v>
      </c>
      <c r="E11" s="88">
        <f t="shared" si="7"/>
        <v>600584.04600144061</v>
      </c>
      <c r="F11" s="88">
        <f t="shared" si="8"/>
        <v>38150.353495910473</v>
      </c>
      <c r="G11" s="88">
        <f t="shared" si="9"/>
        <v>638734.39949735114</v>
      </c>
      <c r="H11" s="88">
        <v>9000</v>
      </c>
      <c r="I11" s="88">
        <f t="shared" si="10"/>
        <v>0</v>
      </c>
      <c r="J11" s="88">
        <f t="shared" si="11"/>
        <v>647734.39949735114</v>
      </c>
      <c r="K11" s="158">
        <v>9000</v>
      </c>
      <c r="L11" s="88">
        <f t="shared" si="12"/>
        <v>899.84740184536167</v>
      </c>
      <c r="M11" s="88">
        <f t="shared" si="13"/>
        <v>657634.24689919653</v>
      </c>
      <c r="N11" s="88">
        <v>9000</v>
      </c>
      <c r="O11" s="88">
        <f t="shared" si="14"/>
        <v>180.26188193792115</v>
      </c>
      <c r="P11" s="88">
        <f t="shared" si="15"/>
        <v>666814.5087811345</v>
      </c>
      <c r="Q11" s="88">
        <v>9000</v>
      </c>
      <c r="R11" s="88">
        <f t="shared" si="16"/>
        <v>6133.4204379229996</v>
      </c>
      <c r="S11" s="88">
        <f t="shared" si="17"/>
        <v>681947.92921905755</v>
      </c>
      <c r="T11" s="88">
        <v>9000</v>
      </c>
      <c r="U11" s="88">
        <f t="shared" si="18"/>
        <v>898.46840451721914</v>
      </c>
      <c r="V11" s="88">
        <f t="shared" si="19"/>
        <v>691846.39762357483</v>
      </c>
      <c r="W11" s="88">
        <v>9000</v>
      </c>
      <c r="X11" s="88">
        <f t="shared" si="20"/>
        <v>2219.8414488427011</v>
      </c>
      <c r="Y11" s="88">
        <f t="shared" si="0"/>
        <v>703066.23907241749</v>
      </c>
      <c r="Z11" s="88">
        <v>9000</v>
      </c>
      <c r="AA11" s="88">
        <f t="shared" si="21"/>
        <v>1495.7577975662873</v>
      </c>
      <c r="AB11" s="88">
        <f t="shared" si="1"/>
        <v>713561.99686998373</v>
      </c>
      <c r="AC11" s="88">
        <v>9000</v>
      </c>
      <c r="AD11" s="88">
        <f t="shared" si="22"/>
        <v>1914.8752711011257</v>
      </c>
      <c r="AE11" s="88">
        <f t="shared" si="2"/>
        <v>724476.87214108487</v>
      </c>
      <c r="AF11" s="88">
        <v>9000</v>
      </c>
      <c r="AG11" s="88">
        <f t="shared" si="3"/>
        <v>0</v>
      </c>
      <c r="AH11" s="88">
        <f t="shared" si="4"/>
        <v>733476.87214108487</v>
      </c>
      <c r="AI11" s="88">
        <v>9000</v>
      </c>
      <c r="AJ11" s="88">
        <f t="shared" si="23"/>
        <v>564.40961704970357</v>
      </c>
      <c r="AK11" s="88">
        <f t="shared" si="5"/>
        <v>743041.2817581346</v>
      </c>
      <c r="AL11" s="88">
        <v>9000</v>
      </c>
      <c r="AM11" s="88">
        <f t="shared" si="24"/>
        <v>0</v>
      </c>
      <c r="AN11" s="88">
        <f t="shared" si="6"/>
        <v>752041.2817581346</v>
      </c>
      <c r="AO11" s="88">
        <v>9000</v>
      </c>
      <c r="AP11" s="88">
        <f t="shared" si="25"/>
        <v>0</v>
      </c>
      <c r="AQ11" s="88">
        <f t="shared" si="26"/>
        <v>761041.2817581346</v>
      </c>
      <c r="AR11" s="88">
        <f t="shared" si="27"/>
        <v>600000</v>
      </c>
      <c r="AS11" s="88">
        <f t="shared" si="27"/>
        <v>584.0460014406126</v>
      </c>
      <c r="AT11" s="88">
        <f t="shared" si="32"/>
        <v>108000</v>
      </c>
      <c r="AU11" s="88">
        <f t="shared" si="28"/>
        <v>52457.235756693794</v>
      </c>
      <c r="AV11" s="88">
        <f t="shared" si="29"/>
        <v>761041.2817581346</v>
      </c>
      <c r="AW11" s="88">
        <v>630000</v>
      </c>
      <c r="AX11" s="88"/>
      <c r="AY11" s="88"/>
      <c r="AZ11" s="88"/>
      <c r="BA11" s="88"/>
      <c r="BB11" s="88">
        <f t="shared" si="30"/>
        <v>131041.2817581346</v>
      </c>
      <c r="BC11" s="88"/>
      <c r="BD11" s="88">
        <f t="shared" si="33"/>
        <v>131041.2817581346</v>
      </c>
      <c r="BE11" s="83">
        <v>0</v>
      </c>
      <c r="BF11" s="90">
        <f t="shared" si="31"/>
        <v>131041.2817581346</v>
      </c>
    </row>
    <row r="12" spans="1:59" ht="15.75" x14ac:dyDescent="0.3">
      <c r="A12" s="208" t="s">
        <v>440</v>
      </c>
      <c r="B12" s="83" t="s">
        <v>93</v>
      </c>
      <c r="C12" s="144">
        <v>600000</v>
      </c>
      <c r="D12" s="89">
        <v>458343.17855274049</v>
      </c>
      <c r="E12" s="88">
        <f t="shared" si="7"/>
        <v>1058343.1785527405</v>
      </c>
      <c r="F12" s="88">
        <f t="shared" si="8"/>
        <v>67228.170063105033</v>
      </c>
      <c r="G12" s="88">
        <f t="shared" si="9"/>
        <v>1125571.3486158454</v>
      </c>
      <c r="H12" s="88">
        <v>9000</v>
      </c>
      <c r="I12" s="88">
        <f t="shared" si="10"/>
        <v>0</v>
      </c>
      <c r="J12" s="88">
        <f t="shared" si="11"/>
        <v>1134571.3486158454</v>
      </c>
      <c r="K12" s="135">
        <v>9000</v>
      </c>
      <c r="L12" s="88">
        <f t="shared" si="12"/>
        <v>1566.9039229015068</v>
      </c>
      <c r="M12" s="88">
        <f t="shared" si="13"/>
        <v>1145138.2525387469</v>
      </c>
      <c r="N12" s="88">
        <v>9000</v>
      </c>
      <c r="O12" s="88">
        <f t="shared" si="14"/>
        <v>312.08587675610005</v>
      </c>
      <c r="P12" s="88">
        <f t="shared" si="15"/>
        <v>1154450.338415503</v>
      </c>
      <c r="Q12" s="88">
        <v>9000</v>
      </c>
      <c r="R12" s="88">
        <f t="shared" si="16"/>
        <v>10559.006933745897</v>
      </c>
      <c r="S12" s="88">
        <f t="shared" si="17"/>
        <v>1174009.345349249</v>
      </c>
      <c r="T12" s="88">
        <v>9000</v>
      </c>
      <c r="U12" s="88">
        <f t="shared" si="18"/>
        <v>1538.3163826053235</v>
      </c>
      <c r="V12" s="88">
        <f t="shared" si="19"/>
        <v>1184547.6617318543</v>
      </c>
      <c r="W12" s="88">
        <v>9000</v>
      </c>
      <c r="X12" s="88">
        <f t="shared" si="20"/>
        <v>3780.4097726199616</v>
      </c>
      <c r="Y12" s="88">
        <f t="shared" si="0"/>
        <v>1197328.0715044744</v>
      </c>
      <c r="Z12" s="88">
        <v>9000</v>
      </c>
      <c r="AA12" s="88">
        <f t="shared" si="21"/>
        <v>2533.9982720236976</v>
      </c>
      <c r="AB12" s="88">
        <f t="shared" si="1"/>
        <v>1208862.069776498</v>
      </c>
      <c r="AC12" s="88">
        <v>9000</v>
      </c>
      <c r="AD12" s="88">
        <f t="shared" si="22"/>
        <v>3227.4794012543048</v>
      </c>
      <c r="AE12" s="88">
        <f t="shared" si="2"/>
        <v>1221089.5491777523</v>
      </c>
      <c r="AF12" s="88">
        <v>9000</v>
      </c>
      <c r="AG12" s="88">
        <f t="shared" si="3"/>
        <v>0</v>
      </c>
      <c r="AH12" s="88">
        <f t="shared" si="4"/>
        <v>1230089.5491777523</v>
      </c>
      <c r="AI12" s="88">
        <v>9000</v>
      </c>
      <c r="AJ12" s="88">
        <f t="shared" si="23"/>
        <v>941.92032665606632</v>
      </c>
      <c r="AK12" s="88">
        <f t="shared" si="5"/>
        <v>1240031.4695044083</v>
      </c>
      <c r="AL12" s="88">
        <v>9000</v>
      </c>
      <c r="AM12" s="88">
        <f t="shared" si="24"/>
        <v>0</v>
      </c>
      <c r="AN12" s="88">
        <f t="shared" si="6"/>
        <v>1249031.4695044083</v>
      </c>
      <c r="AO12" s="88">
        <v>9000</v>
      </c>
      <c r="AP12" s="88">
        <f t="shared" si="25"/>
        <v>0</v>
      </c>
      <c r="AQ12" s="88">
        <f t="shared" si="26"/>
        <v>1258031.4695044083</v>
      </c>
      <c r="AR12" s="88">
        <f t="shared" si="27"/>
        <v>600000</v>
      </c>
      <c r="AS12" s="88">
        <f t="shared" si="27"/>
        <v>458343.17855274049</v>
      </c>
      <c r="AT12" s="88">
        <f t="shared" si="32"/>
        <v>108000</v>
      </c>
      <c r="AU12" s="88">
        <f t="shared" si="28"/>
        <v>91688.290951667877</v>
      </c>
      <c r="AV12" s="88">
        <f t="shared" si="29"/>
        <v>1258031.4695044083</v>
      </c>
      <c r="AW12" s="88">
        <v>630000</v>
      </c>
      <c r="AX12" s="88"/>
      <c r="AY12" s="88"/>
      <c r="AZ12" s="88"/>
      <c r="BA12" s="88"/>
      <c r="BB12" s="88">
        <f t="shared" si="30"/>
        <v>628031.46950440831</v>
      </c>
      <c r="BC12" s="88"/>
      <c r="BD12" s="88">
        <f t="shared" si="33"/>
        <v>628031.46950440831</v>
      </c>
      <c r="BE12" s="83">
        <v>0</v>
      </c>
      <c r="BF12" s="90">
        <f t="shared" si="31"/>
        <v>628031.46950440831</v>
      </c>
    </row>
    <row r="13" spans="1:59" ht="15.75" x14ac:dyDescent="0.3">
      <c r="A13" s="208" t="s">
        <v>441</v>
      </c>
      <c r="B13" s="83" t="s">
        <v>42</v>
      </c>
      <c r="C13" s="144">
        <v>600000</v>
      </c>
      <c r="D13" s="89">
        <v>51112.01036672492</v>
      </c>
      <c r="E13" s="88">
        <f t="shared" si="7"/>
        <v>651112.01036672492</v>
      </c>
      <c r="F13" s="88">
        <f t="shared" si="8"/>
        <v>41359.995368348325</v>
      </c>
      <c r="G13" s="88">
        <f t="shared" si="9"/>
        <v>692472.00573507324</v>
      </c>
      <c r="H13" s="88">
        <v>9000</v>
      </c>
      <c r="I13" s="88">
        <f t="shared" si="10"/>
        <v>0</v>
      </c>
      <c r="J13" s="88">
        <f t="shared" si="11"/>
        <v>701472.00573507324</v>
      </c>
      <c r="K13" s="135">
        <v>9000</v>
      </c>
      <c r="L13" s="88">
        <f t="shared" si="12"/>
        <v>973.47784573776869</v>
      </c>
      <c r="M13" s="88">
        <f t="shared" si="13"/>
        <v>711445.48358081095</v>
      </c>
      <c r="N13" s="88">
        <v>9000</v>
      </c>
      <c r="O13" s="88">
        <f t="shared" si="14"/>
        <v>194.81276173258237</v>
      </c>
      <c r="P13" s="88">
        <f t="shared" si="15"/>
        <v>720640.29634254356</v>
      </c>
      <c r="Q13" s="88">
        <v>9000</v>
      </c>
      <c r="R13" s="88">
        <f t="shared" si="16"/>
        <v>6621.9216186861431</v>
      </c>
      <c r="S13" s="88">
        <f t="shared" si="17"/>
        <v>736262.21796122973</v>
      </c>
      <c r="T13" s="88">
        <v>9000</v>
      </c>
      <c r="U13" s="88">
        <f t="shared" si="18"/>
        <v>969.09553904503048</v>
      </c>
      <c r="V13" s="88">
        <f t="shared" si="19"/>
        <v>746231.31350027479</v>
      </c>
      <c r="W13" s="88">
        <v>9000</v>
      </c>
      <c r="X13" s="88">
        <f t="shared" si="20"/>
        <v>2392.0987235669186</v>
      </c>
      <c r="Y13" s="88">
        <f t="shared" si="0"/>
        <v>757623.41222384176</v>
      </c>
      <c r="Z13" s="88">
        <v>9000</v>
      </c>
      <c r="AA13" s="88">
        <f t="shared" si="21"/>
        <v>1610.3599408454293</v>
      </c>
      <c r="AB13" s="88">
        <f t="shared" si="1"/>
        <v>768233.77216468717</v>
      </c>
      <c r="AC13" s="88">
        <v>9000</v>
      </c>
      <c r="AD13" s="88">
        <f t="shared" si="22"/>
        <v>2059.7619811585641</v>
      </c>
      <c r="AE13" s="88">
        <f t="shared" si="2"/>
        <v>779293.53414584568</v>
      </c>
      <c r="AF13" s="88">
        <v>9000</v>
      </c>
      <c r="AG13" s="88">
        <f t="shared" si="3"/>
        <v>0</v>
      </c>
      <c r="AH13" s="88">
        <f t="shared" si="4"/>
        <v>788293.53414584568</v>
      </c>
      <c r="AI13" s="88">
        <v>9000</v>
      </c>
      <c r="AJ13" s="88">
        <f t="shared" si="23"/>
        <v>606.07967085330688</v>
      </c>
      <c r="AK13" s="88">
        <f t="shared" si="5"/>
        <v>797899.61381669901</v>
      </c>
      <c r="AL13" s="88">
        <v>9000</v>
      </c>
      <c r="AM13" s="88">
        <f t="shared" si="24"/>
        <v>0</v>
      </c>
      <c r="AN13" s="88">
        <f t="shared" si="6"/>
        <v>806899.61381669901</v>
      </c>
      <c r="AO13" s="88">
        <v>9000</v>
      </c>
      <c r="AP13" s="88">
        <f t="shared" si="25"/>
        <v>0</v>
      </c>
      <c r="AQ13" s="88">
        <f t="shared" si="26"/>
        <v>815899.61381669901</v>
      </c>
      <c r="AR13" s="88">
        <f t="shared" si="27"/>
        <v>600000</v>
      </c>
      <c r="AS13" s="88">
        <f t="shared" si="27"/>
        <v>51112.01036672492</v>
      </c>
      <c r="AT13" s="88">
        <f t="shared" si="32"/>
        <v>108000</v>
      </c>
      <c r="AU13" s="88">
        <f t="shared" si="28"/>
        <v>56787.603449974071</v>
      </c>
      <c r="AV13" s="88">
        <f t="shared" si="29"/>
        <v>815899.61381669901</v>
      </c>
      <c r="AW13" s="88">
        <v>630000</v>
      </c>
      <c r="AX13" s="88"/>
      <c r="AY13" s="88"/>
      <c r="AZ13" s="88"/>
      <c r="BA13" s="88"/>
      <c r="BB13" s="88">
        <f t="shared" si="30"/>
        <v>185899.61381669901</v>
      </c>
      <c r="BC13" s="88"/>
      <c r="BD13" s="88">
        <f t="shared" si="33"/>
        <v>185899.61381669901</v>
      </c>
      <c r="BE13" s="83">
        <v>0</v>
      </c>
      <c r="BF13" s="90">
        <f t="shared" si="31"/>
        <v>185899.61381669901</v>
      </c>
    </row>
    <row r="14" spans="1:59" ht="15.75" x14ac:dyDescent="0.3">
      <c r="A14" s="208" t="s">
        <v>442</v>
      </c>
      <c r="B14" s="83" t="s">
        <v>37</v>
      </c>
      <c r="C14" s="144">
        <v>600000</v>
      </c>
      <c r="D14" s="89">
        <v>16229.566345777828</v>
      </c>
      <c r="E14" s="88">
        <f t="shared" si="7"/>
        <v>616229.56634577783</v>
      </c>
      <c r="F14" s="88">
        <f t="shared" si="8"/>
        <v>39144.189638808108</v>
      </c>
      <c r="G14" s="88">
        <f t="shared" si="9"/>
        <v>655373.75598458597</v>
      </c>
      <c r="H14" s="88">
        <v>44000</v>
      </c>
      <c r="I14" s="88">
        <f t="shared" si="10"/>
        <v>0</v>
      </c>
      <c r="J14" s="88">
        <f t="shared" si="11"/>
        <v>699373.75598458597</v>
      </c>
      <c r="K14" s="158">
        <v>44000</v>
      </c>
      <c r="L14" s="88">
        <f t="shared" si="12"/>
        <v>1018.5593193149853</v>
      </c>
      <c r="M14" s="88">
        <f t="shared" si="13"/>
        <v>744392.31530390098</v>
      </c>
      <c r="N14" s="88">
        <v>44000</v>
      </c>
      <c r="O14" s="88">
        <f t="shared" si="14"/>
        <v>213.18599085349121</v>
      </c>
      <c r="P14" s="88">
        <f t="shared" si="15"/>
        <v>788605.50129475445</v>
      </c>
      <c r="Q14" s="88">
        <v>44000</v>
      </c>
      <c r="R14" s="88">
        <f t="shared" si="16"/>
        <v>7556.3923710051704</v>
      </c>
      <c r="S14" s="88">
        <f t="shared" si="17"/>
        <v>840161.89366575959</v>
      </c>
      <c r="T14" s="88">
        <v>24000</v>
      </c>
      <c r="U14" s="88">
        <f t="shared" si="18"/>
        <v>1123.705745415582</v>
      </c>
      <c r="V14" s="88">
        <f t="shared" si="19"/>
        <v>865285.59941117512</v>
      </c>
      <c r="W14" s="88">
        <v>44000</v>
      </c>
      <c r="X14" s="88">
        <f t="shared" si="20"/>
        <v>2880.0459976007878</v>
      </c>
      <c r="Y14" s="88">
        <f t="shared" si="0"/>
        <v>912165.64540877589</v>
      </c>
      <c r="Z14" s="88">
        <v>44000</v>
      </c>
      <c r="AA14" s="88">
        <f t="shared" si="21"/>
        <v>2008.5100815174681</v>
      </c>
      <c r="AB14" s="88">
        <f t="shared" si="1"/>
        <v>958174.1554902934</v>
      </c>
      <c r="AC14" s="88">
        <v>44000</v>
      </c>
      <c r="AD14" s="88">
        <f t="shared" si="22"/>
        <v>2655.8807631704508</v>
      </c>
      <c r="AE14" s="88">
        <f t="shared" si="2"/>
        <v>1004830.0362534638</v>
      </c>
      <c r="AF14" s="88">
        <v>44000</v>
      </c>
      <c r="AG14" s="88">
        <f t="shared" si="3"/>
        <v>0</v>
      </c>
      <c r="AH14" s="88">
        <f t="shared" si="4"/>
        <v>1048830.0362534639</v>
      </c>
      <c r="AI14" s="88">
        <v>44000</v>
      </c>
      <c r="AJ14" s="88">
        <f t="shared" si="23"/>
        <v>830.73804101607982</v>
      </c>
      <c r="AK14" s="88">
        <f t="shared" si="5"/>
        <v>1093660.77429448</v>
      </c>
      <c r="AL14" s="88">
        <v>44000</v>
      </c>
      <c r="AM14" s="88">
        <f t="shared" si="24"/>
        <v>0</v>
      </c>
      <c r="AN14" s="88">
        <f t="shared" si="6"/>
        <v>1137660.77429448</v>
      </c>
      <c r="AO14" s="88">
        <v>44000</v>
      </c>
      <c r="AP14" s="88">
        <f t="shared" si="25"/>
        <v>0</v>
      </c>
      <c r="AQ14" s="88">
        <f t="shared" si="26"/>
        <v>1181660.77429448</v>
      </c>
      <c r="AR14" s="88">
        <f t="shared" si="27"/>
        <v>600000</v>
      </c>
      <c r="AS14" s="88">
        <f t="shared" si="27"/>
        <v>16229.566345777828</v>
      </c>
      <c r="AT14" s="88">
        <f t="shared" si="32"/>
        <v>508000</v>
      </c>
      <c r="AU14" s="88">
        <f t="shared" si="28"/>
        <v>57431.207948702111</v>
      </c>
      <c r="AV14" s="88">
        <f t="shared" si="29"/>
        <v>1181660.77429448</v>
      </c>
      <c r="AW14" s="88">
        <v>630000</v>
      </c>
      <c r="AX14" s="88"/>
      <c r="AY14" s="88"/>
      <c r="AZ14" s="88"/>
      <c r="BA14" s="88"/>
      <c r="BB14" s="88">
        <f t="shared" si="30"/>
        <v>551660.77429447998</v>
      </c>
      <c r="BC14" s="88"/>
      <c r="BD14" s="88">
        <f t="shared" si="33"/>
        <v>551660.77429447998</v>
      </c>
      <c r="BE14" s="83">
        <v>0</v>
      </c>
      <c r="BF14" s="90">
        <f t="shared" si="31"/>
        <v>551660.77429447998</v>
      </c>
    </row>
    <row r="15" spans="1:59" ht="15.75" x14ac:dyDescent="0.3">
      <c r="A15" s="208" t="s">
        <v>443</v>
      </c>
      <c r="B15" s="83" t="s">
        <v>94</v>
      </c>
      <c r="C15" s="144">
        <v>600000</v>
      </c>
      <c r="D15" s="89">
        <v>53292.832106360001</v>
      </c>
      <c r="E15" s="88">
        <f t="shared" si="7"/>
        <v>653292.83210636</v>
      </c>
      <c r="F15" s="88">
        <f t="shared" si="8"/>
        <v>41498.52572198087</v>
      </c>
      <c r="G15" s="88">
        <f t="shared" si="9"/>
        <v>694791.35782834084</v>
      </c>
      <c r="H15" s="88">
        <v>9000</v>
      </c>
      <c r="I15" s="88">
        <f t="shared" si="10"/>
        <v>0</v>
      </c>
      <c r="J15" s="88">
        <f t="shared" si="11"/>
        <v>703791.35782834084</v>
      </c>
      <c r="K15" s="158">
        <v>9000</v>
      </c>
      <c r="L15" s="88">
        <f t="shared" si="12"/>
        <v>976.65578640402407</v>
      </c>
      <c r="M15" s="88">
        <f t="shared" si="13"/>
        <v>713768.01361474488</v>
      </c>
      <c r="N15" s="88">
        <v>9000</v>
      </c>
      <c r="O15" s="88">
        <f t="shared" si="14"/>
        <v>195.44078772542875</v>
      </c>
      <c r="P15" s="88">
        <f t="shared" si="15"/>
        <v>722963.45440247026</v>
      </c>
      <c r="Q15" s="88">
        <v>9000</v>
      </c>
      <c r="R15" s="88">
        <f t="shared" si="16"/>
        <v>6643.0056660691725</v>
      </c>
      <c r="S15" s="88">
        <f t="shared" si="17"/>
        <v>738606.46006853948</v>
      </c>
      <c r="T15" s="88">
        <v>9000</v>
      </c>
      <c r="U15" s="88">
        <f t="shared" si="18"/>
        <v>972.14385481078898</v>
      </c>
      <c r="V15" s="88">
        <f t="shared" si="19"/>
        <v>748578.60392335022</v>
      </c>
      <c r="W15" s="88">
        <v>9000</v>
      </c>
      <c r="X15" s="88">
        <f t="shared" si="20"/>
        <v>2399.5334661742609</v>
      </c>
      <c r="Y15" s="88">
        <f t="shared" si="0"/>
        <v>759978.13738952449</v>
      </c>
      <c r="Z15" s="88">
        <v>9000</v>
      </c>
      <c r="AA15" s="88">
        <f t="shared" si="21"/>
        <v>1615.3062482736309</v>
      </c>
      <c r="AB15" s="88">
        <f t="shared" si="1"/>
        <v>770593.44363779807</v>
      </c>
      <c r="AC15" s="88">
        <v>9000</v>
      </c>
      <c r="AD15" s="88">
        <f t="shared" si="22"/>
        <v>2066.0153913453109</v>
      </c>
      <c r="AE15" s="88">
        <f t="shared" si="2"/>
        <v>781659.45902914344</v>
      </c>
      <c r="AF15" s="88">
        <v>9000</v>
      </c>
      <c r="AG15" s="88">
        <f t="shared" si="3"/>
        <v>0</v>
      </c>
      <c r="AH15" s="88">
        <f t="shared" si="4"/>
        <v>790659.45902914344</v>
      </c>
      <c r="AI15" s="88">
        <v>9000</v>
      </c>
      <c r="AJ15" s="88">
        <f t="shared" si="23"/>
        <v>607.87817907282852</v>
      </c>
      <c r="AK15" s="88">
        <f t="shared" si="5"/>
        <v>800267.33720821631</v>
      </c>
      <c r="AL15" s="88">
        <v>9000</v>
      </c>
      <c r="AM15" s="88">
        <f t="shared" si="24"/>
        <v>0</v>
      </c>
      <c r="AN15" s="88">
        <f t="shared" si="6"/>
        <v>809267.33720821631</v>
      </c>
      <c r="AO15" s="88">
        <v>9000</v>
      </c>
      <c r="AP15" s="88">
        <f t="shared" si="25"/>
        <v>0</v>
      </c>
      <c r="AQ15" s="88">
        <f t="shared" si="26"/>
        <v>818267.33720821631</v>
      </c>
      <c r="AR15" s="88">
        <f t="shared" si="27"/>
        <v>600000</v>
      </c>
      <c r="AS15" s="88">
        <f t="shared" si="27"/>
        <v>53292.832106360001</v>
      </c>
      <c r="AT15" s="88">
        <f t="shared" si="32"/>
        <v>108000</v>
      </c>
      <c r="AU15" s="88">
        <f t="shared" si="28"/>
        <v>56974.50510185631</v>
      </c>
      <c r="AV15" s="88">
        <f t="shared" si="29"/>
        <v>818267.33720821631</v>
      </c>
      <c r="AW15" s="88">
        <v>630000</v>
      </c>
      <c r="AX15" s="88"/>
      <c r="AY15" s="88"/>
      <c r="AZ15" s="88"/>
      <c r="BA15" s="88"/>
      <c r="BB15" s="88">
        <f t="shared" si="30"/>
        <v>188267.33720821631</v>
      </c>
      <c r="BC15" s="88"/>
      <c r="BD15" s="88">
        <f t="shared" si="33"/>
        <v>188267.33720821631</v>
      </c>
      <c r="BE15" s="83">
        <v>0</v>
      </c>
      <c r="BF15" s="90">
        <f t="shared" si="31"/>
        <v>188267.33720821631</v>
      </c>
    </row>
    <row r="16" spans="1:59" ht="15.75" x14ac:dyDescent="0.3">
      <c r="A16" s="208" t="s">
        <v>444</v>
      </c>
      <c r="B16" s="83" t="s">
        <v>95</v>
      </c>
      <c r="C16" s="144">
        <v>600000</v>
      </c>
      <c r="D16" s="89">
        <v>6459.0432257176144</v>
      </c>
      <c r="E16" s="88">
        <f t="shared" si="7"/>
        <v>606459.04322571761</v>
      </c>
      <c r="F16" s="88">
        <f t="shared" si="8"/>
        <v>38523.545595144366</v>
      </c>
      <c r="G16" s="88">
        <f t="shared" si="9"/>
        <v>644982.588820862</v>
      </c>
      <c r="H16" s="88">
        <v>9000</v>
      </c>
      <c r="I16" s="88">
        <f t="shared" si="10"/>
        <v>0</v>
      </c>
      <c r="J16" s="88">
        <f t="shared" si="11"/>
        <v>653982.588820862</v>
      </c>
      <c r="K16" s="158">
        <v>9000</v>
      </c>
      <c r="L16" s="88">
        <f t="shared" si="12"/>
        <v>908.40857502785741</v>
      </c>
      <c r="M16" s="88">
        <f t="shared" si="13"/>
        <v>663890.99739588983</v>
      </c>
      <c r="N16" s="88">
        <v>8000</v>
      </c>
      <c r="O16" s="88">
        <f t="shared" si="14"/>
        <v>181.68333866898425</v>
      </c>
      <c r="P16" s="88">
        <f t="shared" si="15"/>
        <v>672072.68073455885</v>
      </c>
      <c r="Q16" s="88">
        <v>11000</v>
      </c>
      <c r="R16" s="88">
        <f t="shared" si="16"/>
        <v>6199.2926848526813</v>
      </c>
      <c r="S16" s="88">
        <f t="shared" si="17"/>
        <v>689271.97341941157</v>
      </c>
      <c r="T16" s="88">
        <v>8000</v>
      </c>
      <c r="U16" s="88">
        <f t="shared" si="18"/>
        <v>906.69182290015067</v>
      </c>
      <c r="V16" s="88">
        <f t="shared" si="19"/>
        <v>698178.66524231178</v>
      </c>
      <c r="W16" s="88">
        <v>9000</v>
      </c>
      <c r="X16" s="88">
        <f t="shared" si="20"/>
        <v>2239.8980977359538</v>
      </c>
      <c r="Y16" s="88">
        <f t="shared" si="0"/>
        <v>709418.56334004772</v>
      </c>
      <c r="Z16" s="88">
        <v>9000</v>
      </c>
      <c r="AA16" s="88">
        <f t="shared" si="21"/>
        <v>1509.1014137000261</v>
      </c>
      <c r="AB16" s="88">
        <f t="shared" si="1"/>
        <v>719927.66475374775</v>
      </c>
      <c r="AC16" s="88">
        <v>9000</v>
      </c>
      <c r="AD16" s="88">
        <f t="shared" si="22"/>
        <v>1931.7450484592835</v>
      </c>
      <c r="AE16" s="88">
        <f t="shared" si="2"/>
        <v>730859.40980220702</v>
      </c>
      <c r="AF16" s="88">
        <v>9000</v>
      </c>
      <c r="AG16" s="88">
        <f t="shared" si="3"/>
        <v>0</v>
      </c>
      <c r="AH16" s="88">
        <f t="shared" si="4"/>
        <v>739859.40980220702</v>
      </c>
      <c r="AI16" s="88">
        <v>9000</v>
      </c>
      <c r="AJ16" s="88">
        <f t="shared" si="23"/>
        <v>569.26143906906304</v>
      </c>
      <c r="AK16" s="88">
        <f t="shared" si="5"/>
        <v>749428.67124127608</v>
      </c>
      <c r="AL16" s="88">
        <v>9000</v>
      </c>
      <c r="AM16" s="88">
        <f t="shared" si="24"/>
        <v>0</v>
      </c>
      <c r="AN16" s="88">
        <f t="shared" si="6"/>
        <v>758428.67124127608</v>
      </c>
      <c r="AO16" s="88">
        <v>9000</v>
      </c>
      <c r="AP16" s="88">
        <f t="shared" si="25"/>
        <v>0</v>
      </c>
      <c r="AQ16" s="88">
        <f t="shared" si="26"/>
        <v>767428.67124127608</v>
      </c>
      <c r="AR16" s="88">
        <f t="shared" si="27"/>
        <v>600000</v>
      </c>
      <c r="AS16" s="88">
        <f t="shared" si="27"/>
        <v>6459.0432257176144</v>
      </c>
      <c r="AT16" s="88">
        <f t="shared" si="32"/>
        <v>108000</v>
      </c>
      <c r="AU16" s="88">
        <f t="shared" si="28"/>
        <v>52969.628015558374</v>
      </c>
      <c r="AV16" s="88">
        <f t="shared" si="29"/>
        <v>767428.67124127608</v>
      </c>
      <c r="AW16" s="88">
        <v>630000</v>
      </c>
      <c r="AX16" s="88"/>
      <c r="AY16" s="88"/>
      <c r="AZ16" s="88"/>
      <c r="BA16" s="88"/>
      <c r="BB16" s="88">
        <f t="shared" si="30"/>
        <v>137428.67124127608</v>
      </c>
      <c r="BC16" s="88"/>
      <c r="BD16" s="88">
        <f t="shared" si="33"/>
        <v>137428.67124127608</v>
      </c>
      <c r="BE16" s="83">
        <v>0</v>
      </c>
      <c r="BF16" s="90">
        <f t="shared" si="31"/>
        <v>137428.67124127608</v>
      </c>
    </row>
    <row r="17" spans="1:58" ht="15.75" x14ac:dyDescent="0.3">
      <c r="A17" s="208" t="s">
        <v>445</v>
      </c>
      <c r="B17" s="83" t="s">
        <v>96</v>
      </c>
      <c r="C17" s="144">
        <v>600000</v>
      </c>
      <c r="D17" s="89">
        <v>746.1759009861853</v>
      </c>
      <c r="E17" s="88">
        <f t="shared" si="7"/>
        <v>600746.17590098619</v>
      </c>
      <c r="F17" s="88">
        <f t="shared" si="8"/>
        <v>38160.652325892894</v>
      </c>
      <c r="G17" s="88">
        <f t="shared" si="9"/>
        <v>638906.82822687912</v>
      </c>
      <c r="H17" s="88">
        <v>9000</v>
      </c>
      <c r="I17" s="88">
        <f t="shared" si="10"/>
        <v>0</v>
      </c>
      <c r="J17" s="88">
        <f t="shared" si="11"/>
        <v>647906.82822687912</v>
      </c>
      <c r="K17" s="135">
        <v>9000</v>
      </c>
      <c r="L17" s="88">
        <f t="shared" si="12"/>
        <v>900.08366104601873</v>
      </c>
      <c r="M17" s="88">
        <f t="shared" si="13"/>
        <v>657806.91188792512</v>
      </c>
      <c r="N17" s="88">
        <v>9000</v>
      </c>
      <c r="O17" s="88">
        <f t="shared" si="14"/>
        <v>180.30857158214178</v>
      </c>
      <c r="P17" s="88">
        <f t="shared" si="15"/>
        <v>666987.22045950731</v>
      </c>
      <c r="Q17" s="88">
        <v>9000</v>
      </c>
      <c r="R17" s="88">
        <f t="shared" si="16"/>
        <v>6134.9878995921936</v>
      </c>
      <c r="S17" s="88">
        <f t="shared" si="17"/>
        <v>682122.20835909946</v>
      </c>
      <c r="T17" s="88">
        <v>9000</v>
      </c>
      <c r="U17" s="88">
        <f t="shared" si="18"/>
        <v>898.69502695036124</v>
      </c>
      <c r="V17" s="88">
        <f t="shared" si="19"/>
        <v>692020.90338604979</v>
      </c>
      <c r="W17" s="88">
        <v>9000</v>
      </c>
      <c r="X17" s="88">
        <f t="shared" si="20"/>
        <v>2220.3941735565863</v>
      </c>
      <c r="Y17" s="88">
        <f t="shared" si="0"/>
        <v>703241.29755960638</v>
      </c>
      <c r="Z17" s="88">
        <v>9000</v>
      </c>
      <c r="AA17" s="88">
        <f t="shared" si="21"/>
        <v>1496.1255233239133</v>
      </c>
      <c r="AB17" s="88">
        <f t="shared" si="1"/>
        <v>713737.42308293027</v>
      </c>
      <c r="AC17" s="88">
        <v>9000</v>
      </c>
      <c r="AD17" s="88">
        <f t="shared" si="22"/>
        <v>1915.3401714398226</v>
      </c>
      <c r="AE17" s="88">
        <f t="shared" si="2"/>
        <v>724652.76325437007</v>
      </c>
      <c r="AF17" s="88">
        <v>9000</v>
      </c>
      <c r="AG17" s="88">
        <f t="shared" si="3"/>
        <v>0</v>
      </c>
      <c r="AH17" s="88">
        <f t="shared" si="4"/>
        <v>733652.76325437007</v>
      </c>
      <c r="AI17" s="88">
        <v>9000</v>
      </c>
      <c r="AJ17" s="88">
        <f t="shared" si="23"/>
        <v>564.54332442782766</v>
      </c>
      <c r="AK17" s="88">
        <f t="shared" si="5"/>
        <v>743217.30657879787</v>
      </c>
      <c r="AL17" s="88">
        <v>9000</v>
      </c>
      <c r="AM17" s="88">
        <f t="shared" si="24"/>
        <v>0</v>
      </c>
      <c r="AN17" s="88">
        <f t="shared" si="6"/>
        <v>752217.30657879787</v>
      </c>
      <c r="AO17" s="88">
        <v>9000</v>
      </c>
      <c r="AP17" s="88">
        <f t="shared" si="25"/>
        <v>0</v>
      </c>
      <c r="AQ17" s="88">
        <f t="shared" si="26"/>
        <v>761217.30657879787</v>
      </c>
      <c r="AR17" s="88">
        <f t="shared" si="27"/>
        <v>600000</v>
      </c>
      <c r="AS17" s="88">
        <f t="shared" si="27"/>
        <v>746.1759009861853</v>
      </c>
      <c r="AT17" s="88">
        <f t="shared" si="32"/>
        <v>108000</v>
      </c>
      <c r="AU17" s="88">
        <f t="shared" si="28"/>
        <v>52471.130677811751</v>
      </c>
      <c r="AV17" s="88">
        <f t="shared" si="29"/>
        <v>761217.30657879787</v>
      </c>
      <c r="AW17" s="88">
        <v>630000</v>
      </c>
      <c r="AX17" s="88"/>
      <c r="AY17" s="88"/>
      <c r="AZ17" s="88"/>
      <c r="BA17" s="88"/>
      <c r="BB17" s="88">
        <f t="shared" si="30"/>
        <v>131217.30657879787</v>
      </c>
      <c r="BC17" s="88"/>
      <c r="BD17" s="88">
        <f t="shared" si="33"/>
        <v>131217.30657879787</v>
      </c>
      <c r="BE17" s="83">
        <v>0</v>
      </c>
      <c r="BF17" s="90">
        <f t="shared" si="31"/>
        <v>131217.30657879787</v>
      </c>
    </row>
    <row r="18" spans="1:58" ht="15.75" x14ac:dyDescent="0.3">
      <c r="A18" s="208" t="s">
        <v>446</v>
      </c>
      <c r="B18" s="83" t="s">
        <v>97</v>
      </c>
      <c r="C18" s="144">
        <v>600000</v>
      </c>
      <c r="D18" s="89">
        <v>47746</v>
      </c>
      <c r="E18" s="88">
        <f t="shared" si="7"/>
        <v>647746</v>
      </c>
      <c r="F18" s="88">
        <f t="shared" si="8"/>
        <v>41146.179356723624</v>
      </c>
      <c r="G18" s="88">
        <f t="shared" si="9"/>
        <v>688892.17935672367</v>
      </c>
      <c r="H18" s="88">
        <v>9000</v>
      </c>
      <c r="I18" s="88">
        <f t="shared" si="10"/>
        <v>0</v>
      </c>
      <c r="J18" s="88">
        <f t="shared" si="11"/>
        <v>697892.17935672367</v>
      </c>
      <c r="K18" s="135">
        <v>9000</v>
      </c>
      <c r="L18" s="88">
        <f t="shared" si="12"/>
        <v>968.57282253800815</v>
      </c>
      <c r="M18" s="88">
        <f t="shared" si="13"/>
        <v>707860.75217926165</v>
      </c>
      <c r="N18" s="88">
        <v>2000</v>
      </c>
      <c r="O18" s="88">
        <f t="shared" si="14"/>
        <v>191.95058714265434</v>
      </c>
      <c r="P18" s="88">
        <f t="shared" si="15"/>
        <v>710052.70276640425</v>
      </c>
      <c r="Q18" s="88">
        <v>14000</v>
      </c>
      <c r="R18" s="88">
        <f t="shared" si="16"/>
        <v>6571.2108686306146</v>
      </c>
      <c r="S18" s="88">
        <f t="shared" si="17"/>
        <v>730623.91363503481</v>
      </c>
      <c r="T18" s="88">
        <v>9000</v>
      </c>
      <c r="U18" s="88">
        <f t="shared" si="18"/>
        <v>961.76381681544865</v>
      </c>
      <c r="V18" s="88">
        <f t="shared" si="19"/>
        <v>740585.67745185026</v>
      </c>
      <c r="W18" s="88">
        <v>8000</v>
      </c>
      <c r="X18" s="88">
        <f t="shared" si="20"/>
        <v>2371.0495201976241</v>
      </c>
      <c r="Y18" s="88">
        <f t="shared" si="0"/>
        <v>750956.72697204794</v>
      </c>
      <c r="Z18" s="88">
        <v>9000</v>
      </c>
      <c r="AA18" s="88">
        <f t="shared" si="21"/>
        <v>1596.3559818004383</v>
      </c>
      <c r="AB18" s="88">
        <f t="shared" si="1"/>
        <v>761553.08295384841</v>
      </c>
      <c r="AC18" s="88">
        <v>13000</v>
      </c>
      <c r="AD18" s="88">
        <f t="shared" si="22"/>
        <v>2052.6578357681633</v>
      </c>
      <c r="AE18" s="88">
        <f t="shared" si="2"/>
        <v>776605.7407896166</v>
      </c>
      <c r="AF18" s="88">
        <v>9000</v>
      </c>
      <c r="AG18" s="88">
        <f t="shared" si="3"/>
        <v>0</v>
      </c>
      <c r="AH18" s="88">
        <f t="shared" si="4"/>
        <v>785605.7407896166</v>
      </c>
      <c r="AI18" s="88">
        <v>9000</v>
      </c>
      <c r="AJ18" s="88">
        <f t="shared" si="23"/>
        <v>604.03648745484838</v>
      </c>
      <c r="AK18" s="88">
        <f t="shared" si="5"/>
        <v>795209.77727707149</v>
      </c>
      <c r="AL18" s="88">
        <v>9000</v>
      </c>
      <c r="AM18" s="88">
        <f t="shared" si="24"/>
        <v>0</v>
      </c>
      <c r="AN18" s="88">
        <f t="shared" si="6"/>
        <v>804209.77727707149</v>
      </c>
      <c r="AO18" s="88">
        <v>9000</v>
      </c>
      <c r="AP18" s="88">
        <f t="shared" si="25"/>
        <v>0</v>
      </c>
      <c r="AQ18" s="88">
        <f t="shared" si="26"/>
        <v>813209.77727707149</v>
      </c>
      <c r="AR18" s="88">
        <f t="shared" si="27"/>
        <v>600000</v>
      </c>
      <c r="AS18" s="88">
        <f t="shared" si="27"/>
        <v>47746</v>
      </c>
      <c r="AT18" s="88">
        <f t="shared" si="32"/>
        <v>109000</v>
      </c>
      <c r="AU18" s="88">
        <f t="shared" si="28"/>
        <v>56463.777277071422</v>
      </c>
      <c r="AV18" s="88">
        <f t="shared" si="29"/>
        <v>813209.77727707149</v>
      </c>
      <c r="AW18" s="88">
        <v>630000</v>
      </c>
      <c r="AX18" s="88"/>
      <c r="AY18" s="88"/>
      <c r="AZ18" s="88"/>
      <c r="BA18" s="88"/>
      <c r="BB18" s="88">
        <f t="shared" si="30"/>
        <v>183209.77727707149</v>
      </c>
      <c r="BC18" s="88"/>
      <c r="BD18" s="88">
        <f t="shared" si="33"/>
        <v>183209.77727707149</v>
      </c>
      <c r="BE18" s="83">
        <v>0</v>
      </c>
      <c r="BF18" s="90">
        <f t="shared" si="31"/>
        <v>183209.77727707149</v>
      </c>
    </row>
    <row r="19" spans="1:58" ht="15.75" x14ac:dyDescent="0.3">
      <c r="A19" s="208" t="s">
        <v>447</v>
      </c>
      <c r="B19" s="83" t="s">
        <v>98</v>
      </c>
      <c r="C19" s="144">
        <v>600000</v>
      </c>
      <c r="D19" s="89">
        <v>51342.559108640766</v>
      </c>
      <c r="E19" s="88">
        <f t="shared" si="7"/>
        <v>651342.55910864077</v>
      </c>
      <c r="F19" s="88">
        <f t="shared" si="8"/>
        <v>41374.64030615626</v>
      </c>
      <c r="G19" s="88">
        <f t="shared" si="9"/>
        <v>692717.19941479701</v>
      </c>
      <c r="H19" s="88">
        <v>9000</v>
      </c>
      <c r="I19" s="88">
        <f t="shared" si="10"/>
        <v>0</v>
      </c>
      <c r="J19" s="88">
        <f t="shared" si="11"/>
        <v>701717.19941479701</v>
      </c>
      <c r="K19" s="135">
        <v>9000</v>
      </c>
      <c r="L19" s="88">
        <f t="shared" si="12"/>
        <v>973.81380635718688</v>
      </c>
      <c r="M19" s="88">
        <f t="shared" si="13"/>
        <v>711691.01322115422</v>
      </c>
      <c r="N19" s="88">
        <v>9000</v>
      </c>
      <c r="O19" s="88">
        <f t="shared" si="14"/>
        <v>194.87915441379502</v>
      </c>
      <c r="P19" s="88">
        <f t="shared" si="15"/>
        <v>720885.89237556804</v>
      </c>
      <c r="Q19" s="88">
        <v>9000</v>
      </c>
      <c r="R19" s="88">
        <f t="shared" si="16"/>
        <v>6624.150549419137</v>
      </c>
      <c r="S19" s="88">
        <f t="shared" si="17"/>
        <v>736510.04292498715</v>
      </c>
      <c r="T19" s="88">
        <v>9000</v>
      </c>
      <c r="U19" s="88">
        <f t="shared" si="18"/>
        <v>969.4177961795707</v>
      </c>
      <c r="V19" s="88">
        <f t="shared" si="19"/>
        <v>746479.46072116669</v>
      </c>
      <c r="W19" s="88">
        <v>9000</v>
      </c>
      <c r="X19" s="88">
        <f t="shared" si="20"/>
        <v>2392.8846981944812</v>
      </c>
      <c r="Y19" s="88">
        <f t="shared" si="0"/>
        <v>757872.34541936114</v>
      </c>
      <c r="Z19" s="88">
        <v>9000</v>
      </c>
      <c r="AA19" s="88">
        <f t="shared" si="21"/>
        <v>1610.8828469289365</v>
      </c>
      <c r="AB19" s="88">
        <f t="shared" si="1"/>
        <v>768483.22826629004</v>
      </c>
      <c r="AC19" s="88">
        <v>9000</v>
      </c>
      <c r="AD19" s="88">
        <f t="shared" si="22"/>
        <v>2060.4230695111955</v>
      </c>
      <c r="AE19" s="88">
        <f t="shared" si="2"/>
        <v>779543.65133580123</v>
      </c>
      <c r="AF19" s="88">
        <v>9000</v>
      </c>
      <c r="AG19" s="88">
        <f t="shared" si="3"/>
        <v>0</v>
      </c>
      <c r="AH19" s="88">
        <f t="shared" si="4"/>
        <v>788543.65133580123</v>
      </c>
      <c r="AI19" s="88">
        <v>9000</v>
      </c>
      <c r="AJ19" s="88">
        <f t="shared" si="23"/>
        <v>606.26980276542054</v>
      </c>
      <c r="AK19" s="88">
        <f t="shared" si="5"/>
        <v>798149.92113856669</v>
      </c>
      <c r="AL19" s="88">
        <v>9000</v>
      </c>
      <c r="AM19" s="88">
        <f t="shared" si="24"/>
        <v>0</v>
      </c>
      <c r="AN19" s="88">
        <f t="shared" si="6"/>
        <v>807149.92113856669</v>
      </c>
      <c r="AO19" s="88">
        <v>9000</v>
      </c>
      <c r="AP19" s="88">
        <f t="shared" si="25"/>
        <v>0</v>
      </c>
      <c r="AQ19" s="88">
        <f t="shared" si="26"/>
        <v>816149.92113856669</v>
      </c>
      <c r="AR19" s="88">
        <f t="shared" si="27"/>
        <v>600000</v>
      </c>
      <c r="AS19" s="88">
        <f t="shared" si="27"/>
        <v>51342.559108640766</v>
      </c>
      <c r="AT19" s="88">
        <f t="shared" si="32"/>
        <v>108000</v>
      </c>
      <c r="AU19" s="88">
        <f t="shared" si="28"/>
        <v>56807.362029925986</v>
      </c>
      <c r="AV19" s="88">
        <f t="shared" si="29"/>
        <v>816149.92113856669</v>
      </c>
      <c r="AW19" s="88">
        <v>630000</v>
      </c>
      <c r="AX19" s="88"/>
      <c r="AY19" s="88"/>
      <c r="AZ19" s="88"/>
      <c r="BA19" s="88"/>
      <c r="BB19" s="88">
        <f t="shared" si="30"/>
        <v>186149.92113856669</v>
      </c>
      <c r="BC19" s="88"/>
      <c r="BD19" s="88">
        <f t="shared" si="33"/>
        <v>186149.92113856669</v>
      </c>
      <c r="BE19" s="83">
        <v>0</v>
      </c>
      <c r="BF19" s="90">
        <f t="shared" si="31"/>
        <v>186149.92113856669</v>
      </c>
    </row>
    <row r="20" spans="1:58" ht="15.75" x14ac:dyDescent="0.3">
      <c r="A20" s="208" t="s">
        <v>448</v>
      </c>
      <c r="B20" s="83" t="s">
        <v>99</v>
      </c>
      <c r="C20" s="144">
        <v>600000</v>
      </c>
      <c r="D20" s="89">
        <v>140918.4930248888</v>
      </c>
      <c r="E20" s="88">
        <f t="shared" si="7"/>
        <v>740918.4930248888</v>
      </c>
      <c r="F20" s="88">
        <f t="shared" si="8"/>
        <v>47064.690793483023</v>
      </c>
      <c r="G20" s="88">
        <f t="shared" si="9"/>
        <v>787983.18381837185</v>
      </c>
      <c r="H20" s="88">
        <v>9000</v>
      </c>
      <c r="I20" s="88">
        <f t="shared" si="10"/>
        <v>0</v>
      </c>
      <c r="J20" s="88">
        <f t="shared" si="11"/>
        <v>796983.18381837185</v>
      </c>
      <c r="K20" s="135">
        <v>9000</v>
      </c>
      <c r="L20" s="88">
        <f t="shared" si="12"/>
        <v>1104.3457970910501</v>
      </c>
      <c r="M20" s="88">
        <f t="shared" si="13"/>
        <v>807087.52961546287</v>
      </c>
      <c r="N20" s="88">
        <v>9000</v>
      </c>
      <c r="O20" s="88">
        <f t="shared" si="14"/>
        <v>220.67494221729822</v>
      </c>
      <c r="P20" s="88">
        <f t="shared" si="15"/>
        <v>816308.20455768018</v>
      </c>
      <c r="Q20" s="88">
        <v>9000</v>
      </c>
      <c r="R20" s="88">
        <f t="shared" si="16"/>
        <v>7490.1650432884535</v>
      </c>
      <c r="S20" s="88">
        <f t="shared" si="17"/>
        <v>832798.36960096867</v>
      </c>
      <c r="T20" s="88">
        <v>9000</v>
      </c>
      <c r="U20" s="88">
        <f t="shared" si="18"/>
        <v>1094.6255225273173</v>
      </c>
      <c r="V20" s="88">
        <f t="shared" si="19"/>
        <v>842892.99512349593</v>
      </c>
      <c r="W20" s="88">
        <v>9000</v>
      </c>
      <c r="X20" s="88">
        <f t="shared" si="20"/>
        <v>2698.2622539918989</v>
      </c>
      <c r="Y20" s="88">
        <f t="shared" si="0"/>
        <v>854591.25737748784</v>
      </c>
      <c r="Z20" s="88">
        <v>9000</v>
      </c>
      <c r="AA20" s="88">
        <f t="shared" si="21"/>
        <v>1814.0494328380635</v>
      </c>
      <c r="AB20" s="88">
        <f t="shared" si="1"/>
        <v>865405.30681032594</v>
      </c>
      <c r="AC20" s="88">
        <v>9000</v>
      </c>
      <c r="AD20" s="88">
        <f t="shared" si="22"/>
        <v>2317.2781106449056</v>
      </c>
      <c r="AE20" s="88">
        <f t="shared" si="2"/>
        <v>876722.58492097084</v>
      </c>
      <c r="AF20" s="88">
        <v>9000</v>
      </c>
      <c r="AG20" s="88">
        <f t="shared" si="3"/>
        <v>0</v>
      </c>
      <c r="AH20" s="88">
        <f t="shared" si="4"/>
        <v>885722.58492097084</v>
      </c>
      <c r="AI20" s="88">
        <v>9000</v>
      </c>
      <c r="AJ20" s="88">
        <f t="shared" si="23"/>
        <v>680.14244007994932</v>
      </c>
      <c r="AK20" s="88">
        <f t="shared" si="5"/>
        <v>895402.72736105078</v>
      </c>
      <c r="AL20" s="88">
        <v>9000</v>
      </c>
      <c r="AM20" s="88">
        <f t="shared" si="24"/>
        <v>0</v>
      </c>
      <c r="AN20" s="88">
        <f t="shared" si="6"/>
        <v>904402.72736105078</v>
      </c>
      <c r="AO20" s="88">
        <v>9000</v>
      </c>
      <c r="AP20" s="88">
        <f t="shared" si="25"/>
        <v>0</v>
      </c>
      <c r="AQ20" s="88">
        <f t="shared" si="26"/>
        <v>913402.72736105078</v>
      </c>
      <c r="AR20" s="88">
        <f t="shared" si="27"/>
        <v>600000</v>
      </c>
      <c r="AS20" s="88">
        <f t="shared" si="27"/>
        <v>140918.4930248888</v>
      </c>
      <c r="AT20" s="88">
        <f t="shared" si="32"/>
        <v>108000</v>
      </c>
      <c r="AU20" s="88">
        <f t="shared" si="28"/>
        <v>64484.234336161971</v>
      </c>
      <c r="AV20" s="88">
        <f t="shared" si="29"/>
        <v>913402.72736105078</v>
      </c>
      <c r="AW20" s="88">
        <v>630000</v>
      </c>
      <c r="AX20" s="88"/>
      <c r="AY20" s="88"/>
      <c r="AZ20" s="88"/>
      <c r="BA20" s="88"/>
      <c r="BB20" s="88">
        <f t="shared" si="30"/>
        <v>283402.72736105078</v>
      </c>
      <c r="BC20" s="88"/>
      <c r="BD20" s="88">
        <f t="shared" si="33"/>
        <v>283402.72736105078</v>
      </c>
      <c r="BE20" s="83">
        <v>0</v>
      </c>
      <c r="BF20" s="90">
        <f t="shared" si="31"/>
        <v>283402.72736105078</v>
      </c>
    </row>
    <row r="21" spans="1:58" ht="15.75" x14ac:dyDescent="0.3">
      <c r="A21" s="208" t="s">
        <v>449</v>
      </c>
      <c r="B21" s="83" t="s">
        <v>100</v>
      </c>
      <c r="C21" s="144">
        <v>600000</v>
      </c>
      <c r="D21" s="89">
        <v>283210.4580118584</v>
      </c>
      <c r="E21" s="88">
        <f t="shared" si="7"/>
        <v>883210.4580118584</v>
      </c>
      <c r="F21" s="88">
        <f t="shared" si="8"/>
        <v>56103.373722245982</v>
      </c>
      <c r="G21" s="88">
        <f t="shared" si="9"/>
        <v>939313.83173410443</v>
      </c>
      <c r="H21" s="88">
        <v>19000</v>
      </c>
      <c r="I21" s="88">
        <f t="shared" si="10"/>
        <v>0</v>
      </c>
      <c r="J21" s="88">
        <f t="shared" si="11"/>
        <v>958313.83173410443</v>
      </c>
      <c r="K21" s="135">
        <v>19000</v>
      </c>
      <c r="L21" s="88">
        <f t="shared" si="12"/>
        <v>1339.1004231643205</v>
      </c>
      <c r="M21" s="88">
        <f t="shared" si="13"/>
        <v>978652.93215726875</v>
      </c>
      <c r="N21" s="88">
        <v>19000</v>
      </c>
      <c r="O21" s="88">
        <f t="shared" si="14"/>
        <v>269.77131149211471</v>
      </c>
      <c r="P21" s="88">
        <f t="shared" si="15"/>
        <v>997922.70346876082</v>
      </c>
      <c r="Q21" s="88">
        <v>19000</v>
      </c>
      <c r="R21" s="88">
        <f t="shared" si="16"/>
        <v>9229.1811025074585</v>
      </c>
      <c r="S21" s="88">
        <f t="shared" si="17"/>
        <v>1026151.8845712683</v>
      </c>
      <c r="T21" s="88">
        <v>19000</v>
      </c>
      <c r="U21" s="88">
        <f t="shared" si="18"/>
        <v>1359.0545777744144</v>
      </c>
      <c r="V21" s="88">
        <f t="shared" si="19"/>
        <v>1046510.9391490427</v>
      </c>
      <c r="W21" s="88">
        <v>19000</v>
      </c>
      <c r="X21" s="88">
        <f t="shared" si="20"/>
        <v>3374.8698073336518</v>
      </c>
      <c r="Y21" s="88">
        <f t="shared" si="0"/>
        <v>1068885.8089563763</v>
      </c>
      <c r="Z21" s="88">
        <v>19000</v>
      </c>
      <c r="AA21" s="88">
        <f t="shared" si="21"/>
        <v>2285.1998765282278</v>
      </c>
      <c r="AB21" s="88">
        <f t="shared" si="1"/>
        <v>1090171.0088329045</v>
      </c>
      <c r="AC21" s="88">
        <v>15000</v>
      </c>
      <c r="AD21" s="88">
        <f t="shared" si="22"/>
        <v>2928.834680372498</v>
      </c>
      <c r="AE21" s="88">
        <f t="shared" si="2"/>
        <v>1108099.8435132769</v>
      </c>
      <c r="AF21" s="88">
        <v>19000</v>
      </c>
      <c r="AG21" s="88">
        <f t="shared" si="3"/>
        <v>0</v>
      </c>
      <c r="AH21" s="88">
        <f t="shared" si="4"/>
        <v>1127099.8435132769</v>
      </c>
      <c r="AI21" s="88">
        <v>19000</v>
      </c>
      <c r="AJ21" s="88">
        <f t="shared" si="23"/>
        <v>871.23222022077493</v>
      </c>
      <c r="AK21" s="88">
        <f t="shared" si="5"/>
        <v>1146971.0757334977</v>
      </c>
      <c r="AL21" s="88">
        <v>19000</v>
      </c>
      <c r="AM21" s="88">
        <f t="shared" si="24"/>
        <v>0</v>
      </c>
      <c r="AN21" s="88">
        <f t="shared" si="6"/>
        <v>1165971.0757334977</v>
      </c>
      <c r="AO21" s="88">
        <v>19000</v>
      </c>
      <c r="AP21" s="88">
        <f t="shared" si="25"/>
        <v>0</v>
      </c>
      <c r="AQ21" s="88">
        <f t="shared" si="26"/>
        <v>1184971.0757334977</v>
      </c>
      <c r="AR21" s="88">
        <f t="shared" si="27"/>
        <v>600000</v>
      </c>
      <c r="AS21" s="88">
        <f t="shared" si="27"/>
        <v>283210.4580118584</v>
      </c>
      <c r="AT21" s="88">
        <f t="shared" si="32"/>
        <v>224000</v>
      </c>
      <c r="AU21" s="88">
        <f t="shared" si="28"/>
        <v>77760.617721639457</v>
      </c>
      <c r="AV21" s="88">
        <f t="shared" si="29"/>
        <v>1184971.0757334977</v>
      </c>
      <c r="AW21" s="88">
        <v>630000</v>
      </c>
      <c r="AX21" s="88"/>
      <c r="AY21" s="88"/>
      <c r="AZ21" s="88"/>
      <c r="BA21" s="88"/>
      <c r="BB21" s="88">
        <f t="shared" si="30"/>
        <v>554971.07573349774</v>
      </c>
      <c r="BC21" s="88"/>
      <c r="BD21" s="88">
        <f t="shared" si="33"/>
        <v>554971.07573349774</v>
      </c>
      <c r="BE21" s="83">
        <v>0</v>
      </c>
      <c r="BF21" s="90">
        <f t="shared" si="31"/>
        <v>554971.07573349774</v>
      </c>
    </row>
    <row r="22" spans="1:58" ht="15.75" x14ac:dyDescent="0.3">
      <c r="A22" s="208" t="s">
        <v>450</v>
      </c>
      <c r="B22" s="83" t="s">
        <v>38</v>
      </c>
      <c r="C22" s="144">
        <v>600000</v>
      </c>
      <c r="D22" s="89">
        <v>39787.038443138823</v>
      </c>
      <c r="E22" s="88">
        <f t="shared" si="7"/>
        <v>639787.03844313882</v>
      </c>
      <c r="F22" s="88">
        <f t="shared" si="8"/>
        <v>40640.609488732349</v>
      </c>
      <c r="G22" s="88">
        <f t="shared" si="9"/>
        <v>680427.64793187112</v>
      </c>
      <c r="H22" s="88">
        <v>9000</v>
      </c>
      <c r="I22" s="88">
        <f t="shared" si="10"/>
        <v>0</v>
      </c>
      <c r="J22" s="88">
        <f t="shared" si="11"/>
        <v>689427.64793187112</v>
      </c>
      <c r="K22" s="135">
        <v>9000</v>
      </c>
      <c r="L22" s="88">
        <f t="shared" si="12"/>
        <v>956.97485140032791</v>
      </c>
      <c r="M22" s="88">
        <f t="shared" si="13"/>
        <v>699384.62278327148</v>
      </c>
      <c r="N22" s="88">
        <v>6000</v>
      </c>
      <c r="O22" s="88">
        <f t="shared" si="14"/>
        <v>190.74021501960192</v>
      </c>
      <c r="P22" s="88">
        <f t="shared" si="15"/>
        <v>705575.36299829104</v>
      </c>
      <c r="Q22" s="88">
        <v>14000</v>
      </c>
      <c r="R22" s="88">
        <f t="shared" si="16"/>
        <v>6530.5763352128588</v>
      </c>
      <c r="S22" s="88">
        <f t="shared" si="17"/>
        <v>726105.93933350395</v>
      </c>
      <c r="T22" s="88">
        <v>4000</v>
      </c>
      <c r="U22" s="88">
        <f t="shared" si="18"/>
        <v>949.38719793680502</v>
      </c>
      <c r="V22" s="88">
        <f t="shared" si="19"/>
        <v>731055.32653144072</v>
      </c>
      <c r="W22" s="88">
        <v>9000</v>
      </c>
      <c r="X22" s="88">
        <f t="shared" si="20"/>
        <v>2344.030723196588</v>
      </c>
      <c r="Y22" s="88">
        <f t="shared" si="0"/>
        <v>742399.35725463729</v>
      </c>
      <c r="Z22" s="88">
        <v>14000</v>
      </c>
      <c r="AA22" s="88">
        <f t="shared" si="21"/>
        <v>1588.8834136576563</v>
      </c>
      <c r="AB22" s="88">
        <f t="shared" si="1"/>
        <v>757988.24066829495</v>
      </c>
      <c r="AC22" s="88">
        <v>13000</v>
      </c>
      <c r="AD22" s="88">
        <f t="shared" si="22"/>
        <v>2043.2105795222606</v>
      </c>
      <c r="AE22" s="88">
        <f t="shared" si="2"/>
        <v>773031.45124781725</v>
      </c>
      <c r="AF22" s="88">
        <v>9000</v>
      </c>
      <c r="AG22" s="88">
        <f t="shared" si="3"/>
        <v>0</v>
      </c>
      <c r="AH22" s="88">
        <f t="shared" si="4"/>
        <v>782031.45124781725</v>
      </c>
      <c r="AI22" s="88">
        <v>9000</v>
      </c>
      <c r="AJ22" s="88">
        <f t="shared" si="23"/>
        <v>601.31941508908676</v>
      </c>
      <c r="AK22" s="88">
        <f t="shared" si="5"/>
        <v>791632.77066290635</v>
      </c>
      <c r="AL22" s="88">
        <v>12000</v>
      </c>
      <c r="AM22" s="88">
        <f t="shared" si="24"/>
        <v>0</v>
      </c>
      <c r="AN22" s="88">
        <f t="shared" si="6"/>
        <v>803632.77066290635</v>
      </c>
      <c r="AO22" s="88">
        <v>9000</v>
      </c>
      <c r="AP22" s="88">
        <f t="shared" si="25"/>
        <v>0</v>
      </c>
      <c r="AQ22" s="88">
        <f t="shared" si="26"/>
        <v>812632.77066290635</v>
      </c>
      <c r="AR22" s="88">
        <f t="shared" si="27"/>
        <v>600000</v>
      </c>
      <c r="AS22" s="88">
        <f t="shared" si="27"/>
        <v>39787.038443138823</v>
      </c>
      <c r="AT22" s="88">
        <f t="shared" si="32"/>
        <v>117000</v>
      </c>
      <c r="AU22" s="88">
        <f t="shared" si="28"/>
        <v>55845.732219767524</v>
      </c>
      <c r="AV22" s="88">
        <f t="shared" si="29"/>
        <v>812632.77066290635</v>
      </c>
      <c r="AW22" s="88">
        <v>630000</v>
      </c>
      <c r="AX22" s="88"/>
      <c r="AY22" s="88"/>
      <c r="AZ22" s="88"/>
      <c r="BA22" s="88"/>
      <c r="BB22" s="88">
        <f t="shared" si="30"/>
        <v>182632.77066290635</v>
      </c>
      <c r="BC22" s="88"/>
      <c r="BD22" s="88">
        <f t="shared" si="33"/>
        <v>182632.77066290635</v>
      </c>
      <c r="BE22" s="83">
        <v>0</v>
      </c>
      <c r="BF22" s="90">
        <f t="shared" si="31"/>
        <v>182632.77066290635</v>
      </c>
    </row>
    <row r="23" spans="1:58" ht="15.75" x14ac:dyDescent="0.3">
      <c r="A23" s="208" t="s">
        <v>451</v>
      </c>
      <c r="B23" s="83" t="s">
        <v>101</v>
      </c>
      <c r="C23" s="144">
        <v>600000</v>
      </c>
      <c r="D23" s="89">
        <v>13695.736143450369</v>
      </c>
      <c r="E23" s="88">
        <f t="shared" si="7"/>
        <v>613695.73614345037</v>
      </c>
      <c r="F23" s="88">
        <f t="shared" si="8"/>
        <v>38983.235450029715</v>
      </c>
      <c r="G23" s="88">
        <f t="shared" si="9"/>
        <v>652678.97159348009</v>
      </c>
      <c r="H23" s="88">
        <v>9000</v>
      </c>
      <c r="I23" s="88">
        <f t="shared" si="10"/>
        <v>0</v>
      </c>
      <c r="J23" s="88">
        <f t="shared" si="11"/>
        <v>661678.97159348009</v>
      </c>
      <c r="K23" s="135">
        <v>9000</v>
      </c>
      <c r="L23" s="88">
        <f t="shared" si="12"/>
        <v>918.95404066335402</v>
      </c>
      <c r="M23" s="88">
        <f t="shared" si="13"/>
        <v>671597.92563414341</v>
      </c>
      <c r="N23" s="88">
        <v>0</v>
      </c>
      <c r="O23" s="88">
        <f t="shared" si="14"/>
        <v>181.6040903141915</v>
      </c>
      <c r="P23" s="88">
        <f t="shared" si="15"/>
        <v>671779.52972445765</v>
      </c>
      <c r="Q23" s="88">
        <v>0</v>
      </c>
      <c r="R23" s="88">
        <f t="shared" si="16"/>
        <v>6096.8005922534421</v>
      </c>
      <c r="S23" s="88">
        <f t="shared" si="17"/>
        <v>677876.3303167111</v>
      </c>
      <c r="T23" s="88">
        <v>27000</v>
      </c>
      <c r="U23" s="88">
        <f t="shared" si="18"/>
        <v>916.58008527126503</v>
      </c>
      <c r="V23" s="88">
        <f t="shared" si="19"/>
        <v>705792.91040198237</v>
      </c>
      <c r="W23" s="88">
        <v>18000</v>
      </c>
      <c r="X23" s="88">
        <f t="shared" si="20"/>
        <v>2292.5215972241822</v>
      </c>
      <c r="Y23" s="88">
        <f t="shared" si="0"/>
        <v>726085.43199920654</v>
      </c>
      <c r="Z23" s="88">
        <v>17000</v>
      </c>
      <c r="AA23" s="88">
        <f t="shared" si="21"/>
        <v>1560.9163420226255</v>
      </c>
      <c r="AB23" s="88">
        <f t="shared" si="1"/>
        <v>744646.34834122914</v>
      </c>
      <c r="AC23" s="88">
        <v>18000</v>
      </c>
      <c r="AD23" s="88">
        <f t="shared" si="22"/>
        <v>2021.1035722336378</v>
      </c>
      <c r="AE23" s="88">
        <f t="shared" si="2"/>
        <v>764667.45191346272</v>
      </c>
      <c r="AF23" s="88">
        <v>159000</v>
      </c>
      <c r="AG23" s="88">
        <f t="shared" si="3"/>
        <v>0</v>
      </c>
      <c r="AH23" s="88">
        <f t="shared" si="4"/>
        <v>923667.45191346272</v>
      </c>
      <c r="AI23" s="88">
        <v>17000</v>
      </c>
      <c r="AJ23" s="88">
        <f t="shared" si="23"/>
        <v>715.06840984093662</v>
      </c>
      <c r="AK23" s="88">
        <f t="shared" si="5"/>
        <v>941382.52032330364</v>
      </c>
      <c r="AL23" s="88">
        <v>17000</v>
      </c>
      <c r="AM23" s="88">
        <f t="shared" si="24"/>
        <v>0</v>
      </c>
      <c r="AN23" s="88">
        <f t="shared" si="6"/>
        <v>958382.52032330364</v>
      </c>
      <c r="AO23" s="88">
        <v>17000</v>
      </c>
      <c r="AP23" s="88">
        <f t="shared" si="25"/>
        <v>0</v>
      </c>
      <c r="AQ23" s="88">
        <f t="shared" si="26"/>
        <v>975382.52032330364</v>
      </c>
      <c r="AR23" s="88">
        <f t="shared" si="27"/>
        <v>600000</v>
      </c>
      <c r="AS23" s="88">
        <f t="shared" si="27"/>
        <v>13695.736143450369</v>
      </c>
      <c r="AT23" s="88">
        <f t="shared" si="32"/>
        <v>308000</v>
      </c>
      <c r="AU23" s="88">
        <f t="shared" si="28"/>
        <v>53686.784179853348</v>
      </c>
      <c r="AV23" s="88">
        <f t="shared" si="29"/>
        <v>975382.52032330364</v>
      </c>
      <c r="AW23" s="88">
        <v>630000</v>
      </c>
      <c r="AX23" s="88"/>
      <c r="AY23" s="88"/>
      <c r="AZ23" s="88"/>
      <c r="BA23" s="88"/>
      <c r="BB23" s="88">
        <f t="shared" si="30"/>
        <v>345382.52032330364</v>
      </c>
      <c r="BC23" s="88"/>
      <c r="BD23" s="88">
        <f t="shared" si="33"/>
        <v>345382.52032330364</v>
      </c>
      <c r="BE23" s="83">
        <v>0</v>
      </c>
      <c r="BF23" s="90">
        <f t="shared" si="31"/>
        <v>345382.52032330364</v>
      </c>
    </row>
    <row r="24" spans="1:58" ht="15.75" x14ac:dyDescent="0.3">
      <c r="A24" s="208" t="s">
        <v>452</v>
      </c>
      <c r="B24" s="83" t="s">
        <v>102</v>
      </c>
      <c r="C24" s="144">
        <v>600000</v>
      </c>
      <c r="D24" s="89">
        <v>575.28052728832699</v>
      </c>
      <c r="E24" s="88">
        <f t="shared" si="7"/>
        <v>600575.28052728833</v>
      </c>
      <c r="F24" s="88">
        <f t="shared" si="8"/>
        <v>38149.79669467725</v>
      </c>
      <c r="G24" s="88">
        <f t="shared" si="9"/>
        <v>638725.07722196553</v>
      </c>
      <c r="H24" s="88">
        <v>9000</v>
      </c>
      <c r="I24" s="88">
        <f t="shared" si="10"/>
        <v>0</v>
      </c>
      <c r="J24" s="88">
        <f t="shared" si="11"/>
        <v>647725.07722196553</v>
      </c>
      <c r="K24" s="158">
        <v>9000</v>
      </c>
      <c r="L24" s="88">
        <f t="shared" si="12"/>
        <v>899.83462860660416</v>
      </c>
      <c r="M24" s="88">
        <f t="shared" si="13"/>
        <v>657624.9118505721</v>
      </c>
      <c r="N24" s="88">
        <v>9000</v>
      </c>
      <c r="O24" s="88">
        <f t="shared" si="14"/>
        <v>180.2593576850181</v>
      </c>
      <c r="P24" s="88">
        <f t="shared" si="15"/>
        <v>666805.17120825709</v>
      </c>
      <c r="Q24" s="88">
        <v>9000</v>
      </c>
      <c r="R24" s="88">
        <f t="shared" si="16"/>
        <v>6133.33569387033</v>
      </c>
      <c r="S24" s="88">
        <f t="shared" si="17"/>
        <v>681938.50690212741</v>
      </c>
      <c r="T24" s="88">
        <v>9000</v>
      </c>
      <c r="U24" s="88">
        <f t="shared" si="18"/>
        <v>898.45615228560939</v>
      </c>
      <c r="V24" s="88">
        <f t="shared" si="19"/>
        <v>691836.96305441298</v>
      </c>
      <c r="W24" s="88">
        <v>9000</v>
      </c>
      <c r="X24" s="88">
        <f t="shared" si="20"/>
        <v>2219.811566049912</v>
      </c>
      <c r="Y24" s="88">
        <f t="shared" si="0"/>
        <v>703056.77462046291</v>
      </c>
      <c r="Z24" s="88">
        <v>9000</v>
      </c>
      <c r="AA24" s="88">
        <f t="shared" si="21"/>
        <v>1495.7379166520773</v>
      </c>
      <c r="AB24" s="88">
        <f t="shared" si="1"/>
        <v>713552.51253711502</v>
      </c>
      <c r="AC24" s="88">
        <v>9000</v>
      </c>
      <c r="AD24" s="88">
        <f t="shared" si="22"/>
        <v>1914.85013649046</v>
      </c>
      <c r="AE24" s="88">
        <f t="shared" si="2"/>
        <v>724467.36267360544</v>
      </c>
      <c r="AF24" s="88">
        <v>9000</v>
      </c>
      <c r="AG24" s="88">
        <f t="shared" si="3"/>
        <v>0</v>
      </c>
      <c r="AH24" s="88">
        <f t="shared" si="4"/>
        <v>733467.36267360544</v>
      </c>
      <c r="AI24" s="88">
        <v>9000</v>
      </c>
      <c r="AJ24" s="88">
        <f t="shared" si="23"/>
        <v>564.40238822534582</v>
      </c>
      <c r="AK24" s="88">
        <f t="shared" si="5"/>
        <v>743031.76506183075</v>
      </c>
      <c r="AL24" s="88">
        <v>7000</v>
      </c>
      <c r="AM24" s="88">
        <f t="shared" si="24"/>
        <v>0</v>
      </c>
      <c r="AN24" s="88">
        <f t="shared" si="6"/>
        <v>750031.76506183075</v>
      </c>
      <c r="AO24" s="88">
        <v>9000</v>
      </c>
      <c r="AP24" s="88">
        <f t="shared" si="25"/>
        <v>0</v>
      </c>
      <c r="AQ24" s="88">
        <f t="shared" si="26"/>
        <v>759031.76506183075</v>
      </c>
      <c r="AR24" s="88">
        <f t="shared" si="27"/>
        <v>600000</v>
      </c>
      <c r="AS24" s="88">
        <f t="shared" si="27"/>
        <v>575.28052728832699</v>
      </c>
      <c r="AT24" s="88">
        <f t="shared" si="32"/>
        <v>106000</v>
      </c>
      <c r="AU24" s="88">
        <f t="shared" si="28"/>
        <v>52456.4845345426</v>
      </c>
      <c r="AV24" s="88">
        <f t="shared" si="29"/>
        <v>759031.76506183075</v>
      </c>
      <c r="AW24" s="88">
        <v>630000</v>
      </c>
      <c r="AX24" s="88"/>
      <c r="AY24" s="88"/>
      <c r="AZ24" s="88"/>
      <c r="BA24" s="88"/>
      <c r="BB24" s="88">
        <f t="shared" si="30"/>
        <v>129031.76506183075</v>
      </c>
      <c r="BC24" s="88"/>
      <c r="BD24" s="88">
        <f t="shared" si="33"/>
        <v>129031.76506183075</v>
      </c>
      <c r="BE24" s="83">
        <v>0</v>
      </c>
      <c r="BF24" s="90">
        <f t="shared" si="31"/>
        <v>129031.76506183075</v>
      </c>
    </row>
    <row r="25" spans="1:58" ht="15.75" x14ac:dyDescent="0.3">
      <c r="A25" s="208"/>
      <c r="B25" s="83" t="s">
        <v>103</v>
      </c>
      <c r="C25" s="144">
        <v>600000</v>
      </c>
      <c r="D25" s="89">
        <v>2433.3710003618617</v>
      </c>
      <c r="E25" s="88">
        <f t="shared" si="7"/>
        <v>602433.37100036186</v>
      </c>
      <c r="F25" s="88">
        <f t="shared" si="8"/>
        <v>38267.826483925048</v>
      </c>
      <c r="G25" s="88">
        <f t="shared" si="9"/>
        <v>640701.19748428697</v>
      </c>
      <c r="H25" s="88">
        <v>-640701</v>
      </c>
      <c r="I25" s="88">
        <f t="shared" si="10"/>
        <v>0</v>
      </c>
      <c r="J25" s="88">
        <f t="shared" si="11"/>
        <v>0.19748428696766496</v>
      </c>
      <c r="K25" s="158">
        <v>0</v>
      </c>
      <c r="L25" s="88">
        <f t="shared" si="12"/>
        <v>2.7058994118345079E-4</v>
      </c>
      <c r="M25" s="88">
        <f t="shared" si="13"/>
        <v>0.19775487690884841</v>
      </c>
      <c r="N25" s="88">
        <v>0</v>
      </c>
      <c r="O25" s="88">
        <f t="shared" si="14"/>
        <v>5.3474099837810067E-5</v>
      </c>
      <c r="P25" s="88">
        <f t="shared" si="15"/>
        <v>0.19780835100868621</v>
      </c>
      <c r="Q25" s="88">
        <v>0</v>
      </c>
      <c r="R25" s="88">
        <f t="shared" si="16"/>
        <v>1.7952289675707987E-3</v>
      </c>
      <c r="S25" s="88">
        <f t="shared" si="17"/>
        <v>0.19960357997625702</v>
      </c>
      <c r="T25" s="88">
        <v>0</v>
      </c>
      <c r="U25" s="88">
        <f t="shared" si="18"/>
        <v>2.5955285840408937E-4</v>
      </c>
      <c r="V25" s="88">
        <f t="shared" si="19"/>
        <v>0.19986313283466112</v>
      </c>
      <c r="W25" s="88">
        <v>0</v>
      </c>
      <c r="X25" s="88">
        <f t="shared" si="20"/>
        <v>6.3304094572835053E-4</v>
      </c>
      <c r="Y25" s="88">
        <f t="shared" si="0"/>
        <v>0.20049617378038948</v>
      </c>
      <c r="Z25" s="88">
        <v>0</v>
      </c>
      <c r="AA25" s="88">
        <f t="shared" si="21"/>
        <v>4.211598568482666E-4</v>
      </c>
      <c r="AB25" s="88">
        <f t="shared" si="1"/>
        <v>0.20091733363723774</v>
      </c>
      <c r="AC25" s="88">
        <v>0</v>
      </c>
      <c r="AD25" s="88">
        <f t="shared" si="22"/>
        <v>5.3245484177705618E-4</v>
      </c>
      <c r="AE25" s="88">
        <f t="shared" si="2"/>
        <v>0.20144978847901479</v>
      </c>
      <c r="AF25" s="88">
        <v>0</v>
      </c>
      <c r="AG25" s="88">
        <f t="shared" si="3"/>
        <v>0</v>
      </c>
      <c r="AH25" s="88">
        <f t="shared" si="4"/>
        <v>0.20144978847901479</v>
      </c>
      <c r="AI25" s="88">
        <v>0</v>
      </c>
      <c r="AJ25" s="88">
        <f t="shared" si="23"/>
        <v>1.531363497455572E-4</v>
      </c>
      <c r="AK25" s="88">
        <f t="shared" si="5"/>
        <v>0.20160292482876035</v>
      </c>
      <c r="AL25" s="88">
        <v>0</v>
      </c>
      <c r="AM25" s="88">
        <f t="shared" si="24"/>
        <v>0</v>
      </c>
      <c r="AN25" s="88">
        <f t="shared" si="6"/>
        <v>0.20160292482876035</v>
      </c>
      <c r="AO25" s="88">
        <v>0</v>
      </c>
      <c r="AP25" s="88">
        <f t="shared" si="25"/>
        <v>0</v>
      </c>
      <c r="AQ25" s="88">
        <f t="shared" si="26"/>
        <v>0.20160292482876035</v>
      </c>
      <c r="AR25" s="88">
        <f t="shared" si="27"/>
        <v>600000</v>
      </c>
      <c r="AS25" s="88">
        <f t="shared" si="27"/>
        <v>2433.3710003618617</v>
      </c>
      <c r="AT25" s="88">
        <f t="shared" si="32"/>
        <v>-640701</v>
      </c>
      <c r="AU25" s="88">
        <f t="shared" si="28"/>
        <v>38267.830602562906</v>
      </c>
      <c r="AV25" s="88">
        <f t="shared" si="29"/>
        <v>0.20160292482876035</v>
      </c>
      <c r="AW25" s="88">
        <v>0</v>
      </c>
      <c r="AX25" s="88"/>
      <c r="AY25" s="88"/>
      <c r="AZ25" s="88"/>
      <c r="BA25" s="88"/>
      <c r="BB25" s="88">
        <f t="shared" si="30"/>
        <v>0.20160292482876035</v>
      </c>
      <c r="BC25" s="88"/>
      <c r="BD25" s="88">
        <f t="shared" si="33"/>
        <v>0.20160292482876035</v>
      </c>
      <c r="BE25" s="83">
        <v>0</v>
      </c>
      <c r="BF25" s="90">
        <f t="shared" si="31"/>
        <v>0.20160292482876035</v>
      </c>
    </row>
    <row r="26" spans="1:58" ht="15.75" x14ac:dyDescent="0.3">
      <c r="A26" s="208" t="s">
        <v>454</v>
      </c>
      <c r="B26" s="83" t="s">
        <v>41</v>
      </c>
      <c r="C26" s="144">
        <v>600000</v>
      </c>
      <c r="D26" s="89">
        <v>21451.962695348077</v>
      </c>
      <c r="E26" s="88">
        <f t="shared" si="7"/>
        <v>621451.96269534808</v>
      </c>
      <c r="F26" s="88">
        <f t="shared" si="8"/>
        <v>39475.927166899848</v>
      </c>
      <c r="G26" s="88">
        <f t="shared" si="9"/>
        <v>660927.88986224798</v>
      </c>
      <c r="H26" s="88">
        <v>9000</v>
      </c>
      <c r="I26" s="88">
        <f t="shared" si="10"/>
        <v>0</v>
      </c>
      <c r="J26" s="88">
        <f t="shared" si="11"/>
        <v>669927.88986224798</v>
      </c>
      <c r="K26" s="135">
        <v>9000</v>
      </c>
      <c r="L26" s="88">
        <f t="shared" si="12"/>
        <v>930.25658196142933</v>
      </c>
      <c r="M26" s="88">
        <f t="shared" si="13"/>
        <v>679858.14644420939</v>
      </c>
      <c r="N26" s="88">
        <v>9000</v>
      </c>
      <c r="O26" s="88">
        <f t="shared" si="14"/>
        <v>186.27135711057772</v>
      </c>
      <c r="P26" s="88">
        <f t="shared" si="15"/>
        <v>689044.41780131997</v>
      </c>
      <c r="Q26" s="88">
        <v>9000</v>
      </c>
      <c r="R26" s="88">
        <f t="shared" si="16"/>
        <v>6335.170143716502</v>
      </c>
      <c r="S26" s="88">
        <f t="shared" si="17"/>
        <v>704379.58794503647</v>
      </c>
      <c r="T26" s="88">
        <v>9000</v>
      </c>
      <c r="U26" s="88">
        <f t="shared" si="18"/>
        <v>927.63722574660505</v>
      </c>
      <c r="V26" s="88">
        <f t="shared" si="19"/>
        <v>714307.22517078312</v>
      </c>
      <c r="W26" s="88">
        <v>9000</v>
      </c>
      <c r="X26" s="88">
        <f t="shared" si="20"/>
        <v>2290.9832512885214</v>
      </c>
      <c r="Y26" s="88">
        <f t="shared" si="0"/>
        <v>725598.20842207165</v>
      </c>
      <c r="Z26" s="88">
        <v>9000</v>
      </c>
      <c r="AA26" s="88">
        <f t="shared" si="21"/>
        <v>1543.088182016437</v>
      </c>
      <c r="AB26" s="88">
        <f t="shared" si="1"/>
        <v>736141.29660408804</v>
      </c>
      <c r="AC26" s="88">
        <v>9000</v>
      </c>
      <c r="AD26" s="88">
        <f t="shared" si="22"/>
        <v>1974.7131021618652</v>
      </c>
      <c r="AE26" s="88">
        <f t="shared" si="2"/>
        <v>747116.00970624993</v>
      </c>
      <c r="AF26" s="88">
        <v>9000</v>
      </c>
      <c r="AG26" s="88">
        <f t="shared" si="3"/>
        <v>0</v>
      </c>
      <c r="AH26" s="88">
        <f t="shared" si="4"/>
        <v>756116.00970624993</v>
      </c>
      <c r="AI26" s="88">
        <v>9000</v>
      </c>
      <c r="AJ26" s="88">
        <f t="shared" si="23"/>
        <v>581.61923992542108</v>
      </c>
      <c r="AK26" s="88">
        <f t="shared" si="5"/>
        <v>765697.62894617533</v>
      </c>
      <c r="AL26" s="88">
        <v>9000</v>
      </c>
      <c r="AM26" s="88">
        <f t="shared" si="24"/>
        <v>0</v>
      </c>
      <c r="AN26" s="88">
        <f t="shared" si="6"/>
        <v>774697.62894617533</v>
      </c>
      <c r="AO26" s="88">
        <v>9000</v>
      </c>
      <c r="AP26" s="88">
        <f t="shared" si="25"/>
        <v>0</v>
      </c>
      <c r="AQ26" s="88">
        <f t="shared" si="26"/>
        <v>783697.62894617533</v>
      </c>
      <c r="AR26" s="88">
        <f t="shared" si="27"/>
        <v>600000</v>
      </c>
      <c r="AS26" s="88">
        <f t="shared" si="27"/>
        <v>21451.962695348077</v>
      </c>
      <c r="AT26" s="88">
        <f t="shared" si="32"/>
        <v>108000</v>
      </c>
      <c r="AU26" s="88">
        <f t="shared" si="28"/>
        <v>54245.666250827206</v>
      </c>
      <c r="AV26" s="88">
        <f t="shared" si="29"/>
        <v>783697.62894617533</v>
      </c>
      <c r="AW26" s="88">
        <v>630000</v>
      </c>
      <c r="AX26" s="88"/>
      <c r="AY26" s="88"/>
      <c r="AZ26" s="88"/>
      <c r="BA26" s="88"/>
      <c r="BB26" s="88">
        <f t="shared" si="30"/>
        <v>153697.62894617533</v>
      </c>
      <c r="BC26" s="88"/>
      <c r="BD26" s="88">
        <f t="shared" si="33"/>
        <v>153697.62894617533</v>
      </c>
      <c r="BE26" s="83">
        <v>0</v>
      </c>
      <c r="BF26" s="90">
        <f t="shared" si="31"/>
        <v>153697.62894617533</v>
      </c>
    </row>
    <row r="27" spans="1:58" ht="15.75" x14ac:dyDescent="0.3">
      <c r="A27" s="208" t="s">
        <v>455</v>
      </c>
      <c r="B27" s="83" t="s">
        <v>46</v>
      </c>
      <c r="C27" s="144">
        <v>600000</v>
      </c>
      <c r="D27" s="89">
        <v>200752.48017057346</v>
      </c>
      <c r="E27" s="88">
        <f t="shared" si="7"/>
        <v>800752.48017057346</v>
      </c>
      <c r="F27" s="88">
        <f t="shared" si="8"/>
        <v>50865.470677456433</v>
      </c>
      <c r="G27" s="88">
        <f t="shared" si="9"/>
        <v>851617.95084802993</v>
      </c>
      <c r="H27" s="88">
        <v>9000</v>
      </c>
      <c r="I27" s="88">
        <f t="shared" si="10"/>
        <v>0</v>
      </c>
      <c r="J27" s="88">
        <f t="shared" si="11"/>
        <v>860617.95084802993</v>
      </c>
      <c r="K27" s="158">
        <v>9000</v>
      </c>
      <c r="L27" s="88">
        <f t="shared" si="12"/>
        <v>1191.5371789076557</v>
      </c>
      <c r="M27" s="88">
        <f t="shared" si="13"/>
        <v>870809.48802693759</v>
      </c>
      <c r="N27" s="88">
        <v>9000</v>
      </c>
      <c r="O27" s="88">
        <f t="shared" si="14"/>
        <v>237.9057403610355</v>
      </c>
      <c r="P27" s="88">
        <f t="shared" si="15"/>
        <v>880047.39376729866</v>
      </c>
      <c r="Q27" s="88">
        <v>9000</v>
      </c>
      <c r="R27" s="88">
        <f t="shared" si="16"/>
        <v>8068.6362668494776</v>
      </c>
      <c r="S27" s="88">
        <f t="shared" si="17"/>
        <v>897116.03003414813</v>
      </c>
      <c r="T27" s="88">
        <v>9000</v>
      </c>
      <c r="U27" s="88">
        <f t="shared" si="18"/>
        <v>1178.260458400116</v>
      </c>
      <c r="V27" s="88">
        <f t="shared" si="19"/>
        <v>907294.29049254826</v>
      </c>
      <c r="W27" s="88">
        <v>9000</v>
      </c>
      <c r="X27" s="88">
        <f t="shared" si="20"/>
        <v>2902.2451314157306</v>
      </c>
      <c r="Y27" s="88">
        <f t="shared" si="0"/>
        <v>919196.53562396404</v>
      </c>
      <c r="Z27" s="88">
        <v>9000</v>
      </c>
      <c r="AA27" s="88">
        <f t="shared" si="21"/>
        <v>1949.7585051105923</v>
      </c>
      <c r="AB27" s="88">
        <f t="shared" si="1"/>
        <v>930146.29412907467</v>
      </c>
      <c r="AC27" s="88">
        <v>9000</v>
      </c>
      <c r="AD27" s="88">
        <f t="shared" si="22"/>
        <v>2488.8494307259011</v>
      </c>
      <c r="AE27" s="88">
        <f t="shared" si="2"/>
        <v>941635.14355980058</v>
      </c>
      <c r="AF27" s="88">
        <v>9000</v>
      </c>
      <c r="AG27" s="88">
        <f t="shared" si="3"/>
        <v>0</v>
      </c>
      <c r="AH27" s="88">
        <f t="shared" si="4"/>
        <v>950635.14355980058</v>
      </c>
      <c r="AI27" s="88">
        <v>9000</v>
      </c>
      <c r="AJ27" s="88">
        <f t="shared" si="23"/>
        <v>729.48710486042557</v>
      </c>
      <c r="AK27" s="88">
        <f t="shared" si="5"/>
        <v>960364.63066466106</v>
      </c>
      <c r="AL27" s="88">
        <v>9000</v>
      </c>
      <c r="AM27" s="88">
        <f t="shared" si="24"/>
        <v>0</v>
      </c>
      <c r="AN27" s="88">
        <f t="shared" si="6"/>
        <v>969364.63066466106</v>
      </c>
      <c r="AO27" s="88">
        <v>9000</v>
      </c>
      <c r="AP27" s="88">
        <f t="shared" si="25"/>
        <v>0</v>
      </c>
      <c r="AQ27" s="88">
        <f t="shared" si="26"/>
        <v>978364.63066466106</v>
      </c>
      <c r="AR27" s="88">
        <f t="shared" si="27"/>
        <v>600000</v>
      </c>
      <c r="AS27" s="88">
        <f t="shared" si="27"/>
        <v>200752.48017057346</v>
      </c>
      <c r="AT27" s="88">
        <f t="shared" si="32"/>
        <v>108000</v>
      </c>
      <c r="AU27" s="88">
        <f t="shared" si="28"/>
        <v>69612.150494087356</v>
      </c>
      <c r="AV27" s="88">
        <f t="shared" si="29"/>
        <v>978364.63066466106</v>
      </c>
      <c r="AW27" s="88">
        <v>630000</v>
      </c>
      <c r="AX27" s="88"/>
      <c r="AY27" s="88"/>
      <c r="AZ27" s="88"/>
      <c r="BA27" s="88"/>
      <c r="BB27" s="88">
        <f t="shared" si="30"/>
        <v>348364.63066466106</v>
      </c>
      <c r="BC27" s="88"/>
      <c r="BD27" s="88">
        <f t="shared" si="33"/>
        <v>348364.63066466106</v>
      </c>
      <c r="BE27" s="83">
        <v>0</v>
      </c>
      <c r="BF27" s="90">
        <f t="shared" si="31"/>
        <v>348364.63066466106</v>
      </c>
    </row>
    <row r="28" spans="1:58" ht="15.75" x14ac:dyDescent="0.3">
      <c r="A28" s="208" t="s">
        <v>456</v>
      </c>
      <c r="B28" s="83" t="s">
        <v>40</v>
      </c>
      <c r="C28" s="144">
        <v>600000</v>
      </c>
      <c r="D28" s="89">
        <v>103606.47183067317</v>
      </c>
      <c r="E28" s="88">
        <f t="shared" si="7"/>
        <v>703606.47183067317</v>
      </c>
      <c r="F28" s="88">
        <f t="shared" si="8"/>
        <v>44694.553245402341</v>
      </c>
      <c r="G28" s="88">
        <f t="shared" si="9"/>
        <v>748301.02507607546</v>
      </c>
      <c r="H28" s="88">
        <v>119000</v>
      </c>
      <c r="I28" s="88">
        <f t="shared" si="10"/>
        <v>0</v>
      </c>
      <c r="J28" s="88">
        <f t="shared" si="11"/>
        <v>867301.02507607546</v>
      </c>
      <c r="K28" s="158">
        <v>9000</v>
      </c>
      <c r="L28" s="88">
        <f t="shared" si="12"/>
        <v>1200.6942247165082</v>
      </c>
      <c r="M28" s="88">
        <f t="shared" si="13"/>
        <v>877501.71930079197</v>
      </c>
      <c r="N28" s="88">
        <v>9000</v>
      </c>
      <c r="O28" s="88">
        <f t="shared" si="14"/>
        <v>239.7153596678744</v>
      </c>
      <c r="P28" s="88">
        <f t="shared" si="15"/>
        <v>886741.43466045987</v>
      </c>
      <c r="Q28" s="88">
        <v>9000</v>
      </c>
      <c r="R28" s="88">
        <f t="shared" si="16"/>
        <v>8129.388687362698</v>
      </c>
      <c r="S28" s="88">
        <f t="shared" si="17"/>
        <v>903870.82334782253</v>
      </c>
      <c r="T28" s="88">
        <v>9000</v>
      </c>
      <c r="U28" s="88">
        <f t="shared" si="18"/>
        <v>1187.0439978171023</v>
      </c>
      <c r="V28" s="88">
        <f t="shared" si="19"/>
        <v>914057.86734563962</v>
      </c>
      <c r="W28" s="88">
        <v>9000</v>
      </c>
      <c r="X28" s="88">
        <f t="shared" si="20"/>
        <v>2923.6678972198138</v>
      </c>
      <c r="Y28" s="88">
        <f t="shared" si="0"/>
        <v>925981.53524285939</v>
      </c>
      <c r="Z28" s="88">
        <v>9000</v>
      </c>
      <c r="AA28" s="88">
        <f t="shared" si="21"/>
        <v>1964.0109938954381</v>
      </c>
      <c r="AB28" s="88">
        <f t="shared" si="1"/>
        <v>936945.54623675486</v>
      </c>
      <c r="AC28" s="88">
        <v>9000</v>
      </c>
      <c r="AD28" s="88">
        <f t="shared" si="22"/>
        <v>2506.8682578706698</v>
      </c>
      <c r="AE28" s="88">
        <f t="shared" si="2"/>
        <v>948452.41449462553</v>
      </c>
      <c r="AF28" s="88">
        <v>9000</v>
      </c>
      <c r="AG28" s="88">
        <f t="shared" si="3"/>
        <v>0</v>
      </c>
      <c r="AH28" s="88">
        <f t="shared" si="4"/>
        <v>957452.41449462553</v>
      </c>
      <c r="AI28" s="88">
        <v>9000</v>
      </c>
      <c r="AJ28" s="88">
        <f t="shared" si="23"/>
        <v>734.66939864225458</v>
      </c>
      <c r="AK28" s="88">
        <f t="shared" si="5"/>
        <v>967187.08389326779</v>
      </c>
      <c r="AL28" s="88">
        <v>9500</v>
      </c>
      <c r="AM28" s="88">
        <f t="shared" si="24"/>
        <v>0</v>
      </c>
      <c r="AN28" s="88">
        <f t="shared" si="6"/>
        <v>976687.08389326779</v>
      </c>
      <c r="AO28" s="88">
        <v>9000</v>
      </c>
      <c r="AP28" s="88">
        <f t="shared" si="25"/>
        <v>0</v>
      </c>
      <c r="AQ28" s="88">
        <f t="shared" si="26"/>
        <v>985687.08389326779</v>
      </c>
      <c r="AR28" s="88">
        <f t="shared" si="27"/>
        <v>600000</v>
      </c>
      <c r="AS28" s="88">
        <f t="shared" si="27"/>
        <v>103606.47183067317</v>
      </c>
      <c r="AT28" s="88">
        <f t="shared" si="32"/>
        <v>218500</v>
      </c>
      <c r="AU28" s="88">
        <f t="shared" si="28"/>
        <v>63580.612062594708</v>
      </c>
      <c r="AV28" s="88">
        <f t="shared" si="29"/>
        <v>985687.08389326779</v>
      </c>
      <c r="AW28" s="88">
        <v>630000</v>
      </c>
      <c r="AX28" s="88"/>
      <c r="AY28" s="88"/>
      <c r="AZ28" s="88"/>
      <c r="BA28" s="88"/>
      <c r="BB28" s="88">
        <f t="shared" si="30"/>
        <v>355687.08389326779</v>
      </c>
      <c r="BC28" s="88"/>
      <c r="BD28" s="88">
        <f t="shared" si="33"/>
        <v>355687.08389326779</v>
      </c>
      <c r="BE28" s="83">
        <v>0</v>
      </c>
      <c r="BF28" s="90">
        <f t="shared" si="31"/>
        <v>355687.08389326779</v>
      </c>
    </row>
    <row r="29" spans="1:58" ht="15.75" x14ac:dyDescent="0.3">
      <c r="A29" s="208" t="s">
        <v>457</v>
      </c>
      <c r="B29" s="83" t="s">
        <v>105</v>
      </c>
      <c r="C29" s="144">
        <v>600000</v>
      </c>
      <c r="D29" s="89">
        <v>4207.8699443503283</v>
      </c>
      <c r="E29" s="88">
        <f t="shared" si="7"/>
        <v>604207.86994435033</v>
      </c>
      <c r="F29" s="88">
        <f t="shared" si="8"/>
        <v>38380.546364584545</v>
      </c>
      <c r="G29" s="88">
        <f t="shared" si="9"/>
        <v>642588.41630893492</v>
      </c>
      <c r="H29" s="88">
        <v>9000</v>
      </c>
      <c r="I29" s="88">
        <f t="shared" si="10"/>
        <v>0</v>
      </c>
      <c r="J29" s="88">
        <f t="shared" si="11"/>
        <v>651588.41630893492</v>
      </c>
      <c r="K29" s="135">
        <v>9000</v>
      </c>
      <c r="L29" s="88">
        <f t="shared" si="12"/>
        <v>905.12811657147677</v>
      </c>
      <c r="M29" s="88">
        <f t="shared" si="13"/>
        <v>661493.54442550638</v>
      </c>
      <c r="N29" s="88">
        <v>9000</v>
      </c>
      <c r="O29" s="88">
        <f t="shared" si="14"/>
        <v>181.30545903928808</v>
      </c>
      <c r="P29" s="88">
        <f t="shared" si="15"/>
        <v>670674.84988454566</v>
      </c>
      <c r="Q29" s="88">
        <v>9000</v>
      </c>
      <c r="R29" s="88">
        <f t="shared" si="16"/>
        <v>6168.4553398278422</v>
      </c>
      <c r="S29" s="88">
        <f t="shared" si="17"/>
        <v>685843.30522437347</v>
      </c>
      <c r="T29" s="88">
        <v>9000</v>
      </c>
      <c r="U29" s="88">
        <f t="shared" si="18"/>
        <v>903.53372437199687</v>
      </c>
      <c r="V29" s="88">
        <f t="shared" si="19"/>
        <v>695746.83894874551</v>
      </c>
      <c r="W29" s="88">
        <v>9000</v>
      </c>
      <c r="X29" s="88">
        <f t="shared" si="20"/>
        <v>2232.1955985561785</v>
      </c>
      <c r="Y29" s="88">
        <f t="shared" si="0"/>
        <v>706979.03454730171</v>
      </c>
      <c r="Z29" s="88">
        <v>9000</v>
      </c>
      <c r="AA29" s="88">
        <f t="shared" si="21"/>
        <v>1503.9769687903915</v>
      </c>
      <c r="AB29" s="88">
        <f t="shared" si="1"/>
        <v>717483.01151609211</v>
      </c>
      <c r="AC29" s="88">
        <v>9000</v>
      </c>
      <c r="AD29" s="88">
        <f t="shared" si="22"/>
        <v>1925.2664264843079</v>
      </c>
      <c r="AE29" s="88">
        <f t="shared" si="2"/>
        <v>728408.27794257645</v>
      </c>
      <c r="AF29" s="88">
        <v>9000</v>
      </c>
      <c r="AG29" s="88">
        <f t="shared" si="3"/>
        <v>0</v>
      </c>
      <c r="AH29" s="88">
        <f t="shared" si="4"/>
        <v>737408.27794257645</v>
      </c>
      <c r="AI29" s="88">
        <v>9000</v>
      </c>
      <c r="AJ29" s="88">
        <f t="shared" si="23"/>
        <v>567.39815895066283</v>
      </c>
      <c r="AK29" s="88">
        <f t="shared" si="5"/>
        <v>746975.67610152706</v>
      </c>
      <c r="AL29" s="88">
        <v>9000</v>
      </c>
      <c r="AM29" s="88">
        <f t="shared" si="24"/>
        <v>0</v>
      </c>
      <c r="AN29" s="88">
        <f t="shared" si="6"/>
        <v>755975.67610152706</v>
      </c>
      <c r="AO29" s="88">
        <v>9000</v>
      </c>
      <c r="AP29" s="88">
        <f t="shared" si="25"/>
        <v>0</v>
      </c>
      <c r="AQ29" s="88">
        <f t="shared" si="26"/>
        <v>764975.67610152706</v>
      </c>
      <c r="AR29" s="88">
        <f t="shared" si="27"/>
        <v>600000</v>
      </c>
      <c r="AS29" s="88">
        <f t="shared" si="27"/>
        <v>4207.8699443503283</v>
      </c>
      <c r="AT29" s="88">
        <f t="shared" si="32"/>
        <v>108000</v>
      </c>
      <c r="AU29" s="88">
        <f t="shared" si="28"/>
        <v>52767.806157176696</v>
      </c>
      <c r="AV29" s="88">
        <f t="shared" si="29"/>
        <v>764975.67610152706</v>
      </c>
      <c r="AW29" s="88">
        <v>630000</v>
      </c>
      <c r="AX29" s="88"/>
      <c r="AY29" s="88"/>
      <c r="AZ29" s="88"/>
      <c r="BA29" s="88"/>
      <c r="BB29" s="88">
        <f t="shared" si="30"/>
        <v>134975.67610152706</v>
      </c>
      <c r="BC29" s="88"/>
      <c r="BD29" s="88">
        <f t="shared" si="33"/>
        <v>134975.67610152706</v>
      </c>
      <c r="BE29" s="83">
        <v>0</v>
      </c>
      <c r="BF29" s="90">
        <f t="shared" si="31"/>
        <v>134975.67610152706</v>
      </c>
    </row>
    <row r="30" spans="1:58" ht="15.75" x14ac:dyDescent="0.3">
      <c r="A30" s="208" t="s">
        <v>458</v>
      </c>
      <c r="B30" s="83" t="s">
        <v>106</v>
      </c>
      <c r="C30" s="144">
        <v>600000</v>
      </c>
      <c r="D30" s="89">
        <v>914734.42229355336</v>
      </c>
      <c r="E30" s="88">
        <f t="shared" si="7"/>
        <v>1514734.4222935534</v>
      </c>
      <c r="F30" s="88">
        <f t="shared" si="8"/>
        <v>96219.095474914066</v>
      </c>
      <c r="G30" s="88">
        <f t="shared" si="9"/>
        <v>1610953.5177684673</v>
      </c>
      <c r="H30" s="88">
        <v>9000</v>
      </c>
      <c r="I30" s="88">
        <f t="shared" si="10"/>
        <v>0</v>
      </c>
      <c r="J30" s="88">
        <f t="shared" si="11"/>
        <v>1619953.5177684673</v>
      </c>
      <c r="K30" s="135">
        <v>9000</v>
      </c>
      <c r="L30" s="88">
        <f t="shared" si="12"/>
        <v>2231.9671267603972</v>
      </c>
      <c r="M30" s="88">
        <f t="shared" si="13"/>
        <v>1631185.4848952277</v>
      </c>
      <c r="N30" s="88">
        <v>3000</v>
      </c>
      <c r="O30" s="88">
        <f t="shared" si="14"/>
        <v>441.89351554180263</v>
      </c>
      <c r="P30" s="88">
        <f t="shared" si="15"/>
        <v>1634627.3784107696</v>
      </c>
      <c r="Q30" s="88">
        <v>0</v>
      </c>
      <c r="R30" s="88">
        <f t="shared" si="16"/>
        <v>14835.220080159637</v>
      </c>
      <c r="S30" s="88">
        <f t="shared" si="17"/>
        <v>1649462.5984909292</v>
      </c>
      <c r="T30" s="88">
        <v>17000</v>
      </c>
      <c r="U30" s="88">
        <f t="shared" si="18"/>
        <v>2166.9708074037417</v>
      </c>
      <c r="V30" s="88">
        <f t="shared" si="19"/>
        <v>1668629.569298333</v>
      </c>
      <c r="W30" s="88">
        <v>9000</v>
      </c>
      <c r="X30" s="88">
        <f t="shared" si="20"/>
        <v>5313.6773854586754</v>
      </c>
      <c r="Y30" s="88">
        <f t="shared" si="0"/>
        <v>1682943.2466837917</v>
      </c>
      <c r="Z30" s="88">
        <v>9000</v>
      </c>
      <c r="AA30" s="88">
        <f t="shared" si="21"/>
        <v>3554.0756820090223</v>
      </c>
      <c r="AB30" s="88">
        <f t="shared" si="1"/>
        <v>1695497.3223658009</v>
      </c>
      <c r="AC30" s="88">
        <v>9000</v>
      </c>
      <c r="AD30" s="88">
        <f t="shared" si="22"/>
        <v>4517.1207265189942</v>
      </c>
      <c r="AE30" s="88">
        <f t="shared" si="2"/>
        <v>1709014.4430923199</v>
      </c>
      <c r="AF30" s="88">
        <v>9000</v>
      </c>
      <c r="AG30" s="88">
        <f t="shared" si="3"/>
        <v>0</v>
      </c>
      <c r="AH30" s="88">
        <f t="shared" si="4"/>
        <v>1718014.4430923199</v>
      </c>
      <c r="AI30" s="88">
        <v>9000</v>
      </c>
      <c r="AJ30" s="88">
        <f t="shared" si="23"/>
        <v>1312.8268327795447</v>
      </c>
      <c r="AK30" s="88">
        <f t="shared" si="5"/>
        <v>1728327.2699250993</v>
      </c>
      <c r="AL30" s="88">
        <v>6000</v>
      </c>
      <c r="AM30" s="88">
        <f t="shared" si="24"/>
        <v>0</v>
      </c>
      <c r="AN30" s="88">
        <f t="shared" si="6"/>
        <v>1734327.2699250993</v>
      </c>
      <c r="AO30" s="88">
        <v>9000</v>
      </c>
      <c r="AP30" s="88">
        <f t="shared" si="25"/>
        <v>0</v>
      </c>
      <c r="AQ30" s="88">
        <f t="shared" si="26"/>
        <v>1743327.2699250993</v>
      </c>
      <c r="AR30" s="88">
        <f t="shared" si="27"/>
        <v>600000</v>
      </c>
      <c r="AS30" s="88">
        <f t="shared" si="27"/>
        <v>914734.42229355336</v>
      </c>
      <c r="AT30" s="88">
        <f t="shared" si="32"/>
        <v>98000</v>
      </c>
      <c r="AU30" s="88">
        <f t="shared" si="28"/>
        <v>130592.84763154587</v>
      </c>
      <c r="AV30" s="88">
        <f t="shared" si="29"/>
        <v>1743327.2699250993</v>
      </c>
      <c r="AW30" s="88">
        <v>630000</v>
      </c>
      <c r="AX30" s="88"/>
      <c r="AY30" s="88"/>
      <c r="AZ30" s="88"/>
      <c r="BA30" s="88"/>
      <c r="BB30" s="88">
        <f t="shared" si="30"/>
        <v>1113327.2699250993</v>
      </c>
      <c r="BC30" s="88"/>
      <c r="BD30" s="88">
        <f t="shared" si="33"/>
        <v>1113327.2699250993</v>
      </c>
      <c r="BE30" s="83">
        <v>0</v>
      </c>
      <c r="BF30" s="90">
        <f t="shared" si="31"/>
        <v>1113327.2699250993</v>
      </c>
    </row>
    <row r="31" spans="1:58" ht="15.75" x14ac:dyDescent="0.3">
      <c r="A31" s="208" t="s">
        <v>459</v>
      </c>
      <c r="B31" s="83" t="s">
        <v>107</v>
      </c>
      <c r="C31" s="144">
        <v>600000</v>
      </c>
      <c r="D31" s="89">
        <v>1057774.2356918815</v>
      </c>
      <c r="E31" s="88">
        <f t="shared" si="7"/>
        <v>1657774.2356918815</v>
      </c>
      <c r="F31" s="88">
        <f t="shared" si="8"/>
        <v>105305.28329736282</v>
      </c>
      <c r="G31" s="88">
        <f t="shared" si="9"/>
        <v>1763079.5189892442</v>
      </c>
      <c r="H31" s="88">
        <v>9000</v>
      </c>
      <c r="I31" s="88">
        <f t="shared" si="10"/>
        <v>0</v>
      </c>
      <c r="J31" s="88">
        <f t="shared" si="11"/>
        <v>1772079.5189892442</v>
      </c>
      <c r="K31" s="135">
        <v>9000</v>
      </c>
      <c r="L31" s="88">
        <f t="shared" si="12"/>
        <v>2440.4078404742104</v>
      </c>
      <c r="M31" s="88">
        <f t="shared" si="13"/>
        <v>1783519.9268297185</v>
      </c>
      <c r="N31" s="88">
        <v>9000</v>
      </c>
      <c r="O31" s="88">
        <f t="shared" si="14"/>
        <v>484.70809431788769</v>
      </c>
      <c r="P31" s="88">
        <f t="shared" si="15"/>
        <v>1793004.6349240365</v>
      </c>
      <c r="Q31" s="88">
        <v>9000</v>
      </c>
      <c r="R31" s="88">
        <f t="shared" si="16"/>
        <v>16354.268683885926</v>
      </c>
      <c r="S31" s="88">
        <f t="shared" si="17"/>
        <v>1818358.9036079224</v>
      </c>
      <c r="T31" s="88">
        <v>9000</v>
      </c>
      <c r="U31" s="88">
        <f t="shared" si="18"/>
        <v>2376.1909822359744</v>
      </c>
      <c r="V31" s="88">
        <f t="shared" si="19"/>
        <v>1829735.0945901584</v>
      </c>
      <c r="W31" s="88">
        <v>9000</v>
      </c>
      <c r="X31" s="88">
        <f t="shared" si="20"/>
        <v>5823.9585596118359</v>
      </c>
      <c r="Y31" s="88">
        <f t="shared" si="0"/>
        <v>1844559.0531497702</v>
      </c>
      <c r="Z31" s="88">
        <v>9000</v>
      </c>
      <c r="AA31" s="88">
        <f t="shared" si="21"/>
        <v>3893.5639058101601</v>
      </c>
      <c r="AB31" s="88">
        <f t="shared" si="1"/>
        <v>1857452.6170555805</v>
      </c>
      <c r="AC31" s="88">
        <v>9000</v>
      </c>
      <c r="AD31" s="88">
        <f t="shared" si="22"/>
        <v>4946.3215288982501</v>
      </c>
      <c r="AE31" s="88">
        <f t="shared" si="2"/>
        <v>1871398.9385844788</v>
      </c>
      <c r="AF31" s="88">
        <v>9000</v>
      </c>
      <c r="AG31" s="88">
        <f t="shared" si="3"/>
        <v>0</v>
      </c>
      <c r="AH31" s="88">
        <f t="shared" si="4"/>
        <v>1880398.9385844788</v>
      </c>
      <c r="AI31" s="88">
        <v>9000</v>
      </c>
      <c r="AJ31" s="88">
        <f t="shared" si="23"/>
        <v>1436.2668675529419</v>
      </c>
      <c r="AK31" s="88">
        <f t="shared" si="5"/>
        <v>1890835.2054520317</v>
      </c>
      <c r="AL31" s="88">
        <v>9000</v>
      </c>
      <c r="AM31" s="88">
        <f t="shared" si="24"/>
        <v>0</v>
      </c>
      <c r="AN31" s="88">
        <f t="shared" si="6"/>
        <v>1899835.2054520317</v>
      </c>
      <c r="AO31" s="88">
        <v>9000</v>
      </c>
      <c r="AP31" s="88">
        <f t="shared" si="25"/>
        <v>0</v>
      </c>
      <c r="AQ31" s="88">
        <f t="shared" si="26"/>
        <v>1908835.2054520317</v>
      </c>
      <c r="AR31" s="88">
        <f t="shared" si="27"/>
        <v>600000</v>
      </c>
      <c r="AS31" s="88">
        <f t="shared" si="27"/>
        <v>1057774.2356918815</v>
      </c>
      <c r="AT31" s="88">
        <f t="shared" si="32"/>
        <v>108000</v>
      </c>
      <c r="AU31" s="88">
        <f t="shared" si="28"/>
        <v>143060.96976015001</v>
      </c>
      <c r="AV31" s="88">
        <f t="shared" si="29"/>
        <v>1908835.2054520317</v>
      </c>
      <c r="AW31" s="88">
        <v>630000</v>
      </c>
      <c r="AX31" s="88"/>
      <c r="AY31" s="88"/>
      <c r="AZ31" s="88"/>
      <c r="BA31" s="88"/>
      <c r="BB31" s="88">
        <f t="shared" si="30"/>
        <v>1278835.2054520317</v>
      </c>
      <c r="BC31" s="88"/>
      <c r="BD31" s="88">
        <f t="shared" si="33"/>
        <v>1278835.2054520317</v>
      </c>
      <c r="BE31" s="83">
        <v>0</v>
      </c>
      <c r="BF31" s="90">
        <f t="shared" si="31"/>
        <v>1278835.2054520317</v>
      </c>
    </row>
    <row r="32" spans="1:58" s="16" customFormat="1" ht="15.75" x14ac:dyDescent="0.3">
      <c r="A32" s="208" t="s">
        <v>433</v>
      </c>
      <c r="B32" s="145" t="s">
        <v>111</v>
      </c>
      <c r="C32" s="146">
        <v>0</v>
      </c>
      <c r="D32" s="89"/>
      <c r="E32" s="88"/>
      <c r="F32" s="88"/>
      <c r="G32" s="88"/>
      <c r="H32" s="88">
        <v>609000</v>
      </c>
      <c r="I32" s="88">
        <f t="shared" si="10"/>
        <v>0</v>
      </c>
      <c r="J32" s="88">
        <f t="shared" si="11"/>
        <v>609000</v>
      </c>
      <c r="K32" s="158">
        <v>9000</v>
      </c>
      <c r="L32" s="88">
        <f t="shared" si="12"/>
        <v>846.77412172419099</v>
      </c>
      <c r="M32" s="88">
        <f t="shared" si="13"/>
        <v>618846.77412172419</v>
      </c>
      <c r="N32" s="88">
        <v>9000</v>
      </c>
      <c r="O32" s="88">
        <f t="shared" si="14"/>
        <v>169.77351763469881</v>
      </c>
      <c r="P32" s="88">
        <f t="shared" si="15"/>
        <v>628016.54763935891</v>
      </c>
      <c r="Q32" s="88">
        <v>9000</v>
      </c>
      <c r="R32" s="88">
        <f t="shared" si="16"/>
        <v>5781.3057604120222</v>
      </c>
      <c r="S32" s="88">
        <f t="shared" si="17"/>
        <v>642797.85339977092</v>
      </c>
      <c r="T32" s="88">
        <v>9000</v>
      </c>
      <c r="U32" s="88">
        <f t="shared" si="18"/>
        <v>847.5599283924854</v>
      </c>
      <c r="V32" s="88">
        <f t="shared" ref="V32:V38" si="34">+S32+T32+U32</f>
        <v>652645.41332816344</v>
      </c>
      <c r="W32" s="88">
        <v>9000</v>
      </c>
      <c r="X32" s="88">
        <f t="shared" si="20"/>
        <v>2095.6773380340383</v>
      </c>
      <c r="Y32" s="88">
        <f t="shared" si="0"/>
        <v>663741.09066619747</v>
      </c>
      <c r="Z32" s="88">
        <v>6000</v>
      </c>
      <c r="AA32" s="88">
        <f t="shared" si="21"/>
        <v>1406.8500986923409</v>
      </c>
      <c r="AB32" s="88">
        <f t="shared" ref="AB32:AB38" si="35">+Y32+Z32+AA32</f>
        <v>671147.94076488982</v>
      </c>
      <c r="AC32" s="88">
        <v>9000</v>
      </c>
      <c r="AD32" s="88">
        <f t="shared" si="22"/>
        <v>1802.4729754717389</v>
      </c>
      <c r="AE32" s="88">
        <f t="shared" ref="AE32:AE38" si="36">+AB32+AC32+AD32</f>
        <v>681950.41374036158</v>
      </c>
      <c r="AF32" s="88">
        <v>9000</v>
      </c>
      <c r="AG32" s="88">
        <f t="shared" ref="AG32:AG38" si="37">+(0/20256265)*(AE32+AF32)</f>
        <v>0</v>
      </c>
      <c r="AH32" s="88">
        <f t="shared" ref="AH32:AH38" si="38">+AE32+AF32+AG32</f>
        <v>690950.41374036158</v>
      </c>
      <c r="AI32" s="88">
        <v>9000</v>
      </c>
      <c r="AJ32" s="88">
        <f t="shared" si="23"/>
        <v>532.08222342838212</v>
      </c>
      <c r="AK32" s="88">
        <f t="shared" ref="AK32:AK38" si="39">+AH32+AI32+AJ32</f>
        <v>700482.49596378999</v>
      </c>
      <c r="AL32" s="88">
        <v>9000</v>
      </c>
      <c r="AM32" s="88">
        <f t="shared" ref="AM32:AM38" si="40">+(0/(23068716+171000))*(AK32+AL32)</f>
        <v>0</v>
      </c>
      <c r="AN32" s="88">
        <f t="shared" ref="AN32:AN38" si="41">+AK32+AL32+AM32</f>
        <v>709482.49596378999</v>
      </c>
      <c r="AO32" s="88">
        <v>9000</v>
      </c>
      <c r="AP32" s="88">
        <f t="shared" ref="AP32:AP38" si="42">+(0/20000)*(AN32+AO32)</f>
        <v>0</v>
      </c>
      <c r="AQ32" s="88">
        <f t="shared" ref="AQ32:AQ38" si="43">+AN32+AO32+AP32</f>
        <v>718482.49596378999</v>
      </c>
      <c r="AR32" s="88">
        <f t="shared" ref="AR32:AR38" si="44">+C32</f>
        <v>0</v>
      </c>
      <c r="AS32" s="88">
        <f t="shared" ref="AS32:AS38" si="45">+D32</f>
        <v>0</v>
      </c>
      <c r="AT32" s="88">
        <f t="shared" ref="AT32:AT38" si="46">+H32+K32+N32+Q32+T32+W32+Z32+AC32+AF32+AI32+AL32+AO32</f>
        <v>705000</v>
      </c>
      <c r="AU32" s="88">
        <f t="shared" ref="AU32:AU38" si="47">+F32+I32+L32+O32+R32+U32+X32+AA32+AD32+AG32+AJ32+AM32+AP32</f>
        <v>13482.495963789899</v>
      </c>
      <c r="AV32" s="88">
        <f t="shared" ref="AV32:AV38" si="48">+AN32+AO32+AP32</f>
        <v>718482.49596378999</v>
      </c>
      <c r="AW32" s="88">
        <v>630000</v>
      </c>
      <c r="AX32" s="88"/>
      <c r="AY32" s="88"/>
      <c r="AZ32" s="88"/>
      <c r="BA32" s="88"/>
      <c r="BB32" s="88">
        <f t="shared" si="30"/>
        <v>88482.495963789988</v>
      </c>
      <c r="BC32" s="88"/>
      <c r="BD32" s="88">
        <f t="shared" ref="BD32:BD38" si="49">+BB32</f>
        <v>88482.495963789988</v>
      </c>
      <c r="BE32" s="83">
        <v>0</v>
      </c>
      <c r="BF32" s="90">
        <f t="shared" ref="BF32:BF38" si="50">+BD32-BE32</f>
        <v>88482.495963789988</v>
      </c>
    </row>
    <row r="33" spans="1:58" s="16" customFormat="1" ht="15.75" x14ac:dyDescent="0.3">
      <c r="A33" s="208" t="s">
        <v>460</v>
      </c>
      <c r="B33" s="145" t="s">
        <v>187</v>
      </c>
      <c r="C33" s="146">
        <v>0</v>
      </c>
      <c r="D33" s="89"/>
      <c r="E33" s="88"/>
      <c r="F33" s="88"/>
      <c r="G33" s="88"/>
      <c r="H33" s="88">
        <v>9000</v>
      </c>
      <c r="I33" s="88">
        <f t="shared" si="10"/>
        <v>0</v>
      </c>
      <c r="J33" s="88">
        <f t="shared" si="11"/>
        <v>9000</v>
      </c>
      <c r="K33" s="135">
        <v>9000</v>
      </c>
      <c r="L33" s="88"/>
      <c r="M33" s="88">
        <f t="shared" si="13"/>
        <v>18000</v>
      </c>
      <c r="N33" s="88">
        <v>9000</v>
      </c>
      <c r="O33" s="88">
        <f t="shared" ref="O33:O36" si="51">+(0/(20587216+246000))*(M33+N33)</f>
        <v>0</v>
      </c>
      <c r="P33" s="88">
        <f t="shared" si="15"/>
        <v>27000</v>
      </c>
      <c r="Q33" s="88">
        <v>9000</v>
      </c>
      <c r="R33" s="88">
        <f t="shared" ref="R33:R36" si="52">+(0/20256265)*(P33+Q33)</f>
        <v>0</v>
      </c>
      <c r="S33" s="88">
        <f t="shared" si="17"/>
        <v>36000</v>
      </c>
      <c r="T33" s="88">
        <v>6000</v>
      </c>
      <c r="U33" s="88">
        <f t="shared" ref="U33:U38" si="53">+(0/20256265)*(S33+T33)</f>
        <v>0</v>
      </c>
      <c r="V33" s="88">
        <f t="shared" si="34"/>
        <v>42000</v>
      </c>
      <c r="W33" s="88">
        <v>9000</v>
      </c>
      <c r="X33" s="88">
        <v>0</v>
      </c>
      <c r="Y33" s="88">
        <f t="shared" si="0"/>
        <v>51000</v>
      </c>
      <c r="Z33" s="88">
        <v>9000</v>
      </c>
      <c r="AA33" s="88">
        <f t="shared" ref="AA33:AA38" si="54">+(0/(22195216+233000))*(Y33+Z33)</f>
        <v>0</v>
      </c>
      <c r="AB33" s="88">
        <f t="shared" si="35"/>
        <v>60000</v>
      </c>
      <c r="AC33" s="88">
        <v>0</v>
      </c>
      <c r="AD33" s="88">
        <f t="shared" ref="AD33:AD38" si="55">+(0/20256265)*(AB33+AC33)</f>
        <v>0</v>
      </c>
      <c r="AE33" s="88">
        <f t="shared" si="36"/>
        <v>60000</v>
      </c>
      <c r="AF33" s="88">
        <v>0</v>
      </c>
      <c r="AG33" s="88">
        <f t="shared" si="37"/>
        <v>0</v>
      </c>
      <c r="AH33" s="88">
        <f t="shared" si="38"/>
        <v>60000</v>
      </c>
      <c r="AI33" s="88">
        <v>0</v>
      </c>
      <c r="AJ33" s="88">
        <f t="shared" ref="AJ33:AJ38" si="56">+(0/20256265)*(AH33+AI33)</f>
        <v>0</v>
      </c>
      <c r="AK33" s="88">
        <f t="shared" si="39"/>
        <v>60000</v>
      </c>
      <c r="AL33" s="88">
        <v>15000</v>
      </c>
      <c r="AM33" s="88">
        <f t="shared" si="40"/>
        <v>0</v>
      </c>
      <c r="AN33" s="88">
        <f t="shared" si="41"/>
        <v>75000</v>
      </c>
      <c r="AO33" s="88">
        <v>9000</v>
      </c>
      <c r="AP33" s="88">
        <f t="shared" si="42"/>
        <v>0</v>
      </c>
      <c r="AQ33" s="88">
        <f t="shared" si="43"/>
        <v>84000</v>
      </c>
      <c r="AR33" s="88">
        <f t="shared" si="44"/>
        <v>0</v>
      </c>
      <c r="AS33" s="88">
        <f t="shared" si="45"/>
        <v>0</v>
      </c>
      <c r="AT33" s="88">
        <f t="shared" si="46"/>
        <v>84000</v>
      </c>
      <c r="AU33" s="88">
        <f t="shared" si="47"/>
        <v>0</v>
      </c>
      <c r="AV33" s="88">
        <f t="shared" si="48"/>
        <v>84000</v>
      </c>
      <c r="AW33" s="88">
        <v>630000</v>
      </c>
      <c r="AX33" s="88"/>
      <c r="AY33" s="88"/>
      <c r="AZ33" s="88"/>
      <c r="BA33" s="88"/>
      <c r="BB33" s="88">
        <f t="shared" si="30"/>
        <v>-546000</v>
      </c>
      <c r="BC33" s="88"/>
      <c r="BD33" s="88">
        <f t="shared" si="49"/>
        <v>-546000</v>
      </c>
      <c r="BE33" s="83">
        <v>0</v>
      </c>
      <c r="BF33" s="90">
        <f t="shared" si="50"/>
        <v>-546000</v>
      </c>
    </row>
    <row r="34" spans="1:58" s="16" customFormat="1" ht="15.75" x14ac:dyDescent="0.3">
      <c r="A34" s="208" t="s">
        <v>461</v>
      </c>
      <c r="B34" s="145" t="s">
        <v>165</v>
      </c>
      <c r="C34" s="146">
        <v>0</v>
      </c>
      <c r="D34" s="89"/>
      <c r="E34" s="88"/>
      <c r="F34" s="88"/>
      <c r="G34" s="88"/>
      <c r="H34" s="88">
        <v>9000</v>
      </c>
      <c r="I34" s="88">
        <f t="shared" si="10"/>
        <v>0</v>
      </c>
      <c r="J34" s="88">
        <f t="shared" si="11"/>
        <v>9000</v>
      </c>
      <c r="K34" s="158">
        <v>9000</v>
      </c>
      <c r="L34" s="88"/>
      <c r="M34" s="88">
        <f t="shared" si="13"/>
        <v>18000</v>
      </c>
      <c r="N34" s="88">
        <v>9000</v>
      </c>
      <c r="O34" s="88">
        <f t="shared" si="51"/>
        <v>0</v>
      </c>
      <c r="P34" s="88">
        <f t="shared" si="15"/>
        <v>27000</v>
      </c>
      <c r="Q34" s="88">
        <v>9000</v>
      </c>
      <c r="R34" s="88">
        <f t="shared" si="52"/>
        <v>0</v>
      </c>
      <c r="S34" s="88">
        <f t="shared" si="17"/>
        <v>36000</v>
      </c>
      <c r="T34" s="88">
        <v>9000</v>
      </c>
      <c r="U34" s="88">
        <f t="shared" si="53"/>
        <v>0</v>
      </c>
      <c r="V34" s="88">
        <f t="shared" si="34"/>
        <v>45000</v>
      </c>
      <c r="W34" s="88">
        <v>9000</v>
      </c>
      <c r="X34" s="88">
        <v>0</v>
      </c>
      <c r="Y34" s="88">
        <f t="shared" si="0"/>
        <v>54000</v>
      </c>
      <c r="Z34" s="88">
        <v>9000</v>
      </c>
      <c r="AA34" s="88">
        <f t="shared" si="54"/>
        <v>0</v>
      </c>
      <c r="AB34" s="88">
        <f t="shared" si="35"/>
        <v>63000</v>
      </c>
      <c r="AC34" s="88">
        <v>9000</v>
      </c>
      <c r="AD34" s="88">
        <f t="shared" si="55"/>
        <v>0</v>
      </c>
      <c r="AE34" s="88">
        <f t="shared" si="36"/>
        <v>72000</v>
      </c>
      <c r="AF34" s="88">
        <f>9000+177500</f>
        <v>186500</v>
      </c>
      <c r="AG34" s="88">
        <f t="shared" si="37"/>
        <v>0</v>
      </c>
      <c r="AH34" s="88">
        <f t="shared" si="38"/>
        <v>258500</v>
      </c>
      <c r="AI34" s="88">
        <v>9000</v>
      </c>
      <c r="AJ34" s="88">
        <f t="shared" si="56"/>
        <v>0</v>
      </c>
      <c r="AK34" s="88">
        <f t="shared" si="39"/>
        <v>267500</v>
      </c>
      <c r="AL34" s="88">
        <v>9000</v>
      </c>
      <c r="AM34" s="88">
        <f t="shared" si="40"/>
        <v>0</v>
      </c>
      <c r="AN34" s="88">
        <f t="shared" si="41"/>
        <v>276500</v>
      </c>
      <c r="AO34" s="88">
        <v>9000</v>
      </c>
      <c r="AP34" s="88">
        <f t="shared" si="42"/>
        <v>0</v>
      </c>
      <c r="AQ34" s="88">
        <f t="shared" si="43"/>
        <v>285500</v>
      </c>
      <c r="AR34" s="88">
        <f t="shared" si="44"/>
        <v>0</v>
      </c>
      <c r="AS34" s="88">
        <f t="shared" si="45"/>
        <v>0</v>
      </c>
      <c r="AT34" s="88">
        <f t="shared" si="46"/>
        <v>285500</v>
      </c>
      <c r="AU34" s="88">
        <f t="shared" si="47"/>
        <v>0</v>
      </c>
      <c r="AV34" s="88">
        <f t="shared" si="48"/>
        <v>285500</v>
      </c>
      <c r="AW34" s="88">
        <v>630000</v>
      </c>
      <c r="AX34" s="88"/>
      <c r="AY34" s="88"/>
      <c r="AZ34" s="88"/>
      <c r="BA34" s="88"/>
      <c r="BB34" s="88">
        <f t="shared" si="30"/>
        <v>-344500</v>
      </c>
      <c r="BC34" s="88"/>
      <c r="BD34" s="88">
        <f t="shared" si="49"/>
        <v>-344500</v>
      </c>
      <c r="BE34" s="83">
        <v>0</v>
      </c>
      <c r="BF34" s="90">
        <f t="shared" si="50"/>
        <v>-344500</v>
      </c>
    </row>
    <row r="35" spans="1:58" s="16" customFormat="1" ht="15.75" x14ac:dyDescent="0.3">
      <c r="A35" s="208" t="s">
        <v>453</v>
      </c>
      <c r="B35" s="145" t="s">
        <v>166</v>
      </c>
      <c r="C35" s="146">
        <v>0</v>
      </c>
      <c r="D35" s="89"/>
      <c r="E35" s="88"/>
      <c r="F35" s="88"/>
      <c r="G35" s="88"/>
      <c r="H35" s="88">
        <v>9000</v>
      </c>
      <c r="I35" s="88">
        <f t="shared" si="10"/>
        <v>0</v>
      </c>
      <c r="J35" s="88">
        <f t="shared" si="11"/>
        <v>9000</v>
      </c>
      <c r="K35" s="135">
        <v>9000</v>
      </c>
      <c r="L35" s="88"/>
      <c r="M35" s="88">
        <f t="shared" si="13"/>
        <v>18000</v>
      </c>
      <c r="N35" s="88">
        <v>19000</v>
      </c>
      <c r="O35" s="88">
        <f t="shared" si="51"/>
        <v>0</v>
      </c>
      <c r="P35" s="88">
        <f t="shared" si="15"/>
        <v>37000</v>
      </c>
      <c r="Q35" s="88">
        <v>19000</v>
      </c>
      <c r="R35" s="88">
        <f t="shared" si="52"/>
        <v>0</v>
      </c>
      <c r="S35" s="88">
        <f t="shared" si="17"/>
        <v>56000</v>
      </c>
      <c r="T35" s="88">
        <v>409000</v>
      </c>
      <c r="U35" s="88">
        <f t="shared" si="53"/>
        <v>0</v>
      </c>
      <c r="V35" s="88">
        <f t="shared" si="34"/>
        <v>465000</v>
      </c>
      <c r="W35" s="88">
        <v>14000</v>
      </c>
      <c r="X35" s="88">
        <v>0</v>
      </c>
      <c r="Y35" s="88">
        <f t="shared" si="0"/>
        <v>479000</v>
      </c>
      <c r="Z35" s="88">
        <v>19000</v>
      </c>
      <c r="AA35" s="88">
        <f t="shared" si="54"/>
        <v>0</v>
      </c>
      <c r="AB35" s="88">
        <f t="shared" si="35"/>
        <v>498000</v>
      </c>
      <c r="AC35" s="88">
        <v>19000</v>
      </c>
      <c r="AD35" s="88">
        <f t="shared" si="55"/>
        <v>0</v>
      </c>
      <c r="AE35" s="88">
        <f t="shared" si="36"/>
        <v>517000</v>
      </c>
      <c r="AF35" s="88">
        <f>19000+127500</f>
        <v>146500</v>
      </c>
      <c r="AG35" s="88">
        <f t="shared" si="37"/>
        <v>0</v>
      </c>
      <c r="AH35" s="88">
        <f t="shared" si="38"/>
        <v>663500</v>
      </c>
      <c r="AI35" s="88">
        <v>19000</v>
      </c>
      <c r="AJ35" s="88">
        <f t="shared" ref="AJ35:AJ36" si="57">+((20000/(26194827+596000-60000-258500-9000-153468))*(AH35+AI35))</f>
        <v>518.8169195433544</v>
      </c>
      <c r="AK35" s="88">
        <f t="shared" si="39"/>
        <v>683018.81691954331</v>
      </c>
      <c r="AL35" s="88">
        <v>19000</v>
      </c>
      <c r="AM35" s="88">
        <f t="shared" si="40"/>
        <v>0</v>
      </c>
      <c r="AN35" s="88">
        <f t="shared" si="41"/>
        <v>702018.81691954331</v>
      </c>
      <c r="AO35" s="88">
        <v>19000</v>
      </c>
      <c r="AP35" s="88">
        <f t="shared" si="42"/>
        <v>0</v>
      </c>
      <c r="AQ35" s="88">
        <f t="shared" si="43"/>
        <v>721018.81691954331</v>
      </c>
      <c r="AR35" s="88">
        <f t="shared" si="44"/>
        <v>0</v>
      </c>
      <c r="AS35" s="88">
        <f t="shared" si="45"/>
        <v>0</v>
      </c>
      <c r="AT35" s="88">
        <f t="shared" si="46"/>
        <v>720500</v>
      </c>
      <c r="AU35" s="88">
        <f t="shared" si="47"/>
        <v>518.8169195433544</v>
      </c>
      <c r="AV35" s="88">
        <f t="shared" si="48"/>
        <v>721018.81691954331</v>
      </c>
      <c r="AW35" s="88">
        <v>630000</v>
      </c>
      <c r="AX35" s="88"/>
      <c r="AY35" s="88"/>
      <c r="AZ35" s="88"/>
      <c r="BA35" s="88"/>
      <c r="BB35" s="88">
        <f t="shared" si="30"/>
        <v>91018.816919543315</v>
      </c>
      <c r="BC35" s="88"/>
      <c r="BD35" s="88">
        <f t="shared" si="49"/>
        <v>91018.816919543315</v>
      </c>
      <c r="BE35" s="83">
        <v>0</v>
      </c>
      <c r="BF35" s="90">
        <f t="shared" si="50"/>
        <v>91018.816919543315</v>
      </c>
    </row>
    <row r="36" spans="1:58" s="16" customFormat="1" ht="15.75" x14ac:dyDescent="0.3">
      <c r="A36" s="208" t="s">
        <v>462</v>
      </c>
      <c r="B36" s="145" t="s">
        <v>224</v>
      </c>
      <c r="C36" s="146">
        <v>0</v>
      </c>
      <c r="D36" s="89"/>
      <c r="E36" s="88"/>
      <c r="F36" s="88"/>
      <c r="G36" s="88"/>
      <c r="H36" s="88">
        <v>9000</v>
      </c>
      <c r="I36" s="88">
        <f t="shared" si="10"/>
        <v>0</v>
      </c>
      <c r="J36" s="88">
        <f t="shared" si="11"/>
        <v>9000</v>
      </c>
      <c r="K36" s="135">
        <v>9000</v>
      </c>
      <c r="L36" s="88"/>
      <c r="M36" s="88">
        <f t="shared" si="13"/>
        <v>18000</v>
      </c>
      <c r="N36" s="88">
        <v>44000</v>
      </c>
      <c r="O36" s="88">
        <f t="shared" si="51"/>
        <v>0</v>
      </c>
      <c r="P36" s="88">
        <f t="shared" si="15"/>
        <v>62000</v>
      </c>
      <c r="Q36" s="88">
        <v>66000</v>
      </c>
      <c r="R36" s="88">
        <f t="shared" si="52"/>
        <v>0</v>
      </c>
      <c r="S36" s="88">
        <f t="shared" si="17"/>
        <v>128000</v>
      </c>
      <c r="T36" s="88">
        <v>69000</v>
      </c>
      <c r="U36" s="88">
        <f t="shared" si="53"/>
        <v>0</v>
      </c>
      <c r="V36" s="88">
        <f t="shared" si="34"/>
        <v>197000</v>
      </c>
      <c r="W36" s="88">
        <v>69000</v>
      </c>
      <c r="X36" s="88">
        <v>0</v>
      </c>
      <c r="Y36" s="88">
        <f t="shared" si="0"/>
        <v>266000</v>
      </c>
      <c r="Z36" s="88">
        <v>69000</v>
      </c>
      <c r="AA36" s="88">
        <f t="shared" si="54"/>
        <v>0</v>
      </c>
      <c r="AB36" s="88">
        <f t="shared" si="35"/>
        <v>335000</v>
      </c>
      <c r="AC36" s="88">
        <v>69000</v>
      </c>
      <c r="AD36" s="88">
        <f t="shared" si="55"/>
        <v>0</v>
      </c>
      <c r="AE36" s="88">
        <f t="shared" si="36"/>
        <v>404000</v>
      </c>
      <c r="AF36" s="88">
        <v>9000</v>
      </c>
      <c r="AG36" s="88">
        <f t="shared" si="37"/>
        <v>0</v>
      </c>
      <c r="AH36" s="88">
        <f t="shared" si="38"/>
        <v>413000</v>
      </c>
      <c r="AI36" s="88">
        <v>276000</v>
      </c>
      <c r="AJ36" s="88">
        <f t="shared" si="57"/>
        <v>523.758033062815</v>
      </c>
      <c r="AK36" s="88">
        <f t="shared" si="39"/>
        <v>689523.7580330628</v>
      </c>
      <c r="AL36" s="88">
        <v>39000</v>
      </c>
      <c r="AM36" s="88">
        <f t="shared" si="40"/>
        <v>0</v>
      </c>
      <c r="AN36" s="88">
        <f t="shared" si="41"/>
        <v>728523.7580330628</v>
      </c>
      <c r="AO36" s="88">
        <v>9000</v>
      </c>
      <c r="AP36" s="88">
        <f t="shared" si="42"/>
        <v>0</v>
      </c>
      <c r="AQ36" s="88">
        <f t="shared" si="43"/>
        <v>737523.7580330628</v>
      </c>
      <c r="AR36" s="88">
        <f t="shared" si="44"/>
        <v>0</v>
      </c>
      <c r="AS36" s="88">
        <f t="shared" si="45"/>
        <v>0</v>
      </c>
      <c r="AT36" s="88">
        <f t="shared" si="46"/>
        <v>737000</v>
      </c>
      <c r="AU36" s="88">
        <f t="shared" si="47"/>
        <v>523.758033062815</v>
      </c>
      <c r="AV36" s="88">
        <f t="shared" si="48"/>
        <v>737523.7580330628</v>
      </c>
      <c r="AW36" s="88">
        <v>630000</v>
      </c>
      <c r="AX36" s="88"/>
      <c r="AY36" s="88"/>
      <c r="AZ36" s="88"/>
      <c r="BA36" s="88"/>
      <c r="BB36" s="88">
        <f t="shared" si="30"/>
        <v>107523.7580330628</v>
      </c>
      <c r="BC36" s="88"/>
      <c r="BD36" s="88">
        <f t="shared" si="49"/>
        <v>107523.7580330628</v>
      </c>
      <c r="BE36" s="83">
        <v>0</v>
      </c>
      <c r="BF36" s="90">
        <f t="shared" si="50"/>
        <v>107523.7580330628</v>
      </c>
    </row>
    <row r="37" spans="1:58" s="16" customFormat="1" ht="15.75" x14ac:dyDescent="0.3">
      <c r="A37" s="208" t="s">
        <v>463</v>
      </c>
      <c r="B37" s="145" t="s">
        <v>386</v>
      </c>
      <c r="C37" s="146"/>
      <c r="D37" s="89"/>
      <c r="E37" s="88"/>
      <c r="F37" s="88"/>
      <c r="G37" s="88"/>
      <c r="H37" s="88"/>
      <c r="I37" s="88">
        <f t="shared" si="10"/>
        <v>0</v>
      </c>
      <c r="J37" s="88">
        <f t="shared" si="11"/>
        <v>0</v>
      </c>
      <c r="K37" s="135"/>
      <c r="L37" s="88"/>
      <c r="M37" s="88"/>
      <c r="N37" s="88"/>
      <c r="O37" s="88"/>
      <c r="P37" s="88"/>
      <c r="Q37" s="88"/>
      <c r="R37" s="88"/>
      <c r="S37" s="88"/>
      <c r="T37" s="88">
        <v>0</v>
      </c>
      <c r="U37" s="88">
        <f t="shared" si="53"/>
        <v>0</v>
      </c>
      <c r="V37" s="88">
        <f t="shared" si="34"/>
        <v>0</v>
      </c>
      <c r="W37" s="88">
        <v>0</v>
      </c>
      <c r="X37" s="88">
        <f t="shared" ref="X37:X38" si="58">+(74200/(23849859+426500))*(V37+W37)</f>
        <v>0</v>
      </c>
      <c r="Y37" s="88">
        <f t="shared" si="0"/>
        <v>0</v>
      </c>
      <c r="Z37" s="299">
        <v>153468</v>
      </c>
      <c r="AA37" s="299">
        <f t="shared" si="54"/>
        <v>0</v>
      </c>
      <c r="AB37" s="299">
        <f t="shared" si="35"/>
        <v>153468</v>
      </c>
      <c r="AC37" s="88">
        <v>0</v>
      </c>
      <c r="AD37" s="88">
        <f t="shared" si="55"/>
        <v>0</v>
      </c>
      <c r="AE37" s="88">
        <f t="shared" si="36"/>
        <v>153468</v>
      </c>
      <c r="AF37" s="88">
        <v>0</v>
      </c>
      <c r="AG37" s="88">
        <f t="shared" si="37"/>
        <v>0</v>
      </c>
      <c r="AH37" s="88">
        <f t="shared" si="38"/>
        <v>153468</v>
      </c>
      <c r="AI37" s="88">
        <v>0</v>
      </c>
      <c r="AJ37" s="88">
        <f t="shared" si="56"/>
        <v>0</v>
      </c>
      <c r="AK37" s="88">
        <f t="shared" si="39"/>
        <v>153468</v>
      </c>
      <c r="AL37" s="88">
        <v>0</v>
      </c>
      <c r="AM37" s="88">
        <f t="shared" si="40"/>
        <v>0</v>
      </c>
      <c r="AN37" s="88">
        <f t="shared" si="41"/>
        <v>153468</v>
      </c>
      <c r="AO37" s="88">
        <v>0</v>
      </c>
      <c r="AP37" s="88">
        <f t="shared" si="42"/>
        <v>0</v>
      </c>
      <c r="AQ37" s="88">
        <f t="shared" si="43"/>
        <v>153468</v>
      </c>
      <c r="AR37" s="88">
        <f t="shared" si="44"/>
        <v>0</v>
      </c>
      <c r="AS37" s="88">
        <f t="shared" si="45"/>
        <v>0</v>
      </c>
      <c r="AT37" s="88">
        <f t="shared" si="46"/>
        <v>153468</v>
      </c>
      <c r="AU37" s="88">
        <f t="shared" si="47"/>
        <v>0</v>
      </c>
      <c r="AV37" s="88">
        <f t="shared" si="48"/>
        <v>153468</v>
      </c>
      <c r="AW37" s="88"/>
      <c r="AX37" s="88"/>
      <c r="AY37" s="88"/>
      <c r="AZ37" s="88"/>
      <c r="BA37" s="88"/>
      <c r="BB37" s="88">
        <f t="shared" si="30"/>
        <v>153468</v>
      </c>
      <c r="BC37" s="88"/>
      <c r="BD37" s="88">
        <f t="shared" si="49"/>
        <v>153468</v>
      </c>
      <c r="BE37" s="83">
        <v>0</v>
      </c>
      <c r="BF37" s="90">
        <f t="shared" si="50"/>
        <v>153468</v>
      </c>
    </row>
    <row r="38" spans="1:58" s="16" customFormat="1" ht="15.75" x14ac:dyDescent="0.3">
      <c r="A38" s="83"/>
      <c r="B38" s="145"/>
      <c r="C38" s="146"/>
      <c r="D38" s="89"/>
      <c r="E38" s="88"/>
      <c r="F38" s="88"/>
      <c r="G38" s="88"/>
      <c r="H38" s="88"/>
      <c r="I38" s="88">
        <f t="shared" si="10"/>
        <v>0</v>
      </c>
      <c r="J38" s="88">
        <f t="shared" si="11"/>
        <v>0</v>
      </c>
      <c r="K38" s="159"/>
      <c r="L38" s="88"/>
      <c r="M38" s="88"/>
      <c r="N38" s="88"/>
      <c r="O38" s="88"/>
      <c r="P38" s="88"/>
      <c r="Q38" s="88"/>
      <c r="R38" s="88"/>
      <c r="S38" s="88"/>
      <c r="T38" s="88">
        <v>0</v>
      </c>
      <c r="U38" s="88">
        <f t="shared" si="53"/>
        <v>0</v>
      </c>
      <c r="V38" s="88">
        <f t="shared" si="34"/>
        <v>0</v>
      </c>
      <c r="W38" s="88">
        <v>0</v>
      </c>
      <c r="X38" s="88">
        <f t="shared" si="58"/>
        <v>0</v>
      </c>
      <c r="Y38" s="88">
        <f t="shared" si="0"/>
        <v>0</v>
      </c>
      <c r="Z38" s="88">
        <v>0</v>
      </c>
      <c r="AA38" s="88">
        <f t="shared" si="54"/>
        <v>0</v>
      </c>
      <c r="AB38" s="88">
        <f t="shared" si="35"/>
        <v>0</v>
      </c>
      <c r="AC38" s="88">
        <v>0</v>
      </c>
      <c r="AD38" s="88">
        <f t="shared" si="55"/>
        <v>0</v>
      </c>
      <c r="AE38" s="88">
        <f t="shared" si="36"/>
        <v>0</v>
      </c>
      <c r="AF38" s="88">
        <v>0</v>
      </c>
      <c r="AG38" s="88">
        <f t="shared" si="37"/>
        <v>0</v>
      </c>
      <c r="AH38" s="88">
        <f t="shared" si="38"/>
        <v>0</v>
      </c>
      <c r="AI38" s="88">
        <v>0</v>
      </c>
      <c r="AJ38" s="88">
        <f t="shared" si="56"/>
        <v>0</v>
      </c>
      <c r="AK38" s="88">
        <f t="shared" si="39"/>
        <v>0</v>
      </c>
      <c r="AL38" s="88">
        <v>0</v>
      </c>
      <c r="AM38" s="88">
        <f t="shared" si="40"/>
        <v>0</v>
      </c>
      <c r="AN38" s="88">
        <f t="shared" si="41"/>
        <v>0</v>
      </c>
      <c r="AO38" s="88">
        <v>0</v>
      </c>
      <c r="AP38" s="88">
        <f t="shared" si="42"/>
        <v>0</v>
      </c>
      <c r="AQ38" s="88">
        <f t="shared" si="43"/>
        <v>0</v>
      </c>
      <c r="AR38" s="88">
        <f t="shared" si="44"/>
        <v>0</v>
      </c>
      <c r="AS38" s="88">
        <f t="shared" si="45"/>
        <v>0</v>
      </c>
      <c r="AT38" s="88">
        <f t="shared" si="46"/>
        <v>0</v>
      </c>
      <c r="AU38" s="88">
        <f t="shared" si="47"/>
        <v>0</v>
      </c>
      <c r="AV38" s="88">
        <f t="shared" si="48"/>
        <v>0</v>
      </c>
      <c r="AW38" s="88"/>
      <c r="AX38" s="88"/>
      <c r="AY38" s="88"/>
      <c r="AZ38" s="88"/>
      <c r="BA38" s="88"/>
      <c r="BB38" s="88">
        <f t="shared" si="30"/>
        <v>0</v>
      </c>
      <c r="BC38" s="88"/>
      <c r="BD38" s="88">
        <f t="shared" si="49"/>
        <v>0</v>
      </c>
      <c r="BE38" s="83">
        <v>0</v>
      </c>
      <c r="BF38" s="90">
        <f t="shared" si="50"/>
        <v>0</v>
      </c>
    </row>
    <row r="39" spans="1:58" ht="15.75" x14ac:dyDescent="0.3">
      <c r="A39" s="276" t="s">
        <v>108</v>
      </c>
      <c r="B39" s="277"/>
      <c r="C39" s="91">
        <f>SUM(C5:C36)</f>
        <v>15600000</v>
      </c>
      <c r="D39" s="92">
        <f>SUM(D5:D31)</f>
        <v>4361559.5618113521</v>
      </c>
      <c r="E39" s="92">
        <f>SUM(E5:E31)</f>
        <v>19961559.561811358</v>
      </c>
      <c r="F39" s="92">
        <f>SUM(F5:F31)</f>
        <v>1267999.9721653415</v>
      </c>
      <c r="G39" s="92">
        <f>SUM(G5:G31)</f>
        <v>21229559.533976696</v>
      </c>
      <c r="H39" s="92">
        <f>SUM(H5:H36)+640701</f>
        <v>1050000</v>
      </c>
      <c r="I39" s="92">
        <f t="shared" ref="I39" si="59">SUM(I5:I31)</f>
        <v>0</v>
      </c>
      <c r="J39" s="92">
        <f>SUM(J5:J38)</f>
        <v>21638858.533976696</v>
      </c>
      <c r="K39" s="92">
        <f t="shared" ref="K39:M39" si="60">SUM(K5:K38)</f>
        <v>328000</v>
      </c>
      <c r="L39" s="92">
        <f t="shared" si="60"/>
        <v>29999.999361462018</v>
      </c>
      <c r="M39" s="92">
        <f t="shared" si="60"/>
        <v>21996858.533338156</v>
      </c>
      <c r="N39" s="92">
        <f t="shared" ref="N39" si="61">SUM(N5:N38)</f>
        <v>345000</v>
      </c>
      <c r="O39" s="92">
        <f t="shared" ref="O39" si="62">SUM(O5:O38)</f>
        <v>5999.999873811852</v>
      </c>
      <c r="P39" s="92">
        <f t="shared" ref="P39" si="63">SUM(P5:P38)</f>
        <v>22347858.533211969</v>
      </c>
      <c r="Q39" s="92">
        <f t="shared" ref="Q39" si="64">SUM(Q5:Q38)</f>
        <v>386000</v>
      </c>
      <c r="R39" s="92">
        <f t="shared" ref="R39" si="65">SUM(R5:R38)</f>
        <v>203999.99576361969</v>
      </c>
      <c r="S39" s="92">
        <f t="shared" ref="S39" si="66">SUM(S5:S38)</f>
        <v>22937858.528975591</v>
      </c>
      <c r="T39" s="92">
        <f t="shared" ref="T39" si="67">SUM(T5:T38)</f>
        <v>882000</v>
      </c>
      <c r="U39" s="92">
        <f t="shared" ref="U39" si="68">SUM(U5:U38)</f>
        <v>29999.999387507316</v>
      </c>
      <c r="V39" s="92">
        <f t="shared" ref="V39" si="69">SUM(V5:V38)</f>
        <v>23849858.528363094</v>
      </c>
      <c r="W39" s="92">
        <f t="shared" ref="W39" si="70">SUM(W5:W38)</f>
        <v>426500</v>
      </c>
      <c r="X39" s="92">
        <f t="shared" ref="X39" si="71">SUM(X5:X38)</f>
        <v>74199.998506150325</v>
      </c>
      <c r="Y39" s="92">
        <f t="shared" ref="Y39" si="72">SUM(Y5:Y38)</f>
        <v>24350558.526869249</v>
      </c>
      <c r="Z39" s="92">
        <f t="shared" ref="Z39" si="73">SUM(Z5:Z38)</f>
        <v>561768</v>
      </c>
      <c r="AA39" s="92">
        <f t="shared" ref="AA39" si="74">SUM(AA5:AA38)</f>
        <v>49999.999006147213</v>
      </c>
      <c r="AB39" s="92">
        <f t="shared" ref="AB39" si="75">SUM(AB5:AB38)</f>
        <v>24962326.52587539</v>
      </c>
      <c r="AC39" s="92">
        <f t="shared" ref="AC39" si="76">SUM(AC5:AC38)</f>
        <v>394000</v>
      </c>
      <c r="AD39" s="92">
        <f t="shared" ref="AD39" si="77">SUM(AD5:AD38)</f>
        <v>63999.998743513395</v>
      </c>
      <c r="AE39" s="92">
        <f t="shared" ref="AE39" si="78">SUM(AE5:AE38)</f>
        <v>25420326.524618912</v>
      </c>
      <c r="AF39" s="92">
        <f t="shared" ref="AF39" si="79">SUM(AF5:AF38)</f>
        <v>774500</v>
      </c>
      <c r="AG39" s="92">
        <f t="shared" ref="AG39" si="80">SUM(AG5:AG38)</f>
        <v>0</v>
      </c>
      <c r="AH39" s="92">
        <f t="shared" ref="AH39" si="81">SUM(AH5:AH38)</f>
        <v>26194826.524618916</v>
      </c>
      <c r="AI39" s="92">
        <f t="shared" ref="AI39" si="82">SUM(AI5:AI38)</f>
        <v>596000</v>
      </c>
      <c r="AJ39" s="92">
        <f t="shared" ref="AJ39" si="83">SUM(AJ5:AJ38)</f>
        <v>19999.999638628928</v>
      </c>
      <c r="AK39" s="92">
        <f t="shared" ref="AK39" si="84">SUM(AK5:AK38)</f>
        <v>26810826.524257537</v>
      </c>
      <c r="AL39" s="92">
        <f t="shared" ref="AL39" si="85">SUM(AL5:AL38)</f>
        <v>372500</v>
      </c>
      <c r="AM39" s="92">
        <f t="shared" ref="AM39" si="86">SUM(AM5:AM38)</f>
        <v>0</v>
      </c>
      <c r="AN39" s="92">
        <f t="shared" ref="AN39" si="87">SUM(AN5:AN38)</f>
        <v>27183326.524257537</v>
      </c>
      <c r="AO39" s="92">
        <f t="shared" ref="AO39" si="88">SUM(AO5:AO38)</f>
        <v>338000</v>
      </c>
      <c r="AP39" s="92">
        <f t="shared" ref="AP39" si="89">SUM(AP5:AP38)</f>
        <v>0</v>
      </c>
      <c r="AQ39" s="92">
        <f t="shared" ref="AQ39" si="90">SUM(AQ5:AQ38)</f>
        <v>27521326.524257533</v>
      </c>
      <c r="AR39" s="92">
        <f t="shared" ref="AR39" si="91">SUM(AR5:AR38)</f>
        <v>15600000</v>
      </c>
      <c r="AS39" s="92">
        <f t="shared" ref="AS39" si="92">SUM(AS5:AS38)</f>
        <v>4361559.5618113521</v>
      </c>
      <c r="AT39" s="92">
        <f t="shared" ref="AT39" si="93">SUM(AT5:AT38)</f>
        <v>5813567</v>
      </c>
      <c r="AU39" s="92">
        <f t="shared" ref="AU39" si="94">SUM(AU5:AU38)</f>
        <v>1746199.9624461823</v>
      </c>
      <c r="AV39" s="92">
        <f t="shared" ref="AV39" si="95">SUM(AV5:AV38)</f>
        <v>27521326.524257533</v>
      </c>
      <c r="AW39" s="92">
        <f t="shared" ref="AW39" si="96">SUM(AW5:AW38)</f>
        <v>18900000</v>
      </c>
      <c r="AX39" s="92">
        <f t="shared" ref="AX39" si="97">SUM(AX5:AX38)</f>
        <v>0</v>
      </c>
      <c r="AY39" s="92">
        <f t="shared" ref="AY39" si="98">SUM(AY5:AY38)</f>
        <v>0</v>
      </c>
      <c r="AZ39" s="92">
        <f t="shared" ref="AZ39:BA39" si="99">SUM(AZ5:AZ38)</f>
        <v>0</v>
      </c>
      <c r="BA39" s="92">
        <f t="shared" si="99"/>
        <v>0</v>
      </c>
      <c r="BB39" s="92">
        <f t="shared" ref="BB39" si="100">+AV39-AW39-AX39-AY39-AZ39-BA39</f>
        <v>8621326.5242575333</v>
      </c>
      <c r="BC39" s="92"/>
      <c r="BD39" s="92">
        <f t="shared" ref="BD39" si="101">+AX39-AY39-AZ39-BA39-BB39-BC39</f>
        <v>-8621326.5242575333</v>
      </c>
      <c r="BE39" s="92">
        <f t="shared" ref="BE39" si="102">+AY39-AZ39-BA39-BB39-BC39-BD39</f>
        <v>0</v>
      </c>
      <c r="BF39" s="92">
        <f>SUM(BF5:BF38)</f>
        <v>8621326.5242575351</v>
      </c>
    </row>
    <row r="40" spans="1:58" ht="15.75" x14ac:dyDescent="0.3">
      <c r="A40" s="93">
        <v>28</v>
      </c>
      <c r="B40" s="93" t="s">
        <v>386</v>
      </c>
      <c r="C40" s="94">
        <v>0</v>
      </c>
      <c r="D40" s="95">
        <v>0</v>
      </c>
      <c r="E40" s="94">
        <v>0</v>
      </c>
      <c r="F40" s="94">
        <v>0</v>
      </c>
      <c r="G40" s="94">
        <v>0</v>
      </c>
      <c r="H40" s="94"/>
      <c r="I40" s="94">
        <v>0</v>
      </c>
      <c r="J40" s="94">
        <v>0</v>
      </c>
      <c r="K40" s="94"/>
      <c r="L40" s="94">
        <v>0</v>
      </c>
      <c r="M40" s="94">
        <v>0</v>
      </c>
      <c r="N40" s="94"/>
      <c r="O40" s="94">
        <v>0</v>
      </c>
      <c r="P40" s="94">
        <v>0</v>
      </c>
      <c r="Q40" s="94"/>
      <c r="R40" s="94">
        <v>0</v>
      </c>
      <c r="S40" s="94">
        <v>0</v>
      </c>
      <c r="T40" s="94"/>
      <c r="U40" s="94">
        <v>0</v>
      </c>
      <c r="V40" s="94">
        <v>0</v>
      </c>
      <c r="W40" s="94"/>
      <c r="X40" s="94">
        <v>0</v>
      </c>
      <c r="Y40" s="94">
        <v>0</v>
      </c>
      <c r="Z40" s="94">
        <v>0</v>
      </c>
      <c r="AA40" s="94">
        <v>0</v>
      </c>
      <c r="AB40" s="94">
        <v>0</v>
      </c>
      <c r="AC40" s="94"/>
      <c r="AD40" s="94">
        <v>0</v>
      </c>
      <c r="AE40" s="94">
        <v>0</v>
      </c>
      <c r="AF40" s="94"/>
      <c r="AG40" s="94">
        <v>0</v>
      </c>
      <c r="AH40" s="94">
        <v>0</v>
      </c>
      <c r="AI40" s="94"/>
      <c r="AJ40" s="94">
        <v>0</v>
      </c>
      <c r="AK40" s="94">
        <v>0</v>
      </c>
      <c r="AL40" s="94"/>
      <c r="AM40" s="94">
        <v>0</v>
      </c>
      <c r="AN40" s="94">
        <v>0</v>
      </c>
      <c r="AO40" s="94"/>
      <c r="AP40" s="94">
        <v>0</v>
      </c>
      <c r="AQ40" s="94">
        <v>0</v>
      </c>
      <c r="AR40" s="94">
        <v>0</v>
      </c>
      <c r="AS40" s="94">
        <v>0</v>
      </c>
      <c r="AT40" s="94">
        <v>0</v>
      </c>
      <c r="AU40" s="94">
        <v>0</v>
      </c>
      <c r="AV40" s="94">
        <v>0</v>
      </c>
      <c r="AW40" s="94"/>
      <c r="AX40" s="94"/>
      <c r="AY40" s="94"/>
      <c r="AZ40" s="94"/>
      <c r="BA40" s="94">
        <v>0</v>
      </c>
      <c r="BB40" s="88">
        <v>0</v>
      </c>
      <c r="BC40" s="96"/>
      <c r="BD40" s="88"/>
      <c r="BE40" s="88"/>
      <c r="BF40" s="90">
        <f t="shared" si="31"/>
        <v>0</v>
      </c>
    </row>
    <row r="41" spans="1:58" ht="15.75" x14ac:dyDescent="0.3">
      <c r="A41" s="93">
        <v>29</v>
      </c>
      <c r="B41" s="93" t="s">
        <v>110</v>
      </c>
      <c r="C41" s="94">
        <v>0</v>
      </c>
      <c r="D41" s="95"/>
      <c r="E41" s="94">
        <v>0</v>
      </c>
      <c r="F41" s="94">
        <v>0</v>
      </c>
      <c r="G41" s="94">
        <v>0</v>
      </c>
      <c r="H41" s="94"/>
      <c r="I41" s="94">
        <v>0</v>
      </c>
      <c r="J41" s="94">
        <v>0</v>
      </c>
      <c r="K41" s="94"/>
      <c r="L41" s="94">
        <v>0</v>
      </c>
      <c r="M41" s="94">
        <v>0</v>
      </c>
      <c r="N41" s="94"/>
      <c r="O41" s="94">
        <v>0</v>
      </c>
      <c r="P41" s="94">
        <v>0</v>
      </c>
      <c r="Q41" s="94"/>
      <c r="R41" s="94">
        <v>0</v>
      </c>
      <c r="S41" s="94">
        <v>0</v>
      </c>
      <c r="T41" s="94"/>
      <c r="U41" s="94">
        <v>0</v>
      </c>
      <c r="V41" s="94">
        <v>0</v>
      </c>
      <c r="W41" s="94"/>
      <c r="X41" s="94">
        <v>0</v>
      </c>
      <c r="Y41" s="94">
        <v>0</v>
      </c>
      <c r="Z41" s="94"/>
      <c r="AA41" s="94">
        <v>0</v>
      </c>
      <c r="AB41" s="94">
        <v>0</v>
      </c>
      <c r="AC41" s="94"/>
      <c r="AD41" s="94">
        <v>0</v>
      </c>
      <c r="AE41" s="94">
        <v>0</v>
      </c>
      <c r="AF41" s="94"/>
      <c r="AG41" s="94">
        <v>0</v>
      </c>
      <c r="AH41" s="94">
        <v>0</v>
      </c>
      <c r="AI41" s="94"/>
      <c r="AJ41" s="94">
        <v>0</v>
      </c>
      <c r="AK41" s="94">
        <v>0</v>
      </c>
      <c r="AL41" s="94"/>
      <c r="AM41" s="94">
        <v>0</v>
      </c>
      <c r="AN41" s="94">
        <v>0</v>
      </c>
      <c r="AO41" s="94"/>
      <c r="AP41" s="94">
        <v>0</v>
      </c>
      <c r="AQ41" s="94">
        <v>0</v>
      </c>
      <c r="AR41" s="94">
        <v>0</v>
      </c>
      <c r="AS41" s="94">
        <v>0</v>
      </c>
      <c r="AT41" s="94">
        <v>0</v>
      </c>
      <c r="AU41" s="94">
        <v>0</v>
      </c>
      <c r="AV41" s="94">
        <v>0</v>
      </c>
      <c r="AW41" s="94"/>
      <c r="AX41" s="94"/>
      <c r="AY41" s="94"/>
      <c r="AZ41" s="94"/>
      <c r="BA41" s="94">
        <v>0</v>
      </c>
      <c r="BB41" s="88">
        <v>0</v>
      </c>
      <c r="BC41" s="96"/>
      <c r="BD41" s="88"/>
      <c r="BE41" s="88"/>
      <c r="BF41" s="90">
        <f t="shared" si="31"/>
        <v>0</v>
      </c>
    </row>
    <row r="42" spans="1:58" ht="15.75" x14ac:dyDescent="0.3">
      <c r="A42" s="208" t="s">
        <v>433</v>
      </c>
      <c r="B42" s="93" t="s">
        <v>111</v>
      </c>
      <c r="C42" s="94">
        <v>536000</v>
      </c>
      <c r="D42" s="97"/>
      <c r="E42" s="94">
        <v>536000</v>
      </c>
      <c r="F42" s="94">
        <v>0</v>
      </c>
      <c r="G42" s="94">
        <v>536000</v>
      </c>
      <c r="H42" s="94">
        <v>-536000</v>
      </c>
      <c r="I42" s="94">
        <v>0</v>
      </c>
      <c r="J42" s="94">
        <v>0</v>
      </c>
      <c r="K42" s="94"/>
      <c r="L42" s="94"/>
      <c r="M42" s="94">
        <v>0</v>
      </c>
      <c r="N42" s="94"/>
      <c r="O42" s="94"/>
      <c r="P42" s="94">
        <v>0</v>
      </c>
      <c r="Q42" s="94"/>
      <c r="R42" s="94"/>
      <c r="S42" s="94">
        <v>0</v>
      </c>
      <c r="T42" s="94"/>
      <c r="U42" s="94"/>
      <c r="V42" s="94">
        <v>0</v>
      </c>
      <c r="W42" s="94"/>
      <c r="X42" s="94"/>
      <c r="Y42" s="94">
        <v>0</v>
      </c>
      <c r="Z42" s="94"/>
      <c r="AA42" s="94"/>
      <c r="AB42" s="94">
        <v>0</v>
      </c>
      <c r="AC42" s="94"/>
      <c r="AD42" s="94"/>
      <c r="AE42" s="94">
        <v>0</v>
      </c>
      <c r="AF42" s="94"/>
      <c r="AG42" s="94"/>
      <c r="AH42" s="94">
        <v>0</v>
      </c>
      <c r="AI42" s="94"/>
      <c r="AJ42" s="94"/>
      <c r="AK42" s="94">
        <v>0</v>
      </c>
      <c r="AL42" s="94"/>
      <c r="AM42" s="94"/>
      <c r="AN42" s="94">
        <v>0</v>
      </c>
      <c r="AO42" s="94"/>
      <c r="AP42" s="94">
        <v>0</v>
      </c>
      <c r="AQ42" s="94">
        <v>0</v>
      </c>
      <c r="AR42" s="94">
        <v>0</v>
      </c>
      <c r="AS42" s="94">
        <v>0</v>
      </c>
      <c r="AT42" s="94">
        <v>0</v>
      </c>
      <c r="AU42" s="94">
        <v>0</v>
      </c>
      <c r="AV42" s="94">
        <v>0</v>
      </c>
      <c r="AW42" s="94"/>
      <c r="AX42" s="94"/>
      <c r="AY42" s="94"/>
      <c r="AZ42" s="94"/>
      <c r="BA42" s="94"/>
      <c r="BB42" s="88">
        <v>0</v>
      </c>
      <c r="BC42" s="88"/>
      <c r="BD42" s="88">
        <v>536000</v>
      </c>
      <c r="BE42" s="88"/>
      <c r="BF42" s="90">
        <f t="shared" si="31"/>
        <v>536000</v>
      </c>
    </row>
    <row r="43" spans="1:58" ht="15.75" x14ac:dyDescent="0.3">
      <c r="A43" s="93">
        <v>31</v>
      </c>
      <c r="B43" s="93" t="s">
        <v>112</v>
      </c>
      <c r="C43" s="94">
        <v>257476</v>
      </c>
      <c r="D43" s="97"/>
      <c r="E43" s="94">
        <v>257476</v>
      </c>
      <c r="F43" s="94">
        <v>0</v>
      </c>
      <c r="G43" s="94">
        <v>257476</v>
      </c>
      <c r="H43" s="94">
        <v>-257476</v>
      </c>
      <c r="I43" s="94">
        <v>0</v>
      </c>
      <c r="J43" s="94">
        <f>+G43+H43+I43</f>
        <v>0</v>
      </c>
      <c r="K43" s="94"/>
      <c r="L43" s="94"/>
      <c r="M43" s="94">
        <v>0</v>
      </c>
      <c r="N43" s="94"/>
      <c r="O43" s="94"/>
      <c r="P43" s="94">
        <v>0</v>
      </c>
      <c r="Q43" s="94"/>
      <c r="R43" s="94"/>
      <c r="S43" s="94">
        <v>0</v>
      </c>
      <c r="T43" s="94"/>
      <c r="U43" s="94"/>
      <c r="V43" s="94">
        <v>0</v>
      </c>
      <c r="W43" s="94"/>
      <c r="X43" s="94"/>
      <c r="Y43" s="94">
        <v>0</v>
      </c>
      <c r="Z43" s="94"/>
      <c r="AA43" s="94"/>
      <c r="AB43" s="94">
        <v>0</v>
      </c>
      <c r="AC43" s="94"/>
      <c r="AD43" s="94"/>
      <c r="AE43" s="94">
        <v>0</v>
      </c>
      <c r="AF43" s="94"/>
      <c r="AG43" s="94"/>
      <c r="AH43" s="94">
        <v>0</v>
      </c>
      <c r="AI43" s="94"/>
      <c r="AJ43" s="94"/>
      <c r="AK43" s="94">
        <v>0</v>
      </c>
      <c r="AL43" s="94"/>
      <c r="AM43" s="94"/>
      <c r="AN43" s="94">
        <v>0</v>
      </c>
      <c r="AO43" s="94"/>
      <c r="AP43" s="94">
        <v>0</v>
      </c>
      <c r="AQ43" s="94">
        <v>0</v>
      </c>
      <c r="AR43" s="94">
        <v>0</v>
      </c>
      <c r="AS43" s="94">
        <v>0</v>
      </c>
      <c r="AT43" s="94">
        <v>0</v>
      </c>
      <c r="AU43" s="94">
        <v>0</v>
      </c>
      <c r="AV43" s="94">
        <v>0</v>
      </c>
      <c r="AW43" s="94"/>
      <c r="AX43" s="94"/>
      <c r="AY43" s="94"/>
      <c r="AZ43" s="94"/>
      <c r="BA43" s="94"/>
      <c r="BB43" s="88">
        <v>257476</v>
      </c>
      <c r="BC43" s="88"/>
      <c r="BD43" s="88">
        <v>257476</v>
      </c>
      <c r="BE43" s="88"/>
      <c r="BF43" s="90">
        <f t="shared" si="31"/>
        <v>257476</v>
      </c>
    </row>
    <row r="44" spans="1:58" ht="15.75" x14ac:dyDescent="0.3">
      <c r="A44" s="93">
        <v>32</v>
      </c>
      <c r="B44" s="98" t="s">
        <v>113</v>
      </c>
      <c r="C44" s="99">
        <v>0</v>
      </c>
      <c r="D44" s="100"/>
      <c r="E44" s="94">
        <v>0</v>
      </c>
      <c r="F44" s="94">
        <v>0</v>
      </c>
      <c r="G44" s="94">
        <v>0</v>
      </c>
      <c r="H44" s="94"/>
      <c r="I44" s="94">
        <v>0</v>
      </c>
      <c r="J44" s="94">
        <v>0</v>
      </c>
      <c r="K44" s="94"/>
      <c r="L44" s="94"/>
      <c r="M44" s="94">
        <v>0</v>
      </c>
      <c r="N44" s="94"/>
      <c r="O44" s="94"/>
      <c r="P44" s="94">
        <v>0</v>
      </c>
      <c r="Q44" s="94"/>
      <c r="R44" s="94"/>
      <c r="S44" s="94">
        <v>0</v>
      </c>
      <c r="T44" s="94"/>
      <c r="U44" s="94"/>
      <c r="V44" s="94">
        <v>0</v>
      </c>
      <c r="W44" s="94"/>
      <c r="X44" s="94"/>
      <c r="Y44" s="94">
        <v>0</v>
      </c>
      <c r="Z44" s="94"/>
      <c r="AA44" s="94"/>
      <c r="AB44" s="94">
        <v>0</v>
      </c>
      <c r="AC44" s="94"/>
      <c r="AD44" s="94"/>
      <c r="AE44" s="94">
        <v>0</v>
      </c>
      <c r="AF44" s="94"/>
      <c r="AG44" s="94"/>
      <c r="AH44" s="94">
        <v>0</v>
      </c>
      <c r="AI44" s="94"/>
      <c r="AJ44" s="94"/>
      <c r="AK44" s="94">
        <v>0</v>
      </c>
      <c r="AL44" s="94"/>
      <c r="AM44" s="94"/>
      <c r="AN44" s="94">
        <v>0</v>
      </c>
      <c r="AO44" s="94"/>
      <c r="AP44" s="94">
        <v>0</v>
      </c>
      <c r="AQ44" s="94">
        <v>0</v>
      </c>
      <c r="AR44" s="94">
        <v>0</v>
      </c>
      <c r="AS44" s="94">
        <v>0</v>
      </c>
      <c r="AT44" s="94">
        <v>0</v>
      </c>
      <c r="AU44" s="94">
        <v>0</v>
      </c>
      <c r="AV44" s="94">
        <v>0</v>
      </c>
      <c r="AW44" s="94"/>
      <c r="AX44" s="94"/>
      <c r="AY44" s="94"/>
      <c r="AZ44" s="94"/>
      <c r="BA44" s="94"/>
      <c r="BB44" s="88">
        <v>0</v>
      </c>
      <c r="BC44" s="96"/>
      <c r="BD44" s="88">
        <v>80000</v>
      </c>
      <c r="BE44" s="88"/>
      <c r="BF44" s="90">
        <f t="shared" si="31"/>
        <v>80000</v>
      </c>
    </row>
    <row r="45" spans="1:58" ht="15.75" x14ac:dyDescent="0.3">
      <c r="A45" s="101">
        <f t="shared" ref="A45" si="103">+A44+1</f>
        <v>33</v>
      </c>
      <c r="B45" s="101" t="s">
        <v>114</v>
      </c>
      <c r="C45" s="102">
        <v>0</v>
      </c>
      <c r="D45" s="103">
        <v>0</v>
      </c>
      <c r="E45" s="102">
        <f t="shared" ref="E45" si="104">+C45+D45</f>
        <v>0</v>
      </c>
      <c r="F45" s="102">
        <f>+(0/18229032)*E45</f>
        <v>0</v>
      </c>
      <c r="G45" s="102">
        <f t="shared" ref="G45" si="105">+E45+F45</f>
        <v>0</v>
      </c>
      <c r="H45" s="102"/>
      <c r="I45" s="102">
        <f>+(0/19121232)*(G45+H45)</f>
        <v>0</v>
      </c>
      <c r="J45" s="102">
        <f t="shared" ref="J45" si="106">+G45+H45+I45</f>
        <v>0</v>
      </c>
      <c r="K45" s="102"/>
      <c r="L45" s="102">
        <f>+(0/20256265)*(J45+K45)</f>
        <v>0</v>
      </c>
      <c r="M45" s="102">
        <f t="shared" ref="M45" si="107">+J45+K45+L45</f>
        <v>0</v>
      </c>
      <c r="N45" s="102"/>
      <c r="O45" s="102">
        <f>+(0/20256265)*(M45+N45)</f>
        <v>0</v>
      </c>
      <c r="P45" s="102">
        <f t="shared" ref="P45" si="108">+M45+N45+O45</f>
        <v>0</v>
      </c>
      <c r="Q45" s="102"/>
      <c r="R45" s="102">
        <f>+(0/20256265)*(P45+Q45)</f>
        <v>0</v>
      </c>
      <c r="S45" s="102">
        <f t="shared" ref="S45" si="109">+P45+Q45+R45</f>
        <v>0</v>
      </c>
      <c r="T45" s="102"/>
      <c r="U45" s="102">
        <f>+(0/20256265)*(S45+T45)</f>
        <v>0</v>
      </c>
      <c r="V45" s="102">
        <f t="shared" ref="V45" si="110">+S45+T45+U45</f>
        <v>0</v>
      </c>
      <c r="W45" s="102"/>
      <c r="X45" s="102">
        <f t="shared" ref="X45" si="111">+(0/20256265)*(V45+W45)</f>
        <v>0</v>
      </c>
      <c r="Y45" s="102">
        <f t="shared" ref="Y45" si="112">+V45+W45+X45</f>
        <v>0</v>
      </c>
      <c r="Z45" s="102"/>
      <c r="AA45" s="102">
        <f t="shared" ref="AA45" si="113">+(0/20256265)*(Y45+Z45)</f>
        <v>0</v>
      </c>
      <c r="AB45" s="102">
        <f t="shared" ref="AB45" si="114">+Y45+Z45+AA45</f>
        <v>0</v>
      </c>
      <c r="AC45" s="102"/>
      <c r="AD45" s="102">
        <f t="shared" ref="AD45" si="115">+(0/20256265)*(AB45+AC45)</f>
        <v>0</v>
      </c>
      <c r="AE45" s="102">
        <f t="shared" ref="AE45" si="116">+AB45+AC45+AD45</f>
        <v>0</v>
      </c>
      <c r="AF45" s="102"/>
      <c r="AG45" s="102">
        <f t="shared" ref="AG45" si="117">+(0/20256265)*(AE45+AF45)</f>
        <v>0</v>
      </c>
      <c r="AH45" s="102">
        <f t="shared" ref="AH45" si="118">+AE45+AF45+AG45</f>
        <v>0</v>
      </c>
      <c r="AI45" s="102"/>
      <c r="AJ45" s="102">
        <f t="shared" ref="AJ45" si="119">+(0/20256265)*(AH45+AI45)</f>
        <v>0</v>
      </c>
      <c r="AK45" s="102">
        <f t="shared" ref="AK45" si="120">+AH45+AI45+AJ45</f>
        <v>0</v>
      </c>
      <c r="AL45" s="102"/>
      <c r="AM45" s="102">
        <f t="shared" ref="AM45" si="121">+(0/20256265)*(AK45+AL45)</f>
        <v>0</v>
      </c>
      <c r="AN45" s="102">
        <f t="shared" ref="AN45" si="122">+AK45+AL45+AM45</f>
        <v>0</v>
      </c>
      <c r="AO45" s="102"/>
      <c r="AP45" s="102">
        <f t="shared" ref="AP45" si="123">+(0/20000)*(AN45+AO45)</f>
        <v>0</v>
      </c>
      <c r="AQ45" s="102">
        <f t="shared" ref="AQ45" si="124">+AN45+AO45+AP45</f>
        <v>0</v>
      </c>
      <c r="AR45" s="102">
        <f t="shared" ref="AR45:AS45" si="125">+C45</f>
        <v>0</v>
      </c>
      <c r="AS45" s="102">
        <f t="shared" si="125"/>
        <v>0</v>
      </c>
      <c r="AT45" s="102">
        <f t="shared" ref="AT45" si="126">+H45+K45+N45+Q45+T45+W45+Z45+AC45+AF45+AI45+AL45+AO45</f>
        <v>0</v>
      </c>
      <c r="AU45" s="102">
        <f t="shared" ref="AU45" si="127">+F45+I45+L45+O45+R45+U45+X45+AA45+AD45+AG45+AJ45+AM45+AP45</f>
        <v>0</v>
      </c>
      <c r="AV45" s="102">
        <f t="shared" ref="AV45" si="128">+AN45+AO45+AP45</f>
        <v>0</v>
      </c>
      <c r="AW45" s="102"/>
      <c r="AX45" s="102"/>
      <c r="AY45" s="102"/>
      <c r="AZ45" s="102"/>
      <c r="BA45" s="102">
        <v>0</v>
      </c>
      <c r="BB45" s="104">
        <f t="shared" ref="BB45" si="129">+AV45-AW45-AX45-AY45-AZ45-BA45</f>
        <v>0</v>
      </c>
      <c r="BC45" s="105"/>
      <c r="BD45" s="104"/>
      <c r="BE45" s="88"/>
      <c r="BF45" s="90">
        <f t="shared" si="31"/>
        <v>0</v>
      </c>
    </row>
    <row r="46" spans="1:58" ht="15.75" x14ac:dyDescent="0.3">
      <c r="A46" s="106"/>
      <c r="B46" s="106" t="s">
        <v>115</v>
      </c>
      <c r="C46" s="107">
        <f>SUM(C40:C45)</f>
        <v>793476</v>
      </c>
      <c r="D46" s="107">
        <f t="shared" ref="D46:BD46" si="130">SUM(D40:D45)</f>
        <v>0</v>
      </c>
      <c r="E46" s="107">
        <f t="shared" si="130"/>
        <v>793476</v>
      </c>
      <c r="F46" s="107">
        <f t="shared" si="130"/>
        <v>0</v>
      </c>
      <c r="G46" s="107">
        <f t="shared" si="130"/>
        <v>793476</v>
      </c>
      <c r="H46" s="107">
        <f t="shared" si="130"/>
        <v>-793476</v>
      </c>
      <c r="I46" s="107">
        <f t="shared" si="130"/>
        <v>0</v>
      </c>
      <c r="J46" s="107">
        <f t="shared" si="130"/>
        <v>0</v>
      </c>
      <c r="K46" s="107">
        <f t="shared" si="130"/>
        <v>0</v>
      </c>
      <c r="L46" s="107">
        <f t="shared" si="130"/>
        <v>0</v>
      </c>
      <c r="M46" s="107">
        <f t="shared" si="130"/>
        <v>0</v>
      </c>
      <c r="N46" s="107">
        <f t="shared" si="130"/>
        <v>0</v>
      </c>
      <c r="O46" s="107">
        <f t="shared" si="130"/>
        <v>0</v>
      </c>
      <c r="P46" s="107">
        <f t="shared" si="130"/>
        <v>0</v>
      </c>
      <c r="Q46" s="107">
        <f t="shared" si="130"/>
        <v>0</v>
      </c>
      <c r="R46" s="107">
        <f t="shared" si="130"/>
        <v>0</v>
      </c>
      <c r="S46" s="107">
        <f t="shared" si="130"/>
        <v>0</v>
      </c>
      <c r="T46" s="107">
        <f t="shared" si="130"/>
        <v>0</v>
      </c>
      <c r="U46" s="107">
        <f t="shared" si="130"/>
        <v>0</v>
      </c>
      <c r="V46" s="107">
        <f t="shared" si="130"/>
        <v>0</v>
      </c>
      <c r="W46" s="107">
        <f t="shared" si="130"/>
        <v>0</v>
      </c>
      <c r="X46" s="107">
        <f t="shared" si="130"/>
        <v>0</v>
      </c>
      <c r="Y46" s="107">
        <f t="shared" si="130"/>
        <v>0</v>
      </c>
      <c r="Z46" s="107">
        <f t="shared" si="130"/>
        <v>0</v>
      </c>
      <c r="AA46" s="107">
        <f t="shared" si="130"/>
        <v>0</v>
      </c>
      <c r="AB46" s="107">
        <f t="shared" si="130"/>
        <v>0</v>
      </c>
      <c r="AC46" s="107">
        <f t="shared" si="130"/>
        <v>0</v>
      </c>
      <c r="AD46" s="107">
        <f t="shared" si="130"/>
        <v>0</v>
      </c>
      <c r="AE46" s="107">
        <f t="shared" si="130"/>
        <v>0</v>
      </c>
      <c r="AF46" s="107">
        <f t="shared" si="130"/>
        <v>0</v>
      </c>
      <c r="AG46" s="107">
        <f t="shared" si="130"/>
        <v>0</v>
      </c>
      <c r="AH46" s="107">
        <f t="shared" si="130"/>
        <v>0</v>
      </c>
      <c r="AI46" s="107">
        <f t="shared" si="130"/>
        <v>0</v>
      </c>
      <c r="AJ46" s="107">
        <f t="shared" si="130"/>
        <v>0</v>
      </c>
      <c r="AK46" s="107">
        <f t="shared" si="130"/>
        <v>0</v>
      </c>
      <c r="AL46" s="107">
        <f t="shared" si="130"/>
        <v>0</v>
      </c>
      <c r="AM46" s="107">
        <f t="shared" si="130"/>
        <v>0</v>
      </c>
      <c r="AN46" s="107">
        <f t="shared" si="130"/>
        <v>0</v>
      </c>
      <c r="AO46" s="107">
        <f t="shared" si="130"/>
        <v>0</v>
      </c>
      <c r="AP46" s="107">
        <f t="shared" si="130"/>
        <v>0</v>
      </c>
      <c r="AQ46" s="107">
        <f t="shared" si="130"/>
        <v>0</v>
      </c>
      <c r="AR46" s="107">
        <f t="shared" si="130"/>
        <v>0</v>
      </c>
      <c r="AS46" s="107">
        <f t="shared" si="130"/>
        <v>0</v>
      </c>
      <c r="AT46" s="107">
        <f t="shared" si="130"/>
        <v>0</v>
      </c>
      <c r="AU46" s="107">
        <f t="shared" si="130"/>
        <v>0</v>
      </c>
      <c r="AV46" s="107">
        <f t="shared" si="130"/>
        <v>0</v>
      </c>
      <c r="AW46" s="107">
        <f t="shared" si="130"/>
        <v>0</v>
      </c>
      <c r="AX46" s="107">
        <f t="shared" si="130"/>
        <v>0</v>
      </c>
      <c r="AY46" s="107">
        <f t="shared" si="130"/>
        <v>0</v>
      </c>
      <c r="AZ46" s="107">
        <f t="shared" si="130"/>
        <v>0</v>
      </c>
      <c r="BA46" s="107">
        <f t="shared" si="130"/>
        <v>0</v>
      </c>
      <c r="BB46" s="107">
        <f t="shared" si="130"/>
        <v>257476</v>
      </c>
      <c r="BC46" s="107">
        <f t="shared" si="130"/>
        <v>0</v>
      </c>
      <c r="BD46" s="107">
        <f t="shared" si="130"/>
        <v>873476</v>
      </c>
      <c r="BE46" s="88"/>
      <c r="BF46" s="90">
        <f t="shared" si="31"/>
        <v>873476</v>
      </c>
    </row>
    <row r="47" spans="1:58" ht="15.75" x14ac:dyDescent="0.3">
      <c r="A47" s="83"/>
      <c r="B47" s="106" t="s">
        <v>116</v>
      </c>
      <c r="C47" s="90">
        <f>+C39+C46</f>
        <v>16393476</v>
      </c>
      <c r="D47" s="90">
        <f t="shared" ref="D47:BF47" si="131">+D39+D46</f>
        <v>4361559.5618113521</v>
      </c>
      <c r="E47" s="90">
        <f t="shared" si="131"/>
        <v>20755035.561811358</v>
      </c>
      <c r="F47" s="90">
        <f t="shared" si="131"/>
        <v>1267999.9721653415</v>
      </c>
      <c r="G47" s="90">
        <f t="shared" si="131"/>
        <v>22023035.533976696</v>
      </c>
      <c r="H47" s="90">
        <f t="shared" si="131"/>
        <v>256524</v>
      </c>
      <c r="I47" s="90">
        <f t="shared" si="131"/>
        <v>0</v>
      </c>
      <c r="J47" s="90">
        <f t="shared" si="131"/>
        <v>21638858.533976696</v>
      </c>
      <c r="K47" s="90">
        <f t="shared" si="131"/>
        <v>328000</v>
      </c>
      <c r="L47" s="90">
        <f t="shared" si="131"/>
        <v>29999.999361462018</v>
      </c>
      <c r="M47" s="90">
        <f t="shared" si="131"/>
        <v>21996858.533338156</v>
      </c>
      <c r="N47" s="90">
        <f t="shared" si="131"/>
        <v>345000</v>
      </c>
      <c r="O47" s="90">
        <f t="shared" si="131"/>
        <v>5999.999873811852</v>
      </c>
      <c r="P47" s="90">
        <f t="shared" si="131"/>
        <v>22347858.533211969</v>
      </c>
      <c r="Q47" s="90">
        <f t="shared" si="131"/>
        <v>386000</v>
      </c>
      <c r="R47" s="90">
        <f t="shared" si="131"/>
        <v>203999.99576361969</v>
      </c>
      <c r="S47" s="90">
        <f t="shared" si="131"/>
        <v>22937858.528975591</v>
      </c>
      <c r="T47" s="90">
        <f t="shared" si="131"/>
        <v>882000</v>
      </c>
      <c r="U47" s="90">
        <f t="shared" si="131"/>
        <v>29999.999387507316</v>
      </c>
      <c r="V47" s="90">
        <f t="shared" si="131"/>
        <v>23849858.528363094</v>
      </c>
      <c r="W47" s="90">
        <f t="shared" si="131"/>
        <v>426500</v>
      </c>
      <c r="X47" s="90">
        <f t="shared" si="131"/>
        <v>74199.998506150325</v>
      </c>
      <c r="Y47" s="90">
        <f t="shared" si="131"/>
        <v>24350558.526869249</v>
      </c>
      <c r="Z47" s="90">
        <f t="shared" si="131"/>
        <v>561768</v>
      </c>
      <c r="AA47" s="90">
        <f t="shared" si="131"/>
        <v>49999.999006147213</v>
      </c>
      <c r="AB47" s="90">
        <f t="shared" si="131"/>
        <v>24962326.52587539</v>
      </c>
      <c r="AC47" s="90">
        <f t="shared" si="131"/>
        <v>394000</v>
      </c>
      <c r="AD47" s="90">
        <f t="shared" si="131"/>
        <v>63999.998743513395</v>
      </c>
      <c r="AE47" s="90">
        <f t="shared" si="131"/>
        <v>25420326.524618912</v>
      </c>
      <c r="AF47" s="90">
        <f t="shared" si="131"/>
        <v>774500</v>
      </c>
      <c r="AG47" s="90">
        <f t="shared" si="131"/>
        <v>0</v>
      </c>
      <c r="AH47" s="90">
        <f t="shared" si="131"/>
        <v>26194826.524618916</v>
      </c>
      <c r="AI47" s="90">
        <f t="shared" si="131"/>
        <v>596000</v>
      </c>
      <c r="AJ47" s="90">
        <f t="shared" si="131"/>
        <v>19999.999638628928</v>
      </c>
      <c r="AK47" s="90">
        <f t="shared" si="131"/>
        <v>26810826.524257537</v>
      </c>
      <c r="AL47" s="90">
        <f t="shared" si="131"/>
        <v>372500</v>
      </c>
      <c r="AM47" s="90">
        <f t="shared" si="131"/>
        <v>0</v>
      </c>
      <c r="AN47" s="90">
        <f t="shared" si="131"/>
        <v>27183326.524257537</v>
      </c>
      <c r="AO47" s="90">
        <f t="shared" si="131"/>
        <v>338000</v>
      </c>
      <c r="AP47" s="90">
        <f t="shared" si="131"/>
        <v>0</v>
      </c>
      <c r="AQ47" s="90">
        <f t="shared" si="131"/>
        <v>27521326.524257533</v>
      </c>
      <c r="AR47" s="90">
        <f t="shared" si="131"/>
        <v>15600000</v>
      </c>
      <c r="AS47" s="90">
        <f t="shared" si="131"/>
        <v>4361559.5618113521</v>
      </c>
      <c r="AT47" s="90">
        <f t="shared" si="131"/>
        <v>5813567</v>
      </c>
      <c r="AU47" s="90">
        <f t="shared" si="131"/>
        <v>1746199.9624461823</v>
      </c>
      <c r="AV47" s="90">
        <f t="shared" si="131"/>
        <v>27521326.524257533</v>
      </c>
      <c r="AW47" s="90">
        <f t="shared" si="131"/>
        <v>18900000</v>
      </c>
      <c r="AX47" s="90">
        <f t="shared" si="131"/>
        <v>0</v>
      </c>
      <c r="AY47" s="90">
        <f t="shared" si="131"/>
        <v>0</v>
      </c>
      <c r="AZ47" s="90">
        <f t="shared" si="131"/>
        <v>0</v>
      </c>
      <c r="BA47" s="90">
        <f t="shared" si="131"/>
        <v>0</v>
      </c>
      <c r="BB47" s="90">
        <f t="shared" si="131"/>
        <v>8878802.5242575333</v>
      </c>
      <c r="BC47" s="90">
        <f t="shared" si="131"/>
        <v>0</v>
      </c>
      <c r="BD47" s="90">
        <f t="shared" si="131"/>
        <v>-7747850.5242575333</v>
      </c>
      <c r="BE47" s="90">
        <f t="shared" si="131"/>
        <v>0</v>
      </c>
      <c r="BF47" s="90">
        <f t="shared" si="131"/>
        <v>9494802.5242575351</v>
      </c>
    </row>
  </sheetData>
  <mergeCells count="42">
    <mergeCell ref="AR3:AV3"/>
    <mergeCell ref="A39:B39"/>
    <mergeCell ref="AW2:BF2"/>
    <mergeCell ref="BE3:BE4"/>
    <mergeCell ref="BF3:BF4"/>
    <mergeCell ref="Z3:AB3"/>
    <mergeCell ref="AC3:AE3"/>
    <mergeCell ref="AF3:AH3"/>
    <mergeCell ref="AI3:AK3"/>
    <mergeCell ref="AL3:AN3"/>
    <mergeCell ref="AO3:AQ3"/>
    <mergeCell ref="AO2:AQ2"/>
    <mergeCell ref="AR2:AV2"/>
    <mergeCell ref="F3:G3"/>
    <mergeCell ref="H3:J3"/>
    <mergeCell ref="K3:M3"/>
    <mergeCell ref="N3:P3"/>
    <mergeCell ref="Q3:S3"/>
    <mergeCell ref="T3:V3"/>
    <mergeCell ref="W3:Y3"/>
    <mergeCell ref="W2:Y2"/>
    <mergeCell ref="AI1:AO1"/>
    <mergeCell ref="AP1:AU1"/>
    <mergeCell ref="AV1:BA1"/>
    <mergeCell ref="BB1:BF1"/>
    <mergeCell ref="F2:G2"/>
    <mergeCell ref="H2:J2"/>
    <mergeCell ref="K2:M2"/>
    <mergeCell ref="N2:P2"/>
    <mergeCell ref="Q2:S2"/>
    <mergeCell ref="T2:V2"/>
    <mergeCell ref="AB1:AH1"/>
    <mergeCell ref="Z2:AB2"/>
    <mergeCell ref="AC2:AE2"/>
    <mergeCell ref="AF2:AH2"/>
    <mergeCell ref="AI2:AK2"/>
    <mergeCell ref="AL2:AN2"/>
    <mergeCell ref="B1:E1"/>
    <mergeCell ref="F1:J1"/>
    <mergeCell ref="K1:O1"/>
    <mergeCell ref="P1:U1"/>
    <mergeCell ref="V1:AA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S41"/>
  <sheetViews>
    <sheetView zoomScale="112" zoomScaleNormal="112" workbookViewId="0">
      <pane xSplit="6" ySplit="12" topLeftCell="Q22" activePane="bottomRight" state="frozen"/>
      <selection pane="topRight" activeCell="G1" sqref="G1"/>
      <selection pane="bottomLeft" activeCell="A13" sqref="A13"/>
      <selection pane="bottomRight" activeCell="T23" sqref="T23"/>
    </sheetView>
  </sheetViews>
  <sheetFormatPr baseColWidth="10" defaultRowHeight="15" x14ac:dyDescent="0.25"/>
  <cols>
    <col min="1" max="1" width="5.42578125" customWidth="1"/>
    <col min="2" max="2" width="25.28515625" customWidth="1"/>
    <col min="3" max="44" width="15" customWidth="1"/>
    <col min="45" max="45" width="12.7109375" customWidth="1"/>
  </cols>
  <sheetData>
    <row r="1" spans="1:45" ht="15.75" x14ac:dyDescent="0.3">
      <c r="A1" s="290" t="s">
        <v>118</v>
      </c>
      <c r="B1" s="290"/>
      <c r="C1" s="290"/>
      <c r="D1" s="290"/>
      <c r="E1" s="290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</row>
    <row r="2" spans="1:45" ht="15.75" x14ac:dyDescent="0.3">
      <c r="A2" s="108"/>
      <c r="B2" s="108"/>
      <c r="C2" s="291" t="s">
        <v>59</v>
      </c>
      <c r="D2" s="288"/>
      <c r="E2" s="289"/>
      <c r="F2" s="287">
        <v>44927</v>
      </c>
      <c r="G2" s="288"/>
      <c r="H2" s="289"/>
      <c r="I2" s="287">
        <v>44958</v>
      </c>
      <c r="J2" s="288"/>
      <c r="K2" s="289"/>
      <c r="L2" s="287">
        <v>44986</v>
      </c>
      <c r="M2" s="288"/>
      <c r="N2" s="289"/>
      <c r="O2" s="287">
        <v>45017</v>
      </c>
      <c r="P2" s="288"/>
      <c r="Q2" s="289"/>
      <c r="R2" s="287">
        <v>45047</v>
      </c>
      <c r="S2" s="288"/>
      <c r="T2" s="289"/>
      <c r="U2" s="287">
        <v>45078</v>
      </c>
      <c r="V2" s="288"/>
      <c r="W2" s="289"/>
      <c r="X2" s="287">
        <v>45108</v>
      </c>
      <c r="Y2" s="288"/>
      <c r="Z2" s="289"/>
      <c r="AA2" s="287">
        <v>45139</v>
      </c>
      <c r="AB2" s="288"/>
      <c r="AC2" s="289"/>
      <c r="AD2" s="287">
        <v>45170</v>
      </c>
      <c r="AE2" s="288"/>
      <c r="AF2" s="289"/>
      <c r="AG2" s="287">
        <v>45200</v>
      </c>
      <c r="AH2" s="288"/>
      <c r="AI2" s="289"/>
      <c r="AJ2" s="287">
        <v>45231</v>
      </c>
      <c r="AK2" s="288"/>
      <c r="AL2" s="289"/>
      <c r="AM2" s="287">
        <v>45261</v>
      </c>
      <c r="AN2" s="288"/>
      <c r="AO2" s="289"/>
      <c r="AP2" s="287" t="s">
        <v>119</v>
      </c>
      <c r="AQ2" s="288"/>
      <c r="AR2" s="289"/>
      <c r="AS2" s="284" t="s">
        <v>336</v>
      </c>
    </row>
    <row r="3" spans="1:45" ht="15.75" x14ac:dyDescent="0.3">
      <c r="A3" s="109"/>
      <c r="B3" s="110"/>
      <c r="C3" s="111" t="s">
        <v>120</v>
      </c>
      <c r="D3" s="112" t="s">
        <v>121</v>
      </c>
      <c r="E3" s="112" t="s">
        <v>122</v>
      </c>
      <c r="F3" s="111" t="s">
        <v>120</v>
      </c>
      <c r="G3" s="112" t="s">
        <v>121</v>
      </c>
      <c r="H3" s="112" t="s">
        <v>122</v>
      </c>
      <c r="I3" s="111" t="s">
        <v>120</v>
      </c>
      <c r="J3" s="112" t="s">
        <v>121</v>
      </c>
      <c r="K3" s="112" t="s">
        <v>122</v>
      </c>
      <c r="L3" s="111" t="s">
        <v>120</v>
      </c>
      <c r="M3" s="112" t="s">
        <v>121</v>
      </c>
      <c r="N3" s="112" t="s">
        <v>122</v>
      </c>
      <c r="O3" s="111" t="s">
        <v>120</v>
      </c>
      <c r="P3" s="112" t="s">
        <v>121</v>
      </c>
      <c r="Q3" s="112" t="s">
        <v>122</v>
      </c>
      <c r="R3" s="111" t="s">
        <v>120</v>
      </c>
      <c r="S3" s="112" t="s">
        <v>121</v>
      </c>
      <c r="T3" s="112" t="s">
        <v>122</v>
      </c>
      <c r="U3" s="111" t="s">
        <v>120</v>
      </c>
      <c r="V3" s="112" t="s">
        <v>121</v>
      </c>
      <c r="W3" s="112" t="s">
        <v>122</v>
      </c>
      <c r="X3" s="111" t="s">
        <v>120</v>
      </c>
      <c r="Y3" s="112" t="s">
        <v>121</v>
      </c>
      <c r="Z3" s="112" t="s">
        <v>122</v>
      </c>
      <c r="AA3" s="111" t="s">
        <v>120</v>
      </c>
      <c r="AB3" s="112" t="s">
        <v>121</v>
      </c>
      <c r="AC3" s="112" t="s">
        <v>122</v>
      </c>
      <c r="AD3" s="111" t="s">
        <v>120</v>
      </c>
      <c r="AE3" s="112" t="s">
        <v>121</v>
      </c>
      <c r="AF3" s="112" t="s">
        <v>122</v>
      </c>
      <c r="AG3" s="111" t="s">
        <v>120</v>
      </c>
      <c r="AH3" s="112" t="s">
        <v>121</v>
      </c>
      <c r="AI3" s="112" t="s">
        <v>122</v>
      </c>
      <c r="AJ3" s="111" t="s">
        <v>120</v>
      </c>
      <c r="AK3" s="112" t="s">
        <v>121</v>
      </c>
      <c r="AL3" s="112" t="s">
        <v>122</v>
      </c>
      <c r="AM3" s="111" t="s">
        <v>120</v>
      </c>
      <c r="AN3" s="112" t="s">
        <v>121</v>
      </c>
      <c r="AO3" s="112" t="s">
        <v>122</v>
      </c>
      <c r="AP3" s="111" t="s">
        <v>120</v>
      </c>
      <c r="AQ3" s="112" t="s">
        <v>121</v>
      </c>
      <c r="AR3" s="112" t="s">
        <v>122</v>
      </c>
      <c r="AS3" s="285"/>
    </row>
    <row r="4" spans="1:45" ht="15.75" x14ac:dyDescent="0.3">
      <c r="A4" s="109" t="s">
        <v>55</v>
      </c>
      <c r="B4" s="109" t="s">
        <v>56</v>
      </c>
      <c r="C4" s="112" t="s">
        <v>123</v>
      </c>
      <c r="D4" s="112" t="s">
        <v>123</v>
      </c>
      <c r="E4" s="112" t="s">
        <v>123</v>
      </c>
      <c r="F4" s="112" t="s">
        <v>123</v>
      </c>
      <c r="G4" s="112" t="s">
        <v>123</v>
      </c>
      <c r="H4" s="112" t="s">
        <v>123</v>
      </c>
      <c r="I4" s="112" t="s">
        <v>123</v>
      </c>
      <c r="J4" s="112" t="s">
        <v>123</v>
      </c>
      <c r="K4" s="112" t="s">
        <v>123</v>
      </c>
      <c r="L4" s="112" t="s">
        <v>123</v>
      </c>
      <c r="M4" s="112" t="s">
        <v>123</v>
      </c>
      <c r="N4" s="112" t="s">
        <v>123</v>
      </c>
      <c r="O4" s="112" t="s">
        <v>123</v>
      </c>
      <c r="P4" s="112" t="s">
        <v>123</v>
      </c>
      <c r="Q4" s="112" t="s">
        <v>123</v>
      </c>
      <c r="R4" s="112" t="s">
        <v>123</v>
      </c>
      <c r="S4" s="112" t="s">
        <v>123</v>
      </c>
      <c r="T4" s="112" t="s">
        <v>123</v>
      </c>
      <c r="U4" s="112" t="s">
        <v>123</v>
      </c>
      <c r="V4" s="112" t="s">
        <v>123</v>
      </c>
      <c r="W4" s="112" t="s">
        <v>123</v>
      </c>
      <c r="X4" s="112" t="s">
        <v>123</v>
      </c>
      <c r="Y4" s="112" t="s">
        <v>123</v>
      </c>
      <c r="Z4" s="112" t="s">
        <v>123</v>
      </c>
      <c r="AA4" s="112" t="s">
        <v>123</v>
      </c>
      <c r="AB4" s="112" t="s">
        <v>123</v>
      </c>
      <c r="AC4" s="112" t="s">
        <v>123</v>
      </c>
      <c r="AD4" s="112" t="s">
        <v>123</v>
      </c>
      <c r="AE4" s="112" t="s">
        <v>123</v>
      </c>
      <c r="AF4" s="112" t="s">
        <v>123</v>
      </c>
      <c r="AG4" s="112" t="s">
        <v>123</v>
      </c>
      <c r="AH4" s="112" t="s">
        <v>123</v>
      </c>
      <c r="AI4" s="112" t="s">
        <v>123</v>
      </c>
      <c r="AJ4" s="112" t="s">
        <v>123</v>
      </c>
      <c r="AK4" s="112" t="s">
        <v>123</v>
      </c>
      <c r="AL4" s="112" t="s">
        <v>123</v>
      </c>
      <c r="AM4" s="112" t="s">
        <v>123</v>
      </c>
      <c r="AN4" s="112" t="s">
        <v>123</v>
      </c>
      <c r="AO4" s="112" t="s">
        <v>123</v>
      </c>
      <c r="AP4" s="112" t="s">
        <v>123</v>
      </c>
      <c r="AQ4" s="112" t="s">
        <v>123</v>
      </c>
      <c r="AR4" s="112" t="s">
        <v>123</v>
      </c>
      <c r="AS4" s="286"/>
    </row>
    <row r="5" spans="1:45" ht="15.75" x14ac:dyDescent="0.3">
      <c r="A5" s="109">
        <v>1</v>
      </c>
      <c r="B5" s="109" t="s">
        <v>39</v>
      </c>
      <c r="C5" s="113">
        <v>500000</v>
      </c>
      <c r="D5" s="113">
        <v>0</v>
      </c>
      <c r="E5" s="113">
        <v>10000</v>
      </c>
      <c r="F5" s="113">
        <v>0</v>
      </c>
      <c r="G5" s="113">
        <v>0</v>
      </c>
      <c r="H5" s="113">
        <v>0</v>
      </c>
      <c r="I5" s="113">
        <v>0</v>
      </c>
      <c r="J5" s="113">
        <v>0</v>
      </c>
      <c r="K5" s="113">
        <v>0</v>
      </c>
      <c r="L5" s="113">
        <v>0</v>
      </c>
      <c r="M5" s="113">
        <v>500000</v>
      </c>
      <c r="N5" s="113">
        <v>0</v>
      </c>
      <c r="O5" s="113">
        <v>500000</v>
      </c>
      <c r="P5" s="113">
        <v>0</v>
      </c>
      <c r="Q5" s="113">
        <v>10000</v>
      </c>
      <c r="R5" s="113">
        <v>0</v>
      </c>
      <c r="S5" s="113">
        <v>0</v>
      </c>
      <c r="T5" s="113">
        <v>0</v>
      </c>
      <c r="U5" s="113">
        <v>0</v>
      </c>
      <c r="V5" s="113">
        <v>0</v>
      </c>
      <c r="W5" s="113">
        <v>0</v>
      </c>
      <c r="X5" s="113">
        <v>0</v>
      </c>
      <c r="Y5" s="113">
        <v>0</v>
      </c>
      <c r="Z5" s="113">
        <v>0</v>
      </c>
      <c r="AA5" s="113">
        <v>0</v>
      </c>
      <c r="AB5" s="113">
        <v>0</v>
      </c>
      <c r="AC5" s="113">
        <v>0</v>
      </c>
      <c r="AD5" s="113">
        <v>0</v>
      </c>
      <c r="AE5" s="113">
        <v>0</v>
      </c>
      <c r="AF5" s="113">
        <v>0</v>
      </c>
      <c r="AG5" s="113">
        <v>0</v>
      </c>
      <c r="AH5" s="113">
        <v>0</v>
      </c>
      <c r="AI5" s="113">
        <v>0</v>
      </c>
      <c r="AJ5" s="113">
        <v>0</v>
      </c>
      <c r="AK5" s="113">
        <v>0</v>
      </c>
      <c r="AL5" s="113">
        <v>0</v>
      </c>
      <c r="AM5" s="113">
        <v>0</v>
      </c>
      <c r="AN5" s="113">
        <v>0</v>
      </c>
      <c r="AO5" s="113">
        <v>0</v>
      </c>
      <c r="AP5" s="113">
        <f>+C5+F5+I5+L5+X5+AD5+AJ5+AG5+AA5+O5+U5+R5</f>
        <v>1000000</v>
      </c>
      <c r="AQ5" s="113">
        <f t="shared" ref="AQ5:AQ20" si="0">+D5+G5+J5+M5+Y5+AE5+AK5+AH5+AB5+P5+V5</f>
        <v>500000</v>
      </c>
      <c r="AR5" s="113">
        <f t="shared" ref="AR5:AR22" si="1">+E5+H5+K5+N5+Z5+AF5+AL5+AI5+AC5+Q5+W5+T5</f>
        <v>20000</v>
      </c>
      <c r="AS5" s="172">
        <f>+AP5-AQ5</f>
        <v>500000</v>
      </c>
    </row>
    <row r="6" spans="1:45" ht="15.75" x14ac:dyDescent="0.3">
      <c r="A6" s="109">
        <v>2</v>
      </c>
      <c r="B6" s="109" t="s">
        <v>43</v>
      </c>
      <c r="C6" s="113">
        <v>1000000</v>
      </c>
      <c r="D6" s="113">
        <v>0</v>
      </c>
      <c r="E6" s="113">
        <v>120000</v>
      </c>
      <c r="F6" s="113">
        <v>0</v>
      </c>
      <c r="G6" s="113">
        <v>0</v>
      </c>
      <c r="H6" s="113">
        <v>0</v>
      </c>
      <c r="I6" s="113">
        <v>0</v>
      </c>
      <c r="J6" s="113">
        <v>0</v>
      </c>
      <c r="K6" s="113">
        <v>0</v>
      </c>
      <c r="L6" s="113">
        <v>0</v>
      </c>
      <c r="M6" s="113">
        <v>690000</v>
      </c>
      <c r="N6" s="113">
        <v>0</v>
      </c>
      <c r="O6" s="113">
        <v>0</v>
      </c>
      <c r="P6" s="113">
        <v>0</v>
      </c>
      <c r="Q6" s="113">
        <v>0</v>
      </c>
      <c r="R6" s="113">
        <v>690000</v>
      </c>
      <c r="S6" s="113">
        <v>0</v>
      </c>
      <c r="T6" s="113">
        <v>0</v>
      </c>
      <c r="U6" s="113">
        <v>0</v>
      </c>
      <c r="V6" s="113">
        <v>0</v>
      </c>
      <c r="W6" s="113">
        <v>0</v>
      </c>
      <c r="X6" s="113">
        <v>0</v>
      </c>
      <c r="Y6" s="113">
        <v>0</v>
      </c>
      <c r="Z6" s="113">
        <v>0</v>
      </c>
      <c r="AA6" s="113">
        <v>0</v>
      </c>
      <c r="AB6" s="113">
        <v>0</v>
      </c>
      <c r="AC6" s="113">
        <v>0</v>
      </c>
      <c r="AD6" s="113">
        <v>0</v>
      </c>
      <c r="AE6" s="113">
        <v>0</v>
      </c>
      <c r="AF6" s="113">
        <v>0</v>
      </c>
      <c r="AG6" s="113">
        <v>0</v>
      </c>
      <c r="AH6" s="113">
        <v>0</v>
      </c>
      <c r="AI6" s="113">
        <v>0</v>
      </c>
      <c r="AJ6" s="113">
        <v>0</v>
      </c>
      <c r="AK6" s="113">
        <v>0</v>
      </c>
      <c r="AL6" s="113">
        <v>0</v>
      </c>
      <c r="AM6" s="113">
        <v>0</v>
      </c>
      <c r="AN6" s="113">
        <v>0</v>
      </c>
      <c r="AO6" s="113">
        <v>0</v>
      </c>
      <c r="AP6" s="113">
        <f t="shared" ref="AP6:AP40" si="2">+C6+F6+I6+L6+X6+AD6+AJ6+AG6+AA6+O6+U6+R6</f>
        <v>1690000</v>
      </c>
      <c r="AQ6" s="113">
        <f t="shared" si="0"/>
        <v>690000</v>
      </c>
      <c r="AR6" s="113">
        <f t="shared" si="1"/>
        <v>120000</v>
      </c>
      <c r="AS6" s="172">
        <f t="shared" ref="AS6:AS40" si="3">+AP6-AQ6</f>
        <v>1000000</v>
      </c>
    </row>
    <row r="7" spans="1:45" ht="15.75" x14ac:dyDescent="0.3">
      <c r="A7" s="109">
        <v>3</v>
      </c>
      <c r="B7" s="109" t="s">
        <v>89</v>
      </c>
      <c r="C7" s="113">
        <v>0</v>
      </c>
      <c r="D7" s="113">
        <v>0</v>
      </c>
      <c r="E7" s="113">
        <v>0</v>
      </c>
      <c r="F7" s="113">
        <v>0</v>
      </c>
      <c r="G7" s="113">
        <v>0</v>
      </c>
      <c r="H7" s="113">
        <v>0</v>
      </c>
      <c r="I7" s="113">
        <v>0</v>
      </c>
      <c r="J7" s="113">
        <v>0</v>
      </c>
      <c r="K7" s="113">
        <v>0</v>
      </c>
      <c r="L7" s="113">
        <v>0</v>
      </c>
      <c r="M7" s="113">
        <v>0</v>
      </c>
      <c r="N7" s="113">
        <v>0</v>
      </c>
      <c r="O7" s="113">
        <v>0</v>
      </c>
      <c r="P7" s="113">
        <v>0</v>
      </c>
      <c r="Q7" s="113">
        <v>0</v>
      </c>
      <c r="R7" s="113">
        <v>0</v>
      </c>
      <c r="S7" s="113">
        <v>0</v>
      </c>
      <c r="T7" s="113">
        <v>0</v>
      </c>
      <c r="U7" s="113">
        <v>0</v>
      </c>
      <c r="V7" s="113">
        <v>0</v>
      </c>
      <c r="W7" s="113">
        <v>0</v>
      </c>
      <c r="X7" s="113">
        <v>0</v>
      </c>
      <c r="Y7" s="113">
        <v>0</v>
      </c>
      <c r="Z7" s="113">
        <v>0</v>
      </c>
      <c r="AA7" s="113">
        <v>0</v>
      </c>
      <c r="AB7" s="113">
        <v>0</v>
      </c>
      <c r="AC7" s="113">
        <v>0</v>
      </c>
      <c r="AD7" s="113">
        <v>0</v>
      </c>
      <c r="AE7" s="113">
        <v>0</v>
      </c>
      <c r="AF7" s="113">
        <v>0</v>
      </c>
      <c r="AG7" s="113">
        <v>0</v>
      </c>
      <c r="AH7" s="113">
        <v>0</v>
      </c>
      <c r="AI7" s="113">
        <v>0</v>
      </c>
      <c r="AJ7" s="113">
        <v>0</v>
      </c>
      <c r="AK7" s="113">
        <v>0</v>
      </c>
      <c r="AL7" s="113">
        <v>0</v>
      </c>
      <c r="AM7" s="113">
        <v>0</v>
      </c>
      <c r="AN7" s="113">
        <v>0</v>
      </c>
      <c r="AO7" s="113">
        <v>0</v>
      </c>
      <c r="AP7" s="113">
        <f t="shared" si="2"/>
        <v>0</v>
      </c>
      <c r="AQ7" s="113">
        <f t="shared" si="0"/>
        <v>0</v>
      </c>
      <c r="AR7" s="113">
        <f t="shared" si="1"/>
        <v>0</v>
      </c>
      <c r="AS7" s="172">
        <f t="shared" si="3"/>
        <v>0</v>
      </c>
    </row>
    <row r="8" spans="1:45" ht="15.75" x14ac:dyDescent="0.3">
      <c r="A8" s="109">
        <v>4</v>
      </c>
      <c r="B8" s="109" t="s">
        <v>124</v>
      </c>
      <c r="C8" s="113">
        <v>1000000</v>
      </c>
      <c r="D8" s="113">
        <v>0</v>
      </c>
      <c r="E8" s="113">
        <v>40000</v>
      </c>
      <c r="F8" s="113">
        <v>0</v>
      </c>
      <c r="G8" s="113">
        <v>0</v>
      </c>
      <c r="H8" s="113">
        <v>0</v>
      </c>
      <c r="I8" s="113">
        <v>0</v>
      </c>
      <c r="J8" s="113">
        <v>0</v>
      </c>
      <c r="K8" s="113">
        <v>0</v>
      </c>
      <c r="L8" s="113">
        <v>0</v>
      </c>
      <c r="M8" s="113">
        <v>0</v>
      </c>
      <c r="N8" s="113">
        <v>0</v>
      </c>
      <c r="O8" s="113">
        <v>1000000</v>
      </c>
      <c r="P8" s="113">
        <v>1000000</v>
      </c>
      <c r="Q8" s="113">
        <v>80000</v>
      </c>
      <c r="R8" s="113">
        <v>0</v>
      </c>
      <c r="S8" s="113">
        <v>0</v>
      </c>
      <c r="T8" s="113">
        <v>0</v>
      </c>
      <c r="U8" s="113">
        <v>0</v>
      </c>
      <c r="V8" s="113">
        <v>0</v>
      </c>
      <c r="W8" s="113">
        <v>0</v>
      </c>
      <c r="X8" s="113">
        <v>0</v>
      </c>
      <c r="Y8" s="113">
        <v>0</v>
      </c>
      <c r="Z8" s="113">
        <v>0</v>
      </c>
      <c r="AA8" s="113">
        <v>0</v>
      </c>
      <c r="AB8" s="113">
        <v>0</v>
      </c>
      <c r="AC8" s="113">
        <v>0</v>
      </c>
      <c r="AD8" s="113">
        <v>0</v>
      </c>
      <c r="AE8" s="113">
        <v>0</v>
      </c>
      <c r="AF8" s="113">
        <v>0</v>
      </c>
      <c r="AG8" s="113">
        <v>0</v>
      </c>
      <c r="AH8" s="113">
        <v>0</v>
      </c>
      <c r="AI8" s="113">
        <v>0</v>
      </c>
      <c r="AJ8" s="113">
        <v>0</v>
      </c>
      <c r="AK8" s="113">
        <v>0</v>
      </c>
      <c r="AL8" s="113">
        <v>0</v>
      </c>
      <c r="AM8" s="113">
        <v>0</v>
      </c>
      <c r="AN8" s="113">
        <v>0</v>
      </c>
      <c r="AO8" s="113">
        <v>0</v>
      </c>
      <c r="AP8" s="113">
        <f t="shared" si="2"/>
        <v>2000000</v>
      </c>
      <c r="AQ8" s="113">
        <f t="shared" si="0"/>
        <v>1000000</v>
      </c>
      <c r="AR8" s="113">
        <f t="shared" si="1"/>
        <v>120000</v>
      </c>
      <c r="AS8" s="172">
        <f t="shared" si="3"/>
        <v>1000000</v>
      </c>
    </row>
    <row r="9" spans="1:45" ht="15.75" x14ac:dyDescent="0.3">
      <c r="A9" s="109">
        <v>5</v>
      </c>
      <c r="B9" s="109" t="s">
        <v>91</v>
      </c>
      <c r="C9" s="113">
        <v>1000000</v>
      </c>
      <c r="D9" s="113">
        <v>0</v>
      </c>
      <c r="E9" s="113">
        <v>60000</v>
      </c>
      <c r="F9" s="113">
        <v>0</v>
      </c>
      <c r="G9" s="113">
        <v>0</v>
      </c>
      <c r="H9" s="113">
        <v>0</v>
      </c>
      <c r="I9" s="113">
        <v>0</v>
      </c>
      <c r="J9" s="113">
        <v>0</v>
      </c>
      <c r="K9" s="113">
        <v>0</v>
      </c>
      <c r="L9" s="113">
        <v>0</v>
      </c>
      <c r="M9" s="113">
        <v>0</v>
      </c>
      <c r="N9" s="113">
        <v>0</v>
      </c>
      <c r="O9" s="113">
        <v>0</v>
      </c>
      <c r="P9" s="113">
        <v>0</v>
      </c>
      <c r="Q9" s="113">
        <v>0</v>
      </c>
      <c r="R9" s="113">
        <v>0</v>
      </c>
      <c r="S9" s="113">
        <v>0</v>
      </c>
      <c r="T9" s="113">
        <v>0</v>
      </c>
      <c r="U9" s="113">
        <v>705000</v>
      </c>
      <c r="V9" s="113">
        <v>1000000</v>
      </c>
      <c r="W9" s="113">
        <v>28200</v>
      </c>
      <c r="X9" s="113">
        <v>0</v>
      </c>
      <c r="Y9" s="113">
        <v>0</v>
      </c>
      <c r="Z9" s="113">
        <v>0</v>
      </c>
      <c r="AA9" s="113">
        <v>0</v>
      </c>
      <c r="AB9" s="113">
        <v>0</v>
      </c>
      <c r="AC9" s="113">
        <v>0</v>
      </c>
      <c r="AD9" s="113">
        <v>0</v>
      </c>
      <c r="AE9" s="113">
        <v>0</v>
      </c>
      <c r="AF9" s="113">
        <v>0</v>
      </c>
      <c r="AG9" s="113">
        <v>0</v>
      </c>
      <c r="AH9" s="113">
        <v>0</v>
      </c>
      <c r="AI9" s="113">
        <v>0</v>
      </c>
      <c r="AJ9" s="113">
        <v>0</v>
      </c>
      <c r="AK9" s="113">
        <v>0</v>
      </c>
      <c r="AL9" s="113">
        <v>0</v>
      </c>
      <c r="AM9" s="113">
        <v>0</v>
      </c>
      <c r="AN9" s="113">
        <v>0</v>
      </c>
      <c r="AO9" s="113">
        <v>0</v>
      </c>
      <c r="AP9" s="113">
        <f t="shared" si="2"/>
        <v>1705000</v>
      </c>
      <c r="AQ9" s="113">
        <f t="shared" si="0"/>
        <v>1000000</v>
      </c>
      <c r="AR9" s="113">
        <f t="shared" si="1"/>
        <v>88200</v>
      </c>
      <c r="AS9" s="172">
        <f t="shared" si="3"/>
        <v>705000</v>
      </c>
    </row>
    <row r="10" spans="1:45" ht="15.75" x14ac:dyDescent="0.3">
      <c r="A10" s="109">
        <v>6</v>
      </c>
      <c r="B10" s="109" t="s">
        <v>92</v>
      </c>
      <c r="C10" s="113">
        <v>1000000</v>
      </c>
      <c r="D10" s="113">
        <v>0</v>
      </c>
      <c r="E10" s="113">
        <v>120000</v>
      </c>
      <c r="F10" s="113">
        <v>0</v>
      </c>
      <c r="G10" s="113">
        <v>0</v>
      </c>
      <c r="H10" s="113">
        <v>0</v>
      </c>
      <c r="I10" s="113">
        <v>0</v>
      </c>
      <c r="J10" s="113">
        <v>0</v>
      </c>
      <c r="K10" s="113">
        <v>0</v>
      </c>
      <c r="L10" s="113">
        <v>0</v>
      </c>
      <c r="M10" s="113">
        <v>0</v>
      </c>
      <c r="N10" s="113">
        <v>0</v>
      </c>
      <c r="O10" s="113">
        <v>0</v>
      </c>
      <c r="P10" s="113">
        <v>0</v>
      </c>
      <c r="Q10" s="113">
        <v>0</v>
      </c>
      <c r="R10" s="113">
        <v>0</v>
      </c>
      <c r="S10" s="113">
        <v>0</v>
      </c>
      <c r="T10" s="113">
        <v>0</v>
      </c>
      <c r="U10" s="113">
        <v>0</v>
      </c>
      <c r="V10" s="113">
        <v>0</v>
      </c>
      <c r="W10" s="113">
        <v>0</v>
      </c>
      <c r="X10" s="113">
        <v>0</v>
      </c>
      <c r="Y10" s="113">
        <v>0</v>
      </c>
      <c r="Z10" s="113">
        <v>0</v>
      </c>
      <c r="AA10" s="113">
        <v>0</v>
      </c>
      <c r="AB10" s="113">
        <v>0</v>
      </c>
      <c r="AC10" s="113">
        <v>0</v>
      </c>
      <c r="AD10" s="113">
        <v>0</v>
      </c>
      <c r="AE10" s="113">
        <v>0</v>
      </c>
      <c r="AF10" s="113">
        <v>0</v>
      </c>
      <c r="AG10" s="113">
        <v>0</v>
      </c>
      <c r="AH10" s="113">
        <v>0</v>
      </c>
      <c r="AI10" s="113">
        <v>0</v>
      </c>
      <c r="AJ10" s="113">
        <v>0</v>
      </c>
      <c r="AK10" s="113">
        <v>0</v>
      </c>
      <c r="AL10" s="113">
        <v>0</v>
      </c>
      <c r="AM10" s="113">
        <v>0</v>
      </c>
      <c r="AN10" s="113">
        <v>0</v>
      </c>
      <c r="AO10" s="113">
        <v>0</v>
      </c>
      <c r="AP10" s="113">
        <f t="shared" si="2"/>
        <v>1000000</v>
      </c>
      <c r="AQ10" s="113">
        <f t="shared" si="0"/>
        <v>0</v>
      </c>
      <c r="AR10" s="113">
        <f t="shared" si="1"/>
        <v>120000</v>
      </c>
      <c r="AS10" s="172">
        <f t="shared" si="3"/>
        <v>1000000</v>
      </c>
    </row>
    <row r="11" spans="1:45" ht="15.75" x14ac:dyDescent="0.3">
      <c r="A11" s="109">
        <v>7</v>
      </c>
      <c r="B11" s="109" t="s">
        <v>93</v>
      </c>
      <c r="C11" s="113">
        <v>0</v>
      </c>
      <c r="D11" s="113">
        <v>0</v>
      </c>
      <c r="E11" s="113">
        <v>0</v>
      </c>
      <c r="F11" s="113">
        <v>0</v>
      </c>
      <c r="G11" s="113">
        <v>0</v>
      </c>
      <c r="H11" s="113">
        <v>0</v>
      </c>
      <c r="I11" s="113">
        <v>0</v>
      </c>
      <c r="J11" s="113">
        <v>0</v>
      </c>
      <c r="K11" s="113">
        <v>0</v>
      </c>
      <c r="L11" s="113">
        <v>0</v>
      </c>
      <c r="M11" s="113">
        <v>0</v>
      </c>
      <c r="N11" s="113">
        <v>0</v>
      </c>
      <c r="O11" s="113">
        <v>0</v>
      </c>
      <c r="P11" s="113">
        <v>0</v>
      </c>
      <c r="Q11" s="113">
        <v>0</v>
      </c>
      <c r="R11" s="113">
        <v>0</v>
      </c>
      <c r="S11" s="113">
        <v>0</v>
      </c>
      <c r="T11" s="113">
        <v>0</v>
      </c>
      <c r="U11" s="113">
        <v>0</v>
      </c>
      <c r="V11" s="113">
        <v>0</v>
      </c>
      <c r="W11" s="113">
        <v>0</v>
      </c>
      <c r="X11" s="113">
        <v>0</v>
      </c>
      <c r="Y11" s="113">
        <v>0</v>
      </c>
      <c r="Z11" s="113">
        <v>0</v>
      </c>
      <c r="AA11" s="113">
        <v>0</v>
      </c>
      <c r="AB11" s="113">
        <v>0</v>
      </c>
      <c r="AC11" s="113">
        <v>0</v>
      </c>
      <c r="AD11" s="113">
        <v>0</v>
      </c>
      <c r="AE11" s="113">
        <v>0</v>
      </c>
      <c r="AF11" s="113">
        <v>0</v>
      </c>
      <c r="AG11" s="113">
        <v>0</v>
      </c>
      <c r="AH11" s="113">
        <v>0</v>
      </c>
      <c r="AI11" s="113">
        <v>0</v>
      </c>
      <c r="AJ11" s="113">
        <v>0</v>
      </c>
      <c r="AK11" s="113">
        <v>0</v>
      </c>
      <c r="AL11" s="113">
        <v>0</v>
      </c>
      <c r="AM11" s="113">
        <v>0</v>
      </c>
      <c r="AN11" s="113">
        <v>0</v>
      </c>
      <c r="AO11" s="113">
        <v>0</v>
      </c>
      <c r="AP11" s="113">
        <f t="shared" si="2"/>
        <v>0</v>
      </c>
      <c r="AQ11" s="113">
        <f t="shared" si="0"/>
        <v>0</v>
      </c>
      <c r="AR11" s="113">
        <f t="shared" si="1"/>
        <v>0</v>
      </c>
      <c r="AS11" s="172">
        <f t="shared" si="3"/>
        <v>0</v>
      </c>
    </row>
    <row r="12" spans="1:45" ht="15.75" x14ac:dyDescent="0.3">
      <c r="A12" s="109">
        <v>8</v>
      </c>
      <c r="B12" s="109" t="s">
        <v>42</v>
      </c>
      <c r="C12" s="113">
        <v>0</v>
      </c>
      <c r="D12" s="113">
        <v>0</v>
      </c>
      <c r="E12" s="113">
        <v>0</v>
      </c>
      <c r="F12" s="113">
        <v>0</v>
      </c>
      <c r="G12" s="113">
        <v>0</v>
      </c>
      <c r="H12" s="113">
        <v>0</v>
      </c>
      <c r="I12" s="113">
        <v>0</v>
      </c>
      <c r="J12" s="113">
        <v>0</v>
      </c>
      <c r="K12" s="113">
        <v>0</v>
      </c>
      <c r="L12" s="113">
        <v>0</v>
      </c>
      <c r="M12" s="113">
        <v>0</v>
      </c>
      <c r="N12" s="113">
        <v>0</v>
      </c>
      <c r="O12" s="113">
        <v>0</v>
      </c>
      <c r="P12" s="113">
        <v>0</v>
      </c>
      <c r="Q12" s="113">
        <v>0</v>
      </c>
      <c r="R12" s="113">
        <v>0</v>
      </c>
      <c r="S12" s="113">
        <v>0</v>
      </c>
      <c r="T12" s="113">
        <v>0</v>
      </c>
      <c r="U12" s="113">
        <v>0</v>
      </c>
      <c r="V12" s="113">
        <v>0</v>
      </c>
      <c r="W12" s="113">
        <v>0</v>
      </c>
      <c r="X12" s="113">
        <v>0</v>
      </c>
      <c r="Y12" s="113">
        <v>0</v>
      </c>
      <c r="Z12" s="113">
        <v>0</v>
      </c>
      <c r="AA12" s="113">
        <v>0</v>
      </c>
      <c r="AB12" s="113">
        <v>0</v>
      </c>
      <c r="AC12" s="113">
        <v>0</v>
      </c>
      <c r="AD12" s="113">
        <v>0</v>
      </c>
      <c r="AE12" s="113">
        <v>0</v>
      </c>
      <c r="AF12" s="113">
        <v>0</v>
      </c>
      <c r="AG12" s="113">
        <v>0</v>
      </c>
      <c r="AH12" s="113">
        <v>0</v>
      </c>
      <c r="AI12" s="113">
        <v>0</v>
      </c>
      <c r="AJ12" s="113">
        <v>0</v>
      </c>
      <c r="AK12" s="113">
        <v>0</v>
      </c>
      <c r="AL12" s="113">
        <v>0</v>
      </c>
      <c r="AM12" s="113">
        <v>0</v>
      </c>
      <c r="AN12" s="113">
        <v>0</v>
      </c>
      <c r="AO12" s="113">
        <v>0</v>
      </c>
      <c r="AP12" s="113">
        <f t="shared" si="2"/>
        <v>0</v>
      </c>
      <c r="AQ12" s="113">
        <f t="shared" si="0"/>
        <v>0</v>
      </c>
      <c r="AR12" s="113">
        <f t="shared" si="1"/>
        <v>0</v>
      </c>
      <c r="AS12" s="172">
        <f t="shared" si="3"/>
        <v>0</v>
      </c>
    </row>
    <row r="13" spans="1:45" ht="15.75" x14ac:dyDescent="0.3">
      <c r="A13" s="109">
        <v>9</v>
      </c>
      <c r="B13" s="109" t="s">
        <v>37</v>
      </c>
      <c r="C13" s="113">
        <v>1000000</v>
      </c>
      <c r="D13" s="113">
        <v>0</v>
      </c>
      <c r="E13" s="113">
        <v>120000</v>
      </c>
      <c r="F13" s="113">
        <v>0</v>
      </c>
      <c r="G13" s="113">
        <v>0</v>
      </c>
      <c r="H13" s="113">
        <v>0</v>
      </c>
      <c r="I13" s="113">
        <v>0</v>
      </c>
      <c r="J13" s="113">
        <v>1000000</v>
      </c>
      <c r="K13" s="113">
        <v>0</v>
      </c>
      <c r="L13" s="113">
        <v>0</v>
      </c>
      <c r="M13" s="113">
        <v>0</v>
      </c>
      <c r="N13" s="113">
        <v>0</v>
      </c>
      <c r="O13" s="113">
        <v>0</v>
      </c>
      <c r="P13" s="113">
        <v>0</v>
      </c>
      <c r="Q13" s="113">
        <v>0</v>
      </c>
      <c r="R13" s="113">
        <v>0</v>
      </c>
      <c r="S13" s="113">
        <v>0</v>
      </c>
      <c r="T13" s="113">
        <v>0</v>
      </c>
      <c r="U13" s="113">
        <v>0</v>
      </c>
      <c r="V13" s="113">
        <v>0</v>
      </c>
      <c r="W13" s="113">
        <v>0</v>
      </c>
      <c r="X13" s="113">
        <v>0</v>
      </c>
      <c r="Y13" s="113">
        <v>0</v>
      </c>
      <c r="Z13" s="113">
        <v>0</v>
      </c>
      <c r="AA13" s="113">
        <v>0</v>
      </c>
      <c r="AB13" s="113">
        <v>0</v>
      </c>
      <c r="AC13" s="113">
        <v>0</v>
      </c>
      <c r="AD13" s="113">
        <v>0</v>
      </c>
      <c r="AE13" s="113">
        <v>0</v>
      </c>
      <c r="AF13" s="113">
        <v>0</v>
      </c>
      <c r="AG13" s="113">
        <v>0</v>
      </c>
      <c r="AH13" s="113">
        <v>0</v>
      </c>
      <c r="AI13" s="113">
        <v>0</v>
      </c>
      <c r="AJ13" s="113">
        <v>0</v>
      </c>
      <c r="AK13" s="113">
        <v>0</v>
      </c>
      <c r="AL13" s="113">
        <v>0</v>
      </c>
      <c r="AM13" s="113">
        <v>0</v>
      </c>
      <c r="AN13" s="113">
        <v>0</v>
      </c>
      <c r="AO13" s="113">
        <v>0</v>
      </c>
      <c r="AP13" s="113">
        <f t="shared" si="2"/>
        <v>1000000</v>
      </c>
      <c r="AQ13" s="113">
        <f t="shared" si="0"/>
        <v>1000000</v>
      </c>
      <c r="AR13" s="113">
        <f t="shared" si="1"/>
        <v>120000</v>
      </c>
      <c r="AS13" s="172">
        <f t="shared" si="3"/>
        <v>0</v>
      </c>
    </row>
    <row r="14" spans="1:45" ht="15.75" x14ac:dyDescent="0.3">
      <c r="A14" s="109">
        <v>10</v>
      </c>
      <c r="B14" s="109" t="s">
        <v>94</v>
      </c>
      <c r="C14" s="113">
        <v>0</v>
      </c>
      <c r="D14" s="113">
        <v>0</v>
      </c>
      <c r="E14" s="113">
        <v>0</v>
      </c>
      <c r="F14" s="113">
        <v>0</v>
      </c>
      <c r="G14" s="113">
        <v>0</v>
      </c>
      <c r="H14" s="113">
        <v>0</v>
      </c>
      <c r="I14" s="113">
        <v>0</v>
      </c>
      <c r="J14" s="113">
        <v>0</v>
      </c>
      <c r="K14" s="113">
        <v>0</v>
      </c>
      <c r="L14" s="113">
        <v>0</v>
      </c>
      <c r="M14" s="113">
        <v>0</v>
      </c>
      <c r="N14" s="113">
        <v>0</v>
      </c>
      <c r="O14" s="113">
        <v>0</v>
      </c>
      <c r="P14" s="113">
        <v>0</v>
      </c>
      <c r="Q14" s="113">
        <v>0</v>
      </c>
      <c r="R14" s="113">
        <v>0</v>
      </c>
      <c r="S14" s="113">
        <v>0</v>
      </c>
      <c r="T14" s="113">
        <v>0</v>
      </c>
      <c r="U14" s="113">
        <v>0</v>
      </c>
      <c r="V14" s="113">
        <v>0</v>
      </c>
      <c r="W14" s="113">
        <v>0</v>
      </c>
      <c r="X14" s="113">
        <v>1000000</v>
      </c>
      <c r="Y14" s="113">
        <v>0</v>
      </c>
      <c r="Z14" s="113">
        <v>50000</v>
      </c>
      <c r="AA14" s="113">
        <v>0</v>
      </c>
      <c r="AB14" s="113">
        <v>0</v>
      </c>
      <c r="AC14" s="113">
        <v>0</v>
      </c>
      <c r="AD14" s="113">
        <v>0</v>
      </c>
      <c r="AE14" s="113">
        <v>0</v>
      </c>
      <c r="AF14" s="113">
        <v>0</v>
      </c>
      <c r="AG14" s="113">
        <v>0</v>
      </c>
      <c r="AH14" s="113">
        <v>0</v>
      </c>
      <c r="AI14" s="113">
        <v>0</v>
      </c>
      <c r="AJ14" s="113">
        <v>0</v>
      </c>
      <c r="AK14" s="113">
        <v>0</v>
      </c>
      <c r="AL14" s="113">
        <v>0</v>
      </c>
      <c r="AM14" s="113">
        <v>0</v>
      </c>
      <c r="AN14" s="113">
        <v>0</v>
      </c>
      <c r="AO14" s="113">
        <v>0</v>
      </c>
      <c r="AP14" s="113">
        <f t="shared" si="2"/>
        <v>1000000</v>
      </c>
      <c r="AQ14" s="113">
        <f t="shared" si="0"/>
        <v>0</v>
      </c>
      <c r="AR14" s="113">
        <f t="shared" si="1"/>
        <v>50000</v>
      </c>
      <c r="AS14" s="172">
        <f t="shared" si="3"/>
        <v>1000000</v>
      </c>
    </row>
    <row r="15" spans="1:45" ht="15.75" x14ac:dyDescent="0.3">
      <c r="A15" s="109">
        <v>11</v>
      </c>
      <c r="B15" s="109" t="s">
        <v>95</v>
      </c>
      <c r="C15" s="113">
        <v>1000000</v>
      </c>
      <c r="D15" s="113">
        <v>0</v>
      </c>
      <c r="E15" s="113">
        <v>60000</v>
      </c>
      <c r="F15" s="113">
        <v>0</v>
      </c>
      <c r="G15" s="113">
        <v>0</v>
      </c>
      <c r="H15" s="113">
        <v>0</v>
      </c>
      <c r="I15" s="113">
        <v>0</v>
      </c>
      <c r="J15" s="113">
        <v>0</v>
      </c>
      <c r="K15" s="113">
        <v>0</v>
      </c>
      <c r="L15" s="113">
        <v>0</v>
      </c>
      <c r="M15" s="113">
        <v>0</v>
      </c>
      <c r="N15" s="113">
        <v>0</v>
      </c>
      <c r="O15" s="113">
        <v>0</v>
      </c>
      <c r="P15" s="113">
        <v>0</v>
      </c>
      <c r="Q15" s="113">
        <v>0</v>
      </c>
      <c r="R15" s="113">
        <v>0</v>
      </c>
      <c r="S15" s="113">
        <v>0</v>
      </c>
      <c r="T15" s="113">
        <v>0</v>
      </c>
      <c r="U15" s="113">
        <v>250000</v>
      </c>
      <c r="V15" s="113">
        <v>1000000</v>
      </c>
      <c r="W15" s="113">
        <v>10000</v>
      </c>
      <c r="X15" s="113">
        <v>0</v>
      </c>
      <c r="Y15" s="113">
        <v>0</v>
      </c>
      <c r="Z15" s="113">
        <v>0</v>
      </c>
      <c r="AA15" s="113">
        <v>0</v>
      </c>
      <c r="AB15" s="113">
        <v>0</v>
      </c>
      <c r="AC15" s="113">
        <v>0</v>
      </c>
      <c r="AD15" s="113">
        <v>0</v>
      </c>
      <c r="AE15" s="113">
        <v>100000</v>
      </c>
      <c r="AF15" s="113">
        <v>0</v>
      </c>
      <c r="AG15" s="113">
        <v>0</v>
      </c>
      <c r="AH15" s="113">
        <v>140000</v>
      </c>
      <c r="AI15" s="113">
        <v>0</v>
      </c>
      <c r="AJ15" s="113">
        <v>0</v>
      </c>
      <c r="AK15" s="113">
        <v>0</v>
      </c>
      <c r="AL15" s="113">
        <v>0</v>
      </c>
      <c r="AM15" s="113">
        <v>0</v>
      </c>
      <c r="AN15" s="113">
        <v>0</v>
      </c>
      <c r="AO15" s="113">
        <v>0</v>
      </c>
      <c r="AP15" s="113">
        <f t="shared" si="2"/>
        <v>1250000</v>
      </c>
      <c r="AQ15" s="113">
        <f t="shared" si="0"/>
        <v>1240000</v>
      </c>
      <c r="AR15" s="113">
        <f t="shared" si="1"/>
        <v>70000</v>
      </c>
      <c r="AS15" s="172">
        <f t="shared" si="3"/>
        <v>10000</v>
      </c>
    </row>
    <row r="16" spans="1:45" ht="15.75" x14ac:dyDescent="0.3">
      <c r="A16" s="109">
        <v>12</v>
      </c>
      <c r="B16" s="109" t="s">
        <v>96</v>
      </c>
      <c r="C16" s="113">
        <v>1000000</v>
      </c>
      <c r="D16" s="113">
        <v>0</v>
      </c>
      <c r="E16" s="113">
        <v>40000</v>
      </c>
      <c r="F16" s="113">
        <v>0</v>
      </c>
      <c r="G16" s="113">
        <v>0</v>
      </c>
      <c r="H16" s="113">
        <v>0</v>
      </c>
      <c r="I16" s="113">
        <v>0</v>
      </c>
      <c r="J16" s="113">
        <v>0</v>
      </c>
      <c r="K16" s="113">
        <v>0</v>
      </c>
      <c r="L16" s="113">
        <v>0</v>
      </c>
      <c r="M16" s="113">
        <v>0</v>
      </c>
      <c r="N16" s="113">
        <v>0</v>
      </c>
      <c r="O16" s="113">
        <v>300000</v>
      </c>
      <c r="P16" s="113">
        <v>1000000</v>
      </c>
      <c r="Q16" s="113">
        <v>12000</v>
      </c>
      <c r="R16" s="113">
        <v>0</v>
      </c>
      <c r="S16" s="113">
        <v>0</v>
      </c>
      <c r="T16" s="113">
        <v>0</v>
      </c>
      <c r="U16" s="113">
        <v>0</v>
      </c>
      <c r="V16" s="113">
        <v>0</v>
      </c>
      <c r="W16" s="113">
        <v>0</v>
      </c>
      <c r="X16" s="113">
        <v>0</v>
      </c>
      <c r="Y16" s="113">
        <v>0</v>
      </c>
      <c r="Z16" s="113">
        <v>0</v>
      </c>
      <c r="AA16" s="113">
        <v>0</v>
      </c>
      <c r="AB16" s="113">
        <v>300000</v>
      </c>
      <c r="AC16" s="113">
        <v>0</v>
      </c>
      <c r="AD16" s="113">
        <v>0</v>
      </c>
      <c r="AE16" s="113">
        <v>0</v>
      </c>
      <c r="AF16" s="113">
        <v>0</v>
      </c>
      <c r="AG16" s="113">
        <v>0</v>
      </c>
      <c r="AH16" s="113">
        <v>0</v>
      </c>
      <c r="AI16" s="113">
        <v>0</v>
      </c>
      <c r="AJ16" s="113">
        <v>0</v>
      </c>
      <c r="AK16" s="113">
        <v>0</v>
      </c>
      <c r="AL16" s="113">
        <v>0</v>
      </c>
      <c r="AM16" s="113">
        <v>0</v>
      </c>
      <c r="AN16" s="113">
        <v>0</v>
      </c>
      <c r="AO16" s="113">
        <v>0</v>
      </c>
      <c r="AP16" s="113">
        <f t="shared" si="2"/>
        <v>1300000</v>
      </c>
      <c r="AQ16" s="113">
        <f t="shared" si="0"/>
        <v>1300000</v>
      </c>
      <c r="AR16" s="113">
        <f t="shared" si="1"/>
        <v>52000</v>
      </c>
      <c r="AS16" s="172">
        <f t="shared" si="3"/>
        <v>0</v>
      </c>
    </row>
    <row r="17" spans="1:45" ht="15.75" x14ac:dyDescent="0.3">
      <c r="A17" s="109">
        <v>13</v>
      </c>
      <c r="B17" s="109" t="s">
        <v>97</v>
      </c>
      <c r="C17" s="113">
        <v>1000000</v>
      </c>
      <c r="D17" s="113">
        <v>0</v>
      </c>
      <c r="E17" s="113">
        <v>60000</v>
      </c>
      <c r="F17" s="113">
        <v>0</v>
      </c>
      <c r="G17" s="113">
        <v>0</v>
      </c>
      <c r="H17" s="113">
        <v>0</v>
      </c>
      <c r="I17" s="113">
        <v>0</v>
      </c>
      <c r="J17" s="113">
        <v>0</v>
      </c>
      <c r="K17" s="113">
        <v>0</v>
      </c>
      <c r="L17" s="113">
        <v>0</v>
      </c>
      <c r="M17" s="113">
        <v>0</v>
      </c>
      <c r="N17" s="113">
        <v>0</v>
      </c>
      <c r="O17" s="113">
        <v>0</v>
      </c>
      <c r="P17" s="113">
        <v>0</v>
      </c>
      <c r="Q17" s="113">
        <v>0</v>
      </c>
      <c r="R17" s="113">
        <v>0</v>
      </c>
      <c r="S17" s="113">
        <v>0</v>
      </c>
      <c r="T17" s="113">
        <v>0</v>
      </c>
      <c r="U17" s="113">
        <v>0</v>
      </c>
      <c r="V17" s="113">
        <v>0</v>
      </c>
      <c r="W17" s="113">
        <v>0</v>
      </c>
      <c r="X17" s="113">
        <v>0</v>
      </c>
      <c r="Y17" s="113">
        <v>0</v>
      </c>
      <c r="Z17" s="113">
        <v>0</v>
      </c>
      <c r="AA17" s="113">
        <v>0</v>
      </c>
      <c r="AB17" s="113">
        <v>0</v>
      </c>
      <c r="AC17" s="113">
        <v>0</v>
      </c>
      <c r="AD17" s="113">
        <v>0</v>
      </c>
      <c r="AE17" s="113">
        <v>0</v>
      </c>
      <c r="AF17" s="113">
        <v>0</v>
      </c>
      <c r="AG17" s="113">
        <v>0</v>
      </c>
      <c r="AH17" s="113">
        <v>0</v>
      </c>
      <c r="AI17" s="113">
        <v>0</v>
      </c>
      <c r="AJ17" s="113">
        <v>0</v>
      </c>
      <c r="AK17" s="113">
        <v>0</v>
      </c>
      <c r="AL17" s="113">
        <v>0</v>
      </c>
      <c r="AM17" s="113">
        <v>0</v>
      </c>
      <c r="AN17" s="113">
        <v>0</v>
      </c>
      <c r="AO17" s="113">
        <v>0</v>
      </c>
      <c r="AP17" s="113">
        <f t="shared" si="2"/>
        <v>1000000</v>
      </c>
      <c r="AQ17" s="113">
        <f t="shared" si="0"/>
        <v>0</v>
      </c>
      <c r="AR17" s="113">
        <f t="shared" si="1"/>
        <v>60000</v>
      </c>
      <c r="AS17" s="172">
        <f t="shared" si="3"/>
        <v>1000000</v>
      </c>
    </row>
    <row r="18" spans="1:45" ht="15.75" x14ac:dyDescent="0.3">
      <c r="A18" s="109">
        <v>14</v>
      </c>
      <c r="B18" s="109" t="s">
        <v>98</v>
      </c>
      <c r="C18" s="113">
        <v>500000</v>
      </c>
      <c r="D18" s="113">
        <v>0</v>
      </c>
      <c r="E18" s="113">
        <v>60000</v>
      </c>
      <c r="F18" s="113">
        <v>0</v>
      </c>
      <c r="G18" s="113">
        <v>0</v>
      </c>
      <c r="H18" s="113">
        <v>0</v>
      </c>
      <c r="I18" s="113">
        <v>0</v>
      </c>
      <c r="J18" s="113">
        <v>0</v>
      </c>
      <c r="K18" s="113">
        <v>0</v>
      </c>
      <c r="L18" s="113">
        <v>0</v>
      </c>
      <c r="M18" s="113">
        <v>0</v>
      </c>
      <c r="N18" s="113">
        <v>0</v>
      </c>
      <c r="O18" s="113">
        <v>0</v>
      </c>
      <c r="P18" s="113">
        <v>0</v>
      </c>
      <c r="Q18" s="113">
        <v>0</v>
      </c>
      <c r="R18" s="113">
        <v>0</v>
      </c>
      <c r="S18" s="113">
        <v>0</v>
      </c>
      <c r="T18" s="113">
        <v>0</v>
      </c>
      <c r="U18" s="113">
        <v>0</v>
      </c>
      <c r="V18" s="113">
        <v>0</v>
      </c>
      <c r="W18" s="113">
        <v>0</v>
      </c>
      <c r="X18" s="113">
        <v>0</v>
      </c>
      <c r="Y18" s="113">
        <v>0</v>
      </c>
      <c r="Z18" s="113">
        <v>0</v>
      </c>
      <c r="AA18" s="113">
        <v>0</v>
      </c>
      <c r="AB18" s="113">
        <v>0</v>
      </c>
      <c r="AC18" s="113">
        <v>0</v>
      </c>
      <c r="AD18" s="113">
        <v>0</v>
      </c>
      <c r="AE18" s="113">
        <v>0</v>
      </c>
      <c r="AF18" s="113">
        <v>0</v>
      </c>
      <c r="AG18" s="113">
        <v>0</v>
      </c>
      <c r="AH18" s="113">
        <v>0</v>
      </c>
      <c r="AI18" s="113">
        <v>0</v>
      </c>
      <c r="AJ18" s="113">
        <v>0</v>
      </c>
      <c r="AK18" s="113">
        <v>0</v>
      </c>
      <c r="AL18" s="113">
        <v>0</v>
      </c>
      <c r="AM18" s="113">
        <v>0</v>
      </c>
      <c r="AN18" s="113">
        <v>0</v>
      </c>
      <c r="AO18" s="113">
        <v>0</v>
      </c>
      <c r="AP18" s="113">
        <f t="shared" si="2"/>
        <v>500000</v>
      </c>
      <c r="AQ18" s="113">
        <f t="shared" si="0"/>
        <v>0</v>
      </c>
      <c r="AR18" s="113">
        <f t="shared" si="1"/>
        <v>60000</v>
      </c>
      <c r="AS18" s="172">
        <f t="shared" si="3"/>
        <v>500000</v>
      </c>
    </row>
    <row r="19" spans="1:45" ht="15.75" x14ac:dyDescent="0.3">
      <c r="A19" s="109">
        <v>15</v>
      </c>
      <c r="B19" s="109" t="s">
        <v>99</v>
      </c>
      <c r="C19" s="113">
        <v>1000000</v>
      </c>
      <c r="D19" s="113">
        <v>0</v>
      </c>
      <c r="E19" s="113">
        <v>120000</v>
      </c>
      <c r="F19" s="113">
        <v>0</v>
      </c>
      <c r="G19" s="113">
        <v>0</v>
      </c>
      <c r="H19" s="113">
        <v>0</v>
      </c>
      <c r="I19" s="113">
        <v>0</v>
      </c>
      <c r="J19" s="113">
        <v>0</v>
      </c>
      <c r="K19" s="113">
        <v>0</v>
      </c>
      <c r="L19" s="113">
        <v>0</v>
      </c>
      <c r="M19" s="113">
        <v>0</v>
      </c>
      <c r="N19" s="113">
        <v>0</v>
      </c>
      <c r="O19" s="113">
        <v>0</v>
      </c>
      <c r="P19" s="113">
        <v>0</v>
      </c>
      <c r="Q19" s="113">
        <v>0</v>
      </c>
      <c r="R19" s="113">
        <v>0</v>
      </c>
      <c r="S19" s="113">
        <v>0</v>
      </c>
      <c r="T19" s="113">
        <v>0</v>
      </c>
      <c r="U19" s="113">
        <v>0</v>
      </c>
      <c r="V19" s="113">
        <v>0</v>
      </c>
      <c r="W19" s="113">
        <v>0</v>
      </c>
      <c r="X19" s="113">
        <v>0</v>
      </c>
      <c r="Y19" s="113">
        <v>0</v>
      </c>
      <c r="Z19" s="113">
        <v>0</v>
      </c>
      <c r="AA19" s="113">
        <v>0</v>
      </c>
      <c r="AB19" s="113">
        <v>0</v>
      </c>
      <c r="AC19" s="113">
        <v>0</v>
      </c>
      <c r="AD19" s="113">
        <v>0</v>
      </c>
      <c r="AE19" s="113">
        <v>892500</v>
      </c>
      <c r="AF19" s="113">
        <v>0</v>
      </c>
      <c r="AG19" s="113">
        <v>0</v>
      </c>
      <c r="AH19" s="113">
        <v>0</v>
      </c>
      <c r="AI19" s="113">
        <v>0</v>
      </c>
      <c r="AJ19" s="113">
        <v>0</v>
      </c>
      <c r="AK19" s="113">
        <v>0</v>
      </c>
      <c r="AL19" s="113">
        <v>0</v>
      </c>
      <c r="AM19" s="113">
        <v>0</v>
      </c>
      <c r="AN19" s="113">
        <v>0</v>
      </c>
      <c r="AO19" s="113">
        <v>0</v>
      </c>
      <c r="AP19" s="113">
        <f t="shared" si="2"/>
        <v>1000000</v>
      </c>
      <c r="AQ19" s="113">
        <f t="shared" si="0"/>
        <v>892500</v>
      </c>
      <c r="AR19" s="113">
        <f t="shared" si="1"/>
        <v>120000</v>
      </c>
      <c r="AS19" s="172">
        <f t="shared" si="3"/>
        <v>107500</v>
      </c>
    </row>
    <row r="20" spans="1:45" ht="15.75" x14ac:dyDescent="0.3">
      <c r="A20" s="109">
        <v>16</v>
      </c>
      <c r="B20" s="109" t="s">
        <v>100</v>
      </c>
      <c r="C20" s="113">
        <v>600000</v>
      </c>
      <c r="D20" s="113">
        <v>0</v>
      </c>
      <c r="E20" s="113">
        <v>48000</v>
      </c>
      <c r="F20" s="113">
        <v>0</v>
      </c>
      <c r="G20" s="113">
        <v>0</v>
      </c>
      <c r="H20" s="113">
        <v>0</v>
      </c>
      <c r="I20" s="113">
        <v>0</v>
      </c>
      <c r="J20" s="113">
        <v>0</v>
      </c>
      <c r="K20" s="113">
        <v>0</v>
      </c>
      <c r="L20" s="113">
        <v>0</v>
      </c>
      <c r="M20" s="113">
        <v>0</v>
      </c>
      <c r="N20" s="113">
        <v>0</v>
      </c>
      <c r="O20" s="113">
        <v>0</v>
      </c>
      <c r="P20" s="113">
        <v>0</v>
      </c>
      <c r="Q20" s="113">
        <v>0</v>
      </c>
      <c r="R20" s="113">
        <v>0</v>
      </c>
      <c r="S20" s="113">
        <v>0</v>
      </c>
      <c r="T20" s="113">
        <v>0</v>
      </c>
      <c r="U20" s="113">
        <v>0</v>
      </c>
      <c r="V20" s="113">
        <v>0</v>
      </c>
      <c r="W20" s="113">
        <v>0</v>
      </c>
      <c r="X20" s="113">
        <v>0</v>
      </c>
      <c r="Y20" s="113">
        <v>0</v>
      </c>
      <c r="Z20" s="113">
        <v>0</v>
      </c>
      <c r="AA20" s="113">
        <v>600000</v>
      </c>
      <c r="AB20" s="113">
        <v>600000</v>
      </c>
      <c r="AC20" s="113">
        <v>0</v>
      </c>
      <c r="AD20" s="113">
        <v>0</v>
      </c>
      <c r="AE20" s="113">
        <v>0</v>
      </c>
      <c r="AF20" s="113">
        <v>0</v>
      </c>
      <c r="AG20" s="113">
        <v>0</v>
      </c>
      <c r="AH20" s="113">
        <v>0</v>
      </c>
      <c r="AI20" s="113">
        <v>0</v>
      </c>
      <c r="AJ20" s="113">
        <v>0</v>
      </c>
      <c r="AK20" s="113">
        <v>0</v>
      </c>
      <c r="AL20" s="113">
        <v>0</v>
      </c>
      <c r="AM20" s="113">
        <v>0</v>
      </c>
      <c r="AN20" s="113">
        <v>0</v>
      </c>
      <c r="AO20" s="113">
        <v>0</v>
      </c>
      <c r="AP20" s="113">
        <f t="shared" si="2"/>
        <v>1200000</v>
      </c>
      <c r="AQ20" s="113">
        <f t="shared" si="0"/>
        <v>600000</v>
      </c>
      <c r="AR20" s="113">
        <f t="shared" si="1"/>
        <v>48000</v>
      </c>
      <c r="AS20" s="172">
        <f t="shared" si="3"/>
        <v>600000</v>
      </c>
    </row>
    <row r="21" spans="1:45" ht="15.75" x14ac:dyDescent="0.3">
      <c r="A21" s="109">
        <v>17</v>
      </c>
      <c r="B21" s="109" t="s">
        <v>38</v>
      </c>
      <c r="C21" s="113">
        <v>1000000</v>
      </c>
      <c r="D21" s="113">
        <v>0</v>
      </c>
      <c r="E21" s="113">
        <v>120000</v>
      </c>
      <c r="F21" s="113">
        <v>0</v>
      </c>
      <c r="G21" s="113">
        <v>0</v>
      </c>
      <c r="H21" s="113">
        <v>0</v>
      </c>
      <c r="I21" s="113">
        <v>0</v>
      </c>
      <c r="J21" s="113">
        <v>0</v>
      </c>
      <c r="K21" s="113">
        <v>0</v>
      </c>
      <c r="L21" s="113">
        <v>0</v>
      </c>
      <c r="M21" s="113">
        <v>0</v>
      </c>
      <c r="N21" s="113">
        <v>0</v>
      </c>
      <c r="O21" s="113">
        <v>0</v>
      </c>
      <c r="P21" s="113">
        <v>0</v>
      </c>
      <c r="Q21" s="113">
        <v>0</v>
      </c>
      <c r="R21" s="113">
        <v>0</v>
      </c>
      <c r="S21" s="113">
        <v>0</v>
      </c>
      <c r="T21" s="113">
        <v>0</v>
      </c>
      <c r="U21" s="113">
        <v>0</v>
      </c>
      <c r="V21" s="113">
        <v>0</v>
      </c>
      <c r="W21" s="113">
        <v>0</v>
      </c>
      <c r="X21" s="113">
        <v>0</v>
      </c>
      <c r="Y21" s="113">
        <v>0</v>
      </c>
      <c r="Z21" s="113">
        <v>0</v>
      </c>
      <c r="AA21" s="113">
        <v>0</v>
      </c>
      <c r="AB21" s="113">
        <v>0</v>
      </c>
      <c r="AC21" s="113">
        <v>0</v>
      </c>
      <c r="AD21" s="113">
        <v>0</v>
      </c>
      <c r="AE21" s="113">
        <v>0</v>
      </c>
      <c r="AF21" s="113">
        <v>0</v>
      </c>
      <c r="AG21" s="113">
        <v>0</v>
      </c>
      <c r="AH21" s="113">
        <v>0</v>
      </c>
      <c r="AI21" s="113">
        <v>0</v>
      </c>
      <c r="AJ21" s="113">
        <v>0</v>
      </c>
      <c r="AK21" s="113">
        <v>0</v>
      </c>
      <c r="AL21" s="113">
        <v>0</v>
      </c>
      <c r="AM21" s="113">
        <v>0</v>
      </c>
      <c r="AN21" s="113">
        <v>0</v>
      </c>
      <c r="AO21" s="113">
        <v>0</v>
      </c>
      <c r="AP21" s="113">
        <f t="shared" si="2"/>
        <v>1000000</v>
      </c>
      <c r="AQ21" s="113">
        <f t="shared" ref="AQ21:AQ40" si="4">+D21+G21+J21+M21+Y21+AE21+AK21+AH21+AB21+P21+V21</f>
        <v>0</v>
      </c>
      <c r="AR21" s="113">
        <f t="shared" si="1"/>
        <v>120000</v>
      </c>
      <c r="AS21" s="172">
        <f t="shared" si="3"/>
        <v>1000000</v>
      </c>
    </row>
    <row r="22" spans="1:45" ht="15.75" x14ac:dyDescent="0.3">
      <c r="A22" s="109">
        <v>18</v>
      </c>
      <c r="B22" s="109" t="s">
        <v>125</v>
      </c>
      <c r="C22" s="113">
        <v>1000000</v>
      </c>
      <c r="D22" s="113">
        <v>0</v>
      </c>
      <c r="E22" s="113">
        <v>120000</v>
      </c>
      <c r="F22" s="113">
        <v>0</v>
      </c>
      <c r="G22" s="113">
        <v>0</v>
      </c>
      <c r="H22" s="113">
        <v>0</v>
      </c>
      <c r="I22" s="113">
        <v>0</v>
      </c>
      <c r="J22" s="113">
        <v>0</v>
      </c>
      <c r="K22" s="113">
        <v>0</v>
      </c>
      <c r="L22" s="113">
        <v>0</v>
      </c>
      <c r="M22" s="113">
        <v>0</v>
      </c>
      <c r="N22" s="113">
        <v>0</v>
      </c>
      <c r="O22" s="113">
        <v>0</v>
      </c>
      <c r="P22" s="113">
        <v>0</v>
      </c>
      <c r="Q22" s="113">
        <v>0</v>
      </c>
      <c r="R22" s="113">
        <v>0</v>
      </c>
      <c r="S22" s="113">
        <v>0</v>
      </c>
      <c r="T22" s="113">
        <v>0</v>
      </c>
      <c r="U22" s="113">
        <v>0</v>
      </c>
      <c r="V22" s="113">
        <v>0</v>
      </c>
      <c r="W22" s="113">
        <v>0</v>
      </c>
      <c r="X22" s="113">
        <v>0</v>
      </c>
      <c r="Y22" s="113">
        <v>0</v>
      </c>
      <c r="Z22" s="113">
        <v>0</v>
      </c>
      <c r="AA22" s="113">
        <v>0</v>
      </c>
      <c r="AB22" s="113">
        <v>0</v>
      </c>
      <c r="AC22" s="113">
        <v>0</v>
      </c>
      <c r="AD22" s="113">
        <v>0</v>
      </c>
      <c r="AE22" s="113">
        <v>0</v>
      </c>
      <c r="AF22" s="113">
        <v>0</v>
      </c>
      <c r="AG22" s="113">
        <v>0</v>
      </c>
      <c r="AH22" s="113">
        <v>0</v>
      </c>
      <c r="AI22" s="113">
        <v>0</v>
      </c>
      <c r="AJ22" s="113">
        <v>0</v>
      </c>
      <c r="AK22" s="113">
        <v>0</v>
      </c>
      <c r="AL22" s="113">
        <v>0</v>
      </c>
      <c r="AM22" s="113">
        <v>0</v>
      </c>
      <c r="AN22" s="113">
        <v>0</v>
      </c>
      <c r="AO22" s="113">
        <v>0</v>
      </c>
      <c r="AP22" s="113">
        <f t="shared" si="2"/>
        <v>1000000</v>
      </c>
      <c r="AQ22" s="113">
        <f t="shared" si="4"/>
        <v>0</v>
      </c>
      <c r="AR22" s="113">
        <f t="shared" si="1"/>
        <v>120000</v>
      </c>
      <c r="AS22" s="172">
        <f t="shared" si="3"/>
        <v>1000000</v>
      </c>
    </row>
    <row r="23" spans="1:45" ht="15.75" x14ac:dyDescent="0.3">
      <c r="A23" s="109">
        <v>19</v>
      </c>
      <c r="B23" s="109" t="s">
        <v>126</v>
      </c>
      <c r="C23" s="113">
        <v>1000000</v>
      </c>
      <c r="D23" s="113">
        <v>0</v>
      </c>
      <c r="E23" s="113">
        <v>20000</v>
      </c>
      <c r="F23" s="113">
        <v>0</v>
      </c>
      <c r="G23" s="113">
        <v>0</v>
      </c>
      <c r="H23" s="113">
        <v>0</v>
      </c>
      <c r="I23" s="113">
        <v>1000000</v>
      </c>
      <c r="J23" s="113">
        <v>1000000</v>
      </c>
      <c r="K23" s="113">
        <v>30000</v>
      </c>
      <c r="L23" s="113">
        <v>0</v>
      </c>
      <c r="M23" s="113">
        <v>0</v>
      </c>
      <c r="N23" s="113">
        <v>0</v>
      </c>
      <c r="O23" s="113">
        <v>0</v>
      </c>
      <c r="P23" s="113">
        <v>0</v>
      </c>
      <c r="Q23" s="113">
        <v>0</v>
      </c>
      <c r="R23" s="113">
        <v>1000000</v>
      </c>
      <c r="S23" s="113">
        <v>1000000</v>
      </c>
      <c r="T23" s="113">
        <v>30000</v>
      </c>
      <c r="U23" s="113">
        <v>0</v>
      </c>
      <c r="V23" s="113">
        <v>0</v>
      </c>
      <c r="W23" s="113">
        <v>0</v>
      </c>
      <c r="X23" s="113">
        <v>0</v>
      </c>
      <c r="Y23" s="113">
        <v>0</v>
      </c>
      <c r="Z23" s="113">
        <v>0</v>
      </c>
      <c r="AA23" s="113">
        <v>1000000</v>
      </c>
      <c r="AB23" s="113">
        <v>1000000</v>
      </c>
      <c r="AC23" s="113">
        <v>0</v>
      </c>
      <c r="AD23" s="113">
        <v>0</v>
      </c>
      <c r="AE23" s="113">
        <v>0</v>
      </c>
      <c r="AF23" s="113">
        <v>0</v>
      </c>
      <c r="AG23" s="113">
        <v>0</v>
      </c>
      <c r="AH23" s="113">
        <v>0</v>
      </c>
      <c r="AI23" s="113">
        <v>0</v>
      </c>
      <c r="AJ23" s="113">
        <v>0</v>
      </c>
      <c r="AK23" s="113">
        <v>0</v>
      </c>
      <c r="AL23" s="113">
        <v>0</v>
      </c>
      <c r="AM23" s="113">
        <v>0</v>
      </c>
      <c r="AN23" s="113">
        <v>0</v>
      </c>
      <c r="AO23" s="113">
        <v>0</v>
      </c>
      <c r="AP23" s="113">
        <f t="shared" si="2"/>
        <v>4000000</v>
      </c>
      <c r="AQ23" s="113">
        <f t="shared" si="4"/>
        <v>2000000</v>
      </c>
      <c r="AR23" s="113">
        <f>+E23+H23+K23+N23+Z23+AF23+AL23+AI23+AC23+Q23+W23+T23</f>
        <v>80000</v>
      </c>
      <c r="AS23" s="172">
        <f t="shared" si="3"/>
        <v>2000000</v>
      </c>
    </row>
    <row r="24" spans="1:45" ht="15.75" x14ac:dyDescent="0.3">
      <c r="A24" s="109">
        <v>20</v>
      </c>
      <c r="B24" s="109" t="s">
        <v>103</v>
      </c>
      <c r="C24" s="113">
        <v>1000000</v>
      </c>
      <c r="D24" s="113">
        <v>0</v>
      </c>
      <c r="E24" s="113">
        <v>0</v>
      </c>
      <c r="F24" s="113">
        <v>0</v>
      </c>
      <c r="G24" s="113">
        <v>0</v>
      </c>
      <c r="H24" s="113">
        <v>0</v>
      </c>
      <c r="I24" s="113">
        <v>0</v>
      </c>
      <c r="J24" s="113">
        <v>0</v>
      </c>
      <c r="K24" s="113">
        <v>0</v>
      </c>
      <c r="L24" s="113">
        <v>0</v>
      </c>
      <c r="M24" s="113">
        <v>0</v>
      </c>
      <c r="N24" s="113">
        <v>0</v>
      </c>
      <c r="O24" s="113">
        <v>0</v>
      </c>
      <c r="P24" s="113">
        <v>0</v>
      </c>
      <c r="Q24" s="113">
        <v>0</v>
      </c>
      <c r="R24" s="113">
        <v>0</v>
      </c>
      <c r="S24" s="113">
        <v>0</v>
      </c>
      <c r="T24" s="113">
        <v>0</v>
      </c>
      <c r="U24" s="113">
        <v>0</v>
      </c>
      <c r="V24" s="113">
        <v>0</v>
      </c>
      <c r="W24" s="113">
        <v>0</v>
      </c>
      <c r="X24" s="113">
        <v>0</v>
      </c>
      <c r="Y24" s="113">
        <v>0</v>
      </c>
      <c r="Z24" s="113">
        <v>0</v>
      </c>
      <c r="AA24" s="113">
        <v>0</v>
      </c>
      <c r="AB24" s="113">
        <v>0</v>
      </c>
      <c r="AC24" s="113">
        <v>0</v>
      </c>
      <c r="AD24" s="113">
        <v>0</v>
      </c>
      <c r="AE24" s="113">
        <v>0</v>
      </c>
      <c r="AF24" s="113">
        <v>0</v>
      </c>
      <c r="AG24" s="113">
        <v>0</v>
      </c>
      <c r="AH24" s="113">
        <v>0</v>
      </c>
      <c r="AI24" s="113">
        <v>0</v>
      </c>
      <c r="AJ24" s="113">
        <v>0</v>
      </c>
      <c r="AK24" s="113">
        <v>0</v>
      </c>
      <c r="AL24" s="113">
        <v>0</v>
      </c>
      <c r="AM24" s="113">
        <v>0</v>
      </c>
      <c r="AN24" s="113">
        <v>0</v>
      </c>
      <c r="AO24" s="113">
        <v>0</v>
      </c>
      <c r="AP24" s="113">
        <f t="shared" si="2"/>
        <v>1000000</v>
      </c>
      <c r="AQ24" s="113">
        <f t="shared" si="4"/>
        <v>0</v>
      </c>
      <c r="AR24" s="113">
        <f t="shared" ref="AR24:AR40" si="5">+E24+H24+K24+N24+Z24+AF24+AL24+AI24+AC24+Q24+W24+T24</f>
        <v>0</v>
      </c>
      <c r="AS24" s="172">
        <f t="shared" si="3"/>
        <v>1000000</v>
      </c>
    </row>
    <row r="25" spans="1:45" ht="15.75" x14ac:dyDescent="0.3">
      <c r="A25" s="109">
        <v>21</v>
      </c>
      <c r="B25" s="109" t="s">
        <v>127</v>
      </c>
      <c r="C25" s="113">
        <v>0</v>
      </c>
      <c r="D25" s="113">
        <v>0</v>
      </c>
      <c r="E25" s="113">
        <v>0</v>
      </c>
      <c r="F25" s="113">
        <v>0</v>
      </c>
      <c r="G25" s="113">
        <v>0</v>
      </c>
      <c r="H25" s="113">
        <v>0</v>
      </c>
      <c r="I25" s="113">
        <v>0</v>
      </c>
      <c r="J25" s="113">
        <v>0</v>
      </c>
      <c r="K25" s="113">
        <v>0</v>
      </c>
      <c r="L25" s="113">
        <v>0</v>
      </c>
      <c r="M25" s="113">
        <v>0</v>
      </c>
      <c r="N25" s="113">
        <v>0</v>
      </c>
      <c r="O25" s="113">
        <v>0</v>
      </c>
      <c r="P25" s="113">
        <v>0</v>
      </c>
      <c r="Q25" s="113">
        <v>0</v>
      </c>
      <c r="R25" s="113">
        <v>0</v>
      </c>
      <c r="S25" s="113">
        <v>0</v>
      </c>
      <c r="T25" s="113">
        <v>0</v>
      </c>
      <c r="U25" s="113">
        <v>0</v>
      </c>
      <c r="V25" s="113">
        <v>0</v>
      </c>
      <c r="W25" s="113">
        <v>0</v>
      </c>
      <c r="X25" s="113">
        <v>0</v>
      </c>
      <c r="Y25" s="113">
        <v>0</v>
      </c>
      <c r="Z25" s="113">
        <v>0</v>
      </c>
      <c r="AA25" s="113">
        <v>0</v>
      </c>
      <c r="AB25" s="113">
        <v>0</v>
      </c>
      <c r="AC25" s="113">
        <v>0</v>
      </c>
      <c r="AD25" s="113">
        <v>0</v>
      </c>
      <c r="AE25" s="113">
        <v>0</v>
      </c>
      <c r="AF25" s="113">
        <v>0</v>
      </c>
      <c r="AG25" s="113">
        <v>0</v>
      </c>
      <c r="AH25" s="113">
        <v>0</v>
      </c>
      <c r="AI25" s="113">
        <v>0</v>
      </c>
      <c r="AJ25" s="113">
        <v>0</v>
      </c>
      <c r="AK25" s="113">
        <v>0</v>
      </c>
      <c r="AL25" s="113">
        <v>0</v>
      </c>
      <c r="AM25" s="113">
        <v>0</v>
      </c>
      <c r="AN25" s="113">
        <v>0</v>
      </c>
      <c r="AO25" s="113">
        <v>0</v>
      </c>
      <c r="AP25" s="113">
        <f t="shared" si="2"/>
        <v>0</v>
      </c>
      <c r="AQ25" s="113">
        <f t="shared" si="4"/>
        <v>0</v>
      </c>
      <c r="AR25" s="113">
        <f t="shared" si="5"/>
        <v>0</v>
      </c>
      <c r="AS25" s="172">
        <f t="shared" si="3"/>
        <v>0</v>
      </c>
    </row>
    <row r="26" spans="1:45" ht="15.75" x14ac:dyDescent="0.3">
      <c r="A26" s="109">
        <v>22</v>
      </c>
      <c r="B26" s="109" t="s">
        <v>46</v>
      </c>
      <c r="C26" s="113">
        <v>0</v>
      </c>
      <c r="D26" s="113">
        <v>0</v>
      </c>
      <c r="E26" s="113">
        <v>0</v>
      </c>
      <c r="F26" s="113">
        <v>0</v>
      </c>
      <c r="G26" s="113">
        <v>0</v>
      </c>
      <c r="H26" s="113">
        <v>0</v>
      </c>
      <c r="I26" s="113">
        <v>0</v>
      </c>
      <c r="J26" s="113">
        <v>0</v>
      </c>
      <c r="K26" s="113">
        <v>0</v>
      </c>
      <c r="L26" s="113">
        <v>0</v>
      </c>
      <c r="M26" s="113">
        <v>0</v>
      </c>
      <c r="N26" s="113">
        <v>0</v>
      </c>
      <c r="O26" s="113">
        <v>0</v>
      </c>
      <c r="P26" s="113">
        <v>0</v>
      </c>
      <c r="Q26" s="113">
        <v>0</v>
      </c>
      <c r="R26" s="113">
        <v>0</v>
      </c>
      <c r="S26" s="113">
        <v>0</v>
      </c>
      <c r="T26" s="113">
        <v>0</v>
      </c>
      <c r="U26" s="113">
        <v>0</v>
      </c>
      <c r="V26" s="113">
        <v>0</v>
      </c>
      <c r="W26" s="113">
        <v>0</v>
      </c>
      <c r="X26" s="113">
        <v>0</v>
      </c>
      <c r="Y26" s="113">
        <v>0</v>
      </c>
      <c r="Z26" s="113">
        <v>0</v>
      </c>
      <c r="AA26" s="113">
        <v>0</v>
      </c>
      <c r="AB26" s="113">
        <v>0</v>
      </c>
      <c r="AC26" s="113">
        <v>0</v>
      </c>
      <c r="AD26" s="113">
        <v>0</v>
      </c>
      <c r="AE26" s="113">
        <v>0</v>
      </c>
      <c r="AF26" s="113">
        <v>0</v>
      </c>
      <c r="AG26" s="113">
        <v>0</v>
      </c>
      <c r="AH26" s="113">
        <v>0</v>
      </c>
      <c r="AI26" s="113">
        <v>0</v>
      </c>
      <c r="AJ26" s="113">
        <v>0</v>
      </c>
      <c r="AK26" s="113">
        <v>0</v>
      </c>
      <c r="AL26" s="113">
        <v>0</v>
      </c>
      <c r="AM26" s="113">
        <v>0</v>
      </c>
      <c r="AN26" s="113">
        <v>0</v>
      </c>
      <c r="AO26" s="113">
        <v>0</v>
      </c>
      <c r="AP26" s="113">
        <f t="shared" si="2"/>
        <v>0</v>
      </c>
      <c r="AQ26" s="113">
        <f t="shared" si="4"/>
        <v>0</v>
      </c>
      <c r="AR26" s="113">
        <f t="shared" si="5"/>
        <v>0</v>
      </c>
      <c r="AS26" s="172">
        <f t="shared" si="3"/>
        <v>0</v>
      </c>
    </row>
    <row r="27" spans="1:45" ht="15.75" x14ac:dyDescent="0.3">
      <c r="A27" s="109">
        <v>24</v>
      </c>
      <c r="B27" s="109" t="s">
        <v>40</v>
      </c>
      <c r="C27" s="113">
        <v>1000000</v>
      </c>
      <c r="D27" s="113">
        <v>0</v>
      </c>
      <c r="E27" s="113">
        <v>120000</v>
      </c>
      <c r="F27" s="113">
        <v>0</v>
      </c>
      <c r="G27" s="113">
        <v>0</v>
      </c>
      <c r="H27" s="113">
        <v>0</v>
      </c>
      <c r="I27" s="113">
        <v>0</v>
      </c>
      <c r="J27" s="113">
        <v>0</v>
      </c>
      <c r="K27" s="113">
        <v>0</v>
      </c>
      <c r="L27" s="113">
        <v>0</v>
      </c>
      <c r="M27" s="113">
        <v>0</v>
      </c>
      <c r="N27" s="113">
        <v>0</v>
      </c>
      <c r="O27" s="113">
        <v>0</v>
      </c>
      <c r="P27" s="113">
        <v>0</v>
      </c>
      <c r="Q27" s="113">
        <v>0</v>
      </c>
      <c r="R27" s="113">
        <v>0</v>
      </c>
      <c r="S27" s="113">
        <v>0</v>
      </c>
      <c r="T27" s="113">
        <v>0</v>
      </c>
      <c r="U27" s="113">
        <v>0</v>
      </c>
      <c r="V27" s="113">
        <v>0</v>
      </c>
      <c r="W27" s="113">
        <v>0</v>
      </c>
      <c r="X27" s="113">
        <v>0</v>
      </c>
      <c r="Y27" s="113">
        <v>0</v>
      </c>
      <c r="Z27" s="113">
        <v>0</v>
      </c>
      <c r="AA27" s="113">
        <v>0</v>
      </c>
      <c r="AB27" s="113">
        <v>0</v>
      </c>
      <c r="AC27" s="113">
        <v>0</v>
      </c>
      <c r="AD27" s="113">
        <v>0</v>
      </c>
      <c r="AE27" s="113">
        <v>0</v>
      </c>
      <c r="AF27" s="113">
        <v>0</v>
      </c>
      <c r="AG27" s="113">
        <v>0</v>
      </c>
      <c r="AH27" s="113">
        <v>0</v>
      </c>
      <c r="AI27" s="113">
        <v>0</v>
      </c>
      <c r="AJ27" s="113">
        <v>0</v>
      </c>
      <c r="AK27" s="113">
        <v>0</v>
      </c>
      <c r="AL27" s="113">
        <v>0</v>
      </c>
      <c r="AM27" s="113">
        <v>0</v>
      </c>
      <c r="AN27" s="113">
        <v>0</v>
      </c>
      <c r="AO27" s="113">
        <v>0</v>
      </c>
      <c r="AP27" s="113">
        <f t="shared" si="2"/>
        <v>1000000</v>
      </c>
      <c r="AQ27" s="113">
        <f t="shared" si="4"/>
        <v>0</v>
      </c>
      <c r="AR27" s="113">
        <f t="shared" si="5"/>
        <v>120000</v>
      </c>
      <c r="AS27" s="172">
        <f t="shared" si="3"/>
        <v>1000000</v>
      </c>
    </row>
    <row r="28" spans="1:45" ht="15.75" x14ac:dyDescent="0.3">
      <c r="A28" s="109">
        <v>25</v>
      </c>
      <c r="B28" s="109" t="s">
        <v>105</v>
      </c>
      <c r="C28" s="113">
        <v>1000000</v>
      </c>
      <c r="D28" s="113">
        <v>0</v>
      </c>
      <c r="E28" s="113">
        <v>30000</v>
      </c>
      <c r="F28" s="113">
        <v>0</v>
      </c>
      <c r="G28" s="113">
        <v>0</v>
      </c>
      <c r="H28" s="113">
        <v>0</v>
      </c>
      <c r="I28" s="113">
        <v>0</v>
      </c>
      <c r="J28" s="113">
        <v>0</v>
      </c>
      <c r="K28" s="113">
        <v>0</v>
      </c>
      <c r="L28" s="113">
        <v>200000</v>
      </c>
      <c r="M28" s="113">
        <v>1000000</v>
      </c>
      <c r="N28" s="113">
        <v>6000</v>
      </c>
      <c r="O28" s="113">
        <v>700000</v>
      </c>
      <c r="P28" s="113">
        <v>200000</v>
      </c>
      <c r="Q28" s="113">
        <v>42000</v>
      </c>
      <c r="R28" s="113">
        <v>0</v>
      </c>
      <c r="S28" s="113">
        <v>0</v>
      </c>
      <c r="T28" s="113">
        <v>0</v>
      </c>
      <c r="U28" s="113">
        <v>0</v>
      </c>
      <c r="V28" s="113">
        <v>0</v>
      </c>
      <c r="W28" s="113">
        <v>0</v>
      </c>
      <c r="X28" s="113">
        <v>0</v>
      </c>
      <c r="Y28" s="113">
        <v>250000</v>
      </c>
      <c r="Z28" s="113">
        <v>0</v>
      </c>
      <c r="AA28" s="113">
        <v>0</v>
      </c>
      <c r="AB28" s="113">
        <v>250000</v>
      </c>
      <c r="AC28" s="113">
        <v>0</v>
      </c>
      <c r="AD28" s="113">
        <v>0</v>
      </c>
      <c r="AE28" s="113">
        <v>0</v>
      </c>
      <c r="AF28" s="113">
        <v>0</v>
      </c>
      <c r="AG28" s="113">
        <v>0</v>
      </c>
      <c r="AH28" s="113">
        <v>0</v>
      </c>
      <c r="AI28" s="113">
        <v>0</v>
      </c>
      <c r="AJ28" s="113">
        <v>0</v>
      </c>
      <c r="AK28" s="113">
        <v>0</v>
      </c>
      <c r="AL28" s="113">
        <v>0</v>
      </c>
      <c r="AM28" s="113">
        <v>0</v>
      </c>
      <c r="AN28" s="113">
        <v>0</v>
      </c>
      <c r="AO28" s="113">
        <v>0</v>
      </c>
      <c r="AP28" s="113">
        <f t="shared" si="2"/>
        <v>1900000</v>
      </c>
      <c r="AQ28" s="113">
        <f t="shared" si="4"/>
        <v>1700000</v>
      </c>
      <c r="AR28" s="113">
        <f t="shared" si="5"/>
        <v>78000</v>
      </c>
      <c r="AS28" s="172">
        <f t="shared" si="3"/>
        <v>200000</v>
      </c>
    </row>
    <row r="29" spans="1:45" ht="15.75" x14ac:dyDescent="0.3">
      <c r="A29" s="109">
        <v>26</v>
      </c>
      <c r="B29" s="109" t="s">
        <v>106</v>
      </c>
      <c r="C29" s="113">
        <v>1011250</v>
      </c>
      <c r="D29" s="113">
        <v>0</v>
      </c>
      <c r="E29" s="113">
        <v>0</v>
      </c>
      <c r="F29" s="113">
        <v>0</v>
      </c>
      <c r="G29" s="113">
        <v>0</v>
      </c>
      <c r="H29" s="113">
        <v>0</v>
      </c>
      <c r="I29" s="113">
        <v>0</v>
      </c>
      <c r="J29" s="113">
        <v>0</v>
      </c>
      <c r="K29" s="113">
        <v>0</v>
      </c>
      <c r="L29" s="113">
        <v>0</v>
      </c>
      <c r="M29" s="113">
        <v>0</v>
      </c>
      <c r="N29" s="113">
        <v>0</v>
      </c>
      <c r="O29" s="113">
        <v>0</v>
      </c>
      <c r="P29" s="113">
        <v>0</v>
      </c>
      <c r="Q29" s="113">
        <v>0</v>
      </c>
      <c r="R29" s="113">
        <v>0</v>
      </c>
      <c r="S29" s="113">
        <v>0</v>
      </c>
      <c r="T29" s="113">
        <v>0</v>
      </c>
      <c r="U29" s="113">
        <v>0</v>
      </c>
      <c r="V29" s="113">
        <v>0</v>
      </c>
      <c r="W29" s="113">
        <v>0</v>
      </c>
      <c r="X29" s="113">
        <v>0</v>
      </c>
      <c r="Y29" s="113">
        <v>0</v>
      </c>
      <c r="Z29" s="113">
        <v>0</v>
      </c>
      <c r="AA29" s="113">
        <v>0</v>
      </c>
      <c r="AB29" s="113">
        <v>0</v>
      </c>
      <c r="AC29" s="113">
        <v>0</v>
      </c>
      <c r="AD29" s="113">
        <v>0</v>
      </c>
      <c r="AE29" s="113">
        <v>0</v>
      </c>
      <c r="AF29" s="113">
        <v>0</v>
      </c>
      <c r="AG29" s="113">
        <v>0</v>
      </c>
      <c r="AH29" s="113">
        <v>0</v>
      </c>
      <c r="AI29" s="113">
        <v>0</v>
      </c>
      <c r="AJ29" s="113">
        <v>0</v>
      </c>
      <c r="AK29" s="113">
        <v>0</v>
      </c>
      <c r="AL29" s="113">
        <v>0</v>
      </c>
      <c r="AM29" s="113">
        <v>0</v>
      </c>
      <c r="AN29" s="113">
        <v>0</v>
      </c>
      <c r="AO29" s="113">
        <v>0</v>
      </c>
      <c r="AP29" s="113">
        <f t="shared" si="2"/>
        <v>1011250</v>
      </c>
      <c r="AQ29" s="113">
        <f t="shared" si="4"/>
        <v>0</v>
      </c>
      <c r="AR29" s="113">
        <f t="shared" si="5"/>
        <v>0</v>
      </c>
      <c r="AS29" s="172">
        <f t="shared" si="3"/>
        <v>1011250</v>
      </c>
    </row>
    <row r="30" spans="1:45" ht="15.75" x14ac:dyDescent="0.3">
      <c r="A30" s="109">
        <v>27</v>
      </c>
      <c r="B30" s="109" t="s">
        <v>107</v>
      </c>
      <c r="C30" s="113">
        <v>0</v>
      </c>
      <c r="D30" s="113">
        <v>0</v>
      </c>
      <c r="E30" s="113">
        <v>0</v>
      </c>
      <c r="F30" s="113">
        <v>0</v>
      </c>
      <c r="G30" s="113">
        <v>0</v>
      </c>
      <c r="H30" s="113">
        <v>0</v>
      </c>
      <c r="I30" s="113">
        <v>0</v>
      </c>
      <c r="J30" s="113">
        <v>0</v>
      </c>
      <c r="K30" s="113">
        <v>0</v>
      </c>
      <c r="L30" s="113">
        <v>0</v>
      </c>
      <c r="M30" s="113">
        <v>0</v>
      </c>
      <c r="N30" s="113">
        <v>0</v>
      </c>
      <c r="O30" s="113">
        <v>1000000</v>
      </c>
      <c r="P30" s="113">
        <v>0</v>
      </c>
      <c r="Q30" s="113">
        <v>60000</v>
      </c>
      <c r="R30" s="113">
        <v>0</v>
      </c>
      <c r="S30" s="113">
        <v>0</v>
      </c>
      <c r="T30" s="113">
        <v>0</v>
      </c>
      <c r="U30" s="113">
        <v>0</v>
      </c>
      <c r="V30" s="113">
        <v>0</v>
      </c>
      <c r="W30" s="113">
        <v>0</v>
      </c>
      <c r="X30" s="113">
        <v>0</v>
      </c>
      <c r="Y30" s="113">
        <v>0</v>
      </c>
      <c r="Z30" s="113">
        <v>0</v>
      </c>
      <c r="AA30" s="113">
        <v>0</v>
      </c>
      <c r="AB30" s="113">
        <v>0</v>
      </c>
      <c r="AC30" s="113">
        <v>0</v>
      </c>
      <c r="AD30" s="113">
        <v>0</v>
      </c>
      <c r="AE30" s="113">
        <v>110000</v>
      </c>
      <c r="AF30" s="113">
        <v>0</v>
      </c>
      <c r="AG30" s="113">
        <v>0</v>
      </c>
      <c r="AH30" s="113">
        <v>290000</v>
      </c>
      <c r="AI30" s="113">
        <v>0</v>
      </c>
      <c r="AJ30" s="113">
        <v>0</v>
      </c>
      <c r="AK30" s="113">
        <v>0</v>
      </c>
      <c r="AL30" s="113">
        <v>0</v>
      </c>
      <c r="AM30" s="113">
        <v>0</v>
      </c>
      <c r="AN30" s="113">
        <v>0</v>
      </c>
      <c r="AO30" s="113">
        <v>0</v>
      </c>
      <c r="AP30" s="113">
        <f t="shared" si="2"/>
        <v>1000000</v>
      </c>
      <c r="AQ30" s="113">
        <f t="shared" si="4"/>
        <v>400000</v>
      </c>
      <c r="AR30" s="113">
        <f t="shared" si="5"/>
        <v>60000</v>
      </c>
      <c r="AS30" s="172">
        <f t="shared" si="3"/>
        <v>600000</v>
      </c>
    </row>
    <row r="31" spans="1:45" ht="15.75" x14ac:dyDescent="0.3">
      <c r="A31" s="109">
        <v>28</v>
      </c>
      <c r="B31" s="109" t="s">
        <v>109</v>
      </c>
      <c r="C31" s="113">
        <f>788500</f>
        <v>788500</v>
      </c>
      <c r="D31" s="113">
        <v>536842</v>
      </c>
      <c r="E31" s="113">
        <v>0</v>
      </c>
      <c r="F31" s="113">
        <v>0</v>
      </c>
      <c r="G31" s="113">
        <v>0</v>
      </c>
      <c r="H31" s="113">
        <v>0</v>
      </c>
      <c r="I31" s="113">
        <v>0</v>
      </c>
      <c r="J31" s="113">
        <v>0</v>
      </c>
      <c r="K31" s="113">
        <v>0</v>
      </c>
      <c r="L31" s="113">
        <v>0</v>
      </c>
      <c r="M31" s="113">
        <v>0</v>
      </c>
      <c r="N31" s="113">
        <v>0</v>
      </c>
      <c r="O31" s="113">
        <v>0</v>
      </c>
      <c r="P31" s="113">
        <v>0</v>
      </c>
      <c r="Q31" s="113">
        <v>0</v>
      </c>
      <c r="R31" s="113">
        <v>0</v>
      </c>
      <c r="S31" s="113">
        <v>0</v>
      </c>
      <c r="T31" s="113">
        <v>0</v>
      </c>
      <c r="U31" s="113">
        <v>0</v>
      </c>
      <c r="V31" s="113">
        <v>0</v>
      </c>
      <c r="W31" s="113">
        <v>0</v>
      </c>
      <c r="X31" s="113">
        <v>0</v>
      </c>
      <c r="Y31" s="113">
        <v>0</v>
      </c>
      <c r="Z31" s="113">
        <v>0</v>
      </c>
      <c r="AA31" s="113">
        <v>0</v>
      </c>
      <c r="AB31" s="113">
        <v>0</v>
      </c>
      <c r="AC31" s="113">
        <v>0</v>
      </c>
      <c r="AD31" s="113">
        <v>0</v>
      </c>
      <c r="AE31" s="113">
        <v>0</v>
      </c>
      <c r="AF31" s="113">
        <v>0</v>
      </c>
      <c r="AG31" s="113">
        <v>0</v>
      </c>
      <c r="AH31" s="113">
        <v>0</v>
      </c>
      <c r="AI31" s="113">
        <v>0</v>
      </c>
      <c r="AJ31" s="113">
        <v>0</v>
      </c>
      <c r="AK31" s="113">
        <v>0</v>
      </c>
      <c r="AL31" s="113">
        <v>0</v>
      </c>
      <c r="AM31" s="113">
        <v>0</v>
      </c>
      <c r="AN31" s="113">
        <v>0</v>
      </c>
      <c r="AO31" s="113">
        <v>0</v>
      </c>
      <c r="AP31" s="113">
        <f t="shared" si="2"/>
        <v>788500</v>
      </c>
      <c r="AQ31" s="113">
        <f t="shared" si="4"/>
        <v>536842</v>
      </c>
      <c r="AR31" s="113">
        <f t="shared" si="5"/>
        <v>0</v>
      </c>
      <c r="AS31" s="172">
        <f t="shared" si="3"/>
        <v>251658</v>
      </c>
    </row>
    <row r="32" spans="1:45" ht="15.75" x14ac:dyDescent="0.3">
      <c r="A32" s="109">
        <v>29</v>
      </c>
      <c r="B32" s="109" t="s">
        <v>110</v>
      </c>
      <c r="C32" s="113">
        <f>1067000</f>
        <v>1067000</v>
      </c>
      <c r="D32" s="113">
        <v>537217</v>
      </c>
      <c r="E32" s="113">
        <v>0</v>
      </c>
      <c r="F32" s="113">
        <v>0</v>
      </c>
      <c r="G32" s="113">
        <v>0</v>
      </c>
      <c r="H32" s="113">
        <v>0</v>
      </c>
      <c r="I32" s="113">
        <v>0</v>
      </c>
      <c r="J32" s="113">
        <v>0</v>
      </c>
      <c r="K32" s="113">
        <v>0</v>
      </c>
      <c r="L32" s="113">
        <v>0</v>
      </c>
      <c r="M32" s="113">
        <v>0</v>
      </c>
      <c r="N32" s="113">
        <v>0</v>
      </c>
      <c r="O32" s="113">
        <v>0</v>
      </c>
      <c r="P32" s="113">
        <v>0</v>
      </c>
      <c r="Q32" s="113">
        <v>0</v>
      </c>
      <c r="R32" s="113">
        <v>0</v>
      </c>
      <c r="S32" s="113">
        <v>0</v>
      </c>
      <c r="T32" s="113">
        <v>0</v>
      </c>
      <c r="U32" s="113">
        <v>0</v>
      </c>
      <c r="V32" s="113">
        <v>0</v>
      </c>
      <c r="W32" s="113">
        <v>0</v>
      </c>
      <c r="X32" s="113">
        <v>0</v>
      </c>
      <c r="Y32" s="113">
        <v>0</v>
      </c>
      <c r="Z32" s="113">
        <v>0</v>
      </c>
      <c r="AA32" s="113">
        <v>0</v>
      </c>
      <c r="AB32" s="113">
        <v>0</v>
      </c>
      <c r="AC32" s="113">
        <v>0</v>
      </c>
      <c r="AD32" s="113">
        <v>0</v>
      </c>
      <c r="AE32" s="113">
        <v>0</v>
      </c>
      <c r="AF32" s="113">
        <v>0</v>
      </c>
      <c r="AG32" s="113">
        <v>0</v>
      </c>
      <c r="AH32" s="113">
        <v>0</v>
      </c>
      <c r="AI32" s="113">
        <v>0</v>
      </c>
      <c r="AJ32" s="113">
        <v>0</v>
      </c>
      <c r="AK32" s="113">
        <v>0</v>
      </c>
      <c r="AL32" s="113">
        <v>0</v>
      </c>
      <c r="AM32" s="113">
        <v>0</v>
      </c>
      <c r="AN32" s="113">
        <v>0</v>
      </c>
      <c r="AO32" s="113">
        <v>0</v>
      </c>
      <c r="AP32" s="113">
        <f t="shared" si="2"/>
        <v>1067000</v>
      </c>
      <c r="AQ32" s="113">
        <f t="shared" si="4"/>
        <v>537217</v>
      </c>
      <c r="AR32" s="113">
        <f t="shared" si="5"/>
        <v>0</v>
      </c>
      <c r="AS32" s="172">
        <f t="shared" si="3"/>
        <v>529783</v>
      </c>
    </row>
    <row r="33" spans="1:45" ht="15.75" x14ac:dyDescent="0.3">
      <c r="A33" s="109">
        <v>30</v>
      </c>
      <c r="B33" s="109" t="s">
        <v>104</v>
      </c>
      <c r="C33" s="113">
        <f>1453000</f>
        <v>1453000</v>
      </c>
      <c r="D33" s="113">
        <v>606468</v>
      </c>
      <c r="E33" s="113">
        <v>0</v>
      </c>
      <c r="F33" s="113">
        <v>0</v>
      </c>
      <c r="G33" s="113">
        <v>0</v>
      </c>
      <c r="H33" s="113">
        <v>0</v>
      </c>
      <c r="I33" s="113">
        <v>0</v>
      </c>
      <c r="J33" s="113">
        <v>0</v>
      </c>
      <c r="K33" s="113">
        <v>0</v>
      </c>
      <c r="L33" s="113">
        <v>0</v>
      </c>
      <c r="M33" s="113">
        <v>0</v>
      </c>
      <c r="N33" s="113">
        <v>0</v>
      </c>
      <c r="O33" s="113">
        <v>0</v>
      </c>
      <c r="P33" s="113">
        <v>0</v>
      </c>
      <c r="Q33" s="113">
        <v>0</v>
      </c>
      <c r="R33" s="113">
        <v>0</v>
      </c>
      <c r="S33" s="113">
        <v>0</v>
      </c>
      <c r="T33" s="113">
        <v>0</v>
      </c>
      <c r="U33" s="113">
        <v>0</v>
      </c>
      <c r="V33" s="113">
        <v>0</v>
      </c>
      <c r="W33" s="113">
        <v>0</v>
      </c>
      <c r="X33" s="113">
        <v>0</v>
      </c>
      <c r="Y33" s="113">
        <v>846532</v>
      </c>
      <c r="Z33" s="113">
        <v>0</v>
      </c>
      <c r="AA33" s="113">
        <v>0</v>
      </c>
      <c r="AB33" s="113">
        <v>0</v>
      </c>
      <c r="AC33" s="113">
        <v>0</v>
      </c>
      <c r="AD33" s="113">
        <v>0</v>
      </c>
      <c r="AE33" s="113">
        <v>0</v>
      </c>
      <c r="AF33" s="113">
        <v>0</v>
      </c>
      <c r="AG33" s="113">
        <v>0</v>
      </c>
      <c r="AH33" s="113">
        <v>0</v>
      </c>
      <c r="AI33" s="113">
        <v>0</v>
      </c>
      <c r="AJ33" s="113">
        <v>0</v>
      </c>
      <c r="AK33" s="113">
        <v>0</v>
      </c>
      <c r="AL33" s="113">
        <v>0</v>
      </c>
      <c r="AM33" s="113">
        <v>0</v>
      </c>
      <c r="AN33" s="113">
        <v>0</v>
      </c>
      <c r="AO33" s="113">
        <v>0</v>
      </c>
      <c r="AP33" s="113">
        <f t="shared" si="2"/>
        <v>1453000</v>
      </c>
      <c r="AQ33" s="113">
        <f t="shared" si="4"/>
        <v>1453000</v>
      </c>
      <c r="AR33" s="113">
        <f t="shared" si="5"/>
        <v>0</v>
      </c>
      <c r="AS33" s="172">
        <f t="shared" si="3"/>
        <v>0</v>
      </c>
    </row>
    <row r="34" spans="1:45" ht="15.75" x14ac:dyDescent="0.3">
      <c r="A34" s="109">
        <v>31</v>
      </c>
      <c r="B34" s="109" t="s">
        <v>114</v>
      </c>
      <c r="C34" s="113">
        <f>1132500</f>
        <v>1132500</v>
      </c>
      <c r="D34" s="113">
        <v>540421</v>
      </c>
      <c r="E34" s="113">
        <v>0</v>
      </c>
      <c r="F34" s="113">
        <v>0</v>
      </c>
      <c r="G34" s="113">
        <v>0</v>
      </c>
      <c r="H34" s="113">
        <v>0</v>
      </c>
      <c r="I34" s="113">
        <v>0</v>
      </c>
      <c r="J34" s="113">
        <v>0</v>
      </c>
      <c r="K34" s="113">
        <v>0</v>
      </c>
      <c r="L34" s="113">
        <v>0</v>
      </c>
      <c r="M34" s="113">
        <v>0</v>
      </c>
      <c r="N34" s="113">
        <v>0</v>
      </c>
      <c r="O34" s="113">
        <v>0</v>
      </c>
      <c r="P34" s="113">
        <v>0</v>
      </c>
      <c r="Q34" s="113">
        <v>0</v>
      </c>
      <c r="R34" s="113">
        <v>0</v>
      </c>
      <c r="S34" s="113">
        <v>0</v>
      </c>
      <c r="T34" s="113">
        <v>0</v>
      </c>
      <c r="U34" s="113">
        <v>0</v>
      </c>
      <c r="V34" s="113">
        <v>0</v>
      </c>
      <c r="W34" s="113">
        <v>0</v>
      </c>
      <c r="X34" s="113">
        <v>0</v>
      </c>
      <c r="Y34" s="113">
        <v>0</v>
      </c>
      <c r="Z34" s="113">
        <v>0</v>
      </c>
      <c r="AA34" s="113">
        <v>0</v>
      </c>
      <c r="AB34" s="113">
        <v>0</v>
      </c>
      <c r="AC34" s="113">
        <v>0</v>
      </c>
      <c r="AD34" s="113">
        <v>0</v>
      </c>
      <c r="AE34" s="113">
        <v>0</v>
      </c>
      <c r="AF34" s="113">
        <v>0</v>
      </c>
      <c r="AG34" s="113">
        <v>0</v>
      </c>
      <c r="AH34" s="113">
        <v>0</v>
      </c>
      <c r="AI34" s="113">
        <v>0</v>
      </c>
      <c r="AJ34" s="113">
        <v>0</v>
      </c>
      <c r="AK34" s="113">
        <v>0</v>
      </c>
      <c r="AL34" s="113">
        <v>0</v>
      </c>
      <c r="AM34" s="113">
        <v>0</v>
      </c>
      <c r="AN34" s="113">
        <v>0</v>
      </c>
      <c r="AO34" s="113">
        <v>0</v>
      </c>
      <c r="AP34" s="113">
        <f t="shared" si="2"/>
        <v>1132500</v>
      </c>
      <c r="AQ34" s="113">
        <f t="shared" si="4"/>
        <v>540421</v>
      </c>
      <c r="AR34" s="113">
        <f t="shared" si="5"/>
        <v>0</v>
      </c>
      <c r="AS34" s="172">
        <f t="shared" si="3"/>
        <v>592079</v>
      </c>
    </row>
    <row r="35" spans="1:45" ht="15.75" x14ac:dyDescent="0.3">
      <c r="A35" s="109">
        <v>31</v>
      </c>
      <c r="B35" s="109" t="s">
        <v>128</v>
      </c>
      <c r="C35" s="113">
        <v>243805</v>
      </c>
      <c r="D35" s="113">
        <v>0</v>
      </c>
      <c r="E35" s="113">
        <v>0</v>
      </c>
      <c r="F35" s="113">
        <v>0</v>
      </c>
      <c r="G35" s="113">
        <v>0</v>
      </c>
      <c r="H35" s="113">
        <v>0</v>
      </c>
      <c r="I35" s="113">
        <v>0</v>
      </c>
      <c r="J35" s="113">
        <v>0</v>
      </c>
      <c r="K35" s="113">
        <v>0</v>
      </c>
      <c r="L35" s="113">
        <v>0</v>
      </c>
      <c r="M35" s="113">
        <v>0</v>
      </c>
      <c r="N35" s="113">
        <v>0</v>
      </c>
      <c r="O35" s="113">
        <v>0</v>
      </c>
      <c r="P35" s="113">
        <v>0</v>
      </c>
      <c r="Q35" s="113">
        <v>0</v>
      </c>
      <c r="R35" s="113">
        <v>0</v>
      </c>
      <c r="S35" s="113">
        <v>0</v>
      </c>
      <c r="T35" s="113">
        <v>0</v>
      </c>
      <c r="U35" s="113">
        <v>0</v>
      </c>
      <c r="V35" s="113">
        <v>0</v>
      </c>
      <c r="W35" s="113">
        <v>0</v>
      </c>
      <c r="X35" s="113">
        <v>0</v>
      </c>
      <c r="Y35" s="113">
        <v>0</v>
      </c>
      <c r="Z35" s="113">
        <v>0</v>
      </c>
      <c r="AA35" s="113">
        <v>0</v>
      </c>
      <c r="AB35" s="113">
        <v>0</v>
      </c>
      <c r="AC35" s="113">
        <v>0</v>
      </c>
      <c r="AD35" s="113">
        <v>0</v>
      </c>
      <c r="AE35" s="113">
        <v>0</v>
      </c>
      <c r="AF35" s="113">
        <v>0</v>
      </c>
      <c r="AG35" s="113">
        <v>0</v>
      </c>
      <c r="AH35" s="113">
        <v>0</v>
      </c>
      <c r="AI35" s="113">
        <v>0</v>
      </c>
      <c r="AJ35" s="113">
        <v>0</v>
      </c>
      <c r="AK35" s="113">
        <v>0</v>
      </c>
      <c r="AL35" s="113">
        <v>0</v>
      </c>
      <c r="AM35" s="113">
        <v>0</v>
      </c>
      <c r="AN35" s="113">
        <v>0</v>
      </c>
      <c r="AO35" s="113">
        <v>0</v>
      </c>
      <c r="AP35" s="113">
        <f t="shared" si="2"/>
        <v>243805</v>
      </c>
      <c r="AQ35" s="113">
        <f t="shared" si="4"/>
        <v>0</v>
      </c>
      <c r="AR35" s="113">
        <f t="shared" si="5"/>
        <v>0</v>
      </c>
      <c r="AS35" s="172">
        <f t="shared" si="3"/>
        <v>243805</v>
      </c>
    </row>
    <row r="36" spans="1:45" ht="15.75" x14ac:dyDescent="0.3">
      <c r="A36" s="109">
        <v>31</v>
      </c>
      <c r="B36" s="109" t="s">
        <v>129</v>
      </c>
      <c r="C36" s="113">
        <v>305000</v>
      </c>
      <c r="D36" s="113"/>
      <c r="E36" s="113"/>
      <c r="F36" s="113"/>
      <c r="G36" s="113"/>
      <c r="H36" s="113"/>
      <c r="I36" s="113"/>
      <c r="J36" s="113"/>
      <c r="K36" s="113"/>
      <c r="L36" s="113"/>
      <c r="M36" s="113"/>
      <c r="N36" s="113"/>
      <c r="O36" s="113"/>
      <c r="P36" s="113"/>
      <c r="Q36" s="113"/>
      <c r="R36" s="113"/>
      <c r="S36" s="113"/>
      <c r="T36" s="113"/>
      <c r="U36" s="113"/>
      <c r="V36" s="113"/>
      <c r="W36" s="113"/>
      <c r="X36" s="113"/>
      <c r="Y36" s="113"/>
      <c r="Z36" s="113"/>
      <c r="AA36" s="113"/>
      <c r="AB36" s="113"/>
      <c r="AC36" s="113"/>
      <c r="AD36" s="113"/>
      <c r="AE36" s="113"/>
      <c r="AF36" s="113"/>
      <c r="AG36" s="113"/>
      <c r="AH36" s="113"/>
      <c r="AI36" s="113"/>
      <c r="AJ36" s="113"/>
      <c r="AK36" s="113"/>
      <c r="AL36" s="113"/>
      <c r="AM36" s="113"/>
      <c r="AN36" s="113"/>
      <c r="AO36" s="113"/>
      <c r="AP36" s="113">
        <f t="shared" si="2"/>
        <v>305000</v>
      </c>
      <c r="AQ36" s="113"/>
      <c r="AR36" s="113">
        <f t="shared" si="5"/>
        <v>0</v>
      </c>
      <c r="AS36" s="172">
        <f t="shared" si="3"/>
        <v>305000</v>
      </c>
    </row>
    <row r="37" spans="1:45" ht="15.75" x14ac:dyDescent="0.3">
      <c r="A37" s="109">
        <v>31</v>
      </c>
      <c r="B37" s="109" t="s">
        <v>130</v>
      </c>
      <c r="C37" s="113">
        <v>428899</v>
      </c>
      <c r="D37" s="113">
        <v>0</v>
      </c>
      <c r="E37" s="113">
        <v>0</v>
      </c>
      <c r="F37" s="113">
        <v>0</v>
      </c>
      <c r="G37" s="113">
        <v>0</v>
      </c>
      <c r="H37" s="113">
        <v>0</v>
      </c>
      <c r="I37" s="113">
        <v>0</v>
      </c>
      <c r="J37" s="113">
        <v>0</v>
      </c>
      <c r="K37" s="113">
        <v>0</v>
      </c>
      <c r="L37" s="113">
        <v>0</v>
      </c>
      <c r="M37" s="113">
        <v>0</v>
      </c>
      <c r="N37" s="113">
        <v>0</v>
      </c>
      <c r="O37" s="113">
        <v>0</v>
      </c>
      <c r="P37" s="113">
        <v>0</v>
      </c>
      <c r="Q37" s="113">
        <v>0</v>
      </c>
      <c r="R37" s="113">
        <v>0</v>
      </c>
      <c r="S37" s="113">
        <v>0</v>
      </c>
      <c r="T37" s="113">
        <v>0</v>
      </c>
      <c r="U37" s="113">
        <v>0</v>
      </c>
      <c r="V37" s="113">
        <v>0</v>
      </c>
      <c r="W37" s="113">
        <v>0</v>
      </c>
      <c r="X37" s="113">
        <v>0</v>
      </c>
      <c r="Y37" s="113">
        <v>0</v>
      </c>
      <c r="Z37" s="113">
        <v>0</v>
      </c>
      <c r="AA37" s="113">
        <v>0</v>
      </c>
      <c r="AB37" s="113">
        <v>0</v>
      </c>
      <c r="AC37" s="113">
        <v>0</v>
      </c>
      <c r="AD37" s="113">
        <v>0</v>
      </c>
      <c r="AE37" s="113">
        <v>0</v>
      </c>
      <c r="AF37" s="113">
        <v>0</v>
      </c>
      <c r="AG37" s="113">
        <v>0</v>
      </c>
      <c r="AH37" s="113">
        <v>0</v>
      </c>
      <c r="AI37" s="113">
        <v>0</v>
      </c>
      <c r="AJ37" s="113">
        <v>0</v>
      </c>
      <c r="AK37" s="113">
        <v>0</v>
      </c>
      <c r="AL37" s="113">
        <v>0</v>
      </c>
      <c r="AM37" s="113">
        <v>0</v>
      </c>
      <c r="AN37" s="113">
        <v>0</v>
      </c>
      <c r="AO37" s="113">
        <v>0</v>
      </c>
      <c r="AP37" s="113">
        <f t="shared" si="2"/>
        <v>428899</v>
      </c>
      <c r="AQ37" s="113">
        <f t="shared" si="4"/>
        <v>0</v>
      </c>
      <c r="AR37" s="113">
        <f t="shared" si="5"/>
        <v>0</v>
      </c>
      <c r="AS37" s="172">
        <f t="shared" si="3"/>
        <v>428899</v>
      </c>
    </row>
    <row r="38" spans="1:45" ht="16.5" x14ac:dyDescent="0.3">
      <c r="A38" s="109">
        <v>31</v>
      </c>
      <c r="B38" s="174" t="s">
        <v>256</v>
      </c>
      <c r="C38" s="113">
        <v>51454</v>
      </c>
      <c r="D38" s="113"/>
      <c r="E38" s="113"/>
      <c r="F38" s="113"/>
      <c r="G38" s="113"/>
      <c r="H38" s="113"/>
      <c r="I38" s="113"/>
      <c r="J38" s="113"/>
      <c r="K38" s="113"/>
      <c r="L38" s="113"/>
      <c r="M38" s="113"/>
      <c r="N38" s="113"/>
      <c r="O38" s="113"/>
      <c r="P38" s="113"/>
      <c r="Q38" s="113"/>
      <c r="R38" s="113"/>
      <c r="S38" s="113"/>
      <c r="T38" s="113"/>
      <c r="U38" s="113"/>
      <c r="V38" s="113"/>
      <c r="W38" s="113">
        <v>0</v>
      </c>
      <c r="X38" s="113"/>
      <c r="Y38" s="113"/>
      <c r="Z38" s="113"/>
      <c r="AA38" s="113"/>
      <c r="AB38" s="113"/>
      <c r="AC38" s="113"/>
      <c r="AD38" s="113"/>
      <c r="AE38" s="113"/>
      <c r="AF38" s="113"/>
      <c r="AG38" s="113"/>
      <c r="AH38" s="113"/>
      <c r="AI38" s="113"/>
      <c r="AJ38" s="113"/>
      <c r="AK38" s="113"/>
      <c r="AL38" s="113"/>
      <c r="AM38" s="113"/>
      <c r="AN38" s="113"/>
      <c r="AO38" s="113"/>
      <c r="AP38" s="113">
        <f t="shared" si="2"/>
        <v>51454</v>
      </c>
      <c r="AQ38" s="113"/>
      <c r="AR38" s="113">
        <f t="shared" si="5"/>
        <v>0</v>
      </c>
      <c r="AS38" s="172">
        <f t="shared" si="3"/>
        <v>51454</v>
      </c>
    </row>
    <row r="39" spans="1:45" ht="16.5" x14ac:dyDescent="0.3">
      <c r="A39" s="109">
        <v>32</v>
      </c>
      <c r="B39" s="174" t="s">
        <v>375</v>
      </c>
      <c r="C39" s="113"/>
      <c r="D39" s="113"/>
      <c r="E39" s="113"/>
      <c r="F39" s="113"/>
      <c r="G39" s="113"/>
      <c r="H39" s="113"/>
      <c r="I39" s="113"/>
      <c r="J39" s="113"/>
      <c r="K39" s="113"/>
      <c r="L39" s="113"/>
      <c r="M39" s="113"/>
      <c r="N39" s="113"/>
      <c r="O39" s="113"/>
      <c r="P39" s="113"/>
      <c r="Q39" s="113"/>
      <c r="R39" s="113"/>
      <c r="S39" s="113"/>
      <c r="T39" s="113"/>
      <c r="U39" s="113">
        <v>600000</v>
      </c>
      <c r="V39" s="113">
        <v>0</v>
      </c>
      <c r="W39" s="113">
        <v>36000</v>
      </c>
      <c r="X39" s="113"/>
      <c r="Y39" s="113"/>
      <c r="Z39" s="113"/>
      <c r="AA39" s="113"/>
      <c r="AB39" s="113"/>
      <c r="AC39" s="113"/>
      <c r="AD39" s="113"/>
      <c r="AE39" s="113"/>
      <c r="AF39" s="113"/>
      <c r="AG39" s="113"/>
      <c r="AH39" s="113"/>
      <c r="AI39" s="113"/>
      <c r="AJ39" s="113"/>
      <c r="AK39" s="113"/>
      <c r="AL39" s="113"/>
      <c r="AM39" s="113"/>
      <c r="AN39" s="113"/>
      <c r="AO39" s="113"/>
      <c r="AP39" s="113">
        <f t="shared" si="2"/>
        <v>600000</v>
      </c>
      <c r="AQ39" s="113"/>
      <c r="AR39" s="113">
        <f t="shared" si="5"/>
        <v>36000</v>
      </c>
      <c r="AS39" s="172">
        <f t="shared" si="3"/>
        <v>600000</v>
      </c>
    </row>
    <row r="40" spans="1:45" ht="16.5" x14ac:dyDescent="0.3">
      <c r="A40" s="109">
        <v>33</v>
      </c>
      <c r="B40" s="174"/>
      <c r="C40" s="113">
        <v>0</v>
      </c>
      <c r="D40" s="113">
        <v>0</v>
      </c>
      <c r="E40" s="113">
        <v>0</v>
      </c>
      <c r="F40" s="113">
        <v>0</v>
      </c>
      <c r="G40" s="113">
        <v>0</v>
      </c>
      <c r="H40" s="113">
        <v>0</v>
      </c>
      <c r="I40" s="113">
        <v>0</v>
      </c>
      <c r="J40" s="113">
        <v>0</v>
      </c>
      <c r="K40" s="113">
        <v>0</v>
      </c>
      <c r="L40" s="113">
        <v>0</v>
      </c>
      <c r="M40" s="113">
        <v>0</v>
      </c>
      <c r="N40" s="113">
        <v>0</v>
      </c>
      <c r="O40" s="113">
        <v>0</v>
      </c>
      <c r="P40" s="113">
        <v>0</v>
      </c>
      <c r="Q40" s="113">
        <v>0</v>
      </c>
      <c r="R40" s="113">
        <v>0</v>
      </c>
      <c r="S40" s="113">
        <v>0</v>
      </c>
      <c r="T40" s="113">
        <v>0</v>
      </c>
      <c r="U40" s="113">
        <v>0</v>
      </c>
      <c r="V40" s="113">
        <v>0</v>
      </c>
      <c r="W40" s="113">
        <v>0</v>
      </c>
      <c r="X40" s="113">
        <v>0</v>
      </c>
      <c r="Y40" s="113">
        <v>0</v>
      </c>
      <c r="Z40" s="113">
        <v>0</v>
      </c>
      <c r="AA40" s="113">
        <v>0</v>
      </c>
      <c r="AB40" s="113">
        <v>0</v>
      </c>
      <c r="AC40" s="113">
        <v>0</v>
      </c>
      <c r="AD40" s="113">
        <v>0</v>
      </c>
      <c r="AE40" s="113">
        <v>0</v>
      </c>
      <c r="AF40" s="113">
        <v>0</v>
      </c>
      <c r="AG40" s="113">
        <v>0</v>
      </c>
      <c r="AH40" s="113">
        <v>0</v>
      </c>
      <c r="AI40" s="113">
        <v>0</v>
      </c>
      <c r="AJ40" s="113">
        <v>0</v>
      </c>
      <c r="AK40" s="113">
        <v>0</v>
      </c>
      <c r="AL40" s="113">
        <v>0</v>
      </c>
      <c r="AM40" s="113">
        <v>0</v>
      </c>
      <c r="AN40" s="113">
        <v>0</v>
      </c>
      <c r="AO40" s="113">
        <v>0</v>
      </c>
      <c r="AP40" s="113">
        <f t="shared" si="2"/>
        <v>0</v>
      </c>
      <c r="AQ40" s="113">
        <f t="shared" si="4"/>
        <v>0</v>
      </c>
      <c r="AR40" s="113">
        <f t="shared" si="5"/>
        <v>0</v>
      </c>
      <c r="AS40" s="172">
        <f t="shared" si="3"/>
        <v>0</v>
      </c>
    </row>
    <row r="41" spans="1:45" ht="15.75" x14ac:dyDescent="0.3">
      <c r="A41" s="114"/>
      <c r="B41" s="114" t="s">
        <v>0</v>
      </c>
      <c r="C41" s="115">
        <f>SUM(C5:C40)</f>
        <v>23081408</v>
      </c>
      <c r="D41" s="115">
        <f t="shared" ref="D41:E41" si="6">SUM(D5:D40)</f>
        <v>2220948</v>
      </c>
      <c r="E41" s="115">
        <f t="shared" si="6"/>
        <v>1268000</v>
      </c>
      <c r="F41" s="115">
        <f>SUM(F5:F40)</f>
        <v>0</v>
      </c>
      <c r="G41" s="115">
        <f t="shared" ref="G41:H41" si="7">SUM(G5:G40)</f>
        <v>0</v>
      </c>
      <c r="H41" s="115">
        <f t="shared" si="7"/>
        <v>0</v>
      </c>
      <c r="I41" s="115">
        <f>SUM(I5:I40)</f>
        <v>1000000</v>
      </c>
      <c r="J41" s="115">
        <f t="shared" ref="J41:AS41" si="8">SUM(J5:J40)</f>
        <v>2000000</v>
      </c>
      <c r="K41" s="115">
        <f t="shared" si="8"/>
        <v>30000</v>
      </c>
      <c r="L41" s="115">
        <f t="shared" si="8"/>
        <v>200000</v>
      </c>
      <c r="M41" s="115">
        <f t="shared" si="8"/>
        <v>2190000</v>
      </c>
      <c r="N41" s="115">
        <f t="shared" si="8"/>
        <v>6000</v>
      </c>
      <c r="O41" s="115">
        <f t="shared" si="8"/>
        <v>3500000</v>
      </c>
      <c r="P41" s="115">
        <f t="shared" si="8"/>
        <v>2200000</v>
      </c>
      <c r="Q41" s="115">
        <f t="shared" si="8"/>
        <v>204000</v>
      </c>
      <c r="R41" s="115">
        <f t="shared" si="8"/>
        <v>1690000</v>
      </c>
      <c r="S41" s="115">
        <f t="shared" si="8"/>
        <v>1000000</v>
      </c>
      <c r="T41" s="115">
        <f t="shared" si="8"/>
        <v>30000</v>
      </c>
      <c r="U41" s="115">
        <f t="shared" si="8"/>
        <v>1555000</v>
      </c>
      <c r="V41" s="115">
        <f t="shared" si="8"/>
        <v>2000000</v>
      </c>
      <c r="W41" s="115">
        <f t="shared" si="8"/>
        <v>74200</v>
      </c>
      <c r="X41" s="115">
        <f t="shared" si="8"/>
        <v>1000000</v>
      </c>
      <c r="Y41" s="115">
        <f t="shared" si="8"/>
        <v>1096532</v>
      </c>
      <c r="Z41" s="115">
        <f t="shared" si="8"/>
        <v>50000</v>
      </c>
      <c r="AA41" s="115">
        <f t="shared" si="8"/>
        <v>1600000</v>
      </c>
      <c r="AB41" s="115">
        <f t="shared" si="8"/>
        <v>2150000</v>
      </c>
      <c r="AC41" s="115">
        <f t="shared" si="8"/>
        <v>0</v>
      </c>
      <c r="AD41" s="115">
        <f t="shared" si="8"/>
        <v>0</v>
      </c>
      <c r="AE41" s="115">
        <f t="shared" si="8"/>
        <v>1102500</v>
      </c>
      <c r="AF41" s="115">
        <f t="shared" si="8"/>
        <v>0</v>
      </c>
      <c r="AG41" s="115">
        <f t="shared" si="8"/>
        <v>0</v>
      </c>
      <c r="AH41" s="115">
        <f t="shared" si="8"/>
        <v>430000</v>
      </c>
      <c r="AI41" s="115">
        <f t="shared" si="8"/>
        <v>0</v>
      </c>
      <c r="AJ41" s="115">
        <f t="shared" si="8"/>
        <v>0</v>
      </c>
      <c r="AK41" s="115">
        <f t="shared" si="8"/>
        <v>0</v>
      </c>
      <c r="AL41" s="115">
        <f t="shared" si="8"/>
        <v>0</v>
      </c>
      <c r="AM41" s="115">
        <f t="shared" si="8"/>
        <v>0</v>
      </c>
      <c r="AN41" s="115">
        <f t="shared" si="8"/>
        <v>0</v>
      </c>
      <c r="AO41" s="115">
        <f t="shared" si="8"/>
        <v>0</v>
      </c>
      <c r="AP41" s="115">
        <f t="shared" si="8"/>
        <v>33626408</v>
      </c>
      <c r="AQ41" s="115">
        <f t="shared" si="8"/>
        <v>15389980</v>
      </c>
      <c r="AR41" s="115">
        <f t="shared" si="8"/>
        <v>1662200</v>
      </c>
      <c r="AS41" s="115">
        <f t="shared" si="8"/>
        <v>18236428</v>
      </c>
    </row>
  </sheetData>
  <mergeCells count="16">
    <mergeCell ref="AS2:AS4"/>
    <mergeCell ref="O2:Q2"/>
    <mergeCell ref="A1:E1"/>
    <mergeCell ref="C2:E2"/>
    <mergeCell ref="F2:H2"/>
    <mergeCell ref="I2:K2"/>
    <mergeCell ref="L2:N2"/>
    <mergeCell ref="AJ2:AL2"/>
    <mergeCell ref="AM2:AO2"/>
    <mergeCell ref="AP2:AR2"/>
    <mergeCell ref="R2:T2"/>
    <mergeCell ref="U2:W2"/>
    <mergeCell ref="X2:Z2"/>
    <mergeCell ref="AA2:AC2"/>
    <mergeCell ref="AD2:AF2"/>
    <mergeCell ref="AG2:AI2"/>
  </mergeCells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383"/>
  <sheetViews>
    <sheetView topLeftCell="A294" workbookViewId="0">
      <selection activeCell="F235" sqref="F235"/>
    </sheetView>
  </sheetViews>
  <sheetFormatPr baseColWidth="10" defaultRowHeight="15" x14ac:dyDescent="0.25"/>
  <cols>
    <col min="1" max="1" width="5" customWidth="1"/>
    <col min="2" max="2" width="25.85546875" customWidth="1"/>
    <col min="3" max="3" width="32.85546875" customWidth="1"/>
    <col min="4" max="7" width="13.140625" customWidth="1"/>
    <col min="8" max="8" width="20.5703125" customWidth="1"/>
    <col min="9" max="9" width="33.85546875" customWidth="1"/>
  </cols>
  <sheetData>
    <row r="1" spans="1:9" s="16" customFormat="1" ht="21.75" customHeight="1" x14ac:dyDescent="0.3">
      <c r="B1" s="292" t="s">
        <v>139</v>
      </c>
      <c r="C1" s="292"/>
      <c r="D1" s="292"/>
      <c r="E1" s="292"/>
      <c r="F1" s="292"/>
      <c r="G1" s="292"/>
      <c r="H1" s="292"/>
      <c r="I1" s="292"/>
    </row>
    <row r="2" spans="1:9" ht="30" x14ac:dyDescent="0.25">
      <c r="A2" s="81"/>
      <c r="B2" s="116" t="s">
        <v>56</v>
      </c>
      <c r="C2" s="116" t="s">
        <v>131</v>
      </c>
      <c r="D2" s="116" t="s">
        <v>132</v>
      </c>
      <c r="E2" s="116" t="s">
        <v>133</v>
      </c>
      <c r="F2" s="116" t="s">
        <v>134</v>
      </c>
      <c r="G2" s="116" t="s">
        <v>135</v>
      </c>
      <c r="H2" s="116" t="s">
        <v>136</v>
      </c>
      <c r="I2" s="116" t="s">
        <v>137</v>
      </c>
    </row>
    <row r="3" spans="1:9" ht="18" x14ac:dyDescent="0.4">
      <c r="A3" s="81"/>
      <c r="B3" s="81"/>
      <c r="C3" s="81"/>
      <c r="D3" s="117"/>
      <c r="E3" s="117"/>
      <c r="F3" s="117"/>
      <c r="G3" s="117"/>
      <c r="H3" s="118">
        <v>5945971</v>
      </c>
      <c r="I3" s="119" t="s">
        <v>258</v>
      </c>
    </row>
    <row r="4" spans="1:9" ht="18" x14ac:dyDescent="0.4">
      <c r="A4" s="81"/>
      <c r="B4" s="81"/>
      <c r="C4" s="81" t="s">
        <v>259</v>
      </c>
      <c r="D4" s="117"/>
      <c r="E4" s="117"/>
      <c r="F4" s="117"/>
      <c r="G4" s="117"/>
      <c r="H4" s="118">
        <v>3425000</v>
      </c>
      <c r="I4" s="119"/>
    </row>
    <row r="5" spans="1:9" x14ac:dyDescent="0.25">
      <c r="A5" s="81">
        <v>1</v>
      </c>
      <c r="B5" s="81" t="s">
        <v>206</v>
      </c>
      <c r="C5" s="81" t="s">
        <v>242</v>
      </c>
      <c r="D5" s="117">
        <v>300000</v>
      </c>
      <c r="E5" s="117">
        <v>40000</v>
      </c>
      <c r="F5" s="117">
        <v>70000</v>
      </c>
      <c r="G5" s="117">
        <f>+D5-E5-F5</f>
        <v>190000</v>
      </c>
      <c r="H5" s="117"/>
      <c r="I5" s="120" t="s">
        <v>295</v>
      </c>
    </row>
    <row r="6" spans="1:9" x14ac:dyDescent="0.25">
      <c r="A6" s="81">
        <f>1+A5</f>
        <v>2</v>
      </c>
      <c r="B6" s="81" t="s">
        <v>216</v>
      </c>
      <c r="C6" s="81" t="s">
        <v>242</v>
      </c>
      <c r="D6" s="117">
        <v>300000</v>
      </c>
      <c r="E6" s="117">
        <v>45000</v>
      </c>
      <c r="F6" s="117">
        <v>140000</v>
      </c>
      <c r="G6" s="117">
        <f t="shared" ref="G6:G28" si="0">+D6-E6-F6</f>
        <v>115000</v>
      </c>
      <c r="H6" s="117"/>
      <c r="I6" s="120"/>
    </row>
    <row r="7" spans="1:9" x14ac:dyDescent="0.25">
      <c r="A7" s="81">
        <f t="shared" ref="A7:A32" si="1">1+A6</f>
        <v>3</v>
      </c>
      <c r="B7" s="81" t="s">
        <v>243</v>
      </c>
      <c r="C7" s="81" t="s">
        <v>244</v>
      </c>
      <c r="D7" s="117">
        <v>60000</v>
      </c>
      <c r="E7" s="117">
        <v>60000</v>
      </c>
      <c r="F7" s="117">
        <v>0</v>
      </c>
      <c r="G7" s="117">
        <f t="shared" si="0"/>
        <v>0</v>
      </c>
      <c r="H7" s="117"/>
      <c r="I7" s="120"/>
    </row>
    <row r="8" spans="1:9" x14ac:dyDescent="0.25">
      <c r="A8" s="81">
        <f t="shared" si="1"/>
        <v>4</v>
      </c>
      <c r="B8" s="81" t="s">
        <v>245</v>
      </c>
      <c r="C8" s="81" t="s">
        <v>244</v>
      </c>
      <c r="D8" s="117">
        <v>60000</v>
      </c>
      <c r="E8" s="117">
        <v>60000</v>
      </c>
      <c r="F8" s="117">
        <v>0</v>
      </c>
      <c r="G8" s="117">
        <f t="shared" si="0"/>
        <v>0</v>
      </c>
      <c r="H8" s="117"/>
      <c r="I8" s="120"/>
    </row>
    <row r="9" spans="1:9" x14ac:dyDescent="0.25">
      <c r="A9" s="81">
        <f t="shared" si="1"/>
        <v>5</v>
      </c>
      <c r="B9" s="81" t="s">
        <v>241</v>
      </c>
      <c r="C9" s="81" t="s">
        <v>244</v>
      </c>
      <c r="D9" s="117">
        <v>60000</v>
      </c>
      <c r="E9" s="117">
        <v>60000</v>
      </c>
      <c r="F9" s="117">
        <v>0</v>
      </c>
      <c r="G9" s="117">
        <f t="shared" si="0"/>
        <v>0</v>
      </c>
      <c r="H9" s="117"/>
      <c r="I9" s="120"/>
    </row>
    <row r="10" spans="1:9" x14ac:dyDescent="0.25">
      <c r="A10" s="81">
        <f t="shared" si="1"/>
        <v>6</v>
      </c>
      <c r="B10" s="81" t="s">
        <v>228</v>
      </c>
      <c r="C10" s="81" t="s">
        <v>244</v>
      </c>
      <c r="D10" s="117">
        <v>30000</v>
      </c>
      <c r="E10" s="117">
        <v>30000</v>
      </c>
      <c r="F10" s="117">
        <v>0</v>
      </c>
      <c r="G10" s="117">
        <f t="shared" si="0"/>
        <v>0</v>
      </c>
      <c r="H10" s="117">
        <v>0</v>
      </c>
      <c r="I10" s="120"/>
    </row>
    <row r="11" spans="1:9" x14ac:dyDescent="0.25">
      <c r="A11" s="81">
        <f t="shared" si="1"/>
        <v>7</v>
      </c>
      <c r="B11" s="81" t="s">
        <v>38</v>
      </c>
      <c r="C11" s="81" t="s">
        <v>244</v>
      </c>
      <c r="D11" s="117">
        <v>25000</v>
      </c>
      <c r="E11" s="117">
        <v>0</v>
      </c>
      <c r="F11" s="117">
        <v>0</v>
      </c>
      <c r="G11" s="117">
        <f t="shared" si="0"/>
        <v>25000</v>
      </c>
      <c r="H11" s="117">
        <v>0</v>
      </c>
      <c r="I11" s="120"/>
    </row>
    <row r="12" spans="1:9" x14ac:dyDescent="0.25">
      <c r="A12" s="81">
        <f t="shared" si="1"/>
        <v>8</v>
      </c>
      <c r="B12" s="81" t="s">
        <v>206</v>
      </c>
      <c r="C12" s="81" t="s">
        <v>246</v>
      </c>
      <c r="D12" s="117">
        <v>1200000</v>
      </c>
      <c r="E12" s="117">
        <v>125000</v>
      </c>
      <c r="F12" s="117"/>
      <c r="G12" s="117">
        <f t="shared" si="0"/>
        <v>1075000</v>
      </c>
      <c r="H12" s="117"/>
      <c r="I12" s="120"/>
    </row>
    <row r="13" spans="1:9" x14ac:dyDescent="0.25">
      <c r="A13" s="81">
        <f t="shared" si="1"/>
        <v>9</v>
      </c>
      <c r="B13" s="81" t="s">
        <v>38</v>
      </c>
      <c r="C13" s="81" t="s">
        <v>246</v>
      </c>
      <c r="D13" s="117">
        <v>1200000</v>
      </c>
      <c r="E13" s="117">
        <v>125000</v>
      </c>
      <c r="F13" s="117"/>
      <c r="G13" s="117">
        <f t="shared" si="0"/>
        <v>1075000</v>
      </c>
      <c r="H13" s="117"/>
      <c r="I13" s="120"/>
    </row>
    <row r="14" spans="1:9" x14ac:dyDescent="0.25">
      <c r="A14" s="81">
        <f t="shared" si="1"/>
        <v>10</v>
      </c>
      <c r="B14" s="81" t="s">
        <v>247</v>
      </c>
      <c r="C14" s="81" t="s">
        <v>246</v>
      </c>
      <c r="D14" s="117">
        <v>1200000</v>
      </c>
      <c r="E14" s="117">
        <f>125000+89000</f>
        <v>214000</v>
      </c>
      <c r="F14" s="117">
        <v>0</v>
      </c>
      <c r="G14" s="117">
        <f t="shared" si="0"/>
        <v>986000</v>
      </c>
      <c r="H14" s="117"/>
      <c r="I14" s="120"/>
    </row>
    <row r="15" spans="1:9" x14ac:dyDescent="0.25">
      <c r="A15" s="81">
        <f t="shared" si="1"/>
        <v>11</v>
      </c>
      <c r="B15" s="81" t="s">
        <v>38</v>
      </c>
      <c r="C15" s="81" t="s">
        <v>248</v>
      </c>
      <c r="D15" s="117">
        <v>200000</v>
      </c>
      <c r="E15" s="117">
        <v>0</v>
      </c>
      <c r="F15" s="117">
        <v>0</v>
      </c>
      <c r="G15" s="117">
        <f t="shared" si="0"/>
        <v>200000</v>
      </c>
      <c r="H15" s="117"/>
      <c r="I15" s="120"/>
    </row>
    <row r="16" spans="1:9" x14ac:dyDescent="0.25">
      <c r="A16" s="81">
        <f t="shared" si="1"/>
        <v>12</v>
      </c>
      <c r="B16" s="81" t="s">
        <v>228</v>
      </c>
      <c r="C16" s="81" t="s">
        <v>248</v>
      </c>
      <c r="D16" s="117">
        <v>75000</v>
      </c>
      <c r="E16" s="117">
        <v>75000</v>
      </c>
      <c r="F16" s="117"/>
      <c r="G16" s="117">
        <f t="shared" si="0"/>
        <v>0</v>
      </c>
      <c r="H16" s="117"/>
      <c r="I16" s="120"/>
    </row>
    <row r="17" spans="1:11" x14ac:dyDescent="0.25">
      <c r="A17" s="81">
        <f t="shared" si="1"/>
        <v>13</v>
      </c>
      <c r="B17" s="81" t="s">
        <v>216</v>
      </c>
      <c r="C17" s="81" t="s">
        <v>248</v>
      </c>
      <c r="D17" s="117">
        <v>50000</v>
      </c>
      <c r="E17" s="117">
        <v>50000</v>
      </c>
      <c r="F17" s="117"/>
      <c r="G17" s="117">
        <f t="shared" si="0"/>
        <v>0</v>
      </c>
      <c r="H17" s="117"/>
      <c r="I17" s="120"/>
    </row>
    <row r="18" spans="1:11" x14ac:dyDescent="0.25">
      <c r="A18" s="81">
        <f t="shared" si="1"/>
        <v>14</v>
      </c>
      <c r="B18" s="81" t="s">
        <v>38</v>
      </c>
      <c r="C18" s="81" t="s">
        <v>249</v>
      </c>
      <c r="D18" s="117">
        <v>900000</v>
      </c>
      <c r="E18" s="117">
        <v>105000</v>
      </c>
      <c r="F18" s="117"/>
      <c r="G18" s="117">
        <f t="shared" si="0"/>
        <v>795000</v>
      </c>
      <c r="H18" s="117"/>
      <c r="I18" s="120"/>
    </row>
    <row r="19" spans="1:11" x14ac:dyDescent="0.25">
      <c r="A19" s="81">
        <f t="shared" si="1"/>
        <v>15</v>
      </c>
      <c r="B19" s="81" t="s">
        <v>38</v>
      </c>
      <c r="C19" s="81" t="s">
        <v>250</v>
      </c>
      <c r="D19" s="117">
        <v>100000</v>
      </c>
      <c r="E19" s="117">
        <v>0</v>
      </c>
      <c r="F19" s="117"/>
      <c r="G19" s="117">
        <f t="shared" si="0"/>
        <v>100000</v>
      </c>
      <c r="H19" s="117"/>
      <c r="I19" s="120"/>
    </row>
    <row r="20" spans="1:11" x14ac:dyDescent="0.25">
      <c r="A20" s="81">
        <f t="shared" si="1"/>
        <v>16</v>
      </c>
      <c r="B20" s="81" t="s">
        <v>206</v>
      </c>
      <c r="C20" s="81" t="s">
        <v>251</v>
      </c>
      <c r="D20" s="117">
        <v>100000</v>
      </c>
      <c r="E20" s="117"/>
      <c r="F20" s="117"/>
      <c r="G20" s="117">
        <f t="shared" si="0"/>
        <v>100000</v>
      </c>
      <c r="H20" s="117"/>
      <c r="I20" s="120"/>
    </row>
    <row r="21" spans="1:11" x14ac:dyDescent="0.25">
      <c r="A21" s="81">
        <f t="shared" si="1"/>
        <v>17</v>
      </c>
      <c r="B21" s="81" t="s">
        <v>228</v>
      </c>
      <c r="C21" s="81" t="s">
        <v>251</v>
      </c>
      <c r="D21" s="117">
        <v>100000</v>
      </c>
      <c r="E21" s="117">
        <v>100000</v>
      </c>
      <c r="F21" s="117"/>
      <c r="G21" s="117">
        <f t="shared" si="0"/>
        <v>0</v>
      </c>
      <c r="H21" s="117"/>
      <c r="I21" s="120"/>
    </row>
    <row r="22" spans="1:11" x14ac:dyDescent="0.25">
      <c r="A22" s="81">
        <f t="shared" si="1"/>
        <v>18</v>
      </c>
      <c r="B22" s="81" t="s">
        <v>247</v>
      </c>
      <c r="C22" s="81" t="s">
        <v>251</v>
      </c>
      <c r="D22" s="117">
        <v>105000</v>
      </c>
      <c r="E22" s="117">
        <v>105000</v>
      </c>
      <c r="F22" s="117"/>
      <c r="G22" s="117">
        <f t="shared" si="0"/>
        <v>0</v>
      </c>
      <c r="H22" s="117"/>
      <c r="I22" s="120"/>
    </row>
    <row r="23" spans="1:11" x14ac:dyDescent="0.25">
      <c r="A23" s="81">
        <f t="shared" si="1"/>
        <v>19</v>
      </c>
      <c r="B23" s="81" t="s">
        <v>252</v>
      </c>
      <c r="C23" s="81" t="s">
        <v>253</v>
      </c>
      <c r="D23" s="117">
        <v>6000</v>
      </c>
      <c r="E23" s="117"/>
      <c r="F23" s="117"/>
      <c r="G23" s="117">
        <f t="shared" si="0"/>
        <v>6000</v>
      </c>
      <c r="H23" s="117"/>
      <c r="I23" s="120"/>
    </row>
    <row r="24" spans="1:11" x14ac:dyDescent="0.25">
      <c r="A24" s="81">
        <f t="shared" si="1"/>
        <v>20</v>
      </c>
      <c r="B24" s="81" t="s">
        <v>36</v>
      </c>
      <c r="C24" s="81" t="s">
        <v>254</v>
      </c>
      <c r="D24" s="117">
        <v>100000</v>
      </c>
      <c r="E24" s="117"/>
      <c r="F24" s="117"/>
      <c r="G24" s="117">
        <f t="shared" si="0"/>
        <v>100000</v>
      </c>
      <c r="H24" s="117"/>
      <c r="I24" s="120"/>
    </row>
    <row r="25" spans="1:11" x14ac:dyDescent="0.25">
      <c r="A25" s="81">
        <f t="shared" si="1"/>
        <v>21</v>
      </c>
      <c r="B25" s="81" t="s">
        <v>255</v>
      </c>
      <c r="C25" s="81" t="s">
        <v>78</v>
      </c>
      <c r="D25" s="117">
        <v>257000</v>
      </c>
      <c r="E25" s="117"/>
      <c r="F25" s="117"/>
      <c r="G25" s="117">
        <f t="shared" si="0"/>
        <v>257000</v>
      </c>
      <c r="H25" s="117"/>
      <c r="I25" s="120"/>
    </row>
    <row r="26" spans="1:11" x14ac:dyDescent="0.25">
      <c r="A26" s="81">
        <f t="shared" si="1"/>
        <v>22</v>
      </c>
      <c r="B26" s="81"/>
      <c r="C26" s="81"/>
      <c r="D26" s="117"/>
      <c r="E26" s="117"/>
      <c r="F26" s="117"/>
      <c r="G26" s="117">
        <f t="shared" si="0"/>
        <v>0</v>
      </c>
      <c r="H26" s="117"/>
      <c r="I26" s="120"/>
    </row>
    <row r="27" spans="1:11" x14ac:dyDescent="0.25">
      <c r="A27" s="81">
        <f t="shared" si="1"/>
        <v>23</v>
      </c>
      <c r="B27" s="81"/>
      <c r="C27" s="81"/>
      <c r="D27" s="117"/>
      <c r="E27" s="117"/>
      <c r="F27" s="117"/>
      <c r="G27" s="117">
        <f t="shared" si="0"/>
        <v>0</v>
      </c>
      <c r="H27" s="117"/>
      <c r="I27" s="120"/>
    </row>
    <row r="28" spans="1:11" x14ac:dyDescent="0.25">
      <c r="A28" s="81">
        <f t="shared" si="1"/>
        <v>24</v>
      </c>
      <c r="B28" s="81"/>
      <c r="C28" s="81"/>
      <c r="D28" s="117"/>
      <c r="E28" s="117"/>
      <c r="F28" s="117"/>
      <c r="G28" s="117">
        <f t="shared" si="0"/>
        <v>0</v>
      </c>
      <c r="H28" s="117"/>
      <c r="I28" s="120"/>
    </row>
    <row r="29" spans="1:11" x14ac:dyDescent="0.25">
      <c r="A29" s="81">
        <f t="shared" si="1"/>
        <v>25</v>
      </c>
      <c r="B29" s="81"/>
      <c r="C29" s="81"/>
      <c r="D29" s="117"/>
      <c r="E29" s="117"/>
      <c r="F29" s="117"/>
      <c r="G29" s="117"/>
      <c r="H29" s="117"/>
      <c r="I29" s="120"/>
    </row>
    <row r="30" spans="1:11" x14ac:dyDescent="0.25">
      <c r="A30" s="81">
        <f t="shared" si="1"/>
        <v>26</v>
      </c>
      <c r="B30" s="81"/>
      <c r="C30" s="81"/>
      <c r="D30" s="117"/>
      <c r="E30" s="117"/>
      <c r="F30" s="117"/>
      <c r="G30" s="117"/>
      <c r="H30" s="117"/>
      <c r="I30" s="120"/>
    </row>
    <row r="31" spans="1:11" x14ac:dyDescent="0.25">
      <c r="A31" s="81">
        <f>1+A30</f>
        <v>27</v>
      </c>
      <c r="B31" s="81"/>
      <c r="C31" s="81"/>
      <c r="D31" s="117"/>
      <c r="E31" s="117"/>
      <c r="F31" s="117"/>
      <c r="G31" s="117"/>
      <c r="H31" s="117"/>
      <c r="I31" s="120"/>
    </row>
    <row r="32" spans="1:11" x14ac:dyDescent="0.25">
      <c r="A32" s="81">
        <f t="shared" si="1"/>
        <v>28</v>
      </c>
      <c r="B32" s="81"/>
      <c r="C32" s="81"/>
      <c r="D32" s="117">
        <f>SUM(D3:D31)</f>
        <v>6428000</v>
      </c>
      <c r="E32" s="117">
        <f t="shared" ref="E32:G32" si="2">SUM(E3:E31)</f>
        <v>1194000</v>
      </c>
      <c r="F32" s="117">
        <f t="shared" si="2"/>
        <v>210000</v>
      </c>
      <c r="G32" s="117">
        <f t="shared" si="2"/>
        <v>5024000</v>
      </c>
      <c r="H32" s="117">
        <f>+H3+H4-G32</f>
        <v>4346971</v>
      </c>
      <c r="I32" s="120" t="s">
        <v>257</v>
      </c>
      <c r="J32">
        <f>4346971-4337431</f>
        <v>9540</v>
      </c>
      <c r="K32" t="s">
        <v>260</v>
      </c>
    </row>
    <row r="33" spans="1:9" ht="18.75" x14ac:dyDescent="0.3">
      <c r="A33" s="16"/>
      <c r="B33" s="292" t="s">
        <v>142</v>
      </c>
      <c r="C33" s="292"/>
      <c r="D33" s="292"/>
      <c r="E33" s="292"/>
      <c r="F33" s="292"/>
      <c r="G33" s="292"/>
      <c r="H33" s="292"/>
      <c r="I33" s="292"/>
    </row>
    <row r="34" spans="1:9" ht="30" x14ac:dyDescent="0.25">
      <c r="A34" s="81"/>
      <c r="B34" s="116" t="s">
        <v>56</v>
      </c>
      <c r="C34" s="116" t="s">
        <v>131</v>
      </c>
      <c r="D34" s="116" t="s">
        <v>132</v>
      </c>
      <c r="E34" s="116" t="s">
        <v>133</v>
      </c>
      <c r="F34" s="116" t="s">
        <v>134</v>
      </c>
      <c r="G34" s="116" t="s">
        <v>135</v>
      </c>
      <c r="H34" s="116" t="s">
        <v>140</v>
      </c>
      <c r="I34" s="116" t="s">
        <v>137</v>
      </c>
    </row>
    <row r="35" spans="1:9" ht="18" x14ac:dyDescent="0.4">
      <c r="A35" s="81"/>
      <c r="B35" s="81"/>
      <c r="C35" s="81"/>
      <c r="D35" s="117"/>
      <c r="E35" s="117"/>
      <c r="F35" s="117"/>
      <c r="G35" s="117"/>
      <c r="H35" s="118">
        <v>5735972</v>
      </c>
      <c r="I35" s="119"/>
    </row>
    <row r="36" spans="1:9" ht="18" x14ac:dyDescent="0.4">
      <c r="A36" s="81"/>
      <c r="B36" s="81"/>
      <c r="C36" s="81" t="s">
        <v>138</v>
      </c>
      <c r="D36" s="117"/>
      <c r="E36" s="117"/>
      <c r="F36" s="117"/>
      <c r="G36" s="117"/>
      <c r="H36" s="118"/>
      <c r="I36" s="119"/>
    </row>
    <row r="37" spans="1:9" x14ac:dyDescent="0.25">
      <c r="A37" s="81">
        <v>2</v>
      </c>
      <c r="B37" s="81" t="s">
        <v>207</v>
      </c>
      <c r="C37" s="81" t="s">
        <v>268</v>
      </c>
      <c r="D37" s="117">
        <v>35000</v>
      </c>
      <c r="E37" s="160">
        <v>35000</v>
      </c>
      <c r="F37" s="117"/>
      <c r="G37" s="117">
        <f>+D37-E37-F37</f>
        <v>0</v>
      </c>
      <c r="H37" s="117"/>
      <c r="I37" s="120"/>
    </row>
    <row r="38" spans="1:9" x14ac:dyDescent="0.25">
      <c r="A38" s="81">
        <f>1+A37</f>
        <v>3</v>
      </c>
      <c r="B38" s="81" t="s">
        <v>207</v>
      </c>
      <c r="C38" s="81" t="s">
        <v>269</v>
      </c>
      <c r="D38" s="117">
        <v>15000</v>
      </c>
      <c r="E38" s="160">
        <v>15000</v>
      </c>
      <c r="F38" s="117"/>
      <c r="G38" s="117">
        <f t="shared" ref="G38:G63" si="3">+D38-E38-F38</f>
        <v>0</v>
      </c>
      <c r="H38" s="117"/>
      <c r="I38" s="120"/>
    </row>
    <row r="39" spans="1:9" x14ac:dyDescent="0.25">
      <c r="A39" s="81">
        <f t="shared" ref="A39:A64" si="4">1+A38</f>
        <v>4</v>
      </c>
      <c r="B39" s="81" t="s">
        <v>207</v>
      </c>
      <c r="C39" s="81" t="s">
        <v>270</v>
      </c>
      <c r="D39" s="117">
        <v>12500</v>
      </c>
      <c r="E39" s="160">
        <v>12500</v>
      </c>
      <c r="F39" s="117"/>
      <c r="G39" s="117">
        <f t="shared" si="3"/>
        <v>0</v>
      </c>
      <c r="H39" s="117"/>
      <c r="I39" s="120"/>
    </row>
    <row r="40" spans="1:9" x14ac:dyDescent="0.25">
      <c r="A40" s="81">
        <f t="shared" si="4"/>
        <v>5</v>
      </c>
      <c r="B40" s="81" t="s">
        <v>243</v>
      </c>
      <c r="C40" s="81" t="s">
        <v>271</v>
      </c>
      <c r="D40" s="117">
        <v>300000</v>
      </c>
      <c r="E40" s="160">
        <v>196500</v>
      </c>
      <c r="F40" s="117">
        <f>3500+70000+30000</f>
        <v>103500</v>
      </c>
      <c r="G40" s="117">
        <f t="shared" si="3"/>
        <v>0</v>
      </c>
      <c r="H40" s="117"/>
      <c r="I40" s="120" t="s">
        <v>281</v>
      </c>
    </row>
    <row r="41" spans="1:9" x14ac:dyDescent="0.25">
      <c r="A41" s="81">
        <f t="shared" si="4"/>
        <v>6</v>
      </c>
      <c r="B41" s="81" t="s">
        <v>273</v>
      </c>
      <c r="C41" s="81" t="s">
        <v>271</v>
      </c>
      <c r="D41" s="117">
        <v>300000</v>
      </c>
      <c r="E41" s="160">
        <v>64500</v>
      </c>
      <c r="F41" s="117">
        <f>6500+70000</f>
        <v>76500</v>
      </c>
      <c r="G41" s="117">
        <f t="shared" si="3"/>
        <v>159000</v>
      </c>
      <c r="H41" s="117"/>
      <c r="I41" s="120" t="s">
        <v>280</v>
      </c>
    </row>
    <row r="42" spans="1:9" x14ac:dyDescent="0.25">
      <c r="A42" s="81">
        <f t="shared" si="4"/>
        <v>7</v>
      </c>
      <c r="B42" s="81" t="s">
        <v>228</v>
      </c>
      <c r="C42" s="81" t="s">
        <v>271</v>
      </c>
      <c r="D42" s="117">
        <v>300000</v>
      </c>
      <c r="E42" s="117">
        <v>0</v>
      </c>
      <c r="F42" s="117">
        <f>7500+70000</f>
        <v>77500</v>
      </c>
      <c r="G42" s="117">
        <f t="shared" si="3"/>
        <v>222500</v>
      </c>
      <c r="H42" s="117"/>
      <c r="I42" s="120" t="s">
        <v>280</v>
      </c>
    </row>
    <row r="43" spans="1:9" x14ac:dyDescent="0.25">
      <c r="A43" s="81">
        <f t="shared" si="4"/>
        <v>8</v>
      </c>
      <c r="B43" s="81" t="s">
        <v>207</v>
      </c>
      <c r="C43" s="81" t="s">
        <v>274</v>
      </c>
      <c r="D43" s="117">
        <v>900000</v>
      </c>
      <c r="E43" s="160">
        <v>378000</v>
      </c>
      <c r="F43" s="117">
        <f>22000+500000</f>
        <v>522000</v>
      </c>
      <c r="G43" s="117">
        <f t="shared" si="3"/>
        <v>0</v>
      </c>
      <c r="H43" s="117"/>
      <c r="I43" s="120" t="s">
        <v>279</v>
      </c>
    </row>
    <row r="44" spans="1:9" x14ac:dyDescent="0.25">
      <c r="A44" s="81">
        <f t="shared" si="4"/>
        <v>9</v>
      </c>
      <c r="B44" s="81" t="s">
        <v>275</v>
      </c>
      <c r="C44" s="81" t="s">
        <v>274</v>
      </c>
      <c r="D44" s="117">
        <v>900000</v>
      </c>
      <c r="E44" s="117"/>
      <c r="F44" s="117">
        <v>20000</v>
      </c>
      <c r="G44" s="117">
        <f t="shared" si="3"/>
        <v>880000</v>
      </c>
      <c r="H44" s="117"/>
      <c r="I44" s="120"/>
    </row>
    <row r="45" spans="1:9" x14ac:dyDescent="0.25">
      <c r="A45" s="81">
        <f t="shared" si="4"/>
        <v>10</v>
      </c>
      <c r="B45" s="81" t="s">
        <v>207</v>
      </c>
      <c r="C45" s="81" t="s">
        <v>272</v>
      </c>
      <c r="D45" s="117">
        <v>200000</v>
      </c>
      <c r="E45" s="160">
        <v>200000</v>
      </c>
      <c r="F45" s="117"/>
      <c r="G45" s="117">
        <f t="shared" si="3"/>
        <v>0</v>
      </c>
      <c r="H45" s="117"/>
      <c r="I45" s="120"/>
    </row>
    <row r="46" spans="1:9" x14ac:dyDescent="0.25">
      <c r="A46" s="81">
        <f t="shared" si="4"/>
        <v>11</v>
      </c>
      <c r="B46" s="81" t="s">
        <v>273</v>
      </c>
      <c r="C46" s="81" t="s">
        <v>276</v>
      </c>
      <c r="D46" s="117">
        <v>1200000</v>
      </c>
      <c r="E46" s="117"/>
      <c r="F46" s="117">
        <v>28000</v>
      </c>
      <c r="G46" s="117">
        <f t="shared" si="3"/>
        <v>1172000</v>
      </c>
      <c r="H46" s="117"/>
      <c r="I46" s="120"/>
    </row>
    <row r="47" spans="1:9" x14ac:dyDescent="0.25">
      <c r="A47" s="81">
        <f t="shared" si="4"/>
        <v>12</v>
      </c>
      <c r="B47" s="81" t="s">
        <v>275</v>
      </c>
      <c r="C47" s="81" t="s">
        <v>276</v>
      </c>
      <c r="D47" s="117">
        <v>1200000</v>
      </c>
      <c r="E47" s="117"/>
      <c r="F47" s="117">
        <f>28000+1000000</f>
        <v>1028000</v>
      </c>
      <c r="G47" s="117">
        <f t="shared" si="3"/>
        <v>172000</v>
      </c>
      <c r="H47" s="117"/>
      <c r="I47" s="120" t="s">
        <v>337</v>
      </c>
    </row>
    <row r="48" spans="1:9" x14ac:dyDescent="0.25">
      <c r="A48" s="81">
        <f t="shared" si="4"/>
        <v>13</v>
      </c>
      <c r="B48" s="81" t="s">
        <v>243</v>
      </c>
      <c r="C48" s="81" t="s">
        <v>277</v>
      </c>
      <c r="D48" s="117">
        <v>40000</v>
      </c>
      <c r="E48" s="160">
        <v>40000</v>
      </c>
      <c r="F48" s="117"/>
      <c r="G48" s="117">
        <f t="shared" si="3"/>
        <v>0</v>
      </c>
      <c r="H48" s="117"/>
      <c r="I48" s="120"/>
    </row>
    <row r="49" spans="1:9" x14ac:dyDescent="0.25">
      <c r="A49" s="81">
        <f t="shared" si="4"/>
        <v>14</v>
      </c>
      <c r="B49" s="81" t="s">
        <v>241</v>
      </c>
      <c r="C49" s="81" t="s">
        <v>277</v>
      </c>
      <c r="D49" s="117">
        <v>40000</v>
      </c>
      <c r="E49" s="160">
        <v>40000</v>
      </c>
      <c r="F49" s="117"/>
      <c r="G49" s="117">
        <f t="shared" si="3"/>
        <v>0</v>
      </c>
      <c r="H49" s="117"/>
      <c r="I49" s="120"/>
    </row>
    <row r="50" spans="1:9" x14ac:dyDescent="0.25">
      <c r="A50" s="81">
        <f t="shared" si="4"/>
        <v>15</v>
      </c>
      <c r="B50" s="81" t="s">
        <v>207</v>
      </c>
      <c r="C50" s="81" t="s">
        <v>277</v>
      </c>
      <c r="D50" s="117">
        <v>31500</v>
      </c>
      <c r="E50" s="160">
        <v>31500</v>
      </c>
      <c r="F50" s="117"/>
      <c r="G50" s="117">
        <f t="shared" si="3"/>
        <v>0</v>
      </c>
      <c r="H50" s="117"/>
      <c r="I50" s="120"/>
    </row>
    <row r="51" spans="1:9" x14ac:dyDescent="0.25">
      <c r="A51" s="81">
        <f t="shared" si="4"/>
        <v>16</v>
      </c>
      <c r="B51" s="81" t="s">
        <v>103</v>
      </c>
      <c r="C51" s="81" t="s">
        <v>57</v>
      </c>
      <c r="D51" s="117">
        <v>640700</v>
      </c>
      <c r="E51" s="117"/>
      <c r="F51" s="117"/>
      <c r="G51" s="117">
        <f t="shared" si="3"/>
        <v>640700</v>
      </c>
      <c r="H51" s="117"/>
      <c r="I51" s="120"/>
    </row>
    <row r="52" spans="1:9" x14ac:dyDescent="0.25">
      <c r="A52" s="81">
        <f t="shared" si="4"/>
        <v>17</v>
      </c>
      <c r="B52" s="81" t="s">
        <v>103</v>
      </c>
      <c r="C52" s="81" t="s">
        <v>278</v>
      </c>
      <c r="D52" s="117">
        <v>560000</v>
      </c>
      <c r="E52" s="117"/>
      <c r="F52" s="117"/>
      <c r="G52" s="117">
        <f t="shared" si="3"/>
        <v>560000</v>
      </c>
      <c r="H52" s="117"/>
      <c r="I52" s="120"/>
    </row>
    <row r="53" spans="1:9" x14ac:dyDescent="0.25">
      <c r="A53" s="81">
        <f t="shared" si="4"/>
        <v>18</v>
      </c>
      <c r="B53" s="81" t="s">
        <v>252</v>
      </c>
      <c r="C53" s="81" t="s">
        <v>253</v>
      </c>
      <c r="D53" s="117">
        <v>6000</v>
      </c>
      <c r="E53" s="117"/>
      <c r="F53" s="117"/>
      <c r="G53" s="117">
        <f t="shared" si="3"/>
        <v>6000</v>
      </c>
      <c r="H53" s="117"/>
      <c r="I53" s="120"/>
    </row>
    <row r="54" spans="1:9" x14ac:dyDescent="0.25">
      <c r="A54" s="81">
        <f t="shared" si="4"/>
        <v>19</v>
      </c>
      <c r="B54" s="81" t="s">
        <v>243</v>
      </c>
      <c r="C54" s="81" t="s">
        <v>282</v>
      </c>
      <c r="D54" s="117">
        <v>1000000</v>
      </c>
      <c r="E54" s="117">
        <v>0</v>
      </c>
      <c r="F54" s="117">
        <f>30000+970000</f>
        <v>1000000</v>
      </c>
      <c r="G54" s="117">
        <f t="shared" si="3"/>
        <v>0</v>
      </c>
      <c r="H54" s="117"/>
      <c r="I54" s="120" t="s">
        <v>283</v>
      </c>
    </row>
    <row r="55" spans="1:9" x14ac:dyDescent="0.25">
      <c r="A55" s="81">
        <f t="shared" si="4"/>
        <v>20</v>
      </c>
      <c r="B55" s="81" t="s">
        <v>216</v>
      </c>
      <c r="C55" s="81" t="s">
        <v>313</v>
      </c>
      <c r="D55" s="117">
        <v>190000</v>
      </c>
      <c r="E55" s="117"/>
      <c r="F55" s="117"/>
      <c r="G55" s="117">
        <f t="shared" si="3"/>
        <v>190000</v>
      </c>
      <c r="H55" s="117"/>
      <c r="I55" s="120"/>
    </row>
    <row r="56" spans="1:9" x14ac:dyDescent="0.25">
      <c r="A56" s="81">
        <f t="shared" si="4"/>
        <v>21</v>
      </c>
      <c r="B56" s="81"/>
      <c r="C56" s="81"/>
      <c r="D56" s="117"/>
      <c r="E56" s="117"/>
      <c r="F56" s="117"/>
      <c r="G56" s="117">
        <f t="shared" si="3"/>
        <v>0</v>
      </c>
      <c r="H56" s="117"/>
      <c r="I56" s="120"/>
    </row>
    <row r="57" spans="1:9" x14ac:dyDescent="0.25">
      <c r="A57" s="81">
        <f t="shared" si="4"/>
        <v>22</v>
      </c>
      <c r="B57" s="81"/>
      <c r="C57" s="81"/>
      <c r="D57" s="117"/>
      <c r="E57" s="117"/>
      <c r="F57" s="117"/>
      <c r="G57" s="117">
        <f t="shared" si="3"/>
        <v>0</v>
      </c>
      <c r="H57" s="117"/>
      <c r="I57" s="120"/>
    </row>
    <row r="58" spans="1:9" x14ac:dyDescent="0.25">
      <c r="A58" s="81">
        <f t="shared" si="4"/>
        <v>23</v>
      </c>
      <c r="B58" s="81"/>
      <c r="C58" s="81"/>
      <c r="D58" s="117"/>
      <c r="E58" s="117"/>
      <c r="F58" s="117"/>
      <c r="G58" s="117">
        <f t="shared" si="3"/>
        <v>0</v>
      </c>
      <c r="H58" s="117"/>
      <c r="I58" s="120"/>
    </row>
    <row r="59" spans="1:9" x14ac:dyDescent="0.25">
      <c r="A59" s="81">
        <f t="shared" si="4"/>
        <v>24</v>
      </c>
      <c r="B59" s="81"/>
      <c r="C59" s="81"/>
      <c r="D59" s="117"/>
      <c r="E59" s="117"/>
      <c r="F59" s="117"/>
      <c r="G59" s="117">
        <f t="shared" si="3"/>
        <v>0</v>
      </c>
      <c r="H59" s="117"/>
      <c r="I59" s="120"/>
    </row>
    <row r="60" spans="1:9" x14ac:dyDescent="0.25">
      <c r="A60" s="81">
        <f t="shared" si="4"/>
        <v>25</v>
      </c>
      <c r="B60" s="81"/>
      <c r="C60" s="81"/>
      <c r="D60" s="117"/>
      <c r="E60" s="117"/>
      <c r="F60" s="117"/>
      <c r="G60" s="117">
        <f t="shared" si="3"/>
        <v>0</v>
      </c>
      <c r="H60" s="117"/>
      <c r="I60" s="120"/>
    </row>
    <row r="61" spans="1:9" x14ac:dyDescent="0.25">
      <c r="A61" s="81">
        <f t="shared" si="4"/>
        <v>26</v>
      </c>
      <c r="B61" s="81"/>
      <c r="C61" s="81"/>
      <c r="D61" s="117"/>
      <c r="E61" s="117"/>
      <c r="F61" s="117"/>
      <c r="G61" s="117">
        <f t="shared" si="3"/>
        <v>0</v>
      </c>
      <c r="H61" s="117"/>
      <c r="I61" s="120"/>
    </row>
    <row r="62" spans="1:9" x14ac:dyDescent="0.25">
      <c r="A62" s="81">
        <f t="shared" si="4"/>
        <v>27</v>
      </c>
      <c r="B62" s="81"/>
      <c r="C62" s="81"/>
      <c r="D62" s="117"/>
      <c r="E62" s="117"/>
      <c r="F62" s="117"/>
      <c r="G62" s="117">
        <f t="shared" si="3"/>
        <v>0</v>
      </c>
      <c r="H62" s="117"/>
      <c r="I62" s="120"/>
    </row>
    <row r="63" spans="1:9" x14ac:dyDescent="0.25">
      <c r="A63" s="81">
        <f>1+A62</f>
        <v>28</v>
      </c>
      <c r="B63" s="81"/>
      <c r="C63" s="81"/>
      <c r="D63" s="117"/>
      <c r="E63" s="117"/>
      <c r="F63" s="117"/>
      <c r="G63" s="117">
        <f t="shared" si="3"/>
        <v>0</v>
      </c>
      <c r="H63" s="117"/>
      <c r="I63" s="120"/>
    </row>
    <row r="64" spans="1:9" x14ac:dyDescent="0.25">
      <c r="A64" s="81">
        <f t="shared" si="4"/>
        <v>29</v>
      </c>
      <c r="B64" s="81"/>
      <c r="C64" s="81"/>
      <c r="D64" s="117">
        <f>SUM(D35:D63)</f>
        <v>7870700</v>
      </c>
      <c r="E64" s="117">
        <f t="shared" ref="E64:G64" si="5">SUM(E35:E63)</f>
        <v>1013000</v>
      </c>
      <c r="F64" s="117">
        <f t="shared" si="5"/>
        <v>2855500</v>
      </c>
      <c r="G64" s="117">
        <f t="shared" si="5"/>
        <v>4002200</v>
      </c>
      <c r="H64" s="117" t="e">
        <f>+H35+#REF!-F64-G64</f>
        <v>#REF!</v>
      </c>
      <c r="I64" s="120"/>
    </row>
    <row r="65" spans="1:9" ht="18.75" x14ac:dyDescent="0.3">
      <c r="A65" s="16"/>
      <c r="B65" s="292" t="s">
        <v>143</v>
      </c>
      <c r="C65" s="292"/>
      <c r="D65" s="292"/>
      <c r="E65" s="292"/>
      <c r="F65" s="292"/>
      <c r="G65" s="292"/>
      <c r="H65" s="292"/>
      <c r="I65" s="292"/>
    </row>
    <row r="66" spans="1:9" ht="30" x14ac:dyDescent="0.25">
      <c r="A66" s="81"/>
      <c r="B66" s="116" t="s">
        <v>56</v>
      </c>
      <c r="C66" s="116" t="s">
        <v>131</v>
      </c>
      <c r="D66" s="116" t="s">
        <v>132</v>
      </c>
      <c r="E66" s="116" t="s">
        <v>133</v>
      </c>
      <c r="F66" s="116" t="s">
        <v>134</v>
      </c>
      <c r="G66" s="116" t="s">
        <v>135</v>
      </c>
      <c r="H66" s="116" t="s">
        <v>140</v>
      </c>
      <c r="I66" s="116" t="s">
        <v>137</v>
      </c>
    </row>
    <row r="67" spans="1:9" ht="18" x14ac:dyDescent="0.4">
      <c r="A67" s="81"/>
      <c r="B67" s="81"/>
      <c r="C67" s="81"/>
      <c r="D67" s="117"/>
      <c r="E67" s="117"/>
      <c r="F67" s="117"/>
      <c r="G67" s="117"/>
      <c r="H67" s="118">
        <v>5735972</v>
      </c>
      <c r="I67" s="119"/>
    </row>
    <row r="68" spans="1:9" ht="18" x14ac:dyDescent="0.4">
      <c r="A68" s="81"/>
      <c r="B68" s="81"/>
      <c r="C68" s="81" t="s">
        <v>138</v>
      </c>
      <c r="D68" s="117"/>
      <c r="E68" s="117"/>
      <c r="F68" s="117"/>
      <c r="G68" s="117"/>
      <c r="H68" s="118"/>
      <c r="I68" s="119"/>
    </row>
    <row r="69" spans="1:9" x14ac:dyDescent="0.25">
      <c r="A69" s="81">
        <v>2</v>
      </c>
      <c r="B69" s="81" t="s">
        <v>288</v>
      </c>
      <c r="C69" s="81" t="s">
        <v>289</v>
      </c>
      <c r="D69" s="117">
        <v>900000</v>
      </c>
      <c r="E69" s="117"/>
      <c r="F69" s="117">
        <v>900000</v>
      </c>
      <c r="G69" s="117">
        <f>+D69-E69-F69</f>
        <v>0</v>
      </c>
      <c r="H69" s="117" t="s">
        <v>290</v>
      </c>
      <c r="I69" s="120"/>
    </row>
    <row r="70" spans="1:9" x14ac:dyDescent="0.25">
      <c r="A70" s="81">
        <f>1+A69</f>
        <v>3</v>
      </c>
      <c r="B70" s="81" t="s">
        <v>288</v>
      </c>
      <c r="C70" s="81" t="s">
        <v>282</v>
      </c>
      <c r="D70" s="117">
        <v>200000</v>
      </c>
      <c r="E70" s="117"/>
      <c r="F70" s="117">
        <f>6000+107500</f>
        <v>113500</v>
      </c>
      <c r="G70" s="117">
        <f t="shared" ref="G70:G84" si="6">+D70-E70-F70</f>
        <v>86500</v>
      </c>
      <c r="H70" s="117"/>
      <c r="I70" s="120" t="s">
        <v>298</v>
      </c>
    </row>
    <row r="71" spans="1:9" x14ac:dyDescent="0.25">
      <c r="A71" s="81">
        <f t="shared" ref="A71:A96" si="7">1+A70</f>
        <v>4</v>
      </c>
      <c r="B71" s="81" t="s">
        <v>245</v>
      </c>
      <c r="C71" s="81" t="s">
        <v>289</v>
      </c>
      <c r="D71" s="117">
        <v>900000</v>
      </c>
      <c r="E71" s="117">
        <v>50000</v>
      </c>
      <c r="F71" s="117">
        <f>7500+842500</f>
        <v>850000</v>
      </c>
      <c r="G71" s="117">
        <f t="shared" si="6"/>
        <v>0</v>
      </c>
      <c r="H71" s="117"/>
      <c r="I71" s="120"/>
    </row>
    <row r="72" spans="1:9" x14ac:dyDescent="0.25">
      <c r="A72" s="81">
        <f t="shared" si="7"/>
        <v>5</v>
      </c>
      <c r="B72" s="81" t="s">
        <v>291</v>
      </c>
      <c r="C72" s="81" t="s">
        <v>292</v>
      </c>
      <c r="D72" s="117">
        <v>1200000</v>
      </c>
      <c r="E72" s="117"/>
      <c r="F72" s="117">
        <v>10000</v>
      </c>
      <c r="G72" s="160">
        <f t="shared" si="6"/>
        <v>1190000</v>
      </c>
      <c r="H72" s="117"/>
      <c r="I72" s="120"/>
    </row>
    <row r="73" spans="1:9" x14ac:dyDescent="0.25">
      <c r="A73" s="81">
        <f t="shared" si="7"/>
        <v>6</v>
      </c>
      <c r="B73" s="81" t="s">
        <v>216</v>
      </c>
      <c r="C73" s="81" t="s">
        <v>293</v>
      </c>
      <c r="D73" s="117">
        <v>1200000</v>
      </c>
      <c r="E73" s="117"/>
      <c r="F73" s="117">
        <f>10000+690000</f>
        <v>700000</v>
      </c>
      <c r="G73" s="160">
        <f t="shared" si="6"/>
        <v>500000</v>
      </c>
      <c r="H73" s="117"/>
      <c r="I73" s="120"/>
    </row>
    <row r="74" spans="1:9" x14ac:dyDescent="0.25">
      <c r="A74" s="81">
        <f t="shared" si="7"/>
        <v>7</v>
      </c>
      <c r="B74" s="81" t="s">
        <v>40</v>
      </c>
      <c r="C74" s="81" t="s">
        <v>294</v>
      </c>
      <c r="D74" s="117">
        <v>300000</v>
      </c>
      <c r="E74" s="117"/>
      <c r="F74" s="117">
        <f>11000+70000</f>
        <v>81000</v>
      </c>
      <c r="G74" s="160">
        <f t="shared" si="6"/>
        <v>219000</v>
      </c>
      <c r="H74" s="117"/>
      <c r="I74" s="120" t="s">
        <v>295</v>
      </c>
    </row>
    <row r="75" spans="1:9" x14ac:dyDescent="0.25">
      <c r="A75" s="81">
        <f t="shared" si="7"/>
        <v>8</v>
      </c>
      <c r="B75" s="81" t="s">
        <v>92</v>
      </c>
      <c r="C75" s="81" t="s">
        <v>294</v>
      </c>
      <c r="D75" s="117">
        <v>300000</v>
      </c>
      <c r="E75" s="117"/>
      <c r="F75" s="117">
        <f>10000+70000</f>
        <v>80000</v>
      </c>
      <c r="G75" s="160">
        <f t="shared" si="6"/>
        <v>220000</v>
      </c>
      <c r="H75" s="117"/>
      <c r="I75" s="120" t="s">
        <v>295</v>
      </c>
    </row>
    <row r="76" spans="1:9" x14ac:dyDescent="0.25">
      <c r="A76" s="81">
        <f t="shared" si="7"/>
        <v>9</v>
      </c>
      <c r="B76" s="81" t="s">
        <v>207</v>
      </c>
      <c r="C76" s="81" t="s">
        <v>294</v>
      </c>
      <c r="D76" s="117">
        <v>300000</v>
      </c>
      <c r="E76" s="117"/>
      <c r="F76" s="117">
        <f>11000+70000</f>
        <v>81000</v>
      </c>
      <c r="G76" s="160">
        <f t="shared" si="6"/>
        <v>219000</v>
      </c>
      <c r="H76" s="117"/>
      <c r="I76" s="120" t="s">
        <v>295</v>
      </c>
    </row>
    <row r="77" spans="1:9" x14ac:dyDescent="0.25">
      <c r="A77" s="81">
        <f t="shared" si="7"/>
        <v>10</v>
      </c>
      <c r="B77" s="81" t="s">
        <v>252</v>
      </c>
      <c r="C77" s="81" t="s">
        <v>296</v>
      </c>
      <c r="D77" s="117">
        <v>200000</v>
      </c>
      <c r="E77" s="117">
        <v>100000</v>
      </c>
      <c r="F77" s="117"/>
      <c r="G77" s="160">
        <f t="shared" si="6"/>
        <v>100000</v>
      </c>
      <c r="H77" s="117"/>
      <c r="I77" s="120" t="s">
        <v>297</v>
      </c>
    </row>
    <row r="78" spans="1:9" x14ac:dyDescent="0.25">
      <c r="A78" s="81">
        <f t="shared" si="7"/>
        <v>11</v>
      </c>
      <c r="B78" s="81" t="s">
        <v>207</v>
      </c>
      <c r="C78" s="81" t="s">
        <v>296</v>
      </c>
      <c r="D78" s="117">
        <v>200000</v>
      </c>
      <c r="E78" s="117">
        <v>105000</v>
      </c>
      <c r="F78" s="117"/>
      <c r="G78" s="160">
        <f t="shared" si="6"/>
        <v>95000</v>
      </c>
      <c r="H78" s="117"/>
      <c r="I78" s="120"/>
    </row>
    <row r="79" spans="1:9" x14ac:dyDescent="0.25">
      <c r="A79" s="81">
        <f t="shared" si="7"/>
        <v>12</v>
      </c>
      <c r="B79" s="81" t="s">
        <v>275</v>
      </c>
      <c r="C79" s="81" t="s">
        <v>296</v>
      </c>
      <c r="D79" s="117">
        <v>264000</v>
      </c>
      <c r="E79" s="117">
        <v>44000</v>
      </c>
      <c r="F79" s="117"/>
      <c r="G79" s="160">
        <f t="shared" si="6"/>
        <v>220000</v>
      </c>
      <c r="H79" s="117"/>
      <c r="I79" s="120" t="s">
        <v>300</v>
      </c>
    </row>
    <row r="80" spans="1:9" x14ac:dyDescent="0.25">
      <c r="A80" s="81">
        <f t="shared" si="7"/>
        <v>13</v>
      </c>
      <c r="B80" s="81" t="s">
        <v>206</v>
      </c>
      <c r="C80" s="81" t="s">
        <v>296</v>
      </c>
      <c r="D80" s="117">
        <v>200000</v>
      </c>
      <c r="E80" s="117">
        <v>0</v>
      </c>
      <c r="F80" s="117">
        <v>0</v>
      </c>
      <c r="G80" s="160">
        <f t="shared" si="6"/>
        <v>200000</v>
      </c>
      <c r="H80" s="117"/>
      <c r="I80" s="120"/>
    </row>
    <row r="81" spans="1:9" x14ac:dyDescent="0.25">
      <c r="A81" s="81">
        <f t="shared" si="7"/>
        <v>14</v>
      </c>
      <c r="B81" s="81" t="s">
        <v>273</v>
      </c>
      <c r="C81" s="81" t="s">
        <v>296</v>
      </c>
      <c r="D81" s="117">
        <v>100000</v>
      </c>
      <c r="E81" s="117"/>
      <c r="F81" s="117"/>
      <c r="G81" s="160">
        <f t="shared" si="6"/>
        <v>100000</v>
      </c>
      <c r="H81" s="117"/>
      <c r="I81" s="120"/>
    </row>
    <row r="82" spans="1:9" x14ac:dyDescent="0.25">
      <c r="A82" s="81">
        <f t="shared" si="7"/>
        <v>15</v>
      </c>
      <c r="B82" s="81" t="s">
        <v>245</v>
      </c>
      <c r="C82" s="81" t="s">
        <v>254</v>
      </c>
      <c r="D82" s="117">
        <v>100000</v>
      </c>
      <c r="E82" s="117"/>
      <c r="F82" s="117">
        <v>100000</v>
      </c>
      <c r="G82" s="117">
        <f t="shared" si="6"/>
        <v>0</v>
      </c>
      <c r="H82" s="117"/>
      <c r="I82" s="120"/>
    </row>
    <row r="83" spans="1:9" x14ac:dyDescent="0.25">
      <c r="A83" s="81">
        <f t="shared" si="7"/>
        <v>16</v>
      </c>
      <c r="B83" s="81" t="s">
        <v>226</v>
      </c>
      <c r="C83" s="81" t="s">
        <v>335</v>
      </c>
      <c r="D83" s="117">
        <v>100000</v>
      </c>
      <c r="E83" s="117"/>
      <c r="F83" s="117"/>
      <c r="G83" s="117">
        <f t="shared" si="6"/>
        <v>100000</v>
      </c>
      <c r="H83" s="117"/>
      <c r="I83" s="120"/>
    </row>
    <row r="84" spans="1:9" x14ac:dyDescent="0.25">
      <c r="A84" s="81">
        <f t="shared" si="7"/>
        <v>17</v>
      </c>
      <c r="B84" s="81" t="s">
        <v>252</v>
      </c>
      <c r="C84" s="81" t="s">
        <v>253</v>
      </c>
      <c r="D84" s="117">
        <v>6000</v>
      </c>
      <c r="E84" s="117"/>
      <c r="F84" s="117"/>
      <c r="G84" s="117">
        <f t="shared" si="6"/>
        <v>6000</v>
      </c>
      <c r="H84" s="117"/>
      <c r="I84" s="120"/>
    </row>
    <row r="85" spans="1:9" x14ac:dyDescent="0.25">
      <c r="A85" s="81">
        <f t="shared" si="7"/>
        <v>18</v>
      </c>
      <c r="B85" s="81" t="s">
        <v>252</v>
      </c>
      <c r="C85" s="81" t="s">
        <v>299</v>
      </c>
      <c r="D85" s="117">
        <v>1750000</v>
      </c>
      <c r="E85" s="117"/>
      <c r="F85" s="117"/>
      <c r="G85" s="117">
        <v>1750000</v>
      </c>
      <c r="H85" s="117"/>
      <c r="I85" s="120"/>
    </row>
    <row r="86" spans="1:9" x14ac:dyDescent="0.25">
      <c r="A86" s="81">
        <f t="shared" si="7"/>
        <v>19</v>
      </c>
      <c r="B86" s="81"/>
      <c r="C86" s="81"/>
      <c r="D86" s="117"/>
      <c r="E86" s="117"/>
      <c r="F86" s="117"/>
      <c r="G86" s="117"/>
      <c r="H86" s="117"/>
      <c r="I86" s="120"/>
    </row>
    <row r="87" spans="1:9" x14ac:dyDescent="0.25">
      <c r="A87" s="81">
        <f t="shared" si="7"/>
        <v>20</v>
      </c>
      <c r="B87" s="81"/>
      <c r="C87" s="81"/>
      <c r="D87" s="117"/>
      <c r="E87" s="117"/>
      <c r="F87" s="117"/>
      <c r="G87" s="117"/>
      <c r="H87" s="117"/>
      <c r="I87" s="120"/>
    </row>
    <row r="88" spans="1:9" x14ac:dyDescent="0.25">
      <c r="A88" s="81">
        <f t="shared" si="7"/>
        <v>21</v>
      </c>
      <c r="B88" s="81"/>
      <c r="C88" s="81"/>
      <c r="D88" s="117"/>
      <c r="E88" s="117"/>
      <c r="F88" s="117"/>
      <c r="G88" s="117"/>
      <c r="H88" s="117"/>
      <c r="I88" s="120"/>
    </row>
    <row r="89" spans="1:9" x14ac:dyDescent="0.25">
      <c r="A89" s="81">
        <f t="shared" si="7"/>
        <v>22</v>
      </c>
      <c r="B89" s="81"/>
      <c r="C89" s="81"/>
      <c r="D89" s="117"/>
      <c r="E89" s="117"/>
      <c r="F89" s="117"/>
      <c r="G89" s="117"/>
      <c r="H89" s="117"/>
      <c r="I89" s="120"/>
    </row>
    <row r="90" spans="1:9" x14ac:dyDescent="0.25">
      <c r="A90" s="81">
        <f t="shared" si="7"/>
        <v>23</v>
      </c>
      <c r="B90" s="81"/>
      <c r="C90" s="81"/>
      <c r="D90" s="117"/>
      <c r="E90" s="117"/>
      <c r="F90" s="117"/>
      <c r="G90" s="117"/>
      <c r="H90" s="117"/>
      <c r="I90" s="120"/>
    </row>
    <row r="91" spans="1:9" x14ac:dyDescent="0.25">
      <c r="A91" s="81">
        <f t="shared" si="7"/>
        <v>24</v>
      </c>
      <c r="B91" s="81"/>
      <c r="C91" s="81"/>
      <c r="D91" s="117"/>
      <c r="E91" s="117"/>
      <c r="F91" s="117"/>
      <c r="G91" s="117"/>
      <c r="H91" s="117"/>
      <c r="I91" s="120"/>
    </row>
    <row r="92" spans="1:9" x14ac:dyDescent="0.25">
      <c r="A92" s="81">
        <f t="shared" si="7"/>
        <v>25</v>
      </c>
      <c r="B92" s="81"/>
      <c r="C92" s="81"/>
      <c r="D92" s="117"/>
      <c r="E92" s="117"/>
      <c r="F92" s="117"/>
      <c r="G92" s="117"/>
      <c r="H92" s="117"/>
      <c r="I92" s="120"/>
    </row>
    <row r="93" spans="1:9" x14ac:dyDescent="0.25">
      <c r="A93" s="81">
        <f t="shared" si="7"/>
        <v>26</v>
      </c>
      <c r="B93" s="81"/>
      <c r="C93" s="81"/>
      <c r="D93" s="117"/>
      <c r="E93" s="117"/>
      <c r="F93" s="117"/>
      <c r="G93" s="117"/>
      <c r="H93" s="117"/>
      <c r="I93" s="120"/>
    </row>
    <row r="94" spans="1:9" x14ac:dyDescent="0.25">
      <c r="A94" s="81">
        <f t="shared" si="7"/>
        <v>27</v>
      </c>
      <c r="B94" s="81"/>
      <c r="C94" s="81"/>
      <c r="D94" s="117"/>
      <c r="E94" s="117"/>
      <c r="F94" s="117"/>
      <c r="G94" s="117"/>
      <c r="H94" s="117"/>
      <c r="I94" s="120"/>
    </row>
    <row r="95" spans="1:9" x14ac:dyDescent="0.25">
      <c r="A95" s="81">
        <f>1+A94</f>
        <v>28</v>
      </c>
      <c r="B95" s="81"/>
      <c r="C95" s="81"/>
      <c r="D95" s="117"/>
      <c r="E95" s="117"/>
      <c r="F95" s="117"/>
      <c r="G95" s="117"/>
      <c r="H95" s="117"/>
      <c r="I95" s="120"/>
    </row>
    <row r="96" spans="1:9" x14ac:dyDescent="0.25">
      <c r="A96" s="81">
        <f t="shared" si="7"/>
        <v>29</v>
      </c>
      <c r="B96" s="81"/>
      <c r="C96" s="81"/>
      <c r="D96" s="117">
        <f>SUM(D67:D95)</f>
        <v>8220000</v>
      </c>
      <c r="E96" s="117">
        <f t="shared" ref="E96:G96" si="8">SUM(E67:E95)</f>
        <v>299000</v>
      </c>
      <c r="F96" s="117">
        <f t="shared" si="8"/>
        <v>2915500</v>
      </c>
      <c r="G96" s="117">
        <f t="shared" si="8"/>
        <v>5005500</v>
      </c>
      <c r="H96" s="117" t="e">
        <f>+H67+#REF!-F96-G96</f>
        <v>#REF!</v>
      </c>
      <c r="I96" s="120"/>
    </row>
    <row r="97" spans="1:9" ht="18.75" x14ac:dyDescent="0.3">
      <c r="A97" s="16"/>
      <c r="B97" s="292" t="s">
        <v>147</v>
      </c>
      <c r="C97" s="292"/>
      <c r="D97" s="292"/>
      <c r="E97" s="292"/>
      <c r="F97" s="292"/>
      <c r="G97" s="292"/>
      <c r="H97" s="292"/>
      <c r="I97" s="292"/>
    </row>
    <row r="98" spans="1:9" ht="30" x14ac:dyDescent="0.25">
      <c r="A98" s="81"/>
      <c r="B98" s="116" t="s">
        <v>56</v>
      </c>
      <c r="C98" s="116" t="s">
        <v>131</v>
      </c>
      <c r="D98" s="116" t="s">
        <v>132</v>
      </c>
      <c r="E98" s="116" t="s">
        <v>133</v>
      </c>
      <c r="F98" s="116" t="s">
        <v>134</v>
      </c>
      <c r="G98" s="116" t="s">
        <v>135</v>
      </c>
      <c r="H98" s="116" t="s">
        <v>141</v>
      </c>
      <c r="I98" s="116" t="s">
        <v>137</v>
      </c>
    </row>
    <row r="99" spans="1:9" ht="18" x14ac:dyDescent="0.4">
      <c r="A99" s="81"/>
      <c r="B99" s="81"/>
      <c r="C99" s="81"/>
      <c r="D99" s="117"/>
      <c r="E99" s="117"/>
      <c r="F99" s="117"/>
      <c r="G99" s="117"/>
      <c r="H99" s="118">
        <v>5735973</v>
      </c>
      <c r="I99" s="119"/>
    </row>
    <row r="100" spans="1:9" ht="18" x14ac:dyDescent="0.4">
      <c r="A100" s="81"/>
      <c r="B100" s="81"/>
      <c r="C100" s="81" t="s">
        <v>138</v>
      </c>
      <c r="D100" s="117"/>
      <c r="E100" s="117"/>
      <c r="F100" s="117"/>
      <c r="G100" s="117"/>
      <c r="H100" s="118"/>
      <c r="I100" s="119"/>
    </row>
    <row r="101" spans="1:9" ht="18" x14ac:dyDescent="0.4">
      <c r="A101" s="81">
        <v>3</v>
      </c>
      <c r="B101" s="81" t="s">
        <v>206</v>
      </c>
      <c r="C101" s="81" t="s">
        <v>289</v>
      </c>
      <c r="D101" s="117">
        <v>900000</v>
      </c>
      <c r="E101" s="117"/>
      <c r="F101" s="117">
        <f>13000+887000</f>
        <v>900000</v>
      </c>
      <c r="G101" s="117">
        <f>+D101-E101-F101</f>
        <v>0</v>
      </c>
      <c r="H101" s="117"/>
      <c r="I101" s="119" t="s">
        <v>308</v>
      </c>
    </row>
    <row r="102" spans="1:9" x14ac:dyDescent="0.25">
      <c r="A102" s="81">
        <f>1+A101</f>
        <v>4</v>
      </c>
      <c r="B102" s="81" t="s">
        <v>228</v>
      </c>
      <c r="C102" s="81" t="s">
        <v>292</v>
      </c>
      <c r="D102" s="117">
        <v>1200000</v>
      </c>
      <c r="E102" s="117"/>
      <c r="F102" s="117">
        <f>20000+0</f>
        <v>20000</v>
      </c>
      <c r="G102" s="117">
        <f t="shared" ref="G102:G126" si="9">+D102-E102-F102</f>
        <v>1180000</v>
      </c>
      <c r="H102" s="117"/>
      <c r="I102" s="120"/>
    </row>
    <row r="103" spans="1:9" ht="30" x14ac:dyDescent="0.25">
      <c r="A103" s="81">
        <f t="shared" ref="A103:A128" si="10">1+A102</f>
        <v>5</v>
      </c>
      <c r="B103" s="81" t="s">
        <v>245</v>
      </c>
      <c r="C103" s="81" t="s">
        <v>242</v>
      </c>
      <c r="D103" s="117">
        <v>300000</v>
      </c>
      <c r="E103" s="117"/>
      <c r="F103" s="117">
        <f>10000+70000+157500</f>
        <v>237500</v>
      </c>
      <c r="G103" s="117">
        <f t="shared" si="9"/>
        <v>62500</v>
      </c>
      <c r="H103" s="117"/>
      <c r="I103" s="120" t="s">
        <v>309</v>
      </c>
    </row>
    <row r="104" spans="1:9" x14ac:dyDescent="0.25">
      <c r="A104" s="81">
        <f t="shared" si="10"/>
        <v>6</v>
      </c>
      <c r="B104" s="81" t="s">
        <v>243</v>
      </c>
      <c r="C104" s="81" t="s">
        <v>310</v>
      </c>
      <c r="D104" s="117">
        <v>60000</v>
      </c>
      <c r="E104" s="117">
        <v>60000</v>
      </c>
      <c r="F104" s="117">
        <v>0</v>
      </c>
      <c r="G104" s="117">
        <f t="shared" si="9"/>
        <v>0</v>
      </c>
      <c r="H104" s="117"/>
      <c r="I104" s="120"/>
    </row>
    <row r="105" spans="1:9" x14ac:dyDescent="0.25">
      <c r="A105" s="81">
        <f t="shared" si="10"/>
        <v>7</v>
      </c>
      <c r="B105" s="81" t="s">
        <v>226</v>
      </c>
      <c r="C105" s="81" t="s">
        <v>310</v>
      </c>
      <c r="D105" s="117">
        <v>60000</v>
      </c>
      <c r="E105" s="117">
        <v>60000</v>
      </c>
      <c r="F105" s="117"/>
      <c r="G105" s="117">
        <f t="shared" si="9"/>
        <v>0</v>
      </c>
      <c r="H105" s="117"/>
      <c r="I105" s="120"/>
    </row>
    <row r="106" spans="1:9" x14ac:dyDescent="0.25">
      <c r="A106" s="81">
        <f t="shared" si="10"/>
        <v>8</v>
      </c>
      <c r="B106" s="81" t="s">
        <v>216</v>
      </c>
      <c r="C106" s="81" t="s">
        <v>310</v>
      </c>
      <c r="D106" s="117">
        <v>22500</v>
      </c>
      <c r="E106" s="117">
        <v>22500</v>
      </c>
      <c r="F106" s="117"/>
      <c r="G106" s="117">
        <f t="shared" si="9"/>
        <v>0</v>
      </c>
      <c r="H106" s="117"/>
      <c r="I106" s="120" t="s">
        <v>223</v>
      </c>
    </row>
    <row r="107" spans="1:9" x14ac:dyDescent="0.25">
      <c r="A107" s="81">
        <f t="shared" si="10"/>
        <v>9</v>
      </c>
      <c r="B107" s="81" t="s">
        <v>245</v>
      </c>
      <c r="C107" s="81" t="s">
        <v>311</v>
      </c>
      <c r="D107" s="117">
        <v>150000</v>
      </c>
      <c r="E107" s="117"/>
      <c r="F107" s="117"/>
      <c r="G107" s="117">
        <f t="shared" si="9"/>
        <v>150000</v>
      </c>
      <c r="H107" s="117"/>
      <c r="I107" s="120"/>
    </row>
    <row r="108" spans="1:9" x14ac:dyDescent="0.25">
      <c r="A108" s="81">
        <f t="shared" si="10"/>
        <v>10</v>
      </c>
      <c r="B108" s="81" t="s">
        <v>206</v>
      </c>
      <c r="C108" s="81" t="s">
        <v>311</v>
      </c>
      <c r="D108" s="117">
        <v>100000</v>
      </c>
      <c r="E108" s="117"/>
      <c r="F108" s="117"/>
      <c r="G108" s="117">
        <f t="shared" si="9"/>
        <v>100000</v>
      </c>
      <c r="H108" s="117"/>
      <c r="I108" s="120"/>
    </row>
    <row r="109" spans="1:9" x14ac:dyDescent="0.25">
      <c r="A109" s="81">
        <f t="shared" si="10"/>
        <v>11</v>
      </c>
      <c r="B109" s="81" t="s">
        <v>288</v>
      </c>
      <c r="C109" s="81" t="s">
        <v>311</v>
      </c>
      <c r="D109" s="117">
        <v>138000</v>
      </c>
      <c r="E109" s="117">
        <v>86500</v>
      </c>
      <c r="F109" s="117"/>
      <c r="G109" s="117">
        <f t="shared" si="9"/>
        <v>51500</v>
      </c>
      <c r="H109" s="117"/>
      <c r="I109" s="120"/>
    </row>
    <row r="110" spans="1:9" x14ac:dyDescent="0.25">
      <c r="A110" s="81">
        <f t="shared" si="10"/>
        <v>12</v>
      </c>
      <c r="B110" s="81" t="s">
        <v>228</v>
      </c>
      <c r="C110" s="81" t="s">
        <v>296</v>
      </c>
      <c r="D110" s="117">
        <v>93000</v>
      </c>
      <c r="E110" s="117"/>
      <c r="F110" s="117"/>
      <c r="G110" s="117">
        <f t="shared" si="9"/>
        <v>93000</v>
      </c>
      <c r="H110" s="117"/>
      <c r="I110" s="120"/>
    </row>
    <row r="111" spans="1:9" x14ac:dyDescent="0.25">
      <c r="A111" s="81">
        <f t="shared" si="10"/>
        <v>13</v>
      </c>
      <c r="B111" s="81" t="s">
        <v>226</v>
      </c>
      <c r="C111" s="81" t="s">
        <v>242</v>
      </c>
      <c r="D111" s="117">
        <v>300000</v>
      </c>
      <c r="E111" s="117"/>
      <c r="F111" s="117">
        <f>11000+70000</f>
        <v>81000</v>
      </c>
      <c r="G111" s="117">
        <f t="shared" si="9"/>
        <v>219000</v>
      </c>
      <c r="H111" s="117"/>
      <c r="I111" s="120" t="s">
        <v>314</v>
      </c>
    </row>
    <row r="112" spans="1:9" x14ac:dyDescent="0.25">
      <c r="A112" s="81">
        <f t="shared" si="10"/>
        <v>14</v>
      </c>
      <c r="B112" s="81"/>
      <c r="C112" s="81" t="s">
        <v>312</v>
      </c>
      <c r="D112" s="117">
        <v>100000</v>
      </c>
      <c r="E112" s="117"/>
      <c r="F112" s="117"/>
      <c r="G112" s="117">
        <f t="shared" si="9"/>
        <v>100000</v>
      </c>
      <c r="H112" s="117"/>
      <c r="I112" s="120"/>
    </row>
    <row r="113" spans="1:9" x14ac:dyDescent="0.25">
      <c r="A113" s="81">
        <f t="shared" si="10"/>
        <v>15</v>
      </c>
      <c r="B113" s="81"/>
      <c r="C113" s="81" t="s">
        <v>253</v>
      </c>
      <c r="D113" s="117">
        <v>6000</v>
      </c>
      <c r="E113" s="117"/>
      <c r="F113" s="117"/>
      <c r="G113" s="117">
        <f t="shared" si="9"/>
        <v>6000</v>
      </c>
      <c r="H113" s="117"/>
      <c r="I113" s="120"/>
    </row>
    <row r="114" spans="1:9" x14ac:dyDescent="0.25">
      <c r="A114" s="81">
        <f t="shared" si="10"/>
        <v>16</v>
      </c>
      <c r="B114" s="81" t="s">
        <v>96</v>
      </c>
      <c r="C114" s="81" t="s">
        <v>282</v>
      </c>
      <c r="D114" s="117">
        <v>300000</v>
      </c>
      <c r="E114" s="117"/>
      <c r="F114" s="117">
        <f>12000+113000</f>
        <v>125000</v>
      </c>
      <c r="G114" s="117">
        <f t="shared" si="9"/>
        <v>175000</v>
      </c>
      <c r="H114" s="117" t="s">
        <v>206</v>
      </c>
      <c r="I114" s="120"/>
    </row>
    <row r="115" spans="1:9" x14ac:dyDescent="0.25">
      <c r="A115" s="81">
        <f t="shared" si="10"/>
        <v>17</v>
      </c>
      <c r="B115" s="81" t="s">
        <v>107</v>
      </c>
      <c r="C115" s="81" t="s">
        <v>282</v>
      </c>
      <c r="D115" s="117">
        <v>1000000</v>
      </c>
      <c r="E115" s="117"/>
      <c r="F115" s="117">
        <f>60000+0</f>
        <v>60000</v>
      </c>
      <c r="G115" s="117">
        <f t="shared" si="9"/>
        <v>940000</v>
      </c>
      <c r="H115" s="117" t="s">
        <v>264</v>
      </c>
      <c r="I115" s="120"/>
    </row>
    <row r="116" spans="1:9" x14ac:dyDescent="0.25">
      <c r="A116" s="81">
        <f t="shared" si="10"/>
        <v>18</v>
      </c>
      <c r="B116" s="81" t="s">
        <v>288</v>
      </c>
      <c r="C116" s="81" t="s">
        <v>282</v>
      </c>
      <c r="D116" s="117">
        <v>700000</v>
      </c>
      <c r="E116" s="117"/>
      <c r="F116" s="117">
        <f>42000+200000</f>
        <v>242000</v>
      </c>
      <c r="G116" s="117">
        <f t="shared" si="9"/>
        <v>458000</v>
      </c>
      <c r="H116" s="117" t="s">
        <v>264</v>
      </c>
      <c r="I116" s="120"/>
    </row>
    <row r="117" spans="1:9" x14ac:dyDescent="0.25">
      <c r="A117" s="81">
        <f t="shared" si="10"/>
        <v>19</v>
      </c>
      <c r="B117" s="81" t="s">
        <v>245</v>
      </c>
      <c r="C117" s="81" t="s">
        <v>282</v>
      </c>
      <c r="D117" s="117">
        <v>1000000</v>
      </c>
      <c r="E117" s="117"/>
      <c r="F117" s="117">
        <f>80000+0</f>
        <v>80000</v>
      </c>
      <c r="G117" s="117">
        <f t="shared" si="9"/>
        <v>920000</v>
      </c>
      <c r="H117" s="117"/>
      <c r="I117" s="120"/>
    </row>
    <row r="118" spans="1:9" x14ac:dyDescent="0.25">
      <c r="A118" s="81">
        <f t="shared" si="10"/>
        <v>20</v>
      </c>
      <c r="B118" s="81" t="s">
        <v>39</v>
      </c>
      <c r="C118" s="81" t="s">
        <v>282</v>
      </c>
      <c r="D118" s="117">
        <v>500000</v>
      </c>
      <c r="E118" s="117"/>
      <c r="F118" s="117">
        <v>10000</v>
      </c>
      <c r="G118" s="117">
        <f t="shared" si="9"/>
        <v>490000</v>
      </c>
      <c r="H118" s="117" t="s">
        <v>264</v>
      </c>
      <c r="I118" s="120"/>
    </row>
    <row r="119" spans="1:9" x14ac:dyDescent="0.25">
      <c r="A119" s="81">
        <f t="shared" si="10"/>
        <v>21</v>
      </c>
      <c r="B119" s="81"/>
      <c r="C119" s="81"/>
      <c r="D119" s="117"/>
      <c r="E119" s="117"/>
      <c r="F119" s="117"/>
      <c r="G119" s="117">
        <f t="shared" si="9"/>
        <v>0</v>
      </c>
      <c r="H119" s="117"/>
      <c r="I119" s="120"/>
    </row>
    <row r="120" spans="1:9" x14ac:dyDescent="0.25">
      <c r="A120" s="81">
        <f t="shared" si="10"/>
        <v>22</v>
      </c>
      <c r="B120" s="81"/>
      <c r="C120" s="81"/>
      <c r="D120" s="117"/>
      <c r="E120" s="117"/>
      <c r="F120" s="117"/>
      <c r="G120" s="117">
        <f t="shared" si="9"/>
        <v>0</v>
      </c>
      <c r="H120" s="117"/>
      <c r="I120" s="120"/>
    </row>
    <row r="121" spans="1:9" x14ac:dyDescent="0.25">
      <c r="A121" s="81">
        <f t="shared" si="10"/>
        <v>23</v>
      </c>
      <c r="B121" s="81"/>
      <c r="C121" s="81"/>
      <c r="D121" s="117"/>
      <c r="E121" s="117"/>
      <c r="F121" s="117"/>
      <c r="G121" s="117">
        <f t="shared" si="9"/>
        <v>0</v>
      </c>
      <c r="H121" s="117"/>
      <c r="I121" s="120"/>
    </row>
    <row r="122" spans="1:9" x14ac:dyDescent="0.25">
      <c r="A122" s="81">
        <f t="shared" si="10"/>
        <v>24</v>
      </c>
      <c r="B122" s="81"/>
      <c r="C122" s="81"/>
      <c r="D122" s="117"/>
      <c r="E122" s="117"/>
      <c r="F122" s="117"/>
      <c r="G122" s="117">
        <f t="shared" si="9"/>
        <v>0</v>
      </c>
      <c r="H122" s="117"/>
      <c r="I122" s="120"/>
    </row>
    <row r="123" spans="1:9" x14ac:dyDescent="0.25">
      <c r="A123" s="81">
        <f t="shared" si="10"/>
        <v>25</v>
      </c>
      <c r="B123" s="81"/>
      <c r="C123" s="81"/>
      <c r="D123" s="117"/>
      <c r="E123" s="117"/>
      <c r="F123" s="117"/>
      <c r="G123" s="117">
        <f t="shared" si="9"/>
        <v>0</v>
      </c>
      <c r="H123" s="117"/>
      <c r="I123" s="120"/>
    </row>
    <row r="124" spans="1:9" x14ac:dyDescent="0.25">
      <c r="A124" s="81">
        <f t="shared" si="10"/>
        <v>26</v>
      </c>
      <c r="B124" s="81"/>
      <c r="C124" s="81"/>
      <c r="D124" s="117"/>
      <c r="E124" s="117"/>
      <c r="F124" s="117"/>
      <c r="G124" s="117">
        <f t="shared" si="9"/>
        <v>0</v>
      </c>
      <c r="H124" s="117"/>
      <c r="I124" s="120"/>
    </row>
    <row r="125" spans="1:9" x14ac:dyDescent="0.25">
      <c r="A125" s="81">
        <f t="shared" si="10"/>
        <v>27</v>
      </c>
      <c r="B125" s="81"/>
      <c r="C125" s="81"/>
      <c r="D125" s="117"/>
      <c r="E125" s="117"/>
      <c r="F125" s="117"/>
      <c r="G125" s="117">
        <f t="shared" si="9"/>
        <v>0</v>
      </c>
      <c r="H125" s="117"/>
      <c r="I125" s="120"/>
    </row>
    <row r="126" spans="1:9" x14ac:dyDescent="0.25">
      <c r="A126" s="81">
        <f t="shared" si="10"/>
        <v>28</v>
      </c>
      <c r="B126" s="81"/>
      <c r="C126" s="81"/>
      <c r="D126" s="117"/>
      <c r="E126" s="117"/>
      <c r="F126" s="117"/>
      <c r="G126" s="117">
        <f t="shared" si="9"/>
        <v>0</v>
      </c>
      <c r="H126" s="117"/>
      <c r="I126" s="120"/>
    </row>
    <row r="127" spans="1:9" x14ac:dyDescent="0.25">
      <c r="A127" s="81">
        <f>1+A126</f>
        <v>29</v>
      </c>
      <c r="B127" s="81"/>
      <c r="C127" s="81"/>
      <c r="D127" s="117"/>
      <c r="E127" s="117"/>
      <c r="F127" s="117"/>
      <c r="G127" s="117"/>
      <c r="H127" s="117"/>
      <c r="I127" s="120"/>
    </row>
    <row r="128" spans="1:9" x14ac:dyDescent="0.25">
      <c r="A128" s="81">
        <f t="shared" si="10"/>
        <v>30</v>
      </c>
      <c r="B128" s="81"/>
      <c r="C128" s="81"/>
      <c r="D128" s="117">
        <f>SUM(D99:D127)</f>
        <v>6929500</v>
      </c>
      <c r="E128" s="117">
        <f t="shared" ref="E128:G128" si="11">SUM(E99:E127)</f>
        <v>229000</v>
      </c>
      <c r="F128" s="117">
        <f t="shared" si="11"/>
        <v>1755500</v>
      </c>
      <c r="G128" s="117">
        <f t="shared" si="11"/>
        <v>4945000</v>
      </c>
      <c r="H128" s="117" t="e">
        <f>+H99+#REF!-F128-G128</f>
        <v>#REF!</v>
      </c>
      <c r="I128" s="120"/>
    </row>
    <row r="129" spans="1:9" ht="18.75" x14ac:dyDescent="0.3">
      <c r="A129" s="16"/>
      <c r="B129" s="292" t="s">
        <v>148</v>
      </c>
      <c r="C129" s="292"/>
      <c r="D129" s="292"/>
      <c r="E129" s="292"/>
      <c r="F129" s="292"/>
      <c r="G129" s="292"/>
      <c r="H129" s="292"/>
      <c r="I129" s="292"/>
    </row>
    <row r="130" spans="1:9" ht="30" x14ac:dyDescent="0.25">
      <c r="A130" s="81"/>
      <c r="B130" s="116" t="s">
        <v>56</v>
      </c>
      <c r="C130" s="116" t="s">
        <v>131</v>
      </c>
      <c r="D130" s="116" t="s">
        <v>132</v>
      </c>
      <c r="E130" s="116" t="s">
        <v>133</v>
      </c>
      <c r="F130" s="116" t="s">
        <v>134</v>
      </c>
      <c r="G130" s="116" t="s">
        <v>135</v>
      </c>
      <c r="H130" s="116" t="s">
        <v>144</v>
      </c>
      <c r="I130" s="116" t="s">
        <v>137</v>
      </c>
    </row>
    <row r="131" spans="1:9" ht="18" x14ac:dyDescent="0.4">
      <c r="A131" s="81"/>
      <c r="B131" s="81"/>
      <c r="C131" s="81"/>
      <c r="D131" s="117"/>
      <c r="E131" s="117"/>
      <c r="F131" s="117"/>
      <c r="G131" s="117"/>
      <c r="H131" s="118">
        <v>5735974</v>
      </c>
      <c r="I131" s="119"/>
    </row>
    <row r="132" spans="1:9" ht="18" x14ac:dyDescent="0.4">
      <c r="A132" s="81"/>
      <c r="B132" s="81"/>
      <c r="C132" s="81" t="s">
        <v>138</v>
      </c>
      <c r="D132" s="117"/>
      <c r="E132" s="117"/>
      <c r="F132" s="117"/>
      <c r="G132" s="117"/>
      <c r="H132" s="118"/>
      <c r="I132" s="119"/>
    </row>
    <row r="133" spans="1:9" x14ac:dyDescent="0.25">
      <c r="A133" s="81">
        <v>1</v>
      </c>
      <c r="B133" s="81" t="s">
        <v>216</v>
      </c>
      <c r="C133" s="81" t="s">
        <v>313</v>
      </c>
      <c r="D133" s="117">
        <v>690000</v>
      </c>
      <c r="E133" s="117"/>
      <c r="F133" s="117"/>
      <c r="G133" s="117">
        <f t="shared" ref="G133:G152" si="12">+D133-E133-F133</f>
        <v>690000</v>
      </c>
      <c r="H133" s="117"/>
      <c r="I133" s="120"/>
    </row>
    <row r="134" spans="1:9" x14ac:dyDescent="0.25">
      <c r="A134" s="81">
        <f>1+A133</f>
        <v>2</v>
      </c>
      <c r="B134" s="81" t="s">
        <v>245</v>
      </c>
      <c r="C134" s="81" t="s">
        <v>333</v>
      </c>
      <c r="D134" s="117">
        <v>29500</v>
      </c>
      <c r="E134" s="117"/>
      <c r="F134" s="117"/>
      <c r="G134" s="117">
        <f t="shared" si="12"/>
        <v>29500</v>
      </c>
      <c r="H134" s="117"/>
      <c r="I134" s="120"/>
    </row>
    <row r="135" spans="1:9" x14ac:dyDescent="0.25">
      <c r="A135" s="81">
        <f t="shared" ref="A135:A159" si="13">1+A134</f>
        <v>3</v>
      </c>
      <c r="B135" s="81" t="s">
        <v>245</v>
      </c>
      <c r="C135" s="81" t="s">
        <v>330</v>
      </c>
      <c r="D135" s="117">
        <v>100000</v>
      </c>
      <c r="E135" s="117">
        <v>50000</v>
      </c>
      <c r="F135" s="117"/>
      <c r="G135" s="117">
        <f t="shared" si="12"/>
        <v>50000</v>
      </c>
      <c r="H135" s="117"/>
      <c r="I135" s="120"/>
    </row>
    <row r="136" spans="1:9" x14ac:dyDescent="0.25">
      <c r="A136" s="81">
        <f t="shared" si="13"/>
        <v>4</v>
      </c>
      <c r="B136" s="81" t="s">
        <v>325</v>
      </c>
      <c r="C136" s="81" t="s">
        <v>326</v>
      </c>
      <c r="D136" s="117">
        <v>100000</v>
      </c>
      <c r="E136" s="117"/>
      <c r="F136" s="117"/>
      <c r="G136" s="117">
        <f t="shared" si="12"/>
        <v>100000</v>
      </c>
      <c r="H136" s="117"/>
      <c r="I136" s="120"/>
    </row>
    <row r="137" spans="1:9" x14ac:dyDescent="0.25">
      <c r="A137" s="81">
        <f t="shared" si="13"/>
        <v>5</v>
      </c>
      <c r="B137" s="81" t="s">
        <v>325</v>
      </c>
      <c r="C137" s="81" t="s">
        <v>289</v>
      </c>
      <c r="D137" s="117">
        <v>900000</v>
      </c>
      <c r="E137" s="117"/>
      <c r="F137" s="117">
        <f>10000+70000</f>
        <v>80000</v>
      </c>
      <c r="G137" s="117">
        <f t="shared" si="12"/>
        <v>820000</v>
      </c>
      <c r="H137" s="117"/>
      <c r="I137" s="120"/>
    </row>
    <row r="138" spans="1:9" x14ac:dyDescent="0.25">
      <c r="A138" s="81">
        <f t="shared" si="13"/>
        <v>6</v>
      </c>
      <c r="B138" s="81" t="s">
        <v>325</v>
      </c>
      <c r="C138" s="81" t="s">
        <v>330</v>
      </c>
      <c r="D138" s="117">
        <v>38000</v>
      </c>
      <c r="E138" s="117">
        <v>23000</v>
      </c>
      <c r="F138" s="117"/>
      <c r="G138" s="117">
        <f t="shared" si="12"/>
        <v>15000</v>
      </c>
      <c r="H138" s="117"/>
      <c r="I138" s="120"/>
    </row>
    <row r="139" spans="1:9" x14ac:dyDescent="0.25">
      <c r="A139" s="81">
        <f t="shared" si="13"/>
        <v>7</v>
      </c>
      <c r="B139" s="81" t="s">
        <v>325</v>
      </c>
      <c r="C139" s="81" t="s">
        <v>329</v>
      </c>
      <c r="D139" s="117">
        <v>200000</v>
      </c>
      <c r="E139" s="117"/>
      <c r="F139" s="117"/>
      <c r="G139" s="117">
        <f t="shared" si="12"/>
        <v>200000</v>
      </c>
      <c r="H139" s="117"/>
      <c r="I139" s="120"/>
    </row>
    <row r="140" spans="1:9" x14ac:dyDescent="0.25">
      <c r="A140" s="81">
        <f t="shared" si="13"/>
        <v>8</v>
      </c>
      <c r="B140" s="81" t="s">
        <v>275</v>
      </c>
      <c r="C140" s="81" t="s">
        <v>242</v>
      </c>
      <c r="D140" s="117">
        <v>300000</v>
      </c>
      <c r="E140" s="117"/>
      <c r="F140" s="117">
        <f>70000+2500</f>
        <v>72500</v>
      </c>
      <c r="G140" s="117">
        <f t="shared" si="12"/>
        <v>227500</v>
      </c>
      <c r="H140" s="117"/>
      <c r="I140" s="120"/>
    </row>
    <row r="141" spans="1:9" x14ac:dyDescent="0.25">
      <c r="A141" s="81">
        <f t="shared" si="13"/>
        <v>9</v>
      </c>
      <c r="B141" s="81" t="s">
        <v>96</v>
      </c>
      <c r="C141" s="81" t="s">
        <v>328</v>
      </c>
      <c r="D141" s="117">
        <v>300000</v>
      </c>
      <c r="E141" s="117"/>
      <c r="F141" s="117">
        <f>3000+70000</f>
        <v>73000</v>
      </c>
      <c r="G141" s="117">
        <f t="shared" si="12"/>
        <v>227000</v>
      </c>
      <c r="H141" s="117"/>
      <c r="I141" s="120"/>
    </row>
    <row r="142" spans="1:9" x14ac:dyDescent="0.25">
      <c r="A142" s="81">
        <f t="shared" si="13"/>
        <v>10</v>
      </c>
      <c r="B142" s="81" t="s">
        <v>252</v>
      </c>
      <c r="C142" s="81" t="s">
        <v>329</v>
      </c>
      <c r="D142" s="117">
        <v>200000</v>
      </c>
      <c r="E142" s="117">
        <v>200000</v>
      </c>
      <c r="F142" s="117"/>
      <c r="G142" s="117">
        <f t="shared" si="12"/>
        <v>0</v>
      </c>
      <c r="H142" s="117"/>
      <c r="I142" s="120"/>
    </row>
    <row r="143" spans="1:9" x14ac:dyDescent="0.25">
      <c r="A143" s="81">
        <f t="shared" si="13"/>
        <v>11</v>
      </c>
      <c r="B143" s="81" t="s">
        <v>252</v>
      </c>
      <c r="C143" s="81" t="s">
        <v>253</v>
      </c>
      <c r="D143" s="117">
        <v>9000</v>
      </c>
      <c r="E143" s="117">
        <v>3000</v>
      </c>
      <c r="F143" s="117"/>
      <c r="G143" s="117">
        <f t="shared" si="12"/>
        <v>6000</v>
      </c>
      <c r="H143" s="117"/>
      <c r="I143" s="120"/>
    </row>
    <row r="144" spans="1:9" x14ac:dyDescent="0.25">
      <c r="A144" s="81">
        <f t="shared" si="13"/>
        <v>12</v>
      </c>
      <c r="B144" s="81" t="s">
        <v>38</v>
      </c>
      <c r="C144" s="81" t="s">
        <v>327</v>
      </c>
      <c r="D144" s="117">
        <v>300000</v>
      </c>
      <c r="E144" s="117"/>
      <c r="F144" s="117">
        <f>70000+3000</f>
        <v>73000</v>
      </c>
      <c r="G144" s="117">
        <f t="shared" si="12"/>
        <v>227000</v>
      </c>
      <c r="H144" s="117"/>
      <c r="I144" s="120"/>
    </row>
    <row r="145" spans="1:9" x14ac:dyDescent="0.25">
      <c r="A145" s="81">
        <f t="shared" si="13"/>
        <v>13</v>
      </c>
      <c r="B145" s="81" t="s">
        <v>228</v>
      </c>
      <c r="C145" s="81" t="s">
        <v>289</v>
      </c>
      <c r="D145" s="117">
        <v>900000</v>
      </c>
      <c r="E145" s="117"/>
      <c r="F145" s="117">
        <f>15000+27000+2000+20000</f>
        <v>64000</v>
      </c>
      <c r="G145" s="117">
        <f t="shared" si="12"/>
        <v>836000</v>
      </c>
      <c r="H145" s="117"/>
      <c r="I145" s="120"/>
    </row>
    <row r="146" spans="1:9" x14ac:dyDescent="0.25">
      <c r="A146" s="81">
        <f t="shared" si="13"/>
        <v>14</v>
      </c>
      <c r="B146" s="81" t="s">
        <v>228</v>
      </c>
      <c r="C146" s="81" t="s">
        <v>324</v>
      </c>
      <c r="D146" s="117">
        <v>100000</v>
      </c>
      <c r="E146" s="117"/>
      <c r="F146" s="117"/>
      <c r="G146" s="117">
        <f t="shared" si="12"/>
        <v>100000</v>
      </c>
      <c r="H146" s="117"/>
      <c r="I146" s="120"/>
    </row>
    <row r="147" spans="1:9" x14ac:dyDescent="0.25">
      <c r="A147" s="81">
        <f t="shared" si="13"/>
        <v>15</v>
      </c>
      <c r="B147" s="81" t="s">
        <v>243</v>
      </c>
      <c r="C147" s="81" t="s">
        <v>331</v>
      </c>
      <c r="D147" s="117">
        <v>1000000</v>
      </c>
      <c r="E147" s="117"/>
      <c r="F147" s="117">
        <f>30000+970000</f>
        <v>1000000</v>
      </c>
      <c r="G147" s="117">
        <f t="shared" si="12"/>
        <v>0</v>
      </c>
      <c r="H147" s="117"/>
      <c r="I147" s="120"/>
    </row>
    <row r="148" spans="1:9" x14ac:dyDescent="0.25">
      <c r="A148" s="81">
        <f t="shared" si="13"/>
        <v>16</v>
      </c>
      <c r="B148" s="81" t="s">
        <v>243</v>
      </c>
      <c r="C148" s="81" t="s">
        <v>332</v>
      </c>
      <c r="D148" s="117">
        <v>100000</v>
      </c>
      <c r="E148" s="117"/>
      <c r="F148" s="117">
        <v>30000</v>
      </c>
      <c r="G148" s="117">
        <f t="shared" si="12"/>
        <v>70000</v>
      </c>
      <c r="H148" s="117"/>
      <c r="I148" s="120" t="s">
        <v>334</v>
      </c>
    </row>
    <row r="149" spans="1:9" x14ac:dyDescent="0.25">
      <c r="A149" s="81">
        <f t="shared" si="13"/>
        <v>17</v>
      </c>
      <c r="B149" s="81" t="s">
        <v>320</v>
      </c>
      <c r="C149" s="81" t="s">
        <v>323</v>
      </c>
      <c r="D149" s="117">
        <v>1200000</v>
      </c>
      <c r="E149" s="117"/>
      <c r="F149" s="117">
        <f>10000+0</f>
        <v>10000</v>
      </c>
      <c r="G149" s="117">
        <f t="shared" si="12"/>
        <v>1190000</v>
      </c>
      <c r="H149" s="117"/>
      <c r="I149" s="120"/>
    </row>
    <row r="150" spans="1:9" x14ac:dyDescent="0.25">
      <c r="A150" s="81">
        <f t="shared" si="13"/>
        <v>18</v>
      </c>
      <c r="B150" s="81" t="s">
        <v>288</v>
      </c>
      <c r="C150" s="81" t="s">
        <v>330</v>
      </c>
      <c r="D150" s="117">
        <v>100000</v>
      </c>
      <c r="E150" s="117">
        <v>100000</v>
      </c>
      <c r="F150" s="117"/>
      <c r="G150" s="117">
        <f t="shared" si="12"/>
        <v>0</v>
      </c>
      <c r="H150" s="117"/>
      <c r="I150" s="120"/>
    </row>
    <row r="151" spans="1:9" x14ac:dyDescent="0.25">
      <c r="A151" s="81">
        <f t="shared" si="13"/>
        <v>19</v>
      </c>
      <c r="B151" s="81" t="s">
        <v>228</v>
      </c>
      <c r="C151" s="81" t="s">
        <v>330</v>
      </c>
      <c r="D151" s="117">
        <v>50000</v>
      </c>
      <c r="E151" s="117">
        <v>50000</v>
      </c>
      <c r="F151" s="117"/>
      <c r="G151" s="117">
        <f t="shared" si="12"/>
        <v>0</v>
      </c>
      <c r="H151" s="117"/>
      <c r="I151" s="120"/>
    </row>
    <row r="152" spans="1:9" x14ac:dyDescent="0.25">
      <c r="A152" s="81">
        <f t="shared" si="13"/>
        <v>20</v>
      </c>
      <c r="B152" s="81"/>
      <c r="C152" s="81"/>
      <c r="D152" s="117"/>
      <c r="E152" s="117"/>
      <c r="F152" s="117"/>
      <c r="G152" s="117">
        <f t="shared" si="12"/>
        <v>0</v>
      </c>
      <c r="H152" s="117"/>
      <c r="I152" s="120"/>
    </row>
    <row r="153" spans="1:9" x14ac:dyDescent="0.25">
      <c r="A153" s="81">
        <f t="shared" si="13"/>
        <v>21</v>
      </c>
      <c r="B153" s="81"/>
      <c r="C153" s="81"/>
      <c r="D153" s="117"/>
      <c r="E153" s="117"/>
      <c r="F153" s="117"/>
      <c r="G153" s="117">
        <f t="shared" ref="G153:G158" si="14">+D153-E153-F153</f>
        <v>0</v>
      </c>
      <c r="H153" s="117"/>
      <c r="I153" s="120"/>
    </row>
    <row r="154" spans="1:9" x14ac:dyDescent="0.25">
      <c r="A154" s="81">
        <f t="shared" si="13"/>
        <v>22</v>
      </c>
      <c r="B154" s="81"/>
      <c r="C154" s="81"/>
      <c r="D154" s="117"/>
      <c r="E154" s="117"/>
      <c r="F154" s="117"/>
      <c r="G154" s="117">
        <f t="shared" si="14"/>
        <v>0</v>
      </c>
      <c r="H154" s="117"/>
      <c r="I154" s="120"/>
    </row>
    <row r="155" spans="1:9" x14ac:dyDescent="0.25">
      <c r="A155" s="81">
        <f t="shared" si="13"/>
        <v>23</v>
      </c>
      <c r="B155" s="81"/>
      <c r="C155" s="81"/>
      <c r="D155" s="117"/>
      <c r="E155" s="117"/>
      <c r="F155" s="117"/>
      <c r="G155" s="117">
        <f t="shared" si="14"/>
        <v>0</v>
      </c>
      <c r="H155" s="117"/>
      <c r="I155" s="120"/>
    </row>
    <row r="156" spans="1:9" x14ac:dyDescent="0.25">
      <c r="A156" s="81">
        <f t="shared" si="13"/>
        <v>24</v>
      </c>
      <c r="B156" s="81"/>
      <c r="C156" s="81"/>
      <c r="D156" s="117"/>
      <c r="E156" s="117"/>
      <c r="F156" s="117"/>
      <c r="G156" s="117">
        <f t="shared" si="14"/>
        <v>0</v>
      </c>
      <c r="H156" s="117"/>
      <c r="I156" s="120"/>
    </row>
    <row r="157" spans="1:9" x14ac:dyDescent="0.25">
      <c r="A157" s="81">
        <f t="shared" si="13"/>
        <v>25</v>
      </c>
      <c r="B157" s="81"/>
      <c r="C157" s="81"/>
      <c r="D157" s="117"/>
      <c r="E157" s="117"/>
      <c r="F157" s="117"/>
      <c r="G157" s="117">
        <f t="shared" si="14"/>
        <v>0</v>
      </c>
      <c r="H157" s="117"/>
      <c r="I157" s="120"/>
    </row>
    <row r="158" spans="1:9" x14ac:dyDescent="0.25">
      <c r="A158" s="81">
        <f>1+A157</f>
        <v>26</v>
      </c>
      <c r="B158" s="81"/>
      <c r="C158" s="81"/>
      <c r="D158" s="117"/>
      <c r="E158" s="117"/>
      <c r="F158" s="117"/>
      <c r="G158" s="117">
        <f t="shared" si="14"/>
        <v>0</v>
      </c>
      <c r="H158" s="117"/>
      <c r="I158" s="120"/>
    </row>
    <row r="159" spans="1:9" x14ac:dyDescent="0.25">
      <c r="A159" s="81">
        <f t="shared" si="13"/>
        <v>27</v>
      </c>
      <c r="B159" s="81"/>
      <c r="C159" s="81"/>
      <c r="D159" s="117">
        <f>SUM(D131:D158)</f>
        <v>6616500</v>
      </c>
      <c r="E159" s="117">
        <f>SUM(E131:E158)</f>
        <v>426000</v>
      </c>
      <c r="F159" s="117">
        <f>SUM(F131:F158)</f>
        <v>1402500</v>
      </c>
      <c r="G159" s="117">
        <f>SUM(G131:G158)</f>
        <v>4788000</v>
      </c>
      <c r="H159" s="117" t="e">
        <f>+H131+#REF!-F159-G159</f>
        <v>#REF!</v>
      </c>
      <c r="I159" s="120"/>
    </row>
    <row r="160" spans="1:9" ht="18.75" x14ac:dyDescent="0.3">
      <c r="A160" s="176"/>
      <c r="B160" s="293" t="s">
        <v>149</v>
      </c>
      <c r="C160" s="293"/>
      <c r="D160" s="293"/>
      <c r="E160" s="293"/>
      <c r="F160" s="293"/>
      <c r="G160" s="293"/>
      <c r="H160" s="293"/>
      <c r="I160" s="293"/>
    </row>
    <row r="161" spans="1:9" ht="30" x14ac:dyDescent="0.25">
      <c r="A161" s="74"/>
      <c r="B161" s="186" t="s">
        <v>56</v>
      </c>
      <c r="C161" s="186" t="s">
        <v>131</v>
      </c>
      <c r="D161" s="186" t="s">
        <v>132</v>
      </c>
      <c r="E161" s="186" t="s">
        <v>133</v>
      </c>
      <c r="F161" s="186" t="s">
        <v>134</v>
      </c>
      <c r="G161" s="186" t="s">
        <v>135</v>
      </c>
      <c r="H161" s="186" t="s">
        <v>144</v>
      </c>
      <c r="I161" s="186" t="s">
        <v>137</v>
      </c>
    </row>
    <row r="162" spans="1:9" ht="18" x14ac:dyDescent="0.4">
      <c r="A162" s="74"/>
      <c r="B162" s="74"/>
      <c r="C162" s="74"/>
      <c r="D162" s="121"/>
      <c r="E162" s="121"/>
      <c r="F162" s="121"/>
      <c r="G162" s="121"/>
      <c r="H162" s="187">
        <v>5735974</v>
      </c>
      <c r="I162" s="188"/>
    </row>
    <row r="163" spans="1:9" ht="18" x14ac:dyDescent="0.4">
      <c r="A163" s="74"/>
      <c r="B163" s="74"/>
      <c r="C163" s="74" t="s">
        <v>138</v>
      </c>
      <c r="D163" s="121"/>
      <c r="E163" s="121"/>
      <c r="F163" s="121"/>
      <c r="G163" s="121"/>
      <c r="H163" s="187"/>
      <c r="I163" s="188"/>
    </row>
    <row r="164" spans="1:9" x14ac:dyDescent="0.25">
      <c r="A164" s="74">
        <v>4</v>
      </c>
      <c r="B164" s="74" t="s">
        <v>107</v>
      </c>
      <c r="C164" s="74" t="s">
        <v>289</v>
      </c>
      <c r="D164" s="121">
        <v>900000</v>
      </c>
      <c r="E164" s="121"/>
      <c r="F164" s="121">
        <f>7500+0</f>
        <v>7500</v>
      </c>
      <c r="G164" s="121">
        <f>+D164-E164-F164</f>
        <v>892500</v>
      </c>
      <c r="H164" s="121"/>
      <c r="I164" s="189"/>
    </row>
    <row r="165" spans="1:9" x14ac:dyDescent="0.25">
      <c r="A165" s="74">
        <f>1+A164</f>
        <v>5</v>
      </c>
      <c r="B165" s="74" t="s">
        <v>245</v>
      </c>
      <c r="C165" s="74" t="s">
        <v>365</v>
      </c>
      <c r="D165" s="121">
        <v>100000</v>
      </c>
      <c r="E165" s="121">
        <v>50000</v>
      </c>
      <c r="F165" s="121"/>
      <c r="G165" s="121">
        <f t="shared" ref="G165:G188" si="15">+D165-E165-F165</f>
        <v>50000</v>
      </c>
      <c r="H165" s="121"/>
      <c r="I165" s="189"/>
    </row>
    <row r="166" spans="1:9" x14ac:dyDescent="0.25">
      <c r="A166" s="74">
        <f t="shared" ref="A166:A191" si="16">1+A165</f>
        <v>6</v>
      </c>
      <c r="B166" s="74" t="s">
        <v>207</v>
      </c>
      <c r="C166" s="74" t="s">
        <v>311</v>
      </c>
      <c r="D166" s="121">
        <v>100000</v>
      </c>
      <c r="E166" s="121">
        <v>9000</v>
      </c>
      <c r="F166" s="121"/>
      <c r="G166" s="121">
        <f t="shared" si="15"/>
        <v>91000</v>
      </c>
      <c r="H166" s="121"/>
      <c r="I166" s="189"/>
    </row>
    <row r="167" spans="1:9" x14ac:dyDescent="0.25">
      <c r="A167" s="74">
        <f t="shared" si="16"/>
        <v>7</v>
      </c>
      <c r="B167" s="74" t="s">
        <v>288</v>
      </c>
      <c r="C167" s="74" t="s">
        <v>365</v>
      </c>
      <c r="D167" s="121">
        <v>100000</v>
      </c>
      <c r="E167" s="121"/>
      <c r="F167" s="121"/>
      <c r="G167" s="121">
        <f t="shared" si="15"/>
        <v>100000</v>
      </c>
      <c r="H167" s="121"/>
      <c r="I167" s="189"/>
    </row>
    <row r="168" spans="1:9" x14ac:dyDescent="0.25">
      <c r="A168" s="74">
        <f t="shared" si="16"/>
        <v>8</v>
      </c>
      <c r="B168" s="74" t="s">
        <v>228</v>
      </c>
      <c r="C168" s="74" t="s">
        <v>365</v>
      </c>
      <c r="D168" s="121">
        <v>100000</v>
      </c>
      <c r="E168" s="121"/>
      <c r="F168" s="121"/>
      <c r="G168" s="121">
        <f t="shared" si="15"/>
        <v>100000</v>
      </c>
      <c r="H168" s="121"/>
      <c r="I168" s="189"/>
    </row>
    <row r="169" spans="1:9" x14ac:dyDescent="0.25">
      <c r="A169" s="74">
        <f t="shared" si="16"/>
        <v>9</v>
      </c>
      <c r="B169" s="74" t="s">
        <v>252</v>
      </c>
      <c r="C169" s="74" t="s">
        <v>323</v>
      </c>
      <c r="D169" s="121">
        <v>1200000</v>
      </c>
      <c r="E169" s="121"/>
      <c r="F169" s="121">
        <f>10000+0</f>
        <v>10000</v>
      </c>
      <c r="G169" s="121">
        <f t="shared" si="15"/>
        <v>1190000</v>
      </c>
      <c r="H169" s="121"/>
      <c r="I169" s="189"/>
    </row>
    <row r="170" spans="1:9" x14ac:dyDescent="0.25">
      <c r="A170" s="74">
        <f t="shared" si="16"/>
        <v>10</v>
      </c>
      <c r="B170" s="74" t="s">
        <v>107</v>
      </c>
      <c r="C170" s="74" t="s">
        <v>323</v>
      </c>
      <c r="D170" s="121">
        <v>1200000</v>
      </c>
      <c r="E170" s="121"/>
      <c r="F170" s="121">
        <f>10000+0</f>
        <v>10000</v>
      </c>
      <c r="G170" s="121">
        <f t="shared" si="15"/>
        <v>1190000</v>
      </c>
      <c r="H170" s="121"/>
      <c r="I170" s="189"/>
    </row>
    <row r="171" spans="1:9" x14ac:dyDescent="0.25">
      <c r="A171" s="74">
        <f t="shared" si="16"/>
        <v>11</v>
      </c>
      <c r="B171" s="74" t="s">
        <v>216</v>
      </c>
      <c r="C171" s="74" t="s">
        <v>296</v>
      </c>
      <c r="D171" s="121">
        <v>184000</v>
      </c>
      <c r="E171" s="121"/>
      <c r="F171" s="121"/>
      <c r="G171" s="121">
        <f t="shared" si="15"/>
        <v>184000</v>
      </c>
      <c r="H171" s="121"/>
      <c r="I171" s="189"/>
    </row>
    <row r="172" spans="1:9" x14ac:dyDescent="0.25">
      <c r="A172" s="74">
        <f t="shared" si="16"/>
        <v>12</v>
      </c>
      <c r="B172" s="74" t="s">
        <v>207</v>
      </c>
      <c r="C172" s="74" t="s">
        <v>296</v>
      </c>
      <c r="D172" s="121">
        <v>200000</v>
      </c>
      <c r="E172" s="121"/>
      <c r="F172" s="121"/>
      <c r="G172" s="121">
        <f t="shared" si="15"/>
        <v>200000</v>
      </c>
      <c r="H172" s="121"/>
      <c r="I172" s="189"/>
    </row>
    <row r="173" spans="1:9" x14ac:dyDescent="0.25">
      <c r="A173" s="74">
        <f t="shared" si="16"/>
        <v>13</v>
      </c>
      <c r="B173" s="74" t="s">
        <v>252</v>
      </c>
      <c r="C173" s="74" t="s">
        <v>296</v>
      </c>
      <c r="D173" s="121">
        <v>200000</v>
      </c>
      <c r="E173" s="121"/>
      <c r="F173" s="121"/>
      <c r="G173" s="121">
        <f t="shared" si="15"/>
        <v>200000</v>
      </c>
      <c r="H173" s="121"/>
      <c r="I173" s="189" t="s">
        <v>366</v>
      </c>
    </row>
    <row r="174" spans="1:9" x14ac:dyDescent="0.25">
      <c r="A174" s="74">
        <f t="shared" si="16"/>
        <v>14</v>
      </c>
      <c r="B174" s="74" t="s">
        <v>367</v>
      </c>
      <c r="C174" s="74" t="s">
        <v>242</v>
      </c>
      <c r="D174" s="121">
        <v>300000</v>
      </c>
      <c r="E174" s="121"/>
      <c r="F174" s="121">
        <f>5000+295000</f>
        <v>300000</v>
      </c>
      <c r="G174" s="121">
        <f t="shared" si="15"/>
        <v>0</v>
      </c>
      <c r="H174" s="121"/>
      <c r="I174" s="189"/>
    </row>
    <row r="175" spans="1:9" x14ac:dyDescent="0.25">
      <c r="A175" s="74">
        <f t="shared" si="16"/>
        <v>15</v>
      </c>
      <c r="B175" s="74" t="s">
        <v>368</v>
      </c>
      <c r="C175" s="74" t="s">
        <v>328</v>
      </c>
      <c r="D175" s="121">
        <v>300000</v>
      </c>
      <c r="E175" s="121"/>
      <c r="F175" s="121">
        <f>4500+70000</f>
        <v>74500</v>
      </c>
      <c r="G175" s="121">
        <f t="shared" si="15"/>
        <v>225500</v>
      </c>
      <c r="H175" s="121"/>
      <c r="I175" s="189"/>
    </row>
    <row r="176" spans="1:9" x14ac:dyDescent="0.25">
      <c r="A176" s="74">
        <f t="shared" si="16"/>
        <v>16</v>
      </c>
      <c r="B176" s="74" t="s">
        <v>325</v>
      </c>
      <c r="C176" s="74" t="s">
        <v>369</v>
      </c>
      <c r="D176" s="121">
        <v>30000</v>
      </c>
      <c r="E176" s="121"/>
      <c r="F176" s="121">
        <f>28200+1800+0</f>
        <v>30000</v>
      </c>
      <c r="G176" s="121">
        <f t="shared" si="15"/>
        <v>0</v>
      </c>
      <c r="H176" s="121"/>
      <c r="I176" s="189"/>
    </row>
    <row r="177" spans="1:9" x14ac:dyDescent="0.25">
      <c r="A177" s="74">
        <f t="shared" si="16"/>
        <v>17</v>
      </c>
      <c r="B177" s="74" t="s">
        <v>38</v>
      </c>
      <c r="C177" s="74" t="s">
        <v>369</v>
      </c>
      <c r="D177" s="121">
        <v>60000</v>
      </c>
      <c r="E177" s="121"/>
      <c r="F177" s="121"/>
      <c r="G177" s="121">
        <f t="shared" si="15"/>
        <v>60000</v>
      </c>
      <c r="H177" s="121"/>
      <c r="I177" s="189"/>
    </row>
    <row r="178" spans="1:9" x14ac:dyDescent="0.25">
      <c r="A178" s="74">
        <f t="shared" si="16"/>
        <v>18</v>
      </c>
      <c r="B178" s="74" t="s">
        <v>245</v>
      </c>
      <c r="C178" s="74" t="s">
        <v>369</v>
      </c>
      <c r="D178" s="121">
        <v>30000</v>
      </c>
      <c r="E178" s="121"/>
      <c r="F178" s="121"/>
      <c r="G178" s="121">
        <f t="shared" si="15"/>
        <v>30000</v>
      </c>
      <c r="H178" s="121"/>
      <c r="I178" s="189"/>
    </row>
    <row r="179" spans="1:9" x14ac:dyDescent="0.25">
      <c r="A179" s="74">
        <f t="shared" si="16"/>
        <v>19</v>
      </c>
      <c r="B179" s="74" t="s">
        <v>362</v>
      </c>
      <c r="C179" s="74" t="s">
        <v>277</v>
      </c>
      <c r="D179" s="121">
        <v>30000</v>
      </c>
      <c r="E179" s="121"/>
      <c r="F179" s="121"/>
      <c r="G179" s="121">
        <f t="shared" si="15"/>
        <v>30000</v>
      </c>
      <c r="H179" s="121"/>
      <c r="I179" s="189"/>
    </row>
    <row r="180" spans="1:9" x14ac:dyDescent="0.25">
      <c r="A180" s="74">
        <f t="shared" si="16"/>
        <v>20</v>
      </c>
      <c r="B180" s="74" t="s">
        <v>362</v>
      </c>
      <c r="C180" s="74" t="s">
        <v>331</v>
      </c>
      <c r="D180" s="121">
        <v>600000</v>
      </c>
      <c r="E180" s="121"/>
      <c r="F180" s="121">
        <f>36000+0</f>
        <v>36000</v>
      </c>
      <c r="G180" s="121">
        <f t="shared" si="15"/>
        <v>564000</v>
      </c>
      <c r="H180" s="121"/>
      <c r="I180" s="189"/>
    </row>
    <row r="181" spans="1:9" x14ac:dyDescent="0.25">
      <c r="A181" s="74">
        <f t="shared" si="16"/>
        <v>21</v>
      </c>
      <c r="B181" s="74" t="s">
        <v>301</v>
      </c>
      <c r="C181" s="74" t="s">
        <v>331</v>
      </c>
      <c r="D181" s="121">
        <v>250000</v>
      </c>
      <c r="E181" s="121"/>
      <c r="F181" s="121">
        <f>10000+0</f>
        <v>10000</v>
      </c>
      <c r="G181" s="121">
        <f t="shared" si="15"/>
        <v>240000</v>
      </c>
      <c r="H181" s="121"/>
      <c r="I181" s="189"/>
    </row>
    <row r="182" spans="1:9" x14ac:dyDescent="0.25">
      <c r="A182" s="74">
        <f t="shared" si="16"/>
        <v>22</v>
      </c>
      <c r="B182" s="74" t="s">
        <v>207</v>
      </c>
      <c r="C182" s="74" t="s">
        <v>370</v>
      </c>
      <c r="D182" s="121">
        <v>15000</v>
      </c>
      <c r="E182" s="121">
        <v>15000</v>
      </c>
      <c r="F182" s="121"/>
      <c r="G182" s="121">
        <f t="shared" si="15"/>
        <v>0</v>
      </c>
      <c r="H182" s="121"/>
      <c r="I182" s="189"/>
    </row>
    <row r="183" spans="1:9" x14ac:dyDescent="0.25">
      <c r="A183" s="74">
        <f t="shared" si="16"/>
        <v>23</v>
      </c>
      <c r="B183" s="74" t="s">
        <v>252</v>
      </c>
      <c r="C183" s="74" t="s">
        <v>371</v>
      </c>
      <c r="D183" s="121">
        <v>20000</v>
      </c>
      <c r="E183" s="121">
        <v>20000</v>
      </c>
      <c r="F183" s="121"/>
      <c r="G183" s="121">
        <f t="shared" si="15"/>
        <v>0</v>
      </c>
      <c r="H183" s="121"/>
      <c r="I183" s="189"/>
    </row>
    <row r="184" spans="1:9" x14ac:dyDescent="0.25">
      <c r="A184" s="74">
        <f t="shared" si="16"/>
        <v>24</v>
      </c>
      <c r="B184" s="74" t="s">
        <v>252</v>
      </c>
      <c r="C184" s="74" t="s">
        <v>253</v>
      </c>
      <c r="D184" s="121">
        <v>6000</v>
      </c>
      <c r="E184" s="121"/>
      <c r="F184" s="121"/>
      <c r="G184" s="121">
        <f t="shared" si="15"/>
        <v>6000</v>
      </c>
      <c r="H184" s="121"/>
      <c r="I184" s="189"/>
    </row>
    <row r="185" spans="1:9" x14ac:dyDescent="0.25">
      <c r="A185" s="74">
        <f t="shared" si="16"/>
        <v>25</v>
      </c>
      <c r="B185" s="74" t="s">
        <v>207</v>
      </c>
      <c r="C185" s="74" t="s">
        <v>372</v>
      </c>
      <c r="D185" s="121">
        <v>3000</v>
      </c>
      <c r="E185" s="121"/>
      <c r="F185" s="121"/>
      <c r="G185" s="121">
        <f t="shared" si="15"/>
        <v>3000</v>
      </c>
      <c r="H185" s="121"/>
      <c r="I185" s="189"/>
    </row>
    <row r="186" spans="1:9" x14ac:dyDescent="0.25">
      <c r="A186" s="74">
        <f t="shared" si="16"/>
        <v>26</v>
      </c>
      <c r="B186" s="74" t="s">
        <v>368</v>
      </c>
      <c r="C186" s="74" t="s">
        <v>373</v>
      </c>
      <c r="D186" s="121">
        <v>100000</v>
      </c>
      <c r="E186" s="121"/>
      <c r="F186" s="121"/>
      <c r="G186" s="121">
        <f t="shared" si="15"/>
        <v>100000</v>
      </c>
      <c r="H186" s="121"/>
      <c r="I186" s="189"/>
    </row>
    <row r="187" spans="1:9" ht="30" x14ac:dyDescent="0.25">
      <c r="A187" s="74">
        <f t="shared" si="16"/>
        <v>27</v>
      </c>
      <c r="B187" s="74" t="s">
        <v>291</v>
      </c>
      <c r="C187" s="74" t="s">
        <v>331</v>
      </c>
      <c r="D187" s="121">
        <v>705000</v>
      </c>
      <c r="E187" s="121"/>
      <c r="F187" s="121">
        <f>28200+0+676800</f>
        <v>705000</v>
      </c>
      <c r="G187" s="121">
        <f t="shared" si="15"/>
        <v>0</v>
      </c>
      <c r="H187" s="121"/>
      <c r="I187" s="189" t="s">
        <v>374</v>
      </c>
    </row>
    <row r="188" spans="1:9" x14ac:dyDescent="0.25">
      <c r="A188" s="74">
        <f t="shared" si="16"/>
        <v>28</v>
      </c>
      <c r="B188" s="74"/>
      <c r="C188" s="74"/>
      <c r="D188" s="121"/>
      <c r="E188" s="121"/>
      <c r="F188" s="121"/>
      <c r="G188" s="121">
        <f t="shared" si="15"/>
        <v>0</v>
      </c>
      <c r="H188" s="121"/>
      <c r="I188" s="189"/>
    </row>
    <row r="189" spans="1:9" x14ac:dyDescent="0.25">
      <c r="A189" s="74">
        <f t="shared" si="16"/>
        <v>29</v>
      </c>
      <c r="B189" s="74"/>
      <c r="C189" s="74"/>
      <c r="D189" s="121"/>
      <c r="E189" s="121"/>
      <c r="F189" s="121"/>
      <c r="G189" s="121"/>
      <c r="H189" s="121"/>
      <c r="I189" s="189"/>
    </row>
    <row r="190" spans="1:9" x14ac:dyDescent="0.25">
      <c r="A190" s="74">
        <f>1+A189</f>
        <v>30</v>
      </c>
      <c r="B190" s="74"/>
      <c r="C190" s="74"/>
      <c r="D190" s="121"/>
      <c r="E190" s="121"/>
      <c r="F190" s="121"/>
      <c r="G190" s="121"/>
      <c r="H190" s="121"/>
      <c r="I190" s="189"/>
    </row>
    <row r="191" spans="1:9" x14ac:dyDescent="0.25">
      <c r="A191" s="74">
        <f t="shared" si="16"/>
        <v>31</v>
      </c>
      <c r="B191" s="74"/>
      <c r="C191" s="74"/>
      <c r="D191" s="121">
        <f>SUM(D162:D190)</f>
        <v>6733000</v>
      </c>
      <c r="E191" s="121">
        <f t="shared" ref="E191:G191" si="17">SUM(E162:E190)</f>
        <v>94000</v>
      </c>
      <c r="F191" s="121">
        <f t="shared" si="17"/>
        <v>1183000</v>
      </c>
      <c r="G191" s="121">
        <f t="shared" si="17"/>
        <v>5456000</v>
      </c>
      <c r="H191" s="121" t="e">
        <f>+H162+#REF!-F191-G191</f>
        <v>#REF!</v>
      </c>
      <c r="I191" s="189"/>
    </row>
    <row r="192" spans="1:9" ht="18.75" x14ac:dyDescent="0.3">
      <c r="A192" s="16"/>
      <c r="B192" s="292" t="s">
        <v>150</v>
      </c>
      <c r="C192" s="292"/>
      <c r="D192" s="292"/>
      <c r="E192" s="292"/>
      <c r="F192" s="292"/>
      <c r="G192" s="292"/>
      <c r="H192" s="292"/>
      <c r="I192" s="292"/>
    </row>
    <row r="193" spans="1:9" ht="30" x14ac:dyDescent="0.25">
      <c r="A193" s="74"/>
      <c r="B193" s="186" t="s">
        <v>56</v>
      </c>
      <c r="C193" s="186" t="s">
        <v>131</v>
      </c>
      <c r="D193" s="186" t="s">
        <v>132</v>
      </c>
      <c r="E193" s="186" t="s">
        <v>133</v>
      </c>
      <c r="F193" s="186" t="s">
        <v>134</v>
      </c>
      <c r="G193" s="186" t="s">
        <v>135</v>
      </c>
      <c r="H193" s="186" t="s">
        <v>145</v>
      </c>
      <c r="I193" s="186" t="s">
        <v>137</v>
      </c>
    </row>
    <row r="194" spans="1:9" ht="18" x14ac:dyDescent="0.4">
      <c r="A194" s="74"/>
      <c r="B194" s="74"/>
      <c r="C194" s="74"/>
      <c r="D194" s="121"/>
      <c r="E194" s="121"/>
      <c r="F194" s="121"/>
      <c r="G194" s="121"/>
      <c r="H194" s="187">
        <v>5735975</v>
      </c>
      <c r="I194" s="188"/>
    </row>
    <row r="195" spans="1:9" ht="18" x14ac:dyDescent="0.4">
      <c r="A195" s="74"/>
      <c r="B195" s="74"/>
      <c r="C195" s="74" t="s">
        <v>138</v>
      </c>
      <c r="D195" s="121"/>
      <c r="E195" s="121"/>
      <c r="F195" s="121"/>
      <c r="G195" s="121"/>
      <c r="H195" s="187"/>
      <c r="I195" s="188"/>
    </row>
    <row r="196" spans="1:9" x14ac:dyDescent="0.25">
      <c r="A196" s="74">
        <v>5</v>
      </c>
      <c r="B196" s="74" t="s">
        <v>379</v>
      </c>
      <c r="C196" s="74" t="s">
        <v>242</v>
      </c>
      <c r="D196" s="121">
        <v>300000</v>
      </c>
      <c r="E196" s="121">
        <v>0</v>
      </c>
      <c r="F196" s="121">
        <f>2500+70000</f>
        <v>72500</v>
      </c>
      <c r="G196" s="121">
        <f>+D196-E196-F196</f>
        <v>227500</v>
      </c>
      <c r="H196" s="121"/>
      <c r="I196" s="189"/>
    </row>
    <row r="197" spans="1:9" x14ac:dyDescent="0.25">
      <c r="A197" s="74">
        <f>1+A196</f>
        <v>6</v>
      </c>
      <c r="B197" s="74" t="s">
        <v>288</v>
      </c>
      <c r="C197" s="74" t="s">
        <v>242</v>
      </c>
      <c r="D197" s="121">
        <v>300000</v>
      </c>
      <c r="E197" s="121">
        <v>0</v>
      </c>
      <c r="F197" s="121">
        <f>2500+70000</f>
        <v>72500</v>
      </c>
      <c r="G197" s="121">
        <f t="shared" ref="G197:G222" si="18">+D197-E197-F197</f>
        <v>227500</v>
      </c>
      <c r="H197" s="121"/>
      <c r="I197" s="189"/>
    </row>
    <row r="198" spans="1:9" x14ac:dyDescent="0.25">
      <c r="A198" s="74">
        <f t="shared" ref="A198:A223" si="19">1+A197</f>
        <v>7</v>
      </c>
      <c r="B198" s="74" t="s">
        <v>380</v>
      </c>
      <c r="C198" s="74" t="s">
        <v>242</v>
      </c>
      <c r="D198" s="121">
        <v>300000</v>
      </c>
      <c r="E198" s="121">
        <v>0</v>
      </c>
      <c r="F198" s="121">
        <f>3000+140000</f>
        <v>143000</v>
      </c>
      <c r="G198" s="121">
        <f t="shared" si="18"/>
        <v>157000</v>
      </c>
      <c r="H198" s="121"/>
      <c r="I198" s="189"/>
    </row>
    <row r="199" spans="1:9" x14ac:dyDescent="0.25">
      <c r="A199" s="74">
        <f t="shared" si="19"/>
        <v>8</v>
      </c>
      <c r="B199" s="74" t="s">
        <v>379</v>
      </c>
      <c r="C199" s="74" t="s">
        <v>289</v>
      </c>
      <c r="D199" s="121">
        <v>900000</v>
      </c>
      <c r="E199" s="121">
        <v>0</v>
      </c>
      <c r="F199" s="121">
        <f>7500+0</f>
        <v>7500</v>
      </c>
      <c r="G199" s="121">
        <f t="shared" si="18"/>
        <v>892500</v>
      </c>
      <c r="H199" s="121"/>
      <c r="I199" s="189"/>
    </row>
    <row r="200" spans="1:9" x14ac:dyDescent="0.25">
      <c r="A200" s="74">
        <f t="shared" si="19"/>
        <v>9</v>
      </c>
      <c r="B200" s="74" t="s">
        <v>38</v>
      </c>
      <c r="C200" s="74" t="s">
        <v>381</v>
      </c>
      <c r="D200" s="121">
        <v>167000</v>
      </c>
      <c r="E200" s="121">
        <v>0</v>
      </c>
      <c r="F200" s="121">
        <f>61000+106000</f>
        <v>167000</v>
      </c>
      <c r="G200" s="121">
        <f t="shared" si="18"/>
        <v>0</v>
      </c>
      <c r="H200" s="121"/>
      <c r="I200" s="189"/>
    </row>
    <row r="201" spans="1:9" x14ac:dyDescent="0.25">
      <c r="A201" s="74">
        <f t="shared" si="19"/>
        <v>10</v>
      </c>
      <c r="B201" s="74" t="s">
        <v>207</v>
      </c>
      <c r="C201" s="74" t="s">
        <v>381</v>
      </c>
      <c r="D201" s="121">
        <v>75000</v>
      </c>
      <c r="E201" s="121">
        <v>0</v>
      </c>
      <c r="F201" s="121"/>
      <c r="G201" s="121">
        <f t="shared" si="18"/>
        <v>75000</v>
      </c>
      <c r="H201" s="121"/>
      <c r="I201" s="189"/>
    </row>
    <row r="202" spans="1:9" x14ac:dyDescent="0.25">
      <c r="A202" s="74">
        <f t="shared" si="19"/>
        <v>11</v>
      </c>
      <c r="B202" s="74" t="s">
        <v>273</v>
      </c>
      <c r="C202" s="74" t="s">
        <v>248</v>
      </c>
      <c r="D202" s="121">
        <v>100000</v>
      </c>
      <c r="E202" s="121"/>
      <c r="F202" s="121"/>
      <c r="G202" s="121">
        <f t="shared" si="18"/>
        <v>100000</v>
      </c>
      <c r="H202" s="121"/>
      <c r="I202" s="189"/>
    </row>
    <row r="203" spans="1:9" x14ac:dyDescent="0.25">
      <c r="A203" s="74">
        <f t="shared" si="19"/>
        <v>12</v>
      </c>
      <c r="B203" s="74" t="s">
        <v>228</v>
      </c>
      <c r="C203" s="74" t="s">
        <v>248</v>
      </c>
      <c r="D203" s="121">
        <v>100000</v>
      </c>
      <c r="E203" s="121"/>
      <c r="F203" s="121"/>
      <c r="G203" s="121">
        <f t="shared" si="18"/>
        <v>100000</v>
      </c>
      <c r="H203" s="121"/>
      <c r="I203" s="189"/>
    </row>
    <row r="204" spans="1:9" x14ac:dyDescent="0.25">
      <c r="A204" s="74">
        <f t="shared" si="19"/>
        <v>13</v>
      </c>
      <c r="B204" s="74" t="s">
        <v>38</v>
      </c>
      <c r="C204" s="74" t="s">
        <v>248</v>
      </c>
      <c r="D204" s="121">
        <v>100000</v>
      </c>
      <c r="E204" s="121">
        <v>0</v>
      </c>
      <c r="F204" s="121">
        <f>54000+0</f>
        <v>54000</v>
      </c>
      <c r="G204" s="121">
        <f t="shared" si="18"/>
        <v>46000</v>
      </c>
      <c r="H204" s="121"/>
      <c r="I204" s="189"/>
    </row>
    <row r="205" spans="1:9" x14ac:dyDescent="0.25">
      <c r="A205" s="74">
        <f t="shared" si="19"/>
        <v>14</v>
      </c>
      <c r="B205" s="74" t="s">
        <v>207</v>
      </c>
      <c r="C205" s="74" t="s">
        <v>248</v>
      </c>
      <c r="D205" s="121">
        <v>189500</v>
      </c>
      <c r="E205" s="121">
        <v>12500</v>
      </c>
      <c r="F205" s="121">
        <v>0</v>
      </c>
      <c r="G205" s="121">
        <f t="shared" si="18"/>
        <v>177000</v>
      </c>
      <c r="H205" s="121"/>
      <c r="I205" s="189"/>
    </row>
    <row r="206" spans="1:9" x14ac:dyDescent="0.25">
      <c r="A206" s="74">
        <f t="shared" si="19"/>
        <v>15</v>
      </c>
      <c r="B206" s="74" t="s">
        <v>288</v>
      </c>
      <c r="C206" s="74" t="s">
        <v>381</v>
      </c>
      <c r="D206" s="121">
        <v>75000</v>
      </c>
      <c r="E206" s="121">
        <v>75000</v>
      </c>
      <c r="F206" s="121"/>
      <c r="G206" s="121">
        <f t="shared" si="18"/>
        <v>0</v>
      </c>
      <c r="H206" s="121"/>
      <c r="I206" s="189"/>
    </row>
    <row r="207" spans="1:9" x14ac:dyDescent="0.25">
      <c r="A207" s="74">
        <f t="shared" si="19"/>
        <v>16</v>
      </c>
      <c r="B207" s="74" t="s">
        <v>207</v>
      </c>
      <c r="C207" s="74" t="s">
        <v>248</v>
      </c>
      <c r="D207" s="121">
        <v>100000</v>
      </c>
      <c r="E207" s="121">
        <v>100000</v>
      </c>
      <c r="F207" s="121"/>
      <c r="G207" s="121">
        <f t="shared" si="18"/>
        <v>0</v>
      </c>
      <c r="H207" s="121"/>
      <c r="I207" s="189"/>
    </row>
    <row r="208" spans="1:9" x14ac:dyDescent="0.25">
      <c r="A208" s="74">
        <f t="shared" si="19"/>
        <v>17</v>
      </c>
      <c r="B208" s="74" t="s">
        <v>216</v>
      </c>
      <c r="C208" s="74" t="s">
        <v>248</v>
      </c>
      <c r="D208" s="121">
        <v>200000</v>
      </c>
      <c r="E208" s="121">
        <v>200000</v>
      </c>
      <c r="F208" s="121"/>
      <c r="G208" s="121">
        <f t="shared" si="18"/>
        <v>0</v>
      </c>
      <c r="H208" s="121"/>
      <c r="I208" s="189"/>
    </row>
    <row r="209" spans="1:9" x14ac:dyDescent="0.25">
      <c r="A209" s="74">
        <f t="shared" si="19"/>
        <v>18</v>
      </c>
      <c r="B209" s="74" t="s">
        <v>273</v>
      </c>
      <c r="C209" s="74" t="s">
        <v>282</v>
      </c>
      <c r="D209" s="121">
        <v>1000000</v>
      </c>
      <c r="E209" s="121">
        <v>0</v>
      </c>
      <c r="F209" s="121">
        <f>50000+0</f>
        <v>50000</v>
      </c>
      <c r="G209" s="121">
        <f t="shared" si="18"/>
        <v>950000</v>
      </c>
      <c r="H209" s="121"/>
      <c r="I209" s="189"/>
    </row>
    <row r="210" spans="1:9" x14ac:dyDescent="0.25">
      <c r="A210" s="74">
        <f t="shared" si="19"/>
        <v>19</v>
      </c>
      <c r="B210" s="74" t="s">
        <v>325</v>
      </c>
      <c r="C210" s="74" t="s">
        <v>347</v>
      </c>
      <c r="D210" s="121">
        <v>100000</v>
      </c>
      <c r="E210" s="121"/>
      <c r="F210" s="121"/>
      <c r="G210" s="121">
        <f t="shared" si="18"/>
        <v>100000</v>
      </c>
      <c r="H210" s="121"/>
      <c r="I210" s="189"/>
    </row>
    <row r="211" spans="1:9" x14ac:dyDescent="0.25">
      <c r="A211" s="74">
        <f t="shared" si="19"/>
        <v>20</v>
      </c>
      <c r="B211" s="74" t="s">
        <v>252</v>
      </c>
      <c r="C211" s="74" t="s">
        <v>253</v>
      </c>
      <c r="D211" s="121">
        <v>6000</v>
      </c>
      <c r="E211" s="121"/>
      <c r="F211" s="121"/>
      <c r="G211" s="121">
        <f t="shared" si="18"/>
        <v>6000</v>
      </c>
      <c r="H211" s="121"/>
      <c r="I211" s="189"/>
    </row>
    <row r="212" spans="1:9" x14ac:dyDescent="0.25">
      <c r="A212" s="74">
        <f t="shared" si="19"/>
        <v>21</v>
      </c>
      <c r="B212" s="74" t="s">
        <v>379</v>
      </c>
      <c r="C212" s="74" t="s">
        <v>382</v>
      </c>
      <c r="D212" s="121">
        <v>50000</v>
      </c>
      <c r="E212" s="121"/>
      <c r="F212" s="121"/>
      <c r="G212" s="121">
        <f t="shared" si="18"/>
        <v>50000</v>
      </c>
      <c r="H212" s="121"/>
      <c r="I212" s="189"/>
    </row>
    <row r="213" spans="1:9" x14ac:dyDescent="0.25">
      <c r="A213" s="74">
        <f t="shared" si="19"/>
        <v>22</v>
      </c>
      <c r="B213" s="74"/>
      <c r="C213" s="74"/>
      <c r="D213" s="121"/>
      <c r="E213" s="121"/>
      <c r="F213" s="121"/>
      <c r="G213" s="121">
        <f t="shared" si="18"/>
        <v>0</v>
      </c>
      <c r="H213" s="121"/>
      <c r="I213" s="189"/>
    </row>
    <row r="214" spans="1:9" x14ac:dyDescent="0.25">
      <c r="A214" s="74">
        <f t="shared" si="19"/>
        <v>23</v>
      </c>
      <c r="B214" s="74"/>
      <c r="C214" s="74"/>
      <c r="D214" s="121"/>
      <c r="E214" s="121"/>
      <c r="F214" s="121"/>
      <c r="G214" s="121">
        <f t="shared" si="18"/>
        <v>0</v>
      </c>
      <c r="H214" s="121"/>
      <c r="I214" s="189"/>
    </row>
    <row r="215" spans="1:9" x14ac:dyDescent="0.25">
      <c r="A215" s="74">
        <f t="shared" si="19"/>
        <v>24</v>
      </c>
      <c r="B215" s="74"/>
      <c r="C215" s="74"/>
      <c r="D215" s="121"/>
      <c r="E215" s="121"/>
      <c r="F215" s="121"/>
      <c r="G215" s="121">
        <f t="shared" si="18"/>
        <v>0</v>
      </c>
      <c r="H215" s="121"/>
      <c r="I215" s="189"/>
    </row>
    <row r="216" spans="1:9" x14ac:dyDescent="0.25">
      <c r="A216" s="74">
        <f t="shared" si="19"/>
        <v>25</v>
      </c>
      <c r="B216" s="74"/>
      <c r="C216" s="74"/>
      <c r="D216" s="121"/>
      <c r="E216" s="121"/>
      <c r="F216" s="121"/>
      <c r="G216" s="121">
        <f t="shared" si="18"/>
        <v>0</v>
      </c>
      <c r="H216" s="121"/>
      <c r="I216" s="189"/>
    </row>
    <row r="217" spans="1:9" x14ac:dyDescent="0.25">
      <c r="A217" s="74">
        <f t="shared" si="19"/>
        <v>26</v>
      </c>
      <c r="B217" s="74"/>
      <c r="C217" s="74"/>
      <c r="D217" s="121"/>
      <c r="E217" s="121"/>
      <c r="F217" s="121"/>
      <c r="G217" s="121">
        <f t="shared" si="18"/>
        <v>0</v>
      </c>
      <c r="H217" s="121"/>
      <c r="I217" s="189"/>
    </row>
    <row r="218" spans="1:9" x14ac:dyDescent="0.25">
      <c r="A218" s="74">
        <f t="shared" si="19"/>
        <v>27</v>
      </c>
      <c r="B218" s="74"/>
      <c r="C218" s="74"/>
      <c r="D218" s="121"/>
      <c r="E218" s="121"/>
      <c r="F218" s="121"/>
      <c r="G218" s="121">
        <f t="shared" si="18"/>
        <v>0</v>
      </c>
      <c r="H218" s="121"/>
      <c r="I218" s="189"/>
    </row>
    <row r="219" spans="1:9" x14ac:dyDescent="0.25">
      <c r="A219" s="74">
        <f t="shared" si="19"/>
        <v>28</v>
      </c>
      <c r="B219" s="74"/>
      <c r="C219" s="74"/>
      <c r="D219" s="121"/>
      <c r="E219" s="121"/>
      <c r="F219" s="121"/>
      <c r="G219" s="121">
        <f t="shared" si="18"/>
        <v>0</v>
      </c>
      <c r="H219" s="121"/>
      <c r="I219" s="189"/>
    </row>
    <row r="220" spans="1:9" x14ac:dyDescent="0.25">
      <c r="A220" s="74">
        <f t="shared" si="19"/>
        <v>29</v>
      </c>
      <c r="B220" s="74"/>
      <c r="C220" s="74"/>
      <c r="D220" s="121"/>
      <c r="E220" s="121"/>
      <c r="F220" s="121"/>
      <c r="G220" s="121">
        <f t="shared" si="18"/>
        <v>0</v>
      </c>
      <c r="H220" s="121"/>
      <c r="I220" s="189"/>
    </row>
    <row r="221" spans="1:9" x14ac:dyDescent="0.25">
      <c r="A221" s="74">
        <f t="shared" si="19"/>
        <v>30</v>
      </c>
      <c r="B221" s="74"/>
      <c r="C221" s="74"/>
      <c r="D221" s="121"/>
      <c r="E221" s="121"/>
      <c r="F221" s="121"/>
      <c r="G221" s="121">
        <f t="shared" si="18"/>
        <v>0</v>
      </c>
      <c r="H221" s="121"/>
      <c r="I221" s="189"/>
    </row>
    <row r="222" spans="1:9" x14ac:dyDescent="0.25">
      <c r="A222" s="74">
        <f>1+A221</f>
        <v>31</v>
      </c>
      <c r="B222" s="74"/>
      <c r="C222" s="74"/>
      <c r="D222" s="121"/>
      <c r="E222" s="121"/>
      <c r="F222" s="121"/>
      <c r="G222" s="121">
        <f t="shared" si="18"/>
        <v>0</v>
      </c>
      <c r="H222" s="121"/>
      <c r="I222" s="189"/>
    </row>
    <row r="223" spans="1:9" x14ac:dyDescent="0.25">
      <c r="A223" s="74">
        <f t="shared" si="19"/>
        <v>32</v>
      </c>
      <c r="B223" s="74"/>
      <c r="C223" s="74"/>
      <c r="D223" s="121">
        <f>SUM(D194:D222)</f>
        <v>4062500</v>
      </c>
      <c r="E223" s="121">
        <f t="shared" ref="E223:G223" si="20">SUM(E194:E222)</f>
        <v>387500</v>
      </c>
      <c r="F223" s="121">
        <f t="shared" si="20"/>
        <v>566500</v>
      </c>
      <c r="G223" s="121">
        <f t="shared" si="20"/>
        <v>3108500</v>
      </c>
      <c r="H223" s="121" t="e">
        <f>+H194+#REF!-F223-G223</f>
        <v>#REF!</v>
      </c>
      <c r="I223" s="189"/>
    </row>
    <row r="224" spans="1:9" ht="18.75" x14ac:dyDescent="0.3">
      <c r="A224" s="16"/>
      <c r="B224" s="292" t="s">
        <v>151</v>
      </c>
      <c r="C224" s="292"/>
      <c r="D224" s="292"/>
      <c r="E224" s="292"/>
      <c r="F224" s="292"/>
      <c r="G224" s="292"/>
      <c r="H224" s="292"/>
      <c r="I224" s="292"/>
    </row>
    <row r="225" spans="1:9" ht="30" x14ac:dyDescent="0.25">
      <c r="A225" s="81"/>
      <c r="B225" s="181" t="s">
        <v>56</v>
      </c>
      <c r="C225" s="181" t="s">
        <v>131</v>
      </c>
      <c r="D225" s="181" t="s">
        <v>132</v>
      </c>
      <c r="E225" s="181" t="s">
        <v>133</v>
      </c>
      <c r="F225" s="181" t="s">
        <v>134</v>
      </c>
      <c r="G225" s="181" t="s">
        <v>135</v>
      </c>
      <c r="H225" s="181" t="s">
        <v>144</v>
      </c>
      <c r="I225" s="181" t="s">
        <v>137</v>
      </c>
    </row>
    <row r="226" spans="1:9" ht="18" x14ac:dyDescent="0.4">
      <c r="A226" s="81"/>
      <c r="B226" s="180"/>
      <c r="C226" s="180"/>
      <c r="D226" s="182"/>
      <c r="E226" s="182"/>
      <c r="F226" s="182"/>
      <c r="G226" s="182"/>
      <c r="H226" s="183">
        <v>5735974</v>
      </c>
      <c r="I226" s="184"/>
    </row>
    <row r="227" spans="1:9" ht="18" x14ac:dyDescent="0.4">
      <c r="A227" s="81"/>
      <c r="B227" s="180"/>
      <c r="C227" s="180" t="s">
        <v>138</v>
      </c>
      <c r="D227" s="182"/>
      <c r="E227" s="182"/>
      <c r="F227" s="182"/>
      <c r="G227" s="182"/>
      <c r="H227" s="183"/>
      <c r="I227" s="184"/>
    </row>
    <row r="228" spans="1:9" x14ac:dyDescent="0.25">
      <c r="A228" s="81">
        <v>4</v>
      </c>
      <c r="B228" s="180" t="s">
        <v>98</v>
      </c>
      <c r="C228" s="180" t="s">
        <v>242</v>
      </c>
      <c r="D228" s="182">
        <v>300000</v>
      </c>
      <c r="E228" s="182">
        <v>0</v>
      </c>
      <c r="F228" s="182">
        <f>2500+70000</f>
        <v>72500</v>
      </c>
      <c r="G228" s="182">
        <f>+D228-E228-F228</f>
        <v>227500</v>
      </c>
      <c r="H228" s="182"/>
      <c r="I228" s="185"/>
    </row>
    <row r="229" spans="1:9" x14ac:dyDescent="0.25">
      <c r="A229" s="81">
        <f>1+A228</f>
        <v>5</v>
      </c>
      <c r="B229" s="180" t="s">
        <v>46</v>
      </c>
      <c r="C229" s="180" t="s">
        <v>242</v>
      </c>
      <c r="D229" s="182">
        <v>300000</v>
      </c>
      <c r="E229" s="182"/>
      <c r="F229" s="182">
        <f>3000+70000</f>
        <v>73000</v>
      </c>
      <c r="G229" s="182">
        <f t="shared" ref="G229:G254" si="21">+D229-E229-F229</f>
        <v>227000</v>
      </c>
      <c r="H229" s="182"/>
      <c r="I229" s="185"/>
    </row>
    <row r="230" spans="1:9" x14ac:dyDescent="0.25">
      <c r="A230" s="81">
        <f t="shared" ref="A230:A255" si="22">1+A229</f>
        <v>6</v>
      </c>
      <c r="B230" s="180" t="s">
        <v>228</v>
      </c>
      <c r="C230" s="180" t="s">
        <v>289</v>
      </c>
      <c r="D230" s="182">
        <v>900000</v>
      </c>
      <c r="E230" s="182">
        <v>0</v>
      </c>
      <c r="F230" s="182">
        <f>7500+0</f>
        <v>7500</v>
      </c>
      <c r="G230" s="182">
        <f t="shared" si="21"/>
        <v>892500</v>
      </c>
      <c r="H230" s="182"/>
      <c r="I230" s="185"/>
    </row>
    <row r="231" spans="1:9" x14ac:dyDescent="0.25">
      <c r="A231" s="81">
        <f t="shared" si="22"/>
        <v>7</v>
      </c>
      <c r="B231" s="180" t="s">
        <v>46</v>
      </c>
      <c r="C231" s="180" t="s">
        <v>289</v>
      </c>
      <c r="D231" s="182">
        <v>900000</v>
      </c>
      <c r="E231" s="182">
        <v>0</v>
      </c>
      <c r="F231" s="182">
        <f>7500+0</f>
        <v>7500</v>
      </c>
      <c r="G231" s="182">
        <f t="shared" si="21"/>
        <v>892500</v>
      </c>
      <c r="H231" s="182"/>
      <c r="I231" s="185"/>
    </row>
    <row r="232" spans="1:9" x14ac:dyDescent="0.25">
      <c r="A232" s="81">
        <f t="shared" si="22"/>
        <v>8</v>
      </c>
      <c r="B232" s="180" t="s">
        <v>252</v>
      </c>
      <c r="C232" s="180" t="s">
        <v>323</v>
      </c>
      <c r="D232" s="182">
        <v>1200000</v>
      </c>
      <c r="E232" s="182">
        <v>0</v>
      </c>
      <c r="F232" s="182">
        <f>10000+0</f>
        <v>10000</v>
      </c>
      <c r="G232" s="182">
        <f t="shared" si="21"/>
        <v>1190000</v>
      </c>
      <c r="H232" s="182"/>
      <c r="I232" s="185"/>
    </row>
    <row r="233" spans="1:9" x14ac:dyDescent="0.25">
      <c r="A233" s="81">
        <f t="shared" si="22"/>
        <v>9</v>
      </c>
      <c r="B233" s="180" t="s">
        <v>325</v>
      </c>
      <c r="C233" s="180" t="s">
        <v>323</v>
      </c>
      <c r="D233" s="182">
        <v>1200000</v>
      </c>
      <c r="E233" s="182">
        <v>0</v>
      </c>
      <c r="F233" s="182">
        <f>10000+0</f>
        <v>10000</v>
      </c>
      <c r="G233" s="182">
        <f t="shared" si="21"/>
        <v>1190000</v>
      </c>
      <c r="H233" s="182"/>
      <c r="I233" s="185"/>
    </row>
    <row r="234" spans="1:9" x14ac:dyDescent="0.25">
      <c r="A234" s="81">
        <f t="shared" si="22"/>
        <v>10</v>
      </c>
      <c r="B234" s="180" t="s">
        <v>252</v>
      </c>
      <c r="C234" s="180" t="s">
        <v>282</v>
      </c>
      <c r="D234" s="182">
        <v>600000</v>
      </c>
      <c r="E234" s="182">
        <v>0</v>
      </c>
      <c r="F234" s="182">
        <f>24000+576000</f>
        <v>600000</v>
      </c>
      <c r="G234" s="182">
        <f t="shared" si="21"/>
        <v>0</v>
      </c>
      <c r="H234" s="182"/>
      <c r="I234" s="185"/>
    </row>
    <row r="235" spans="1:9" x14ac:dyDescent="0.25">
      <c r="A235" s="81">
        <f t="shared" si="22"/>
        <v>11</v>
      </c>
      <c r="B235" s="180" t="s">
        <v>243</v>
      </c>
      <c r="C235" s="180" t="s">
        <v>331</v>
      </c>
      <c r="D235" s="182">
        <v>1000000</v>
      </c>
      <c r="E235" s="182">
        <v>0</v>
      </c>
      <c r="F235" s="182">
        <f>40000+960000</f>
        <v>1000000</v>
      </c>
      <c r="G235" s="182">
        <f t="shared" si="21"/>
        <v>0</v>
      </c>
      <c r="H235" s="182"/>
      <c r="I235" s="185"/>
    </row>
    <row r="236" spans="1:9" x14ac:dyDescent="0.25">
      <c r="A236" s="81">
        <f t="shared" si="22"/>
        <v>12</v>
      </c>
      <c r="B236" s="180" t="s">
        <v>245</v>
      </c>
      <c r="C236" s="180" t="s">
        <v>277</v>
      </c>
      <c r="D236" s="182">
        <v>61500</v>
      </c>
      <c r="E236" s="182">
        <v>0</v>
      </c>
      <c r="F236" s="182">
        <v>0</v>
      </c>
      <c r="G236" s="182">
        <f t="shared" si="21"/>
        <v>61500</v>
      </c>
      <c r="H236" s="182"/>
      <c r="I236" s="185"/>
    </row>
    <row r="237" spans="1:9" x14ac:dyDescent="0.25">
      <c r="A237" s="81">
        <f t="shared" si="22"/>
        <v>13</v>
      </c>
      <c r="B237" s="180" t="s">
        <v>243</v>
      </c>
      <c r="C237" s="180" t="s">
        <v>277</v>
      </c>
      <c r="D237" s="182">
        <v>60000</v>
      </c>
      <c r="E237" s="182">
        <v>48000</v>
      </c>
      <c r="F237" s="182"/>
      <c r="G237" s="182">
        <f t="shared" si="21"/>
        <v>12000</v>
      </c>
      <c r="H237" s="182"/>
      <c r="I237" s="185"/>
    </row>
    <row r="238" spans="1:9" x14ac:dyDescent="0.25">
      <c r="A238" s="81">
        <f t="shared" si="22"/>
        <v>14</v>
      </c>
      <c r="B238" s="180" t="s">
        <v>207</v>
      </c>
      <c r="C238" s="180" t="s">
        <v>277</v>
      </c>
      <c r="D238" s="182">
        <v>60000</v>
      </c>
      <c r="E238" s="182"/>
      <c r="F238" s="182"/>
      <c r="G238" s="182">
        <f t="shared" si="21"/>
        <v>60000</v>
      </c>
      <c r="H238" s="182"/>
      <c r="I238" s="185"/>
    </row>
    <row r="239" spans="1:9" x14ac:dyDescent="0.25">
      <c r="A239" s="81">
        <f t="shared" si="22"/>
        <v>15</v>
      </c>
      <c r="B239" s="180" t="s">
        <v>245</v>
      </c>
      <c r="C239" s="180" t="s">
        <v>389</v>
      </c>
      <c r="D239" s="182">
        <v>167000</v>
      </c>
      <c r="E239" s="182"/>
      <c r="F239" s="182"/>
      <c r="G239" s="182">
        <f t="shared" si="21"/>
        <v>167000</v>
      </c>
      <c r="H239" s="182"/>
      <c r="I239" s="185"/>
    </row>
    <row r="240" spans="1:9" x14ac:dyDescent="0.25">
      <c r="A240" s="81">
        <f t="shared" si="22"/>
        <v>16</v>
      </c>
      <c r="B240" s="180" t="s">
        <v>207</v>
      </c>
      <c r="C240" s="180" t="s">
        <v>311</v>
      </c>
      <c r="D240" s="182">
        <v>150000</v>
      </c>
      <c r="E240" s="182"/>
      <c r="F240" s="182"/>
      <c r="G240" s="182">
        <f t="shared" si="21"/>
        <v>150000</v>
      </c>
      <c r="H240" s="182"/>
      <c r="I240" s="185"/>
    </row>
    <row r="241" spans="1:9" x14ac:dyDescent="0.25">
      <c r="A241" s="81">
        <f t="shared" si="22"/>
        <v>17</v>
      </c>
      <c r="B241" s="180" t="s">
        <v>288</v>
      </c>
      <c r="C241" s="180" t="s">
        <v>389</v>
      </c>
      <c r="D241" s="182">
        <v>75000</v>
      </c>
      <c r="E241" s="182"/>
      <c r="F241" s="182"/>
      <c r="G241" s="182">
        <f t="shared" si="21"/>
        <v>75000</v>
      </c>
      <c r="H241" s="182"/>
      <c r="I241" s="185"/>
    </row>
    <row r="242" spans="1:9" x14ac:dyDescent="0.25">
      <c r="A242" s="81">
        <f t="shared" si="22"/>
        <v>18</v>
      </c>
      <c r="B242" s="180" t="s">
        <v>216</v>
      </c>
      <c r="C242" s="180" t="s">
        <v>390</v>
      </c>
      <c r="D242" s="182">
        <v>300000</v>
      </c>
      <c r="E242" s="182">
        <v>200000</v>
      </c>
      <c r="F242" s="182"/>
      <c r="G242" s="182">
        <f t="shared" si="21"/>
        <v>100000</v>
      </c>
      <c r="H242" s="182"/>
      <c r="I242" s="185"/>
    </row>
    <row r="243" spans="1:9" x14ac:dyDescent="0.25">
      <c r="A243" s="81">
        <f t="shared" si="22"/>
        <v>19</v>
      </c>
      <c r="B243" s="180" t="s">
        <v>207</v>
      </c>
      <c r="C243" s="180" t="s">
        <v>296</v>
      </c>
      <c r="D243" s="182">
        <v>100000</v>
      </c>
      <c r="E243" s="182"/>
      <c r="F243" s="182"/>
      <c r="G243" s="182">
        <f t="shared" si="21"/>
        <v>100000</v>
      </c>
      <c r="H243" s="182"/>
      <c r="I243" s="185"/>
    </row>
    <row r="244" spans="1:9" x14ac:dyDescent="0.25">
      <c r="A244" s="81">
        <f t="shared" si="22"/>
        <v>20</v>
      </c>
      <c r="B244" s="180" t="s">
        <v>105</v>
      </c>
      <c r="C244" s="180" t="s">
        <v>347</v>
      </c>
      <c r="D244" s="182">
        <v>100000</v>
      </c>
      <c r="E244" s="182"/>
      <c r="F244" s="182"/>
      <c r="G244" s="182">
        <f t="shared" si="21"/>
        <v>100000</v>
      </c>
      <c r="H244" s="182"/>
      <c r="I244" s="185"/>
    </row>
    <row r="245" spans="1:9" x14ac:dyDescent="0.25">
      <c r="A245" s="81">
        <f t="shared" si="22"/>
        <v>21</v>
      </c>
      <c r="B245" s="180" t="s">
        <v>252</v>
      </c>
      <c r="C245" s="180" t="s">
        <v>253</v>
      </c>
      <c r="D245" s="182">
        <v>6000</v>
      </c>
      <c r="E245" s="182"/>
      <c r="F245" s="182"/>
      <c r="G245" s="182">
        <f t="shared" si="21"/>
        <v>6000</v>
      </c>
      <c r="H245" s="182"/>
      <c r="I245" s="185"/>
    </row>
    <row r="246" spans="1:9" x14ac:dyDescent="0.25">
      <c r="A246" s="81">
        <f t="shared" si="22"/>
        <v>22</v>
      </c>
      <c r="B246" s="180" t="s">
        <v>36</v>
      </c>
      <c r="C246" s="180" t="s">
        <v>278</v>
      </c>
      <c r="D246" s="182">
        <v>560000</v>
      </c>
      <c r="E246" s="182"/>
      <c r="F246" s="182"/>
      <c r="G246" s="182">
        <f t="shared" si="21"/>
        <v>560000</v>
      </c>
      <c r="H246" s="182"/>
      <c r="I246" s="185"/>
    </row>
    <row r="247" spans="1:9" x14ac:dyDescent="0.25">
      <c r="A247" s="81">
        <f t="shared" si="22"/>
        <v>23</v>
      </c>
      <c r="B247" s="180" t="s">
        <v>207</v>
      </c>
      <c r="C247" s="180" t="s">
        <v>392</v>
      </c>
      <c r="D247" s="182">
        <v>33000</v>
      </c>
      <c r="E247" s="182"/>
      <c r="F247" s="182"/>
      <c r="G247" s="182">
        <f t="shared" si="21"/>
        <v>33000</v>
      </c>
      <c r="H247" s="182"/>
      <c r="I247" s="185"/>
    </row>
    <row r="248" spans="1:9" x14ac:dyDescent="0.25">
      <c r="A248" s="81">
        <f t="shared" si="22"/>
        <v>24</v>
      </c>
      <c r="B248" s="180" t="s">
        <v>252</v>
      </c>
      <c r="C248" s="180" t="s">
        <v>253</v>
      </c>
      <c r="D248" s="182">
        <v>6000</v>
      </c>
      <c r="E248" s="182"/>
      <c r="F248" s="182"/>
      <c r="G248" s="182">
        <f t="shared" si="21"/>
        <v>6000</v>
      </c>
      <c r="H248" s="182"/>
      <c r="I248" s="185"/>
    </row>
    <row r="249" spans="1:9" x14ac:dyDescent="0.25">
      <c r="A249" s="81">
        <f t="shared" si="22"/>
        <v>25</v>
      </c>
      <c r="B249" s="180" t="s">
        <v>207</v>
      </c>
      <c r="C249" s="180" t="s">
        <v>391</v>
      </c>
      <c r="D249" s="182">
        <v>15000</v>
      </c>
      <c r="E249" s="182"/>
      <c r="F249" s="182"/>
      <c r="G249" s="182">
        <f t="shared" si="21"/>
        <v>15000</v>
      </c>
      <c r="H249" s="182"/>
      <c r="I249" s="185"/>
    </row>
    <row r="250" spans="1:9" x14ac:dyDescent="0.25">
      <c r="A250" s="81">
        <f t="shared" si="22"/>
        <v>26</v>
      </c>
      <c r="B250" s="180"/>
      <c r="C250" s="180"/>
      <c r="D250" s="182"/>
      <c r="E250" s="182"/>
      <c r="F250" s="182"/>
      <c r="G250" s="182">
        <f t="shared" si="21"/>
        <v>0</v>
      </c>
      <c r="H250" s="182"/>
      <c r="I250" s="185"/>
    </row>
    <row r="251" spans="1:9" x14ac:dyDescent="0.25">
      <c r="A251" s="81">
        <f t="shared" si="22"/>
        <v>27</v>
      </c>
      <c r="B251" s="180"/>
      <c r="C251" s="180"/>
      <c r="D251" s="182"/>
      <c r="E251" s="182"/>
      <c r="F251" s="182"/>
      <c r="G251" s="182">
        <f t="shared" si="21"/>
        <v>0</v>
      </c>
      <c r="H251" s="182"/>
      <c r="I251" s="185"/>
    </row>
    <row r="252" spans="1:9" x14ac:dyDescent="0.25">
      <c r="A252" s="81">
        <f t="shared" si="22"/>
        <v>28</v>
      </c>
      <c r="B252" s="180"/>
      <c r="C252" s="180"/>
      <c r="D252" s="182"/>
      <c r="E252" s="182"/>
      <c r="F252" s="182"/>
      <c r="G252" s="182">
        <f t="shared" si="21"/>
        <v>0</v>
      </c>
      <c r="H252" s="182"/>
      <c r="I252" s="185"/>
    </row>
    <row r="253" spans="1:9" x14ac:dyDescent="0.25">
      <c r="A253" s="81">
        <f t="shared" si="22"/>
        <v>29</v>
      </c>
      <c r="B253" s="180"/>
      <c r="C253" s="180"/>
      <c r="D253" s="182"/>
      <c r="E253" s="182"/>
      <c r="F253" s="182"/>
      <c r="G253" s="182">
        <f t="shared" si="21"/>
        <v>0</v>
      </c>
      <c r="H253" s="182"/>
      <c r="I253" s="294" t="s">
        <v>393</v>
      </c>
    </row>
    <row r="254" spans="1:9" x14ac:dyDescent="0.25">
      <c r="A254" s="81">
        <f>1+A253</f>
        <v>30</v>
      </c>
      <c r="B254" s="180"/>
      <c r="C254" s="180"/>
      <c r="D254" s="182"/>
      <c r="E254" s="182"/>
      <c r="F254" s="182"/>
      <c r="G254" s="182">
        <f t="shared" si="21"/>
        <v>0</v>
      </c>
      <c r="H254" s="182"/>
      <c r="I254" s="295"/>
    </row>
    <row r="255" spans="1:9" x14ac:dyDescent="0.25">
      <c r="A255" s="81">
        <f t="shared" si="22"/>
        <v>31</v>
      </c>
      <c r="B255" s="180"/>
      <c r="C255" s="180"/>
      <c r="D255" s="182">
        <f>SUM(D226:D254)</f>
        <v>8093500</v>
      </c>
      <c r="E255" s="182">
        <f t="shared" ref="E255:G255" si="23">SUM(E226:E254)</f>
        <v>248000</v>
      </c>
      <c r="F255" s="182">
        <f t="shared" si="23"/>
        <v>1780500</v>
      </c>
      <c r="G255" s="182">
        <f t="shared" si="23"/>
        <v>6065000</v>
      </c>
      <c r="H255" s="182" t="e">
        <f>+H226+#REF!-F255-G255</f>
        <v>#REF!</v>
      </c>
      <c r="I255" s="296"/>
    </row>
    <row r="256" spans="1:9" ht="18.75" x14ac:dyDescent="0.3">
      <c r="A256" s="16"/>
      <c r="B256" s="292" t="s">
        <v>152</v>
      </c>
      <c r="C256" s="292"/>
      <c r="D256" s="292"/>
      <c r="E256" s="292"/>
      <c r="F256" s="292"/>
      <c r="G256" s="292"/>
      <c r="H256" s="292"/>
      <c r="I256" s="292"/>
    </row>
    <row r="257" spans="1:9" ht="30" x14ac:dyDescent="0.25">
      <c r="A257" s="193"/>
      <c r="B257" s="194" t="s">
        <v>56</v>
      </c>
      <c r="C257" s="194" t="s">
        <v>131</v>
      </c>
      <c r="D257" s="194" t="s">
        <v>132</v>
      </c>
      <c r="E257" s="194" t="s">
        <v>133</v>
      </c>
      <c r="F257" s="194" t="s">
        <v>134</v>
      </c>
      <c r="G257" s="194" t="s">
        <v>135</v>
      </c>
      <c r="H257" s="194" t="s">
        <v>145</v>
      </c>
      <c r="I257" s="194" t="s">
        <v>137</v>
      </c>
    </row>
    <row r="258" spans="1:9" ht="18" x14ac:dyDescent="0.4">
      <c r="A258" s="193"/>
      <c r="B258" s="193"/>
      <c r="C258" s="193"/>
      <c r="D258" s="195"/>
      <c r="E258" s="195"/>
      <c r="F258" s="195"/>
      <c r="G258" s="195"/>
      <c r="H258" s="196">
        <v>5735975</v>
      </c>
      <c r="I258" s="197"/>
    </row>
    <row r="259" spans="1:9" ht="18" x14ac:dyDescent="0.4">
      <c r="A259" s="193"/>
      <c r="B259" s="193"/>
      <c r="C259" s="193" t="s">
        <v>138</v>
      </c>
      <c r="D259" s="195"/>
      <c r="E259" s="195"/>
      <c r="F259" s="195"/>
      <c r="G259" s="195"/>
      <c r="H259" s="196"/>
      <c r="I259" s="197"/>
    </row>
    <row r="260" spans="1:9" x14ac:dyDescent="0.25">
      <c r="A260" s="193">
        <v>5</v>
      </c>
      <c r="B260" s="193" t="s">
        <v>243</v>
      </c>
      <c r="C260" s="193" t="s">
        <v>310</v>
      </c>
      <c r="D260" s="195">
        <v>17000</v>
      </c>
      <c r="E260" s="195">
        <v>17000</v>
      </c>
      <c r="F260" s="195"/>
      <c r="G260" s="195">
        <f>+D260-E260-F260</f>
        <v>0</v>
      </c>
      <c r="H260" s="195"/>
      <c r="I260" s="198"/>
    </row>
    <row r="261" spans="1:9" x14ac:dyDescent="0.25">
      <c r="A261" s="193">
        <f>1+A260</f>
        <v>6</v>
      </c>
      <c r="B261" s="193" t="s">
        <v>394</v>
      </c>
      <c r="C261" s="193" t="s">
        <v>242</v>
      </c>
      <c r="D261" s="195">
        <v>300000</v>
      </c>
      <c r="E261" s="195">
        <v>50000</v>
      </c>
      <c r="F261" s="195">
        <f>70000+177500+2500</f>
        <v>250000</v>
      </c>
      <c r="G261" s="195">
        <f t="shared" ref="G261:G286" si="24">+D261-E261-F261</f>
        <v>0</v>
      </c>
      <c r="H261" s="195"/>
      <c r="I261" s="198" t="s">
        <v>401</v>
      </c>
    </row>
    <row r="262" spans="1:9" x14ac:dyDescent="0.25">
      <c r="A262" s="193">
        <f t="shared" ref="A262:A287" si="25">1+A261</f>
        <v>7</v>
      </c>
      <c r="B262" s="193" t="s">
        <v>402</v>
      </c>
      <c r="C262" s="193" t="s">
        <v>242</v>
      </c>
      <c r="D262" s="195">
        <v>300000</v>
      </c>
      <c r="E262" s="195"/>
      <c r="F262" s="195">
        <f>2500+70000+127500</f>
        <v>200000</v>
      </c>
      <c r="G262" s="195">
        <f t="shared" si="24"/>
        <v>100000</v>
      </c>
      <c r="H262" s="195"/>
      <c r="I262" s="198" t="s">
        <v>403</v>
      </c>
    </row>
    <row r="263" spans="1:9" x14ac:dyDescent="0.25">
      <c r="A263" s="193">
        <f t="shared" si="25"/>
        <v>8</v>
      </c>
      <c r="B263" s="193" t="s">
        <v>252</v>
      </c>
      <c r="C263" s="193" t="s">
        <v>242</v>
      </c>
      <c r="D263" s="195">
        <v>300000</v>
      </c>
      <c r="E263" s="195"/>
      <c r="F263" s="195">
        <f>2500+70000</f>
        <v>72500</v>
      </c>
      <c r="G263" s="195">
        <f t="shared" si="24"/>
        <v>227500</v>
      </c>
      <c r="H263" s="195"/>
      <c r="I263" s="198" t="s">
        <v>404</v>
      </c>
    </row>
    <row r="264" spans="1:9" x14ac:dyDescent="0.25">
      <c r="A264" s="193">
        <f t="shared" si="25"/>
        <v>9</v>
      </c>
      <c r="B264" s="193" t="s">
        <v>405</v>
      </c>
      <c r="C264" s="193" t="s">
        <v>289</v>
      </c>
      <c r="D264" s="195">
        <v>900000</v>
      </c>
      <c r="E264" s="195"/>
      <c r="F264" s="195">
        <f>7500+0</f>
        <v>7500</v>
      </c>
      <c r="G264" s="195">
        <f t="shared" si="24"/>
        <v>892500</v>
      </c>
      <c r="H264" s="195"/>
      <c r="I264" s="198"/>
    </row>
    <row r="265" spans="1:9" x14ac:dyDescent="0.25">
      <c r="A265" s="193">
        <f t="shared" si="25"/>
        <v>10</v>
      </c>
      <c r="B265" s="193" t="s">
        <v>368</v>
      </c>
      <c r="C265" s="193" t="s">
        <v>289</v>
      </c>
      <c r="D265" s="195">
        <v>900000</v>
      </c>
      <c r="E265" s="195"/>
      <c r="F265" s="195">
        <f>7500+892500</f>
        <v>900000</v>
      </c>
      <c r="G265" s="195">
        <f t="shared" si="24"/>
        <v>0</v>
      </c>
      <c r="H265" s="195"/>
      <c r="I265" s="198"/>
    </row>
    <row r="266" spans="1:9" x14ac:dyDescent="0.25">
      <c r="A266" s="193">
        <f t="shared" si="25"/>
        <v>11</v>
      </c>
      <c r="B266" s="193" t="s">
        <v>245</v>
      </c>
      <c r="C266" s="193" t="s">
        <v>406</v>
      </c>
      <c r="D266" s="195">
        <v>58000</v>
      </c>
      <c r="E266" s="195">
        <v>58000</v>
      </c>
      <c r="F266" s="195"/>
      <c r="G266" s="195">
        <f t="shared" si="24"/>
        <v>0</v>
      </c>
      <c r="H266" s="195"/>
      <c r="I266" s="198"/>
    </row>
    <row r="267" spans="1:9" x14ac:dyDescent="0.25">
      <c r="A267" s="193">
        <f t="shared" si="25"/>
        <v>12</v>
      </c>
      <c r="B267" s="193" t="s">
        <v>216</v>
      </c>
      <c r="C267" s="193" t="s">
        <v>407</v>
      </c>
      <c r="D267" s="195">
        <v>200000</v>
      </c>
      <c r="E267" s="195"/>
      <c r="F267" s="195"/>
      <c r="G267" s="195">
        <f t="shared" si="24"/>
        <v>200000</v>
      </c>
      <c r="H267" s="195"/>
      <c r="I267" s="198"/>
    </row>
    <row r="268" spans="1:9" x14ac:dyDescent="0.25">
      <c r="A268" s="193">
        <f t="shared" si="25"/>
        <v>13</v>
      </c>
      <c r="B268" s="193" t="s">
        <v>228</v>
      </c>
      <c r="C268" s="193" t="s">
        <v>407</v>
      </c>
      <c r="D268" s="195">
        <v>200000</v>
      </c>
      <c r="E268" s="195"/>
      <c r="F268" s="195"/>
      <c r="G268" s="195">
        <f t="shared" si="24"/>
        <v>200000</v>
      </c>
      <c r="H268" s="195"/>
      <c r="I268" s="198"/>
    </row>
    <row r="269" spans="1:9" x14ac:dyDescent="0.25">
      <c r="A269" s="193">
        <f t="shared" si="25"/>
        <v>14</v>
      </c>
      <c r="B269" s="193" t="s">
        <v>207</v>
      </c>
      <c r="C269" s="193" t="s">
        <v>407</v>
      </c>
      <c r="D269" s="195">
        <v>200000</v>
      </c>
      <c r="E269" s="195">
        <v>9000</v>
      </c>
      <c r="F269" s="195"/>
      <c r="G269" s="195">
        <f t="shared" si="24"/>
        <v>191000</v>
      </c>
      <c r="H269" s="195"/>
      <c r="I269" s="198"/>
    </row>
    <row r="270" spans="1:9" x14ac:dyDescent="0.25">
      <c r="A270" s="193">
        <f t="shared" si="25"/>
        <v>15</v>
      </c>
      <c r="B270" s="193" t="s">
        <v>275</v>
      </c>
      <c r="C270" s="193" t="s">
        <v>408</v>
      </c>
      <c r="D270" s="195">
        <v>200000</v>
      </c>
      <c r="E270" s="195"/>
      <c r="F270" s="195"/>
      <c r="G270" s="195">
        <f t="shared" si="24"/>
        <v>200000</v>
      </c>
      <c r="H270" s="195"/>
      <c r="I270" s="198"/>
    </row>
    <row r="271" spans="1:9" x14ac:dyDescent="0.25">
      <c r="A271" s="193">
        <f t="shared" si="25"/>
        <v>16</v>
      </c>
      <c r="B271" s="193" t="s">
        <v>38</v>
      </c>
      <c r="C271" s="193" t="s">
        <v>408</v>
      </c>
      <c r="D271" s="195">
        <v>200000</v>
      </c>
      <c r="E271" s="195"/>
      <c r="F271" s="195"/>
      <c r="G271" s="195">
        <f t="shared" si="24"/>
        <v>200000</v>
      </c>
      <c r="H271" s="195"/>
      <c r="I271" s="198"/>
    </row>
    <row r="272" spans="1:9" x14ac:dyDescent="0.25">
      <c r="A272" s="193">
        <f t="shared" si="25"/>
        <v>17</v>
      </c>
      <c r="B272" s="193" t="s">
        <v>325</v>
      </c>
      <c r="C272" s="193" t="s">
        <v>408</v>
      </c>
      <c r="D272" s="195">
        <v>200000</v>
      </c>
      <c r="E272" s="195"/>
      <c r="F272" s="195"/>
      <c r="G272" s="195">
        <f t="shared" si="24"/>
        <v>200000</v>
      </c>
      <c r="H272" s="195"/>
      <c r="I272" s="198"/>
    </row>
    <row r="273" spans="1:9" x14ac:dyDescent="0.25">
      <c r="A273" s="193">
        <f t="shared" si="25"/>
        <v>18</v>
      </c>
      <c r="B273" s="193" t="s">
        <v>252</v>
      </c>
      <c r="C273" s="193" t="s">
        <v>408</v>
      </c>
      <c r="D273" s="195">
        <v>100000</v>
      </c>
      <c r="E273" s="195">
        <v>100000</v>
      </c>
      <c r="F273" s="195"/>
      <c r="G273" s="195">
        <f t="shared" si="24"/>
        <v>0</v>
      </c>
      <c r="H273" s="195"/>
      <c r="I273" s="198"/>
    </row>
    <row r="274" spans="1:9" x14ac:dyDescent="0.25">
      <c r="A274" s="193">
        <f t="shared" si="25"/>
        <v>19</v>
      </c>
      <c r="B274" s="193" t="s">
        <v>320</v>
      </c>
      <c r="C274" s="193" t="s">
        <v>408</v>
      </c>
      <c r="D274" s="195">
        <v>30000</v>
      </c>
      <c r="E274" s="195">
        <v>30000</v>
      </c>
      <c r="F274" s="195"/>
      <c r="G274" s="195">
        <f t="shared" si="24"/>
        <v>0</v>
      </c>
      <c r="H274" s="195"/>
      <c r="I274" s="198"/>
    </row>
    <row r="275" spans="1:9" x14ac:dyDescent="0.25">
      <c r="A275" s="193">
        <f t="shared" si="25"/>
        <v>20</v>
      </c>
      <c r="B275" s="193" t="s">
        <v>301</v>
      </c>
      <c r="C275" s="193" t="s">
        <v>408</v>
      </c>
      <c r="D275" s="195">
        <v>100000</v>
      </c>
      <c r="E275" s="195"/>
      <c r="F275" s="195"/>
      <c r="G275" s="195">
        <f t="shared" si="24"/>
        <v>100000</v>
      </c>
      <c r="H275" s="195"/>
      <c r="I275" s="198"/>
    </row>
    <row r="276" spans="1:9" x14ac:dyDescent="0.25">
      <c r="A276" s="193">
        <f t="shared" si="25"/>
        <v>21</v>
      </c>
      <c r="B276" s="193" t="s">
        <v>252</v>
      </c>
      <c r="C276" s="193" t="s">
        <v>253</v>
      </c>
      <c r="D276" s="195">
        <v>6000</v>
      </c>
      <c r="E276" s="195"/>
      <c r="F276" s="195"/>
      <c r="G276" s="195">
        <f t="shared" si="24"/>
        <v>6000</v>
      </c>
      <c r="H276" s="195"/>
      <c r="I276" s="198"/>
    </row>
    <row r="277" spans="1:9" x14ac:dyDescent="0.25">
      <c r="A277" s="193">
        <f t="shared" si="25"/>
        <v>22</v>
      </c>
      <c r="B277" s="193" t="s">
        <v>207</v>
      </c>
      <c r="C277" s="193" t="s">
        <v>410</v>
      </c>
      <c r="D277" s="195">
        <v>140000</v>
      </c>
      <c r="E277" s="195"/>
      <c r="F277" s="195"/>
      <c r="G277" s="195">
        <f t="shared" si="24"/>
        <v>140000</v>
      </c>
      <c r="H277" s="195"/>
      <c r="I277" s="198"/>
    </row>
    <row r="278" spans="1:9" x14ac:dyDescent="0.25">
      <c r="A278" s="193">
        <f t="shared" si="25"/>
        <v>23</v>
      </c>
      <c r="B278" s="193" t="s">
        <v>207</v>
      </c>
      <c r="C278" s="193" t="s">
        <v>409</v>
      </c>
      <c r="D278" s="195">
        <v>100000</v>
      </c>
      <c r="E278" s="195"/>
      <c r="F278" s="195"/>
      <c r="G278" s="195">
        <f t="shared" si="24"/>
        <v>100000</v>
      </c>
      <c r="H278" s="195"/>
      <c r="I278" s="198"/>
    </row>
    <row r="279" spans="1:9" x14ac:dyDescent="0.25">
      <c r="A279" s="193">
        <f t="shared" si="25"/>
        <v>24</v>
      </c>
      <c r="B279" s="193"/>
      <c r="C279" s="193"/>
      <c r="D279" s="195"/>
      <c r="E279" s="195"/>
      <c r="F279" s="195"/>
      <c r="G279" s="195">
        <f t="shared" si="24"/>
        <v>0</v>
      </c>
      <c r="H279" s="195"/>
      <c r="I279" s="198"/>
    </row>
    <row r="280" spans="1:9" x14ac:dyDescent="0.25">
      <c r="A280" s="193">
        <f t="shared" si="25"/>
        <v>25</v>
      </c>
      <c r="B280" s="193"/>
      <c r="C280" s="193"/>
      <c r="D280" s="195"/>
      <c r="E280" s="195"/>
      <c r="F280" s="195"/>
      <c r="G280" s="195">
        <f t="shared" si="24"/>
        <v>0</v>
      </c>
      <c r="H280" s="195"/>
      <c r="I280" s="198"/>
    </row>
    <row r="281" spans="1:9" x14ac:dyDescent="0.25">
      <c r="A281" s="193">
        <f t="shared" si="25"/>
        <v>26</v>
      </c>
      <c r="B281" s="193"/>
      <c r="C281" s="193"/>
      <c r="D281" s="195"/>
      <c r="E281" s="195"/>
      <c r="F281" s="195"/>
      <c r="G281" s="195">
        <f t="shared" si="24"/>
        <v>0</v>
      </c>
      <c r="H281" s="195"/>
      <c r="I281" s="198"/>
    </row>
    <row r="282" spans="1:9" x14ac:dyDescent="0.25">
      <c r="A282" s="193">
        <f t="shared" si="25"/>
        <v>27</v>
      </c>
      <c r="B282" s="193"/>
      <c r="C282" s="193"/>
      <c r="D282" s="195"/>
      <c r="E282" s="195"/>
      <c r="F282" s="195"/>
      <c r="G282" s="195">
        <f t="shared" si="24"/>
        <v>0</v>
      </c>
      <c r="H282" s="195"/>
      <c r="I282" s="198"/>
    </row>
    <row r="283" spans="1:9" x14ac:dyDescent="0.25">
      <c r="A283" s="193">
        <f t="shared" si="25"/>
        <v>28</v>
      </c>
      <c r="B283" s="193"/>
      <c r="C283" s="193"/>
      <c r="D283" s="195"/>
      <c r="E283" s="195"/>
      <c r="F283" s="195"/>
      <c r="G283" s="195">
        <f t="shared" si="24"/>
        <v>0</v>
      </c>
      <c r="H283" s="195"/>
      <c r="I283" s="198"/>
    </row>
    <row r="284" spans="1:9" x14ac:dyDescent="0.25">
      <c r="A284" s="193">
        <f t="shared" si="25"/>
        <v>29</v>
      </c>
      <c r="B284" s="193"/>
      <c r="C284" s="193"/>
      <c r="D284" s="195"/>
      <c r="E284" s="195"/>
      <c r="F284" s="195"/>
      <c r="G284" s="195">
        <f t="shared" si="24"/>
        <v>0</v>
      </c>
      <c r="H284" s="195"/>
      <c r="I284" s="198"/>
    </row>
    <row r="285" spans="1:9" x14ac:dyDescent="0.25">
      <c r="A285" s="193">
        <f t="shared" si="25"/>
        <v>30</v>
      </c>
      <c r="B285" s="193"/>
      <c r="C285" s="193"/>
      <c r="D285" s="195"/>
      <c r="E285" s="195"/>
      <c r="F285" s="195"/>
      <c r="G285" s="195">
        <f t="shared" si="24"/>
        <v>0</v>
      </c>
      <c r="H285" s="195"/>
      <c r="I285" s="198"/>
    </row>
    <row r="286" spans="1:9" x14ac:dyDescent="0.25">
      <c r="A286" s="193">
        <f>1+A285</f>
        <v>31</v>
      </c>
      <c r="B286" s="193"/>
      <c r="C286" s="193"/>
      <c r="D286" s="195"/>
      <c r="E286" s="195"/>
      <c r="F286" s="195"/>
      <c r="G286" s="195">
        <f t="shared" si="24"/>
        <v>0</v>
      </c>
      <c r="H286" s="195"/>
      <c r="I286" s="198"/>
    </row>
    <row r="287" spans="1:9" x14ac:dyDescent="0.25">
      <c r="A287" s="193">
        <f t="shared" si="25"/>
        <v>32</v>
      </c>
      <c r="B287" s="193"/>
      <c r="C287" s="193"/>
      <c r="D287" s="195">
        <f>SUM(D258:D286)</f>
        <v>4451000</v>
      </c>
      <c r="E287" s="195">
        <f t="shared" ref="E287:G287" si="26">SUM(E258:E286)</f>
        <v>264000</v>
      </c>
      <c r="F287" s="195">
        <f t="shared" si="26"/>
        <v>1430000</v>
      </c>
      <c r="G287" s="195">
        <f t="shared" si="26"/>
        <v>2757000</v>
      </c>
      <c r="H287" s="195"/>
      <c r="I287" s="198"/>
    </row>
    <row r="288" spans="1:9" ht="18.75" x14ac:dyDescent="0.3">
      <c r="A288" s="16"/>
      <c r="B288" s="292" t="s">
        <v>153</v>
      </c>
      <c r="C288" s="292"/>
      <c r="D288" s="292"/>
      <c r="E288" s="292"/>
      <c r="F288" s="292"/>
      <c r="G288" s="292"/>
      <c r="H288" s="292"/>
      <c r="I288" s="292"/>
    </row>
    <row r="289" spans="1:9" ht="30" x14ac:dyDescent="0.25">
      <c r="A289" s="81"/>
      <c r="B289" s="116" t="s">
        <v>56</v>
      </c>
      <c r="C289" s="116" t="s">
        <v>131</v>
      </c>
      <c r="D289" s="116" t="s">
        <v>132</v>
      </c>
      <c r="E289" s="116" t="s">
        <v>133</v>
      </c>
      <c r="F289" s="116" t="s">
        <v>134</v>
      </c>
      <c r="G289" s="116" t="s">
        <v>135</v>
      </c>
      <c r="H289" s="116" t="s">
        <v>145</v>
      </c>
      <c r="I289" s="116" t="s">
        <v>137</v>
      </c>
    </row>
    <row r="290" spans="1:9" ht="18" x14ac:dyDescent="0.4">
      <c r="A290" s="81"/>
      <c r="B290" s="81"/>
      <c r="C290" s="81"/>
      <c r="D290" s="117"/>
      <c r="E290" s="117"/>
      <c r="F290" s="117"/>
      <c r="G290" s="117"/>
      <c r="H290" s="118">
        <v>5735975</v>
      </c>
      <c r="I290" s="119"/>
    </row>
    <row r="291" spans="1:9" ht="18" x14ac:dyDescent="0.4">
      <c r="A291" s="81"/>
      <c r="B291" s="81"/>
      <c r="C291" s="81" t="s">
        <v>138</v>
      </c>
      <c r="D291" s="117"/>
      <c r="E291" s="117"/>
      <c r="F291" s="117"/>
      <c r="G291" s="117"/>
      <c r="H291" s="118"/>
      <c r="I291" s="119"/>
    </row>
    <row r="292" spans="1:9" x14ac:dyDescent="0.25">
      <c r="A292" s="81">
        <v>5</v>
      </c>
      <c r="B292" s="81" t="s">
        <v>206</v>
      </c>
      <c r="C292" s="81" t="s">
        <v>331</v>
      </c>
      <c r="D292" s="117">
        <v>1000000</v>
      </c>
      <c r="E292" s="117"/>
      <c r="F292" s="117">
        <f>20000+0</f>
        <v>20000</v>
      </c>
      <c r="G292" s="117">
        <f>+D292-E292-F292</f>
        <v>980000</v>
      </c>
      <c r="H292" s="117"/>
      <c r="I292" s="120"/>
    </row>
    <row r="293" spans="1:9" x14ac:dyDescent="0.25">
      <c r="A293" s="81">
        <f>1+A292</f>
        <v>6</v>
      </c>
      <c r="B293" s="81" t="s">
        <v>275</v>
      </c>
      <c r="C293" s="81" t="s">
        <v>413</v>
      </c>
      <c r="D293" s="117">
        <v>500000</v>
      </c>
      <c r="E293" s="117"/>
      <c r="F293" s="117"/>
      <c r="G293" s="117">
        <f t="shared" ref="G293:G318" si="27">+D293-E293-F293</f>
        <v>500000</v>
      </c>
      <c r="H293" s="117"/>
      <c r="I293" s="120" t="s">
        <v>420</v>
      </c>
    </row>
    <row r="294" spans="1:9" x14ac:dyDescent="0.25">
      <c r="A294" s="81">
        <f t="shared" ref="A294:A319" si="28">1+A293</f>
        <v>7</v>
      </c>
      <c r="B294" s="81" t="s">
        <v>405</v>
      </c>
      <c r="C294" s="81" t="s">
        <v>242</v>
      </c>
      <c r="D294" s="117">
        <v>300000</v>
      </c>
      <c r="E294" s="117"/>
      <c r="F294" s="117">
        <f>2500+70000</f>
        <v>72500</v>
      </c>
      <c r="G294" s="117">
        <f t="shared" si="27"/>
        <v>227500</v>
      </c>
      <c r="H294" s="117"/>
      <c r="I294" s="120" t="s">
        <v>280</v>
      </c>
    </row>
    <row r="295" spans="1:9" ht="30" x14ac:dyDescent="0.25">
      <c r="A295" s="81">
        <f t="shared" si="28"/>
        <v>8</v>
      </c>
      <c r="B295" s="81" t="s">
        <v>224</v>
      </c>
      <c r="C295" s="81" t="s">
        <v>242</v>
      </c>
      <c r="D295" s="117">
        <v>300000</v>
      </c>
      <c r="E295" s="117"/>
      <c r="F295" s="117">
        <f>2500+70000+227500</f>
        <v>300000</v>
      </c>
      <c r="G295" s="117">
        <f t="shared" si="27"/>
        <v>0</v>
      </c>
      <c r="H295" s="117"/>
      <c r="I295" s="120" t="s">
        <v>414</v>
      </c>
    </row>
    <row r="296" spans="1:9" x14ac:dyDescent="0.25">
      <c r="A296" s="81">
        <f t="shared" si="28"/>
        <v>9</v>
      </c>
      <c r="B296" s="81" t="s">
        <v>243</v>
      </c>
      <c r="C296" s="81" t="s">
        <v>415</v>
      </c>
      <c r="D296" s="117">
        <v>6000</v>
      </c>
      <c r="E296" s="117"/>
      <c r="F296" s="117"/>
      <c r="G296" s="117">
        <f t="shared" si="27"/>
        <v>6000</v>
      </c>
      <c r="H296" s="117"/>
      <c r="I296" s="120"/>
    </row>
    <row r="297" spans="1:9" x14ac:dyDescent="0.25">
      <c r="A297" s="81">
        <f t="shared" si="28"/>
        <v>10</v>
      </c>
      <c r="B297" s="81" t="s">
        <v>252</v>
      </c>
      <c r="C297" s="81" t="s">
        <v>416</v>
      </c>
      <c r="D297" s="117">
        <v>7500</v>
      </c>
      <c r="E297" s="117"/>
      <c r="F297" s="117"/>
      <c r="G297" s="117">
        <f t="shared" si="27"/>
        <v>7500</v>
      </c>
      <c r="H297" s="117"/>
      <c r="I297" s="120"/>
    </row>
    <row r="298" spans="1:9" x14ac:dyDescent="0.25">
      <c r="A298" s="81">
        <f t="shared" si="28"/>
        <v>11</v>
      </c>
      <c r="B298" s="81" t="s">
        <v>92</v>
      </c>
      <c r="C298" s="81" t="s">
        <v>417</v>
      </c>
      <c r="D298" s="117">
        <v>500000</v>
      </c>
      <c r="E298" s="117"/>
      <c r="F298" s="117"/>
      <c r="G298" s="117">
        <f t="shared" si="27"/>
        <v>500000</v>
      </c>
      <c r="H298" s="117"/>
      <c r="I298" s="120" t="s">
        <v>419</v>
      </c>
    </row>
    <row r="299" spans="1:9" x14ac:dyDescent="0.25">
      <c r="A299" s="81">
        <f t="shared" si="28"/>
        <v>12</v>
      </c>
      <c r="B299" s="81" t="s">
        <v>275</v>
      </c>
      <c r="C299" s="81" t="s">
        <v>418</v>
      </c>
      <c r="D299" s="117">
        <v>100000</v>
      </c>
      <c r="E299" s="117"/>
      <c r="F299" s="117"/>
      <c r="G299" s="117">
        <f t="shared" si="27"/>
        <v>100000</v>
      </c>
      <c r="H299" s="117"/>
      <c r="I299" s="120"/>
    </row>
    <row r="300" spans="1:9" x14ac:dyDescent="0.25">
      <c r="A300" s="81">
        <f t="shared" si="28"/>
        <v>13</v>
      </c>
      <c r="B300" s="81" t="s">
        <v>320</v>
      </c>
      <c r="C300" s="81" t="s">
        <v>244</v>
      </c>
      <c r="D300" s="117">
        <v>30000</v>
      </c>
      <c r="E300" s="117"/>
      <c r="F300" s="117"/>
      <c r="G300" s="117">
        <f t="shared" si="27"/>
        <v>30000</v>
      </c>
      <c r="H300" s="117"/>
      <c r="I300" s="120"/>
    </row>
    <row r="301" spans="1:9" x14ac:dyDescent="0.25">
      <c r="A301" s="81">
        <f t="shared" si="28"/>
        <v>14</v>
      </c>
      <c r="B301" s="81" t="s">
        <v>206</v>
      </c>
      <c r="C301" s="81" t="s">
        <v>251</v>
      </c>
      <c r="D301" s="117">
        <v>150000</v>
      </c>
      <c r="E301" s="117">
        <v>100000</v>
      </c>
      <c r="F301" s="117"/>
      <c r="G301" s="117">
        <f t="shared" si="27"/>
        <v>50000</v>
      </c>
      <c r="H301" s="117"/>
      <c r="I301" s="120"/>
    </row>
    <row r="302" spans="1:9" x14ac:dyDescent="0.25">
      <c r="A302" s="81">
        <f t="shared" si="28"/>
        <v>15</v>
      </c>
      <c r="B302" s="81" t="s">
        <v>207</v>
      </c>
      <c r="C302" s="81" t="s">
        <v>421</v>
      </c>
      <c r="D302" s="117">
        <v>150000</v>
      </c>
      <c r="E302" s="117">
        <v>27000</v>
      </c>
      <c r="F302" s="117"/>
      <c r="G302" s="117">
        <f t="shared" si="27"/>
        <v>123000</v>
      </c>
      <c r="H302" s="117"/>
      <c r="I302" s="120"/>
    </row>
    <row r="303" spans="1:9" x14ac:dyDescent="0.25">
      <c r="A303" s="81">
        <f t="shared" si="28"/>
        <v>16</v>
      </c>
      <c r="B303" s="81" t="s">
        <v>245</v>
      </c>
      <c r="C303" s="81" t="s">
        <v>251</v>
      </c>
      <c r="D303" s="117">
        <v>75000</v>
      </c>
      <c r="E303" s="117">
        <v>75000</v>
      </c>
      <c r="F303" s="117"/>
      <c r="G303" s="117">
        <f t="shared" si="27"/>
        <v>0</v>
      </c>
      <c r="H303" s="117"/>
      <c r="I303" s="120"/>
    </row>
    <row r="304" spans="1:9" x14ac:dyDescent="0.25">
      <c r="A304" s="81">
        <f t="shared" si="28"/>
        <v>17</v>
      </c>
      <c r="B304" s="81" t="s">
        <v>243</v>
      </c>
      <c r="C304" s="81" t="s">
        <v>333</v>
      </c>
      <c r="D304" s="117">
        <v>60000</v>
      </c>
      <c r="E304" s="117">
        <v>60000</v>
      </c>
      <c r="F304" s="117"/>
      <c r="G304" s="117">
        <f t="shared" si="27"/>
        <v>0</v>
      </c>
      <c r="H304" s="117"/>
      <c r="I304" s="120"/>
    </row>
    <row r="305" spans="1:9" x14ac:dyDescent="0.25">
      <c r="A305" s="81">
        <f t="shared" si="28"/>
        <v>18</v>
      </c>
      <c r="B305" s="81" t="s">
        <v>207</v>
      </c>
      <c r="C305" s="81" t="s">
        <v>333</v>
      </c>
      <c r="D305" s="117">
        <v>30000</v>
      </c>
      <c r="E305" s="117">
        <v>30000</v>
      </c>
      <c r="F305" s="117"/>
      <c r="G305" s="117">
        <f t="shared" si="27"/>
        <v>0</v>
      </c>
      <c r="H305" s="117"/>
      <c r="I305" s="120"/>
    </row>
    <row r="306" spans="1:9" x14ac:dyDescent="0.25">
      <c r="A306" s="81">
        <f t="shared" si="28"/>
        <v>19</v>
      </c>
      <c r="B306" s="81" t="s">
        <v>380</v>
      </c>
      <c r="C306" s="81" t="s">
        <v>244</v>
      </c>
      <c r="D306" s="117">
        <v>27500</v>
      </c>
      <c r="E306" s="117">
        <v>27500</v>
      </c>
      <c r="F306" s="117"/>
      <c r="G306" s="117">
        <f t="shared" si="27"/>
        <v>0</v>
      </c>
      <c r="H306" s="117"/>
      <c r="I306" s="120"/>
    </row>
    <row r="307" spans="1:9" x14ac:dyDescent="0.25">
      <c r="A307" s="81">
        <f t="shared" si="28"/>
        <v>20</v>
      </c>
      <c r="B307" s="81" t="s">
        <v>207</v>
      </c>
      <c r="C307" s="81" t="s">
        <v>248</v>
      </c>
      <c r="D307" s="117">
        <v>200000</v>
      </c>
      <c r="E307" s="117"/>
      <c r="F307" s="117"/>
      <c r="G307" s="117">
        <f t="shared" si="27"/>
        <v>200000</v>
      </c>
      <c r="H307" s="117"/>
      <c r="I307" s="120"/>
    </row>
    <row r="308" spans="1:9" x14ac:dyDescent="0.25">
      <c r="A308" s="81">
        <f t="shared" si="28"/>
        <v>21</v>
      </c>
      <c r="B308" s="81" t="s">
        <v>325</v>
      </c>
      <c r="C308" s="81" t="s">
        <v>248</v>
      </c>
      <c r="D308" s="117">
        <v>200000</v>
      </c>
      <c r="E308" s="117"/>
      <c r="F308" s="117"/>
      <c r="G308" s="117">
        <f t="shared" si="27"/>
        <v>200000</v>
      </c>
      <c r="H308" s="117"/>
      <c r="I308" s="120" t="s">
        <v>237</v>
      </c>
    </row>
    <row r="309" spans="1:9" x14ac:dyDescent="0.25">
      <c r="A309" s="81">
        <f t="shared" si="28"/>
        <v>22</v>
      </c>
      <c r="B309" s="81" t="s">
        <v>216</v>
      </c>
      <c r="C309" s="81" t="s">
        <v>248</v>
      </c>
      <c r="D309" s="117">
        <v>200000</v>
      </c>
      <c r="E309" s="117"/>
      <c r="F309" s="117"/>
      <c r="G309" s="117">
        <f t="shared" si="27"/>
        <v>200000</v>
      </c>
      <c r="H309" s="117"/>
      <c r="I309" s="120"/>
    </row>
    <row r="310" spans="1:9" x14ac:dyDescent="0.25">
      <c r="A310" s="81">
        <f t="shared" si="28"/>
        <v>23</v>
      </c>
      <c r="B310" s="81" t="s">
        <v>38</v>
      </c>
      <c r="C310" s="81" t="s">
        <v>248</v>
      </c>
      <c r="D310" s="117">
        <v>200000</v>
      </c>
      <c r="E310" s="117">
        <v>70000</v>
      </c>
      <c r="F310" s="117"/>
      <c r="G310" s="117">
        <f t="shared" si="27"/>
        <v>130000</v>
      </c>
      <c r="H310" s="117"/>
      <c r="I310" s="120"/>
    </row>
    <row r="311" spans="1:9" x14ac:dyDescent="0.25">
      <c r="A311" s="81">
        <f t="shared" si="28"/>
        <v>24</v>
      </c>
      <c r="B311" s="81" t="s">
        <v>228</v>
      </c>
      <c r="C311" s="81" t="s">
        <v>248</v>
      </c>
      <c r="D311" s="117">
        <v>200000</v>
      </c>
      <c r="E311" s="117"/>
      <c r="F311" s="117"/>
      <c r="G311" s="117">
        <f t="shared" si="27"/>
        <v>200000</v>
      </c>
      <c r="H311" s="117"/>
      <c r="I311" s="120"/>
    </row>
    <row r="312" spans="1:9" x14ac:dyDescent="0.25">
      <c r="A312" s="81">
        <f t="shared" si="28"/>
        <v>25</v>
      </c>
      <c r="B312" s="81" t="s">
        <v>275</v>
      </c>
      <c r="C312" s="81" t="s">
        <v>248</v>
      </c>
      <c r="D312" s="117">
        <v>200000</v>
      </c>
      <c r="E312" s="117"/>
      <c r="F312" s="117"/>
      <c r="G312" s="117">
        <f t="shared" si="27"/>
        <v>200000</v>
      </c>
      <c r="H312" s="117"/>
      <c r="I312" s="120" t="s">
        <v>237</v>
      </c>
    </row>
    <row r="313" spans="1:9" x14ac:dyDescent="0.25">
      <c r="A313" s="81">
        <f t="shared" si="28"/>
        <v>26</v>
      </c>
      <c r="B313" s="81" t="s">
        <v>252</v>
      </c>
      <c r="C313" s="81" t="s">
        <v>422</v>
      </c>
      <c r="D313" s="117">
        <v>100000</v>
      </c>
      <c r="E313" s="117"/>
      <c r="F313" s="117"/>
      <c r="G313" s="117">
        <f t="shared" si="27"/>
        <v>100000</v>
      </c>
      <c r="H313" s="117"/>
      <c r="I313" s="120"/>
    </row>
    <row r="314" spans="1:9" x14ac:dyDescent="0.25">
      <c r="A314" s="81">
        <f t="shared" si="28"/>
        <v>27</v>
      </c>
      <c r="B314" s="81" t="s">
        <v>252</v>
      </c>
      <c r="C314" s="81" t="s">
        <v>253</v>
      </c>
      <c r="D314" s="117">
        <v>6000</v>
      </c>
      <c r="E314" s="117"/>
      <c r="F314" s="117"/>
      <c r="G314" s="117">
        <f t="shared" si="27"/>
        <v>6000</v>
      </c>
      <c r="H314" s="117"/>
      <c r="I314" s="120"/>
    </row>
    <row r="315" spans="1:9" x14ac:dyDescent="0.25">
      <c r="A315" s="81">
        <f t="shared" si="28"/>
        <v>28</v>
      </c>
      <c r="B315" s="81" t="s">
        <v>92</v>
      </c>
      <c r="C315" s="81" t="s">
        <v>423</v>
      </c>
      <c r="D315" s="117">
        <v>500000</v>
      </c>
      <c r="E315" s="117"/>
      <c r="F315" s="117"/>
      <c r="G315" s="117">
        <f t="shared" si="27"/>
        <v>500000</v>
      </c>
      <c r="H315" s="117"/>
      <c r="I315" s="120"/>
    </row>
    <row r="316" spans="1:9" x14ac:dyDescent="0.25">
      <c r="A316" s="81">
        <f t="shared" si="28"/>
        <v>29</v>
      </c>
      <c r="B316" s="81" t="s">
        <v>275</v>
      </c>
      <c r="C316" s="81" t="s">
        <v>424</v>
      </c>
      <c r="D316" s="117">
        <v>30000</v>
      </c>
      <c r="E316" s="117"/>
      <c r="F316" s="117"/>
      <c r="G316" s="117">
        <f t="shared" si="27"/>
        <v>30000</v>
      </c>
      <c r="H316" s="117"/>
      <c r="I316" s="120"/>
    </row>
    <row r="317" spans="1:9" x14ac:dyDescent="0.25">
      <c r="A317" s="81">
        <f t="shared" si="28"/>
        <v>30</v>
      </c>
      <c r="B317" s="81"/>
      <c r="C317" s="81"/>
      <c r="D317" s="117"/>
      <c r="E317" s="117"/>
      <c r="F317" s="117"/>
      <c r="G317" s="117">
        <f t="shared" si="27"/>
        <v>0</v>
      </c>
      <c r="H317" s="117"/>
      <c r="I317" s="120"/>
    </row>
    <row r="318" spans="1:9" x14ac:dyDescent="0.25">
      <c r="A318" s="81">
        <f>1+A317</f>
        <v>31</v>
      </c>
      <c r="B318" s="81"/>
      <c r="C318" s="81"/>
      <c r="D318" s="117"/>
      <c r="E318" s="117"/>
      <c r="F318" s="117"/>
      <c r="G318" s="117">
        <f t="shared" si="27"/>
        <v>0</v>
      </c>
      <c r="H318" s="117"/>
      <c r="I318" s="120"/>
    </row>
    <row r="319" spans="1:9" x14ac:dyDescent="0.25">
      <c r="A319" s="81">
        <f t="shared" si="28"/>
        <v>32</v>
      </c>
      <c r="B319" s="81"/>
      <c r="C319" s="81"/>
      <c r="D319" s="117">
        <f>SUM(D290:D318)</f>
        <v>5072000</v>
      </c>
      <c r="E319" s="117">
        <f t="shared" ref="E319:G319" si="29">SUM(E290:E318)</f>
        <v>389500</v>
      </c>
      <c r="F319" s="117">
        <f t="shared" si="29"/>
        <v>392500</v>
      </c>
      <c r="G319" s="117">
        <f t="shared" si="29"/>
        <v>4290000</v>
      </c>
      <c r="H319" s="117"/>
      <c r="I319" s="120"/>
    </row>
    <row r="320" spans="1:9" ht="18.75" x14ac:dyDescent="0.3">
      <c r="A320" s="16"/>
      <c r="B320" s="292" t="s">
        <v>154</v>
      </c>
      <c r="C320" s="292"/>
      <c r="D320" s="292"/>
      <c r="E320" s="292"/>
      <c r="F320" s="292"/>
      <c r="G320" s="292"/>
      <c r="H320" s="292"/>
      <c r="I320" s="292"/>
    </row>
    <row r="321" spans="1:9" ht="30" x14ac:dyDescent="0.25">
      <c r="A321" s="81"/>
      <c r="B321" s="116" t="s">
        <v>56</v>
      </c>
      <c r="C321" s="116" t="s">
        <v>131</v>
      </c>
      <c r="D321" s="116" t="s">
        <v>132</v>
      </c>
      <c r="E321" s="116" t="s">
        <v>133</v>
      </c>
      <c r="F321" s="116" t="s">
        <v>134</v>
      </c>
      <c r="G321" s="116" t="s">
        <v>135</v>
      </c>
      <c r="H321" s="116" t="s">
        <v>146</v>
      </c>
      <c r="I321" s="116" t="s">
        <v>137</v>
      </c>
    </row>
    <row r="322" spans="1:9" ht="18" x14ac:dyDescent="0.4">
      <c r="A322" s="81"/>
      <c r="B322" s="81"/>
      <c r="C322" s="81"/>
      <c r="D322" s="117"/>
      <c r="E322" s="117"/>
      <c r="F322" s="117"/>
      <c r="G322" s="117"/>
      <c r="H322" s="118">
        <v>5735976</v>
      </c>
      <c r="I322" s="119"/>
    </row>
    <row r="323" spans="1:9" ht="18" x14ac:dyDescent="0.4">
      <c r="A323" s="81"/>
      <c r="B323" s="81"/>
      <c r="C323" s="81" t="s">
        <v>138</v>
      </c>
      <c r="D323" s="117"/>
      <c r="E323" s="117"/>
      <c r="F323" s="117"/>
      <c r="G323" s="117"/>
      <c r="H323" s="118"/>
      <c r="I323" s="119"/>
    </row>
    <row r="324" spans="1:9" x14ac:dyDescent="0.25">
      <c r="A324" s="81">
        <v>6</v>
      </c>
      <c r="B324" s="81" t="s">
        <v>107</v>
      </c>
      <c r="C324" s="81" t="s">
        <v>289</v>
      </c>
      <c r="D324" s="117">
        <v>900000</v>
      </c>
      <c r="E324" s="117">
        <v>0</v>
      </c>
      <c r="F324" s="117">
        <v>7500</v>
      </c>
      <c r="G324" s="117">
        <f>+D324-E324-F324</f>
        <v>892500</v>
      </c>
      <c r="H324" s="117"/>
      <c r="I324" s="120"/>
    </row>
    <row r="325" spans="1:9" x14ac:dyDescent="0.25">
      <c r="A325" s="81">
        <f>1+A324</f>
        <v>7</v>
      </c>
      <c r="B325" s="81" t="s">
        <v>425</v>
      </c>
      <c r="C325" s="81" t="s">
        <v>289</v>
      </c>
      <c r="D325" s="117">
        <v>900000</v>
      </c>
      <c r="E325" s="117">
        <v>0</v>
      </c>
      <c r="F325" s="117">
        <f>530000+7500+115000</f>
        <v>652500</v>
      </c>
      <c r="G325" s="117">
        <f t="shared" ref="G325:G350" si="30">+D325-E325-F325</f>
        <v>247500</v>
      </c>
      <c r="H325" s="117"/>
      <c r="I325" s="120"/>
    </row>
    <row r="326" spans="1:9" x14ac:dyDescent="0.25">
      <c r="A326" s="81">
        <f t="shared" ref="A326:A351" si="31">1+A325</f>
        <v>8</v>
      </c>
      <c r="B326" s="81" t="s">
        <v>105</v>
      </c>
      <c r="C326" s="81" t="s">
        <v>311</v>
      </c>
      <c r="D326" s="117">
        <v>100000</v>
      </c>
      <c r="E326" s="117"/>
      <c r="F326" s="117"/>
      <c r="G326" s="117">
        <f t="shared" si="30"/>
        <v>100000</v>
      </c>
      <c r="H326" s="117"/>
      <c r="I326" s="120"/>
    </row>
    <row r="327" spans="1:9" x14ac:dyDescent="0.25">
      <c r="A327" s="81">
        <f t="shared" si="31"/>
        <v>9</v>
      </c>
      <c r="B327" s="81" t="s">
        <v>301</v>
      </c>
      <c r="C327" s="81" t="s">
        <v>311</v>
      </c>
      <c r="D327" s="117">
        <v>200000</v>
      </c>
      <c r="E327" s="117"/>
      <c r="F327" s="117"/>
      <c r="G327" s="117">
        <f t="shared" si="30"/>
        <v>200000</v>
      </c>
      <c r="H327" s="117"/>
      <c r="I327" s="120"/>
    </row>
    <row r="328" spans="1:9" x14ac:dyDescent="0.25">
      <c r="A328" s="81">
        <f t="shared" si="31"/>
        <v>10</v>
      </c>
      <c r="B328" s="81" t="s">
        <v>405</v>
      </c>
      <c r="C328" s="81" t="s">
        <v>311</v>
      </c>
      <c r="D328" s="117">
        <v>100000</v>
      </c>
      <c r="E328" s="117"/>
      <c r="F328" s="117"/>
      <c r="G328" s="117">
        <f t="shared" si="30"/>
        <v>100000</v>
      </c>
      <c r="H328" s="117"/>
      <c r="I328" s="120"/>
    </row>
    <row r="329" spans="1:9" x14ac:dyDescent="0.25">
      <c r="A329" s="81">
        <f t="shared" si="31"/>
        <v>11</v>
      </c>
      <c r="B329" s="81" t="s">
        <v>38</v>
      </c>
      <c r="C329" s="81" t="s">
        <v>296</v>
      </c>
      <c r="D329" s="117">
        <v>200000</v>
      </c>
      <c r="E329" s="117"/>
      <c r="F329" s="117"/>
      <c r="G329" s="117">
        <f t="shared" si="30"/>
        <v>200000</v>
      </c>
      <c r="H329" s="117"/>
      <c r="I329" s="120"/>
    </row>
    <row r="330" spans="1:9" x14ac:dyDescent="0.25">
      <c r="A330" s="81">
        <f t="shared" si="31"/>
        <v>12</v>
      </c>
      <c r="B330" s="81" t="s">
        <v>228</v>
      </c>
      <c r="C330" s="81" t="s">
        <v>296</v>
      </c>
      <c r="D330" s="117">
        <v>200000</v>
      </c>
      <c r="E330" s="117"/>
      <c r="F330" s="117"/>
      <c r="G330" s="117">
        <f t="shared" si="30"/>
        <v>200000</v>
      </c>
      <c r="H330" s="117"/>
      <c r="I330" s="120"/>
    </row>
    <row r="331" spans="1:9" x14ac:dyDescent="0.25">
      <c r="A331" s="81">
        <f t="shared" si="31"/>
        <v>13</v>
      </c>
      <c r="B331" s="81" t="s">
        <v>426</v>
      </c>
      <c r="C331" s="81" t="s">
        <v>390</v>
      </c>
      <c r="D331" s="117">
        <v>100000</v>
      </c>
      <c r="E331" s="117">
        <v>17500</v>
      </c>
      <c r="F331" s="117"/>
      <c r="G331" s="117">
        <f t="shared" si="30"/>
        <v>82500</v>
      </c>
      <c r="H331" s="117"/>
      <c r="I331" s="120"/>
    </row>
    <row r="332" spans="1:9" x14ac:dyDescent="0.25">
      <c r="A332" s="81">
        <f t="shared" si="31"/>
        <v>14</v>
      </c>
      <c r="B332" s="81" t="s">
        <v>107</v>
      </c>
      <c r="C332" s="81" t="s">
        <v>242</v>
      </c>
      <c r="D332" s="117">
        <v>300000</v>
      </c>
      <c r="E332" s="117"/>
      <c r="F332" s="117">
        <f>70000+2500</f>
        <v>72500</v>
      </c>
      <c r="G332" s="117">
        <f t="shared" si="30"/>
        <v>227500</v>
      </c>
      <c r="H332" s="117"/>
      <c r="I332" s="120"/>
    </row>
    <row r="333" spans="1:9" x14ac:dyDescent="0.25">
      <c r="A333" s="81">
        <f t="shared" si="31"/>
        <v>15</v>
      </c>
      <c r="B333" s="81" t="s">
        <v>425</v>
      </c>
      <c r="C333" s="81" t="s">
        <v>242</v>
      </c>
      <c r="D333" s="117">
        <v>300000</v>
      </c>
      <c r="E333" s="117"/>
      <c r="F333" s="117">
        <f>70000+2500</f>
        <v>72500</v>
      </c>
      <c r="G333" s="117">
        <f t="shared" si="30"/>
        <v>227500</v>
      </c>
      <c r="H333" s="117"/>
      <c r="I333" s="120"/>
    </row>
    <row r="334" spans="1:9" x14ac:dyDescent="0.25">
      <c r="A334" s="81">
        <f t="shared" si="31"/>
        <v>16</v>
      </c>
      <c r="B334" s="81" t="s">
        <v>427</v>
      </c>
      <c r="C334" s="81" t="s">
        <v>242</v>
      </c>
      <c r="D334" s="117">
        <v>300000</v>
      </c>
      <c r="E334" s="117"/>
      <c r="F334" s="117">
        <f>70000+2500</f>
        <v>72500</v>
      </c>
      <c r="G334" s="117">
        <f t="shared" si="30"/>
        <v>227500</v>
      </c>
      <c r="H334" s="117"/>
      <c r="I334" s="120"/>
    </row>
    <row r="335" spans="1:9" x14ac:dyDescent="0.25">
      <c r="A335" s="81">
        <f t="shared" si="31"/>
        <v>17</v>
      </c>
      <c r="B335" s="81" t="s">
        <v>92</v>
      </c>
      <c r="C335" s="81" t="s">
        <v>428</v>
      </c>
      <c r="D335" s="117">
        <v>100000</v>
      </c>
      <c r="E335" s="117"/>
      <c r="F335" s="117"/>
      <c r="G335" s="117">
        <f t="shared" si="30"/>
        <v>100000</v>
      </c>
      <c r="H335" s="117"/>
      <c r="I335" s="120"/>
    </row>
    <row r="336" spans="1:9" x14ac:dyDescent="0.25">
      <c r="A336" s="81">
        <f t="shared" si="31"/>
        <v>18</v>
      </c>
      <c r="B336" s="81" t="s">
        <v>252</v>
      </c>
      <c r="C336" s="81" t="s">
        <v>253</v>
      </c>
      <c r="D336" s="117">
        <v>6000</v>
      </c>
      <c r="E336" s="117"/>
      <c r="F336" s="117"/>
      <c r="G336" s="117">
        <f t="shared" si="30"/>
        <v>6000</v>
      </c>
      <c r="H336" s="117"/>
      <c r="I336" s="120"/>
    </row>
    <row r="337" spans="1:9" x14ac:dyDescent="0.25">
      <c r="A337" s="81">
        <f t="shared" si="31"/>
        <v>19</v>
      </c>
      <c r="B337" s="81" t="s">
        <v>207</v>
      </c>
      <c r="C337" s="81" t="s">
        <v>311</v>
      </c>
      <c r="D337" s="117">
        <v>151000</v>
      </c>
      <c r="E337" s="117">
        <v>151000</v>
      </c>
      <c r="F337" s="117"/>
      <c r="G337" s="117">
        <f t="shared" si="30"/>
        <v>0</v>
      </c>
      <c r="H337" s="117"/>
      <c r="I337" s="120" t="s">
        <v>429</v>
      </c>
    </row>
    <row r="338" spans="1:9" x14ac:dyDescent="0.25">
      <c r="A338" s="81">
        <f t="shared" si="31"/>
        <v>20</v>
      </c>
      <c r="B338" s="81" t="s">
        <v>325</v>
      </c>
      <c r="C338" s="81" t="s">
        <v>311</v>
      </c>
      <c r="D338" s="117">
        <v>50000</v>
      </c>
      <c r="E338" s="117">
        <v>50000</v>
      </c>
      <c r="F338" s="117"/>
      <c r="G338" s="117">
        <f t="shared" si="30"/>
        <v>0</v>
      </c>
      <c r="H338" s="117"/>
      <c r="I338" s="120"/>
    </row>
    <row r="339" spans="1:9" x14ac:dyDescent="0.25">
      <c r="A339" s="81">
        <f t="shared" si="31"/>
        <v>21</v>
      </c>
      <c r="B339" s="81" t="s">
        <v>320</v>
      </c>
      <c r="C339" s="81" t="s">
        <v>296</v>
      </c>
      <c r="D339" s="117">
        <v>30000</v>
      </c>
      <c r="E339" s="117">
        <v>30000</v>
      </c>
      <c r="F339" s="117"/>
      <c r="G339" s="117">
        <f t="shared" si="30"/>
        <v>0</v>
      </c>
      <c r="H339" s="117"/>
      <c r="I339" s="120"/>
    </row>
    <row r="340" spans="1:9" x14ac:dyDescent="0.25">
      <c r="A340" s="81">
        <f t="shared" si="31"/>
        <v>22</v>
      </c>
      <c r="B340" s="81" t="s">
        <v>207</v>
      </c>
      <c r="C340" s="81" t="s">
        <v>430</v>
      </c>
      <c r="D340" s="117">
        <v>10000</v>
      </c>
      <c r="E340" s="117"/>
      <c r="F340" s="117"/>
      <c r="G340" s="117">
        <f t="shared" si="30"/>
        <v>10000</v>
      </c>
      <c r="H340" s="117"/>
      <c r="I340" s="120"/>
    </row>
    <row r="341" spans="1:9" x14ac:dyDescent="0.25">
      <c r="A341" s="81">
        <f t="shared" si="31"/>
        <v>23</v>
      </c>
      <c r="B341" s="81" t="s">
        <v>206</v>
      </c>
      <c r="C341" s="81" t="s">
        <v>431</v>
      </c>
      <c r="D341" s="117">
        <v>30000</v>
      </c>
      <c r="E341" s="117">
        <v>30000</v>
      </c>
      <c r="F341" s="117"/>
      <c r="G341" s="117">
        <f t="shared" si="30"/>
        <v>0</v>
      </c>
      <c r="H341" s="117"/>
      <c r="I341" s="120"/>
    </row>
    <row r="342" spans="1:9" x14ac:dyDescent="0.25">
      <c r="A342" s="81">
        <f t="shared" si="31"/>
        <v>24</v>
      </c>
      <c r="B342" s="81"/>
      <c r="C342" s="81"/>
      <c r="D342" s="117"/>
      <c r="E342" s="117"/>
      <c r="F342" s="117"/>
      <c r="G342" s="117">
        <f t="shared" si="30"/>
        <v>0</v>
      </c>
      <c r="H342" s="117"/>
      <c r="I342" s="120"/>
    </row>
    <row r="343" spans="1:9" x14ac:dyDescent="0.25">
      <c r="A343" s="81">
        <f t="shared" si="31"/>
        <v>25</v>
      </c>
      <c r="B343" s="81"/>
      <c r="C343" s="81"/>
      <c r="D343" s="117"/>
      <c r="E343" s="117"/>
      <c r="F343" s="117"/>
      <c r="G343" s="117">
        <f t="shared" si="30"/>
        <v>0</v>
      </c>
      <c r="H343" s="117"/>
      <c r="I343" s="120"/>
    </row>
    <row r="344" spans="1:9" x14ac:dyDescent="0.25">
      <c r="A344" s="81">
        <f t="shared" si="31"/>
        <v>26</v>
      </c>
      <c r="B344" s="81"/>
      <c r="C344" s="81"/>
      <c r="D344" s="117"/>
      <c r="E344" s="117"/>
      <c r="F344" s="117"/>
      <c r="G344" s="117">
        <f t="shared" si="30"/>
        <v>0</v>
      </c>
      <c r="H344" s="117"/>
      <c r="I344" s="120"/>
    </row>
    <row r="345" spans="1:9" x14ac:dyDescent="0.25">
      <c r="A345" s="81">
        <f t="shared" si="31"/>
        <v>27</v>
      </c>
      <c r="B345" s="81"/>
      <c r="C345" s="81"/>
      <c r="D345" s="117"/>
      <c r="E345" s="117"/>
      <c r="F345" s="117"/>
      <c r="G345" s="117">
        <f t="shared" si="30"/>
        <v>0</v>
      </c>
      <c r="H345" s="117"/>
      <c r="I345" s="120"/>
    </row>
    <row r="346" spans="1:9" x14ac:dyDescent="0.25">
      <c r="A346" s="81">
        <f t="shared" si="31"/>
        <v>28</v>
      </c>
      <c r="B346" s="81"/>
      <c r="C346" s="81"/>
      <c r="D346" s="117"/>
      <c r="E346" s="117"/>
      <c r="F346" s="117"/>
      <c r="G346" s="117">
        <f t="shared" si="30"/>
        <v>0</v>
      </c>
      <c r="H346" s="117"/>
      <c r="I346" s="120"/>
    </row>
    <row r="347" spans="1:9" x14ac:dyDescent="0.25">
      <c r="A347" s="81">
        <f t="shared" si="31"/>
        <v>29</v>
      </c>
      <c r="B347" s="81"/>
      <c r="C347" s="81"/>
      <c r="D347" s="117"/>
      <c r="E347" s="117"/>
      <c r="F347" s="117"/>
      <c r="G347" s="117">
        <f t="shared" si="30"/>
        <v>0</v>
      </c>
      <c r="H347" s="117"/>
      <c r="I347" s="120"/>
    </row>
    <row r="348" spans="1:9" x14ac:dyDescent="0.25">
      <c r="A348" s="81">
        <f t="shared" si="31"/>
        <v>30</v>
      </c>
      <c r="B348" s="81"/>
      <c r="C348" s="81"/>
      <c r="D348" s="117"/>
      <c r="E348" s="117"/>
      <c r="F348" s="117"/>
      <c r="G348" s="117">
        <f t="shared" si="30"/>
        <v>0</v>
      </c>
      <c r="H348" s="117"/>
      <c r="I348" s="120"/>
    </row>
    <row r="349" spans="1:9" x14ac:dyDescent="0.25">
      <c r="A349" s="81">
        <f t="shared" si="31"/>
        <v>31</v>
      </c>
      <c r="B349" s="81"/>
      <c r="C349" s="81"/>
      <c r="D349" s="117"/>
      <c r="E349" s="117"/>
      <c r="F349" s="117"/>
      <c r="G349" s="117">
        <f t="shared" si="30"/>
        <v>0</v>
      </c>
      <c r="H349" s="117"/>
      <c r="I349" s="120"/>
    </row>
    <row r="350" spans="1:9" x14ac:dyDescent="0.25">
      <c r="A350" s="81">
        <f>1+A349</f>
        <v>32</v>
      </c>
      <c r="B350" s="81"/>
      <c r="C350" s="81"/>
      <c r="D350" s="117"/>
      <c r="E350" s="117"/>
      <c r="F350" s="117"/>
      <c r="G350" s="117">
        <f t="shared" si="30"/>
        <v>0</v>
      </c>
      <c r="H350" s="117"/>
      <c r="I350" s="120"/>
    </row>
    <row r="351" spans="1:9" x14ac:dyDescent="0.25">
      <c r="A351" s="81">
        <f t="shared" si="31"/>
        <v>33</v>
      </c>
      <c r="B351" s="81"/>
      <c r="C351" s="81"/>
      <c r="D351" s="117">
        <f>SUM(D322:D350)</f>
        <v>3977000</v>
      </c>
      <c r="E351" s="117">
        <f t="shared" ref="E351:G351" si="32">SUM(E322:E350)</f>
        <v>278500</v>
      </c>
      <c r="F351" s="117">
        <f t="shared" si="32"/>
        <v>877500</v>
      </c>
      <c r="G351" s="117">
        <f t="shared" si="32"/>
        <v>2821000</v>
      </c>
      <c r="H351" s="117"/>
      <c r="I351" s="120"/>
    </row>
    <row r="352" spans="1:9" ht="18.75" x14ac:dyDescent="0.3">
      <c r="A352" s="16"/>
      <c r="B352" s="292" t="s">
        <v>156</v>
      </c>
      <c r="C352" s="292"/>
      <c r="D352" s="292"/>
      <c r="E352" s="292"/>
      <c r="F352" s="292"/>
      <c r="G352" s="292"/>
      <c r="H352" s="292"/>
      <c r="I352" s="292"/>
    </row>
    <row r="353" spans="1:9" ht="30" x14ac:dyDescent="0.25">
      <c r="A353" s="81"/>
      <c r="B353" s="116" t="s">
        <v>56</v>
      </c>
      <c r="C353" s="116" t="s">
        <v>131</v>
      </c>
      <c r="D353" s="116" t="s">
        <v>132</v>
      </c>
      <c r="E353" s="116" t="s">
        <v>133</v>
      </c>
      <c r="F353" s="116" t="s">
        <v>134</v>
      </c>
      <c r="G353" s="116" t="s">
        <v>135</v>
      </c>
      <c r="H353" s="116" t="s">
        <v>155</v>
      </c>
      <c r="I353" s="116" t="s">
        <v>137</v>
      </c>
    </row>
    <row r="354" spans="1:9" ht="18" x14ac:dyDescent="0.4">
      <c r="A354" s="81"/>
      <c r="B354" s="81"/>
      <c r="C354" s="81"/>
      <c r="D354" s="117"/>
      <c r="E354" s="117"/>
      <c r="F354" s="117"/>
      <c r="G354" s="117"/>
      <c r="H354" s="118">
        <v>5735977</v>
      </c>
      <c r="I354" s="119"/>
    </row>
    <row r="355" spans="1:9" ht="18" x14ac:dyDescent="0.4">
      <c r="A355" s="81"/>
      <c r="B355" s="81"/>
      <c r="C355" s="81" t="s">
        <v>138</v>
      </c>
      <c r="D355" s="117"/>
      <c r="E355" s="117"/>
      <c r="F355" s="117"/>
      <c r="G355" s="117"/>
      <c r="H355" s="118"/>
      <c r="I355" s="119"/>
    </row>
    <row r="356" spans="1:9" x14ac:dyDescent="0.25">
      <c r="A356" s="81">
        <v>7</v>
      </c>
      <c r="B356" s="81"/>
      <c r="C356" s="81"/>
      <c r="D356" s="117"/>
      <c r="E356" s="117"/>
      <c r="F356" s="117"/>
      <c r="G356" s="117"/>
      <c r="H356" s="117"/>
      <c r="I356" s="120"/>
    </row>
    <row r="357" spans="1:9" x14ac:dyDescent="0.25">
      <c r="A357" s="81">
        <f>1+A356</f>
        <v>8</v>
      </c>
      <c r="B357" s="81"/>
      <c r="C357" s="81"/>
      <c r="D357" s="117"/>
      <c r="E357" s="117"/>
      <c r="F357" s="117"/>
      <c r="G357" s="117"/>
      <c r="H357" s="117"/>
      <c r="I357" s="120"/>
    </row>
    <row r="358" spans="1:9" x14ac:dyDescent="0.25">
      <c r="A358" s="81">
        <f t="shared" ref="A358:A383" si="33">1+A357</f>
        <v>9</v>
      </c>
      <c r="B358" s="81"/>
      <c r="C358" s="81"/>
      <c r="D358" s="117"/>
      <c r="E358" s="117"/>
      <c r="F358" s="117"/>
      <c r="G358" s="117"/>
      <c r="H358" s="117"/>
      <c r="I358" s="120"/>
    </row>
    <row r="359" spans="1:9" x14ac:dyDescent="0.25">
      <c r="A359" s="81">
        <f t="shared" si="33"/>
        <v>10</v>
      </c>
      <c r="B359" s="81"/>
      <c r="C359" s="81"/>
      <c r="D359" s="117"/>
      <c r="E359" s="117"/>
      <c r="F359" s="117"/>
      <c r="G359" s="117"/>
      <c r="H359" s="117"/>
      <c r="I359" s="120"/>
    </row>
    <row r="360" spans="1:9" x14ac:dyDescent="0.25">
      <c r="A360" s="81">
        <f t="shared" si="33"/>
        <v>11</v>
      </c>
      <c r="B360" s="81"/>
      <c r="C360" s="81"/>
      <c r="D360" s="117"/>
      <c r="E360" s="117"/>
      <c r="F360" s="117"/>
      <c r="G360" s="117"/>
      <c r="H360" s="117"/>
      <c r="I360" s="120"/>
    </row>
    <row r="361" spans="1:9" x14ac:dyDescent="0.25">
      <c r="A361" s="81">
        <f t="shared" si="33"/>
        <v>12</v>
      </c>
      <c r="B361" s="81"/>
      <c r="C361" s="81"/>
      <c r="D361" s="117"/>
      <c r="E361" s="117"/>
      <c r="F361" s="117"/>
      <c r="G361" s="117"/>
      <c r="H361" s="117"/>
      <c r="I361" s="120"/>
    </row>
    <row r="362" spans="1:9" x14ac:dyDescent="0.25">
      <c r="A362" s="81">
        <f t="shared" si="33"/>
        <v>13</v>
      </c>
      <c r="B362" s="81"/>
      <c r="C362" s="81"/>
      <c r="D362" s="117"/>
      <c r="E362" s="117"/>
      <c r="F362" s="117"/>
      <c r="G362" s="117"/>
      <c r="H362" s="117"/>
      <c r="I362" s="120"/>
    </row>
    <row r="363" spans="1:9" x14ac:dyDescent="0.25">
      <c r="A363" s="81">
        <f t="shared" si="33"/>
        <v>14</v>
      </c>
      <c r="B363" s="81"/>
      <c r="C363" s="81"/>
      <c r="D363" s="117"/>
      <c r="E363" s="117"/>
      <c r="F363" s="117"/>
      <c r="G363" s="117"/>
      <c r="H363" s="117"/>
      <c r="I363" s="120"/>
    </row>
    <row r="364" spans="1:9" x14ac:dyDescent="0.25">
      <c r="A364" s="81">
        <f t="shared" si="33"/>
        <v>15</v>
      </c>
      <c r="B364" s="81"/>
      <c r="C364" s="81"/>
      <c r="D364" s="117"/>
      <c r="E364" s="117"/>
      <c r="F364" s="117"/>
      <c r="G364" s="117"/>
      <c r="H364" s="117"/>
      <c r="I364" s="120"/>
    </row>
    <row r="365" spans="1:9" x14ac:dyDescent="0.25">
      <c r="A365" s="81">
        <f t="shared" si="33"/>
        <v>16</v>
      </c>
      <c r="B365" s="81"/>
      <c r="C365" s="81"/>
      <c r="D365" s="117"/>
      <c r="E365" s="117"/>
      <c r="F365" s="117"/>
      <c r="G365" s="117"/>
      <c r="H365" s="117"/>
      <c r="I365" s="120"/>
    </row>
    <row r="366" spans="1:9" x14ac:dyDescent="0.25">
      <c r="A366" s="81">
        <f t="shared" si="33"/>
        <v>17</v>
      </c>
      <c r="B366" s="81"/>
      <c r="C366" s="81"/>
      <c r="D366" s="117"/>
      <c r="E366" s="117"/>
      <c r="F366" s="117"/>
      <c r="G366" s="117"/>
      <c r="H366" s="117"/>
      <c r="I366" s="120"/>
    </row>
    <row r="367" spans="1:9" x14ac:dyDescent="0.25">
      <c r="A367" s="81">
        <f t="shared" si="33"/>
        <v>18</v>
      </c>
      <c r="B367" s="81"/>
      <c r="C367" s="81"/>
      <c r="D367" s="117"/>
      <c r="E367" s="117"/>
      <c r="F367" s="117"/>
      <c r="G367" s="117"/>
      <c r="H367" s="117"/>
      <c r="I367" s="120"/>
    </row>
    <row r="368" spans="1:9" x14ac:dyDescent="0.25">
      <c r="A368" s="81">
        <f t="shared" si="33"/>
        <v>19</v>
      </c>
      <c r="B368" s="81"/>
      <c r="C368" s="81"/>
      <c r="D368" s="117"/>
      <c r="E368" s="117"/>
      <c r="F368" s="117"/>
      <c r="G368" s="117"/>
      <c r="H368" s="117"/>
      <c r="I368" s="120"/>
    </row>
    <row r="369" spans="1:9" x14ac:dyDescent="0.25">
      <c r="A369" s="81">
        <f t="shared" si="33"/>
        <v>20</v>
      </c>
      <c r="B369" s="81"/>
      <c r="C369" s="81"/>
      <c r="D369" s="117"/>
      <c r="E369" s="117"/>
      <c r="F369" s="117"/>
      <c r="G369" s="117"/>
      <c r="H369" s="117"/>
      <c r="I369" s="120"/>
    </row>
    <row r="370" spans="1:9" x14ac:dyDescent="0.25">
      <c r="A370" s="81">
        <f t="shared" si="33"/>
        <v>21</v>
      </c>
      <c r="B370" s="81"/>
      <c r="C370" s="81"/>
      <c r="D370" s="117"/>
      <c r="E370" s="117"/>
      <c r="F370" s="117"/>
      <c r="G370" s="117"/>
      <c r="H370" s="117"/>
      <c r="I370" s="120"/>
    </row>
    <row r="371" spans="1:9" x14ac:dyDescent="0.25">
      <c r="A371" s="81">
        <f t="shared" si="33"/>
        <v>22</v>
      </c>
      <c r="B371" s="81"/>
      <c r="C371" s="81"/>
      <c r="D371" s="117"/>
      <c r="E371" s="117"/>
      <c r="F371" s="117"/>
      <c r="G371" s="117"/>
      <c r="H371" s="117"/>
      <c r="I371" s="120"/>
    </row>
    <row r="372" spans="1:9" x14ac:dyDescent="0.25">
      <c r="A372" s="81">
        <f t="shared" si="33"/>
        <v>23</v>
      </c>
      <c r="B372" s="81"/>
      <c r="C372" s="81"/>
      <c r="D372" s="117"/>
      <c r="E372" s="117"/>
      <c r="F372" s="117"/>
      <c r="G372" s="117"/>
      <c r="H372" s="117"/>
      <c r="I372" s="120"/>
    </row>
    <row r="373" spans="1:9" x14ac:dyDescent="0.25">
      <c r="A373" s="81">
        <f t="shared" si="33"/>
        <v>24</v>
      </c>
      <c r="B373" s="81"/>
      <c r="C373" s="81"/>
      <c r="D373" s="117"/>
      <c r="E373" s="117"/>
      <c r="F373" s="117"/>
      <c r="G373" s="117"/>
      <c r="H373" s="117"/>
      <c r="I373" s="120"/>
    </row>
    <row r="374" spans="1:9" x14ac:dyDescent="0.25">
      <c r="A374" s="81">
        <f t="shared" si="33"/>
        <v>25</v>
      </c>
      <c r="B374" s="81"/>
      <c r="C374" s="81"/>
      <c r="D374" s="117"/>
      <c r="E374" s="117"/>
      <c r="F374" s="117"/>
      <c r="G374" s="117"/>
      <c r="H374" s="117"/>
      <c r="I374" s="120"/>
    </row>
    <row r="375" spans="1:9" x14ac:dyDescent="0.25">
      <c r="A375" s="81">
        <f t="shared" si="33"/>
        <v>26</v>
      </c>
      <c r="B375" s="81"/>
      <c r="C375" s="81"/>
      <c r="D375" s="117"/>
      <c r="E375" s="117"/>
      <c r="F375" s="117"/>
      <c r="G375" s="117"/>
      <c r="H375" s="117"/>
      <c r="I375" s="120"/>
    </row>
    <row r="376" spans="1:9" x14ac:dyDescent="0.25">
      <c r="A376" s="81">
        <f t="shared" si="33"/>
        <v>27</v>
      </c>
      <c r="B376" s="81"/>
      <c r="C376" s="81"/>
      <c r="D376" s="117"/>
      <c r="E376" s="117"/>
      <c r="F376" s="117"/>
      <c r="G376" s="117"/>
      <c r="H376" s="117"/>
      <c r="I376" s="120"/>
    </row>
    <row r="377" spans="1:9" x14ac:dyDescent="0.25">
      <c r="A377" s="81">
        <f t="shared" si="33"/>
        <v>28</v>
      </c>
      <c r="B377" s="81"/>
      <c r="C377" s="81"/>
      <c r="D377" s="117"/>
      <c r="E377" s="117"/>
      <c r="F377" s="117"/>
      <c r="G377" s="117"/>
      <c r="H377" s="117"/>
      <c r="I377" s="120"/>
    </row>
    <row r="378" spans="1:9" x14ac:dyDescent="0.25">
      <c r="A378" s="81">
        <f t="shared" si="33"/>
        <v>29</v>
      </c>
      <c r="B378" s="81"/>
      <c r="C378" s="81"/>
      <c r="D378" s="117"/>
      <c r="E378" s="117"/>
      <c r="F378" s="117"/>
      <c r="G378" s="117"/>
      <c r="H378" s="117"/>
      <c r="I378" s="120"/>
    </row>
    <row r="379" spans="1:9" x14ac:dyDescent="0.25">
      <c r="A379" s="81">
        <f t="shared" si="33"/>
        <v>30</v>
      </c>
      <c r="B379" s="81"/>
      <c r="C379" s="81"/>
      <c r="D379" s="117"/>
      <c r="E379" s="117"/>
      <c r="F379" s="117"/>
      <c r="G379" s="117"/>
      <c r="H379" s="117"/>
      <c r="I379" s="120"/>
    </row>
    <row r="380" spans="1:9" x14ac:dyDescent="0.25">
      <c r="A380" s="81">
        <f t="shared" si="33"/>
        <v>31</v>
      </c>
      <c r="B380" s="81"/>
      <c r="C380" s="81"/>
      <c r="D380" s="117"/>
      <c r="E380" s="117"/>
      <c r="F380" s="117"/>
      <c r="G380" s="117"/>
      <c r="H380" s="117"/>
      <c r="I380" s="120"/>
    </row>
    <row r="381" spans="1:9" x14ac:dyDescent="0.25">
      <c r="A381" s="81">
        <f t="shared" si="33"/>
        <v>32</v>
      </c>
      <c r="B381" s="81"/>
      <c r="C381" s="81"/>
      <c r="D381" s="117"/>
      <c r="E381" s="117"/>
      <c r="F381" s="117"/>
      <c r="G381" s="117"/>
      <c r="H381" s="117"/>
      <c r="I381" s="120"/>
    </row>
    <row r="382" spans="1:9" x14ac:dyDescent="0.25">
      <c r="A382" s="81">
        <f>1+A381</f>
        <v>33</v>
      </c>
      <c r="B382" s="81"/>
      <c r="C382" s="81"/>
      <c r="D382" s="117"/>
      <c r="E382" s="117"/>
      <c r="F382" s="117"/>
      <c r="G382" s="117"/>
      <c r="H382" s="117"/>
      <c r="I382" s="120"/>
    </row>
    <row r="383" spans="1:9" x14ac:dyDescent="0.25">
      <c r="A383" s="81">
        <f t="shared" si="33"/>
        <v>34</v>
      </c>
      <c r="B383" s="81"/>
      <c r="C383" s="81"/>
      <c r="D383" s="117">
        <f>SUM(D354:D382)</f>
        <v>0</v>
      </c>
      <c r="E383" s="117">
        <f t="shared" ref="E383:G383" si="34">SUM(E354:E382)</f>
        <v>0</v>
      </c>
      <c r="F383" s="117">
        <f t="shared" si="34"/>
        <v>0</v>
      </c>
      <c r="G383" s="117">
        <f t="shared" si="34"/>
        <v>0</v>
      </c>
      <c r="H383" s="117" t="e">
        <f>+H354+#REF!-F383-G383</f>
        <v>#REF!</v>
      </c>
      <c r="I383" s="120"/>
    </row>
  </sheetData>
  <sortState ref="B133:H151">
    <sortCondition ref="B133"/>
  </sortState>
  <mergeCells count="13">
    <mergeCell ref="B352:I352"/>
    <mergeCell ref="B1:I1"/>
    <mergeCell ref="B33:I33"/>
    <mergeCell ref="B65:I65"/>
    <mergeCell ref="B97:I97"/>
    <mergeCell ref="B129:I129"/>
    <mergeCell ref="B160:I160"/>
    <mergeCell ref="B192:I192"/>
    <mergeCell ref="B224:I224"/>
    <mergeCell ref="B256:I256"/>
    <mergeCell ref="B288:I288"/>
    <mergeCell ref="B320:I320"/>
    <mergeCell ref="I253:I255"/>
  </mergeCells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4"/>
  <sheetViews>
    <sheetView topLeftCell="A14" workbookViewId="0">
      <selection activeCell="M21" sqref="M21"/>
    </sheetView>
  </sheetViews>
  <sheetFormatPr baseColWidth="10" defaultRowHeight="15" x14ac:dyDescent="0.25"/>
  <cols>
    <col min="1" max="1" width="5.42578125" style="2" customWidth="1"/>
    <col min="2" max="2" width="40.42578125" style="2" customWidth="1"/>
    <col min="3" max="3" width="11.5703125" style="2" bestFit="1" customWidth="1"/>
    <col min="4" max="4" width="13.28515625" style="2" bestFit="1" customWidth="1"/>
    <col min="5" max="9" width="11.5703125" style="2" bestFit="1" customWidth="1"/>
    <col min="10" max="10" width="10.140625" style="2" customWidth="1"/>
    <col min="11" max="11" width="10" style="2" customWidth="1"/>
    <col min="12" max="12" width="10.7109375" style="2" customWidth="1"/>
    <col min="13" max="13" width="10.140625" style="2" customWidth="1"/>
    <col min="14" max="14" width="7.7109375" style="2" customWidth="1"/>
    <col min="15" max="15" width="7.85546875" style="2" customWidth="1"/>
    <col min="16" max="16" width="7.5703125" style="2" customWidth="1"/>
    <col min="17" max="17" width="15.140625" style="2" customWidth="1"/>
    <col min="18" max="18" width="13.28515625" style="2" bestFit="1" customWidth="1"/>
    <col min="19" max="16384" width="11.42578125" style="2"/>
  </cols>
  <sheetData>
    <row r="1" spans="1:18" s="128" customFormat="1" x14ac:dyDescent="0.25">
      <c r="A1" s="297" t="s">
        <v>157</v>
      </c>
      <c r="B1" s="297"/>
      <c r="C1" s="297"/>
      <c r="D1" s="297"/>
      <c r="E1" s="297"/>
      <c r="F1" s="297"/>
      <c r="G1" s="297"/>
      <c r="H1" s="297"/>
      <c r="I1" s="297"/>
      <c r="J1" s="297"/>
      <c r="K1" s="297"/>
      <c r="L1" s="297"/>
      <c r="M1" s="297"/>
      <c r="N1" s="297"/>
      <c r="O1" s="297"/>
      <c r="P1" s="297"/>
      <c r="Q1" s="297"/>
      <c r="R1" s="297"/>
    </row>
    <row r="2" spans="1:18" s="128" customFormat="1" x14ac:dyDescent="0.25">
      <c r="A2" s="122" t="s">
        <v>55</v>
      </c>
      <c r="B2" s="122" t="s">
        <v>56</v>
      </c>
      <c r="C2" s="122" t="s">
        <v>24</v>
      </c>
      <c r="D2" s="116" t="s">
        <v>158</v>
      </c>
      <c r="E2" s="129">
        <v>44562</v>
      </c>
      <c r="F2" s="122" t="s">
        <v>159</v>
      </c>
      <c r="G2" s="129">
        <v>44621</v>
      </c>
      <c r="H2" s="129">
        <v>44652</v>
      </c>
      <c r="I2" s="129">
        <v>44682</v>
      </c>
      <c r="J2" s="129">
        <v>44713</v>
      </c>
      <c r="K2" s="129">
        <v>44743</v>
      </c>
      <c r="L2" s="122" t="s">
        <v>160</v>
      </c>
      <c r="M2" s="129">
        <v>44805</v>
      </c>
      <c r="N2" s="129">
        <v>44835</v>
      </c>
      <c r="O2" s="129">
        <v>44866</v>
      </c>
      <c r="P2" s="122" t="s">
        <v>161</v>
      </c>
      <c r="Q2" s="122" t="s">
        <v>162</v>
      </c>
      <c r="R2" s="122" t="s">
        <v>163</v>
      </c>
    </row>
    <row r="3" spans="1:18" x14ac:dyDescent="0.25">
      <c r="A3" s="75">
        <v>0</v>
      </c>
      <c r="B3" s="75" t="s">
        <v>88</v>
      </c>
      <c r="C3" s="121">
        <v>0</v>
      </c>
      <c r="D3" s="123">
        <v>0</v>
      </c>
      <c r="E3" s="121"/>
      <c r="F3" s="121"/>
      <c r="G3" s="121"/>
      <c r="H3" s="121"/>
      <c r="I3" s="121"/>
      <c r="J3" s="121"/>
      <c r="K3" s="121"/>
      <c r="L3" s="121"/>
      <c r="M3" s="121"/>
      <c r="N3" s="121"/>
      <c r="O3" s="121"/>
      <c r="P3" s="121"/>
      <c r="Q3" s="117">
        <f>+E3+F3+G3+H3+I3+J3+L3+O3+P3</f>
        <v>0</v>
      </c>
      <c r="R3" s="124">
        <f>+C3+D3-Q3</f>
        <v>0</v>
      </c>
    </row>
    <row r="4" spans="1:18" x14ac:dyDescent="0.25">
      <c r="A4" s="75">
        <f>+A3+1</f>
        <v>1</v>
      </c>
      <c r="B4" s="75" t="s">
        <v>39</v>
      </c>
      <c r="C4" s="121">
        <v>0</v>
      </c>
      <c r="D4" s="123">
        <v>70000</v>
      </c>
      <c r="E4" s="121"/>
      <c r="F4" s="121"/>
      <c r="G4" s="121"/>
      <c r="H4" s="121"/>
      <c r="I4" s="121"/>
      <c r="J4" s="121"/>
      <c r="K4" s="121"/>
      <c r="L4" s="121"/>
      <c r="M4" s="121"/>
      <c r="N4" s="121"/>
      <c r="O4" s="121"/>
      <c r="P4" s="121"/>
      <c r="Q4" s="117">
        <f t="shared" ref="Q4:Q39" si="0">+E4+F4+G4+H4+I4+J4+L4+O4+P4</f>
        <v>0</v>
      </c>
      <c r="R4" s="124">
        <f t="shared" ref="R4:R37" si="1">+C4+D4-Q4</f>
        <v>70000</v>
      </c>
    </row>
    <row r="5" spans="1:18" x14ac:dyDescent="0.25">
      <c r="A5" s="75">
        <f t="shared" ref="A5:A42" si="2">+A4+1</f>
        <v>2</v>
      </c>
      <c r="B5" s="75" t="s">
        <v>43</v>
      </c>
      <c r="C5" s="121">
        <v>70000</v>
      </c>
      <c r="D5" s="123">
        <v>70000</v>
      </c>
      <c r="E5" s="121">
        <v>140000</v>
      </c>
      <c r="F5" s="121"/>
      <c r="G5" s="121"/>
      <c r="H5" s="121"/>
      <c r="I5" s="121"/>
      <c r="J5" s="121"/>
      <c r="K5" s="121"/>
      <c r="L5" s="121"/>
      <c r="M5" s="121"/>
      <c r="N5" s="121"/>
      <c r="O5" s="121"/>
      <c r="P5" s="121"/>
      <c r="Q5" s="117">
        <f t="shared" si="0"/>
        <v>140000</v>
      </c>
      <c r="R5" s="124">
        <f t="shared" si="1"/>
        <v>0</v>
      </c>
    </row>
    <row r="6" spans="1:18" x14ac:dyDescent="0.25">
      <c r="A6" s="75">
        <f t="shared" si="2"/>
        <v>3</v>
      </c>
      <c r="B6" s="75" t="s">
        <v>89</v>
      </c>
      <c r="C6" s="121">
        <v>0</v>
      </c>
      <c r="D6" s="123">
        <v>70000</v>
      </c>
      <c r="E6" s="121"/>
      <c r="F6" s="121"/>
      <c r="G6" s="121"/>
      <c r="H6" s="121">
        <v>70000</v>
      </c>
      <c r="I6" s="121"/>
      <c r="J6" s="121"/>
      <c r="K6" s="121"/>
      <c r="L6" s="121"/>
      <c r="M6" s="121"/>
      <c r="N6" s="121"/>
      <c r="O6" s="121"/>
      <c r="P6" s="121"/>
      <c r="Q6" s="117">
        <f t="shared" si="0"/>
        <v>70000</v>
      </c>
      <c r="R6" s="124">
        <f t="shared" si="1"/>
        <v>0</v>
      </c>
    </row>
    <row r="7" spans="1:18" x14ac:dyDescent="0.25">
      <c r="A7" s="75">
        <f t="shared" si="2"/>
        <v>4</v>
      </c>
      <c r="B7" s="75" t="s">
        <v>124</v>
      </c>
      <c r="C7" s="121">
        <v>0</v>
      </c>
      <c r="D7" s="123">
        <v>70000</v>
      </c>
      <c r="E7" s="121"/>
      <c r="F7" s="121"/>
      <c r="G7" s="121"/>
      <c r="H7" s="121">
        <v>70000</v>
      </c>
      <c r="I7" s="121"/>
      <c r="J7" s="121"/>
      <c r="K7" s="121"/>
      <c r="L7" s="121"/>
      <c r="M7" s="121"/>
      <c r="N7" s="121"/>
      <c r="O7" s="121"/>
      <c r="P7" s="121"/>
      <c r="Q7" s="117">
        <f t="shared" si="0"/>
        <v>70000</v>
      </c>
      <c r="R7" s="124">
        <f t="shared" si="1"/>
        <v>0</v>
      </c>
    </row>
    <row r="8" spans="1:18" x14ac:dyDescent="0.25">
      <c r="A8" s="75">
        <f t="shared" si="2"/>
        <v>5</v>
      </c>
      <c r="B8" s="75" t="s">
        <v>91</v>
      </c>
      <c r="C8" s="121">
        <v>0</v>
      </c>
      <c r="D8" s="123">
        <v>70000</v>
      </c>
      <c r="E8" s="121"/>
      <c r="F8" s="121"/>
      <c r="G8" s="121"/>
      <c r="H8" s="121"/>
      <c r="I8" s="121">
        <v>70000</v>
      </c>
      <c r="J8" s="121"/>
      <c r="K8" s="121"/>
      <c r="L8" s="121"/>
      <c r="M8" s="121"/>
      <c r="N8" s="121"/>
      <c r="O8" s="121"/>
      <c r="P8" s="121"/>
      <c r="Q8" s="117">
        <f t="shared" si="0"/>
        <v>70000</v>
      </c>
      <c r="R8" s="124">
        <f t="shared" si="1"/>
        <v>0</v>
      </c>
    </row>
    <row r="9" spans="1:18" x14ac:dyDescent="0.25">
      <c r="A9" s="75">
        <f t="shared" si="2"/>
        <v>6</v>
      </c>
      <c r="B9" s="75" t="s">
        <v>92</v>
      </c>
      <c r="C9" s="121">
        <v>0</v>
      </c>
      <c r="D9" s="123">
        <v>70000</v>
      </c>
      <c r="E9" s="121"/>
      <c r="F9" s="121"/>
      <c r="G9" s="121">
        <v>70000</v>
      </c>
      <c r="H9" s="121"/>
      <c r="I9" s="121"/>
      <c r="J9" s="121"/>
      <c r="K9" s="121"/>
      <c r="L9" s="121"/>
      <c r="M9" s="121"/>
      <c r="N9" s="121"/>
      <c r="O9" s="121"/>
      <c r="P9" s="121"/>
      <c r="Q9" s="117">
        <f t="shared" si="0"/>
        <v>70000</v>
      </c>
      <c r="R9" s="124">
        <f t="shared" si="1"/>
        <v>0</v>
      </c>
    </row>
    <row r="10" spans="1:18" x14ac:dyDescent="0.25">
      <c r="A10" s="75">
        <f t="shared" si="2"/>
        <v>7</v>
      </c>
      <c r="B10" s="75" t="s">
        <v>93</v>
      </c>
      <c r="C10" s="121">
        <v>0</v>
      </c>
      <c r="D10" s="123">
        <v>70000</v>
      </c>
      <c r="E10" s="121"/>
      <c r="F10" s="121"/>
      <c r="G10" s="121"/>
      <c r="H10" s="121"/>
      <c r="I10" s="121"/>
      <c r="J10" s="121"/>
      <c r="K10" s="121"/>
      <c r="L10" s="121"/>
      <c r="M10" s="121"/>
      <c r="N10" s="121"/>
      <c r="O10" s="121"/>
      <c r="P10" s="121"/>
      <c r="Q10" s="117">
        <f t="shared" si="0"/>
        <v>0</v>
      </c>
      <c r="R10" s="124">
        <f t="shared" si="1"/>
        <v>70000</v>
      </c>
    </row>
    <row r="11" spans="1:18" x14ac:dyDescent="0.25">
      <c r="A11" s="75">
        <f t="shared" si="2"/>
        <v>8</v>
      </c>
      <c r="B11" s="167" t="s">
        <v>114</v>
      </c>
      <c r="C11" s="121">
        <v>0</v>
      </c>
      <c r="D11" s="123">
        <v>0</v>
      </c>
      <c r="E11" s="121"/>
      <c r="F11" s="121"/>
      <c r="G11" s="121"/>
      <c r="H11" s="121"/>
      <c r="I11" s="121"/>
      <c r="J11" s="121"/>
      <c r="K11" s="121"/>
      <c r="L11" s="121"/>
      <c r="M11" s="121"/>
      <c r="N11" s="121"/>
      <c r="O11" s="121"/>
      <c r="P11" s="121"/>
      <c r="Q11" s="117">
        <f t="shared" si="0"/>
        <v>0</v>
      </c>
      <c r="R11" s="124">
        <f t="shared" si="1"/>
        <v>0</v>
      </c>
    </row>
    <row r="12" spans="1:18" x14ac:dyDescent="0.25">
      <c r="A12" s="75">
        <f t="shared" si="2"/>
        <v>9</v>
      </c>
      <c r="B12" s="75" t="s">
        <v>42</v>
      </c>
      <c r="C12" s="121">
        <v>0</v>
      </c>
      <c r="D12" s="123">
        <v>70000</v>
      </c>
      <c r="E12" s="121"/>
      <c r="F12" s="121"/>
      <c r="G12" s="121"/>
      <c r="H12" s="121"/>
      <c r="I12" s="121"/>
      <c r="J12" s="121"/>
      <c r="K12" s="121">
        <v>70000</v>
      </c>
      <c r="L12" s="121"/>
      <c r="M12" s="121"/>
      <c r="N12" s="121"/>
      <c r="O12" s="121"/>
      <c r="P12" s="121"/>
      <c r="Q12" s="117">
        <f t="shared" si="0"/>
        <v>0</v>
      </c>
      <c r="R12" s="124">
        <f t="shared" si="1"/>
        <v>70000</v>
      </c>
    </row>
    <row r="13" spans="1:18" x14ac:dyDescent="0.25">
      <c r="A13" s="75">
        <f t="shared" si="2"/>
        <v>10</v>
      </c>
      <c r="B13" s="75" t="s">
        <v>37</v>
      </c>
      <c r="C13" s="121">
        <v>0</v>
      </c>
      <c r="D13" s="123">
        <v>70000</v>
      </c>
      <c r="E13" s="121"/>
      <c r="F13" s="121"/>
      <c r="G13" s="121"/>
      <c r="H13" s="121"/>
      <c r="I13" s="121">
        <v>70000</v>
      </c>
      <c r="J13" s="121"/>
      <c r="K13" s="121"/>
      <c r="L13" s="121"/>
      <c r="M13" s="121"/>
      <c r="N13" s="121"/>
      <c r="O13" s="121"/>
      <c r="P13" s="121"/>
      <c r="Q13" s="117">
        <f t="shared" si="0"/>
        <v>70000</v>
      </c>
      <c r="R13" s="124">
        <f t="shared" si="1"/>
        <v>0</v>
      </c>
    </row>
    <row r="14" spans="1:18" x14ac:dyDescent="0.25">
      <c r="A14" s="75">
        <f t="shared" si="2"/>
        <v>11</v>
      </c>
      <c r="B14" s="75" t="s">
        <v>94</v>
      </c>
      <c r="C14" s="121">
        <v>0</v>
      </c>
      <c r="D14" s="123">
        <v>70000</v>
      </c>
      <c r="E14" s="121"/>
      <c r="F14" s="121">
        <v>70000</v>
      </c>
      <c r="G14" s="121"/>
      <c r="H14" s="121"/>
      <c r="I14" s="121"/>
      <c r="J14" s="121"/>
      <c r="K14" s="121"/>
      <c r="L14" s="121"/>
      <c r="M14" s="121"/>
      <c r="N14" s="121"/>
      <c r="O14" s="121"/>
      <c r="P14" s="121"/>
      <c r="Q14" s="117">
        <f t="shared" si="0"/>
        <v>70000</v>
      </c>
      <c r="R14" s="124">
        <f t="shared" si="1"/>
        <v>0</v>
      </c>
    </row>
    <row r="15" spans="1:18" x14ac:dyDescent="0.25">
      <c r="A15" s="75">
        <f t="shared" si="2"/>
        <v>12</v>
      </c>
      <c r="B15" s="75" t="s">
        <v>95</v>
      </c>
      <c r="C15" s="121">
        <v>0</v>
      </c>
      <c r="D15" s="123">
        <v>70000</v>
      </c>
      <c r="E15" s="121">
        <v>70000</v>
      </c>
      <c r="F15" s="121"/>
      <c r="G15" s="121"/>
      <c r="H15" s="121"/>
      <c r="I15" s="121"/>
      <c r="J15" s="121"/>
      <c r="K15" s="121"/>
      <c r="L15" s="121"/>
      <c r="M15" s="121"/>
      <c r="N15" s="121"/>
      <c r="O15" s="121"/>
      <c r="P15" s="121"/>
      <c r="Q15" s="117">
        <f t="shared" si="0"/>
        <v>70000</v>
      </c>
      <c r="R15" s="124">
        <f t="shared" si="1"/>
        <v>0</v>
      </c>
    </row>
    <row r="16" spans="1:18" x14ac:dyDescent="0.25">
      <c r="A16" s="75">
        <f t="shared" si="2"/>
        <v>13</v>
      </c>
      <c r="B16" s="75" t="s">
        <v>96</v>
      </c>
      <c r="C16" s="121">
        <v>70000</v>
      </c>
      <c r="D16" s="123">
        <v>70000</v>
      </c>
      <c r="E16" s="121"/>
      <c r="F16" s="121"/>
      <c r="G16" s="121"/>
      <c r="H16" s="121"/>
      <c r="I16" s="121">
        <v>70000</v>
      </c>
      <c r="J16" s="121"/>
      <c r="K16" s="121"/>
      <c r="L16" s="121"/>
      <c r="M16" s="121"/>
      <c r="N16" s="121"/>
      <c r="O16" s="121"/>
      <c r="P16" s="121"/>
      <c r="Q16" s="117">
        <f t="shared" si="0"/>
        <v>70000</v>
      </c>
      <c r="R16" s="124">
        <f t="shared" si="1"/>
        <v>70000</v>
      </c>
    </row>
    <row r="17" spans="1:18" x14ac:dyDescent="0.25">
      <c r="A17" s="75">
        <f t="shared" si="2"/>
        <v>14</v>
      </c>
      <c r="B17" s="75" t="s">
        <v>97</v>
      </c>
      <c r="C17" s="121">
        <v>0</v>
      </c>
      <c r="D17" s="123">
        <v>70000</v>
      </c>
      <c r="E17" s="121"/>
      <c r="F17" s="121"/>
      <c r="G17" s="121">
        <v>70000</v>
      </c>
      <c r="H17" s="121"/>
      <c r="I17" s="121"/>
      <c r="J17" s="121"/>
      <c r="K17" s="121"/>
      <c r="L17" s="121"/>
      <c r="M17" s="121"/>
      <c r="N17" s="121"/>
      <c r="O17" s="121"/>
      <c r="P17" s="121"/>
      <c r="Q17" s="117">
        <f t="shared" si="0"/>
        <v>70000</v>
      </c>
      <c r="R17" s="124">
        <f t="shared" si="1"/>
        <v>0</v>
      </c>
    </row>
    <row r="18" spans="1:18" x14ac:dyDescent="0.25">
      <c r="A18" s="75">
        <f t="shared" si="2"/>
        <v>15</v>
      </c>
      <c r="B18" s="75" t="s">
        <v>98</v>
      </c>
      <c r="C18" s="121">
        <v>0</v>
      </c>
      <c r="D18" s="123">
        <v>70000</v>
      </c>
      <c r="E18" s="121"/>
      <c r="F18" s="121"/>
      <c r="G18" s="121"/>
      <c r="H18" s="121"/>
      <c r="I18" s="121"/>
      <c r="J18" s="121"/>
      <c r="K18" s="121"/>
      <c r="L18" s="121">
        <v>70000</v>
      </c>
      <c r="M18" s="121"/>
      <c r="N18" s="121"/>
      <c r="O18" s="121"/>
      <c r="P18" s="121"/>
      <c r="Q18" s="117">
        <f t="shared" si="0"/>
        <v>70000</v>
      </c>
      <c r="R18" s="124">
        <f t="shared" si="1"/>
        <v>0</v>
      </c>
    </row>
    <row r="19" spans="1:18" x14ac:dyDescent="0.25">
      <c r="A19" s="75">
        <f t="shared" si="2"/>
        <v>16</v>
      </c>
      <c r="B19" s="75" t="s">
        <v>99</v>
      </c>
      <c r="C19" s="121">
        <v>0</v>
      </c>
      <c r="D19" s="123">
        <v>70000</v>
      </c>
      <c r="E19" s="121"/>
      <c r="F19" s="121"/>
      <c r="G19" s="121"/>
      <c r="H19" s="121"/>
      <c r="I19" s="121"/>
      <c r="J19" s="121">
        <v>70000</v>
      </c>
      <c r="K19" s="121"/>
      <c r="L19" s="121"/>
      <c r="M19" s="121"/>
      <c r="N19" s="121"/>
      <c r="O19" s="121"/>
      <c r="P19" s="121"/>
      <c r="Q19" s="117">
        <f t="shared" si="0"/>
        <v>70000</v>
      </c>
      <c r="R19" s="124">
        <f t="shared" si="1"/>
        <v>0</v>
      </c>
    </row>
    <row r="20" spans="1:18" x14ac:dyDescent="0.25">
      <c r="A20" s="75">
        <f t="shared" si="2"/>
        <v>17</v>
      </c>
      <c r="B20" s="75" t="s">
        <v>100</v>
      </c>
      <c r="C20" s="121">
        <v>0</v>
      </c>
      <c r="D20" s="123">
        <v>70000</v>
      </c>
      <c r="E20" s="121"/>
      <c r="F20" s="121"/>
      <c r="G20" s="121"/>
      <c r="H20" s="121"/>
      <c r="I20" s="121"/>
      <c r="J20" s="121"/>
      <c r="K20" s="121"/>
      <c r="L20" s="121"/>
      <c r="M20" s="121">
        <v>70000</v>
      </c>
      <c r="N20" s="121"/>
      <c r="O20" s="121"/>
      <c r="P20" s="121"/>
      <c r="Q20" s="117">
        <f t="shared" si="0"/>
        <v>0</v>
      </c>
      <c r="R20" s="124">
        <f t="shared" si="1"/>
        <v>70000</v>
      </c>
    </row>
    <row r="21" spans="1:18" x14ac:dyDescent="0.25">
      <c r="A21" s="75">
        <f t="shared" si="2"/>
        <v>18</v>
      </c>
      <c r="B21" s="75" t="s">
        <v>38</v>
      </c>
      <c r="C21" s="121">
        <v>0</v>
      </c>
      <c r="D21" s="123">
        <v>70000</v>
      </c>
      <c r="E21" s="121"/>
      <c r="F21" s="121"/>
      <c r="G21" s="121"/>
      <c r="H21" s="121"/>
      <c r="I21" s="121">
        <v>70000</v>
      </c>
      <c r="J21" s="121"/>
      <c r="K21" s="121"/>
      <c r="L21" s="121"/>
      <c r="M21" s="121"/>
      <c r="N21" s="121"/>
      <c r="O21" s="121"/>
      <c r="P21" s="121"/>
      <c r="Q21" s="117">
        <f t="shared" si="0"/>
        <v>70000</v>
      </c>
      <c r="R21" s="124">
        <f t="shared" si="1"/>
        <v>0</v>
      </c>
    </row>
    <row r="22" spans="1:18" x14ac:dyDescent="0.25">
      <c r="A22" s="75">
        <f t="shared" si="2"/>
        <v>19</v>
      </c>
      <c r="B22" s="75" t="s">
        <v>164</v>
      </c>
      <c r="C22" s="121">
        <v>0</v>
      </c>
      <c r="D22" s="123">
        <v>70000</v>
      </c>
      <c r="E22" s="121"/>
      <c r="F22" s="121"/>
      <c r="G22" s="121"/>
      <c r="H22" s="121"/>
      <c r="I22" s="121"/>
      <c r="J22" s="121"/>
      <c r="K22" s="121"/>
      <c r="L22" s="121"/>
      <c r="M22" s="121"/>
      <c r="N22" s="121"/>
      <c r="O22" s="121"/>
      <c r="P22" s="121"/>
      <c r="Q22" s="117">
        <f t="shared" si="0"/>
        <v>0</v>
      </c>
      <c r="R22" s="124">
        <f t="shared" si="1"/>
        <v>70000</v>
      </c>
    </row>
    <row r="23" spans="1:18" x14ac:dyDescent="0.25">
      <c r="A23" s="75">
        <f t="shared" si="2"/>
        <v>20</v>
      </c>
      <c r="B23" s="75" t="s">
        <v>102</v>
      </c>
      <c r="C23" s="121">
        <v>0</v>
      </c>
      <c r="D23" s="123">
        <v>70000</v>
      </c>
      <c r="E23" s="121"/>
      <c r="F23" s="121">
        <v>70000</v>
      </c>
      <c r="G23" s="121"/>
      <c r="H23" s="121"/>
      <c r="I23" s="121"/>
      <c r="J23" s="121"/>
      <c r="K23" s="121"/>
      <c r="L23" s="121"/>
      <c r="M23" s="121"/>
      <c r="N23" s="121"/>
      <c r="O23" s="121"/>
      <c r="P23" s="121"/>
      <c r="Q23" s="117">
        <f t="shared" si="0"/>
        <v>70000</v>
      </c>
      <c r="R23" s="124">
        <f t="shared" si="1"/>
        <v>0</v>
      </c>
    </row>
    <row r="24" spans="1:18" x14ac:dyDescent="0.25">
      <c r="A24" s="75">
        <f t="shared" si="2"/>
        <v>21</v>
      </c>
      <c r="B24" s="167" t="s">
        <v>109</v>
      </c>
      <c r="C24" s="121">
        <v>0</v>
      </c>
      <c r="D24" s="123">
        <v>0</v>
      </c>
      <c r="E24" s="121"/>
      <c r="F24" s="121"/>
      <c r="G24" s="121"/>
      <c r="H24" s="121"/>
      <c r="I24" s="121"/>
      <c r="J24" s="121"/>
      <c r="K24" s="121"/>
      <c r="L24" s="121"/>
      <c r="M24" s="121"/>
      <c r="N24" s="121"/>
      <c r="O24" s="121"/>
      <c r="P24" s="121"/>
      <c r="Q24" s="117">
        <f t="shared" si="0"/>
        <v>0</v>
      </c>
      <c r="R24" s="124">
        <f t="shared" si="1"/>
        <v>0</v>
      </c>
    </row>
    <row r="25" spans="1:18" x14ac:dyDescent="0.25">
      <c r="A25" s="75">
        <f t="shared" si="2"/>
        <v>22</v>
      </c>
      <c r="B25" s="75" t="s">
        <v>103</v>
      </c>
      <c r="C25" s="121">
        <v>0</v>
      </c>
      <c r="D25" s="123">
        <v>0</v>
      </c>
      <c r="E25" s="121"/>
      <c r="F25" s="121"/>
      <c r="G25" s="121"/>
      <c r="H25" s="121"/>
      <c r="I25" s="121"/>
      <c r="J25" s="121"/>
      <c r="K25" s="121"/>
      <c r="L25" s="121"/>
      <c r="M25" s="121"/>
      <c r="N25" s="121"/>
      <c r="O25" s="121"/>
      <c r="P25" s="121"/>
      <c r="Q25" s="117">
        <f t="shared" si="0"/>
        <v>0</v>
      </c>
      <c r="R25" s="124">
        <f t="shared" si="1"/>
        <v>0</v>
      </c>
    </row>
    <row r="26" spans="1:18" x14ac:dyDescent="0.25">
      <c r="A26" s="75">
        <f t="shared" si="2"/>
        <v>23</v>
      </c>
      <c r="B26" s="75" t="s">
        <v>41</v>
      </c>
      <c r="C26" s="121">
        <v>0</v>
      </c>
      <c r="D26" s="123">
        <v>70000</v>
      </c>
      <c r="E26" s="121"/>
      <c r="F26" s="121"/>
      <c r="G26" s="121"/>
      <c r="H26" s="121"/>
      <c r="I26" s="121"/>
      <c r="J26" s="121"/>
      <c r="K26" s="121"/>
      <c r="L26" s="121"/>
      <c r="M26" s="121"/>
      <c r="N26" s="121"/>
      <c r="O26" s="121"/>
      <c r="P26" s="121"/>
      <c r="Q26" s="117">
        <f t="shared" si="0"/>
        <v>0</v>
      </c>
      <c r="R26" s="124">
        <f t="shared" si="1"/>
        <v>70000</v>
      </c>
    </row>
    <row r="27" spans="1:18" x14ac:dyDescent="0.25">
      <c r="A27" s="75">
        <f t="shared" si="2"/>
        <v>24</v>
      </c>
      <c r="B27" s="75" t="s">
        <v>46</v>
      </c>
      <c r="C27" s="121">
        <v>0</v>
      </c>
      <c r="D27" s="123">
        <v>70000</v>
      </c>
      <c r="E27" s="121"/>
      <c r="F27" s="121"/>
      <c r="G27" s="121"/>
      <c r="H27" s="121"/>
      <c r="I27" s="121"/>
      <c r="J27" s="121"/>
      <c r="K27" s="121"/>
      <c r="L27" s="121">
        <v>70000</v>
      </c>
      <c r="M27" s="121"/>
      <c r="N27" s="121"/>
      <c r="O27" s="121"/>
      <c r="P27" s="121"/>
      <c r="Q27" s="117">
        <f t="shared" si="0"/>
        <v>70000</v>
      </c>
      <c r="R27" s="124">
        <f t="shared" si="1"/>
        <v>0</v>
      </c>
    </row>
    <row r="28" spans="1:18" x14ac:dyDescent="0.25">
      <c r="A28" s="75">
        <f t="shared" si="2"/>
        <v>25</v>
      </c>
      <c r="B28" s="167" t="s">
        <v>104</v>
      </c>
      <c r="C28" s="121">
        <v>0</v>
      </c>
      <c r="D28" s="123">
        <v>0</v>
      </c>
      <c r="E28" s="121"/>
      <c r="F28" s="121"/>
      <c r="G28" s="121"/>
      <c r="H28" s="121"/>
      <c r="I28" s="121"/>
      <c r="J28" s="121"/>
      <c r="K28" s="121"/>
      <c r="L28" s="121"/>
      <c r="M28" s="121"/>
      <c r="N28" s="121"/>
      <c r="O28" s="121"/>
      <c r="P28" s="121"/>
      <c r="Q28" s="117">
        <f t="shared" si="0"/>
        <v>0</v>
      </c>
      <c r="R28" s="124">
        <f t="shared" si="1"/>
        <v>0</v>
      </c>
    </row>
    <row r="29" spans="1:18" x14ac:dyDescent="0.25">
      <c r="A29" s="75">
        <f t="shared" si="2"/>
        <v>26</v>
      </c>
      <c r="B29" s="75" t="s">
        <v>40</v>
      </c>
      <c r="C29" s="121">
        <v>0</v>
      </c>
      <c r="D29" s="123">
        <v>70000</v>
      </c>
      <c r="E29" s="121"/>
      <c r="F29" s="121"/>
      <c r="G29" s="121">
        <v>70000</v>
      </c>
      <c r="H29" s="121"/>
      <c r="I29" s="121"/>
      <c r="J29" s="121"/>
      <c r="K29" s="121"/>
      <c r="L29" s="121"/>
      <c r="M29" s="121"/>
      <c r="N29" s="121"/>
      <c r="O29" s="121"/>
      <c r="P29" s="121"/>
      <c r="Q29" s="117">
        <f t="shared" si="0"/>
        <v>70000</v>
      </c>
      <c r="R29" s="124">
        <f t="shared" si="1"/>
        <v>0</v>
      </c>
    </row>
    <row r="30" spans="1:18" x14ac:dyDescent="0.25">
      <c r="A30" s="75">
        <f t="shared" si="2"/>
        <v>27</v>
      </c>
      <c r="B30" s="75" t="s">
        <v>105</v>
      </c>
      <c r="C30" s="121">
        <v>0</v>
      </c>
      <c r="D30" s="123">
        <v>70000</v>
      </c>
      <c r="E30" s="121"/>
      <c r="F30" s="121"/>
      <c r="G30" s="121"/>
      <c r="H30" s="121"/>
      <c r="I30" s="121"/>
      <c r="J30" s="121"/>
      <c r="K30" s="121">
        <v>70000</v>
      </c>
      <c r="L30" s="121"/>
      <c r="M30" s="121"/>
      <c r="N30" s="121"/>
      <c r="O30" s="121"/>
      <c r="P30" s="121"/>
      <c r="Q30" s="117">
        <f t="shared" si="0"/>
        <v>0</v>
      </c>
      <c r="R30" s="124">
        <f t="shared" si="1"/>
        <v>70000</v>
      </c>
    </row>
    <row r="31" spans="1:18" x14ac:dyDescent="0.25">
      <c r="A31" s="75">
        <f t="shared" si="2"/>
        <v>28</v>
      </c>
      <c r="B31" s="167" t="s">
        <v>110</v>
      </c>
      <c r="C31" s="121">
        <v>0</v>
      </c>
      <c r="D31" s="123">
        <v>0</v>
      </c>
      <c r="E31" s="121"/>
      <c r="F31" s="121"/>
      <c r="G31" s="121"/>
      <c r="H31" s="121"/>
      <c r="I31" s="121"/>
      <c r="J31" s="121"/>
      <c r="K31" s="121"/>
      <c r="L31" s="121"/>
      <c r="M31" s="121"/>
      <c r="N31" s="121"/>
      <c r="O31" s="121"/>
      <c r="P31" s="121"/>
      <c r="Q31" s="117">
        <f t="shared" si="0"/>
        <v>0</v>
      </c>
      <c r="R31" s="124">
        <f t="shared" si="1"/>
        <v>0</v>
      </c>
    </row>
    <row r="32" spans="1:18" x14ac:dyDescent="0.25">
      <c r="A32" s="75">
        <f t="shared" si="2"/>
        <v>29</v>
      </c>
      <c r="B32" s="75" t="s">
        <v>106</v>
      </c>
      <c r="C32" s="121">
        <v>0</v>
      </c>
      <c r="D32" s="123">
        <v>70000</v>
      </c>
      <c r="E32" s="121"/>
      <c r="F32" s="121"/>
      <c r="G32" s="121"/>
      <c r="H32" s="121"/>
      <c r="I32" s="121"/>
      <c r="J32" s="121"/>
      <c r="K32" s="121"/>
      <c r="L32" s="121"/>
      <c r="M32" s="121"/>
      <c r="N32" s="121"/>
      <c r="O32" s="121"/>
      <c r="P32" s="121"/>
      <c r="Q32" s="117">
        <f t="shared" si="0"/>
        <v>0</v>
      </c>
      <c r="R32" s="124">
        <f t="shared" si="1"/>
        <v>70000</v>
      </c>
    </row>
    <row r="33" spans="1:18" x14ac:dyDescent="0.25">
      <c r="A33" s="75">
        <f t="shared" si="2"/>
        <v>30</v>
      </c>
      <c r="B33" s="75" t="s">
        <v>107</v>
      </c>
      <c r="C33" s="121">
        <v>0</v>
      </c>
      <c r="D33" s="123">
        <v>70000</v>
      </c>
      <c r="E33" s="121"/>
      <c r="F33" s="121"/>
      <c r="G33" s="121"/>
      <c r="H33" s="121"/>
      <c r="I33" s="121"/>
      <c r="J33" s="121">
        <v>70000</v>
      </c>
      <c r="K33" s="121"/>
      <c r="L33" s="121"/>
      <c r="M33" s="121"/>
      <c r="N33" s="121"/>
      <c r="O33" s="121"/>
      <c r="P33" s="121"/>
      <c r="Q33" s="117">
        <f t="shared" si="0"/>
        <v>70000</v>
      </c>
      <c r="R33" s="124">
        <f t="shared" si="1"/>
        <v>0</v>
      </c>
    </row>
    <row r="34" spans="1:18" x14ac:dyDescent="0.25">
      <c r="A34" s="75">
        <f t="shared" si="2"/>
        <v>31</v>
      </c>
      <c r="B34" s="75" t="s">
        <v>111</v>
      </c>
      <c r="C34" s="121">
        <v>70000</v>
      </c>
      <c r="D34" s="123">
        <v>70000</v>
      </c>
      <c r="E34" s="121"/>
      <c r="F34" s="121"/>
      <c r="G34" s="121"/>
      <c r="H34" s="121"/>
      <c r="I34" s="121"/>
      <c r="J34" s="121"/>
      <c r="K34" s="121">
        <v>140000</v>
      </c>
      <c r="L34" s="121"/>
      <c r="M34" s="121"/>
      <c r="N34" s="121"/>
      <c r="O34" s="121"/>
      <c r="P34" s="121"/>
      <c r="Q34" s="117">
        <f t="shared" si="0"/>
        <v>0</v>
      </c>
      <c r="R34" s="124">
        <f t="shared" si="1"/>
        <v>140000</v>
      </c>
    </row>
    <row r="35" spans="1:18" x14ac:dyDescent="0.25">
      <c r="A35" s="75">
        <f t="shared" si="2"/>
        <v>32</v>
      </c>
      <c r="B35" s="75" t="s">
        <v>165</v>
      </c>
      <c r="C35" s="121">
        <v>0</v>
      </c>
      <c r="D35" s="123">
        <v>70000</v>
      </c>
      <c r="E35" s="121"/>
      <c r="F35" s="121"/>
      <c r="G35" s="121"/>
      <c r="H35" s="121"/>
      <c r="I35" s="121"/>
      <c r="J35" s="121"/>
      <c r="K35" s="121"/>
      <c r="L35" s="121"/>
      <c r="M35" s="121">
        <v>70000</v>
      </c>
      <c r="N35" s="121"/>
      <c r="O35" s="121"/>
      <c r="P35" s="121"/>
      <c r="Q35" s="117">
        <f t="shared" si="0"/>
        <v>0</v>
      </c>
      <c r="R35" s="124">
        <f t="shared" si="1"/>
        <v>70000</v>
      </c>
    </row>
    <row r="36" spans="1:18" x14ac:dyDescent="0.25">
      <c r="A36" s="75">
        <f t="shared" si="2"/>
        <v>33</v>
      </c>
      <c r="B36" s="75" t="s">
        <v>224</v>
      </c>
      <c r="C36" s="121">
        <v>170000</v>
      </c>
      <c r="D36" s="123">
        <v>70000</v>
      </c>
      <c r="E36" s="121"/>
      <c r="F36" s="121"/>
      <c r="G36" s="121"/>
      <c r="H36" s="121"/>
      <c r="I36" s="121"/>
      <c r="J36" s="121"/>
      <c r="K36" s="121"/>
      <c r="L36" s="121"/>
      <c r="M36" s="121"/>
      <c r="N36" s="121"/>
      <c r="O36" s="121"/>
      <c r="P36" s="121"/>
      <c r="Q36" s="117">
        <f t="shared" si="0"/>
        <v>0</v>
      </c>
      <c r="R36" s="124">
        <f t="shared" si="1"/>
        <v>240000</v>
      </c>
    </row>
    <row r="37" spans="1:18" x14ac:dyDescent="0.25">
      <c r="A37" s="75">
        <f t="shared" si="2"/>
        <v>34</v>
      </c>
      <c r="B37" s="75" t="s">
        <v>166</v>
      </c>
      <c r="C37" s="121">
        <v>0</v>
      </c>
      <c r="D37" s="123">
        <v>70000</v>
      </c>
      <c r="E37" s="121"/>
      <c r="F37" s="121"/>
      <c r="G37" s="121"/>
      <c r="H37" s="121"/>
      <c r="I37" s="121"/>
      <c r="J37" s="121"/>
      <c r="K37" s="121"/>
      <c r="L37" s="121"/>
      <c r="M37" s="121">
        <v>70000</v>
      </c>
      <c r="N37" s="121"/>
      <c r="O37" s="121"/>
      <c r="P37" s="121"/>
      <c r="Q37" s="117">
        <f t="shared" si="0"/>
        <v>0</v>
      </c>
      <c r="R37" s="124">
        <f t="shared" si="1"/>
        <v>70000</v>
      </c>
    </row>
    <row r="38" spans="1:18" x14ac:dyDescent="0.25">
      <c r="A38" s="75">
        <f t="shared" si="2"/>
        <v>35</v>
      </c>
      <c r="B38" s="75" t="s">
        <v>187</v>
      </c>
      <c r="C38" s="121">
        <v>0</v>
      </c>
      <c r="D38" s="123">
        <v>70000</v>
      </c>
      <c r="E38" s="121"/>
      <c r="F38" s="121"/>
      <c r="G38" s="121"/>
      <c r="H38" s="121"/>
      <c r="I38" s="121"/>
      <c r="J38" s="121"/>
      <c r="K38" s="121"/>
      <c r="L38" s="121"/>
      <c r="M38" s="121"/>
      <c r="N38" s="121"/>
      <c r="O38" s="121"/>
      <c r="P38" s="121"/>
      <c r="Q38" s="117">
        <f t="shared" si="0"/>
        <v>0</v>
      </c>
      <c r="R38" s="124"/>
    </row>
    <row r="39" spans="1:18" x14ac:dyDescent="0.25">
      <c r="A39" s="75">
        <f t="shared" si="2"/>
        <v>36</v>
      </c>
      <c r="B39" s="75"/>
      <c r="C39" s="121"/>
      <c r="D39" s="123"/>
      <c r="E39" s="121"/>
      <c r="F39" s="121"/>
      <c r="G39" s="121"/>
      <c r="H39" s="121"/>
      <c r="I39" s="121"/>
      <c r="J39" s="121"/>
      <c r="K39" s="121"/>
      <c r="L39" s="121"/>
      <c r="M39" s="121"/>
      <c r="N39" s="121"/>
      <c r="O39" s="121"/>
      <c r="P39" s="121"/>
      <c r="Q39" s="117">
        <f t="shared" si="0"/>
        <v>0</v>
      </c>
      <c r="R39" s="124"/>
    </row>
    <row r="40" spans="1:18" x14ac:dyDescent="0.25">
      <c r="A40" s="75">
        <f t="shared" si="2"/>
        <v>37</v>
      </c>
      <c r="B40" s="75"/>
      <c r="C40" s="121"/>
      <c r="D40" s="123"/>
      <c r="E40" s="121"/>
      <c r="F40" s="121"/>
      <c r="G40" s="121"/>
      <c r="H40" s="121"/>
      <c r="I40" s="121"/>
      <c r="J40" s="121"/>
      <c r="K40" s="121"/>
      <c r="L40" s="121"/>
      <c r="M40" s="121"/>
      <c r="N40" s="121"/>
      <c r="O40" s="121"/>
      <c r="P40" s="121"/>
      <c r="Q40" s="117"/>
      <c r="R40" s="124"/>
    </row>
    <row r="41" spans="1:18" x14ac:dyDescent="0.25">
      <c r="A41" s="75">
        <f t="shared" si="2"/>
        <v>38</v>
      </c>
      <c r="B41" s="75"/>
      <c r="C41" s="121"/>
      <c r="D41" s="123"/>
      <c r="E41" s="121"/>
      <c r="F41" s="121"/>
      <c r="G41" s="121"/>
      <c r="H41" s="121"/>
      <c r="I41" s="121"/>
      <c r="J41" s="121"/>
      <c r="K41" s="121"/>
      <c r="L41" s="121"/>
      <c r="M41" s="121"/>
      <c r="N41" s="121"/>
      <c r="O41" s="121"/>
      <c r="P41" s="121"/>
      <c r="Q41" s="117"/>
      <c r="R41" s="124"/>
    </row>
    <row r="42" spans="1:18" x14ac:dyDescent="0.25">
      <c r="A42" s="75">
        <f t="shared" si="2"/>
        <v>39</v>
      </c>
      <c r="B42" s="75"/>
      <c r="C42" s="121"/>
      <c r="D42" s="123"/>
      <c r="E42" s="121"/>
      <c r="F42" s="121"/>
      <c r="G42" s="121"/>
      <c r="H42" s="121"/>
      <c r="I42" s="121"/>
      <c r="J42" s="121"/>
      <c r="K42" s="121"/>
      <c r="L42" s="121"/>
      <c r="M42" s="121"/>
      <c r="N42" s="121"/>
      <c r="O42" s="121"/>
      <c r="P42" s="121"/>
      <c r="Q42" s="117"/>
      <c r="R42" s="124"/>
    </row>
    <row r="43" spans="1:18" x14ac:dyDescent="0.25">
      <c r="A43" s="298" t="s">
        <v>0</v>
      </c>
      <c r="B43" s="298"/>
      <c r="C43" s="125">
        <f>SUM(C3:C42)</f>
        <v>380000</v>
      </c>
      <c r="D43" s="125">
        <f t="shared" ref="D43:P43" si="3">SUM(D3:D42)</f>
        <v>2100000</v>
      </c>
      <c r="E43" s="125">
        <f t="shared" si="3"/>
        <v>210000</v>
      </c>
      <c r="F43" s="125">
        <f t="shared" si="3"/>
        <v>140000</v>
      </c>
      <c r="G43" s="125">
        <f t="shared" si="3"/>
        <v>210000</v>
      </c>
      <c r="H43" s="125">
        <f t="shared" si="3"/>
        <v>140000</v>
      </c>
      <c r="I43" s="125">
        <f t="shared" si="3"/>
        <v>280000</v>
      </c>
      <c r="J43" s="125">
        <f t="shared" si="3"/>
        <v>140000</v>
      </c>
      <c r="K43" s="125">
        <f t="shared" si="3"/>
        <v>280000</v>
      </c>
      <c r="L43" s="125">
        <f t="shared" si="3"/>
        <v>140000</v>
      </c>
      <c r="M43" s="125">
        <f t="shared" si="3"/>
        <v>210000</v>
      </c>
      <c r="N43" s="125">
        <f t="shared" si="3"/>
        <v>0</v>
      </c>
      <c r="O43" s="125">
        <f t="shared" si="3"/>
        <v>0</v>
      </c>
      <c r="P43" s="125">
        <f t="shared" si="3"/>
        <v>0</v>
      </c>
      <c r="Q43" s="126">
        <f t="shared" ref="Q43" si="4">SUM(Q3:Q37)</f>
        <v>1260000</v>
      </c>
      <c r="R43" s="124">
        <f>SUM(R3:R37)</f>
        <v>1150000</v>
      </c>
    </row>
    <row r="44" spans="1:18" x14ac:dyDescent="0.25">
      <c r="A44" s="298" t="s">
        <v>167</v>
      </c>
      <c r="B44" s="298"/>
      <c r="C44" s="298"/>
      <c r="D44" s="127">
        <f>+(C43+D43)-Q43</f>
        <v>1220000</v>
      </c>
      <c r="E44" s="117"/>
      <c r="F44" s="117"/>
      <c r="G44" s="117"/>
      <c r="H44" s="117"/>
      <c r="I44" s="117"/>
      <c r="J44" s="117"/>
      <c r="K44" s="117"/>
      <c r="L44" s="117"/>
      <c r="M44" s="117"/>
      <c r="N44" s="117"/>
      <c r="O44" s="117"/>
      <c r="P44" s="117"/>
      <c r="Q44" s="117"/>
      <c r="R44" s="117"/>
    </row>
  </sheetData>
  <mergeCells count="3">
    <mergeCell ref="A1:R1"/>
    <mergeCell ref="A43:B43"/>
    <mergeCell ref="A44:C44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"/>
  <sheetViews>
    <sheetView workbookViewId="0">
      <selection activeCell="E3" sqref="E3"/>
    </sheetView>
  </sheetViews>
  <sheetFormatPr baseColWidth="10" defaultRowHeight="15" x14ac:dyDescent="0.25"/>
  <cols>
    <col min="1" max="1" width="5.42578125" customWidth="1"/>
    <col min="2" max="2" width="28.85546875" customWidth="1"/>
    <col min="3" max="6" width="18.140625" customWidth="1"/>
  </cols>
  <sheetData>
    <row r="1" spans="1:6" ht="37.5" x14ac:dyDescent="0.25">
      <c r="A1" s="173" t="s">
        <v>55</v>
      </c>
      <c r="B1" s="173" t="s">
        <v>338</v>
      </c>
      <c r="C1" s="173" t="s">
        <v>87</v>
      </c>
      <c r="D1" s="173" t="s">
        <v>339</v>
      </c>
      <c r="E1" s="173" t="s">
        <v>340</v>
      </c>
      <c r="F1" s="173" t="s">
        <v>341</v>
      </c>
    </row>
    <row r="2" spans="1:6" x14ac:dyDescent="0.25">
      <c r="A2" s="81">
        <v>1</v>
      </c>
      <c r="B2" s="81" t="s">
        <v>342</v>
      </c>
      <c r="C2" s="117">
        <v>21567166</v>
      </c>
      <c r="D2" s="117">
        <f>+'EPARGNE 2023'!AT39+640701+'EPARGNE 2023'!AU39</f>
        <v>8200467.962446182</v>
      </c>
      <c r="E2" s="117"/>
      <c r="F2" s="117">
        <f>+C2+D2-E2</f>
        <v>29767633.962446183</v>
      </c>
    </row>
    <row r="3" spans="1:6" x14ac:dyDescent="0.25">
      <c r="A3" s="81">
        <f>1+A2</f>
        <v>2</v>
      </c>
      <c r="B3" s="81" t="s">
        <v>343</v>
      </c>
      <c r="C3" s="117">
        <v>1996228</v>
      </c>
      <c r="D3" s="117">
        <f>+'BROUILLARD DE CAISSE 2023'!D610</f>
        <v>332000</v>
      </c>
      <c r="E3" s="117">
        <f>+'CAISSE 2023'!D23+'CAISSE 2023'!D37+'CAISSE 2023'!D38+'CAISSE 2023'!D39+'CAISSE 2023'!D45+'CAISSE 2023'!D53+'CAISSE 2023'!D84+'CAISSE 2023'!D113+'CAISSE 2023'!D143</f>
        <v>295500</v>
      </c>
      <c r="F3" s="117">
        <f t="shared" ref="F3:F17" si="0">+C3+D3-E3</f>
        <v>2032728</v>
      </c>
    </row>
    <row r="4" spans="1:6" x14ac:dyDescent="0.25">
      <c r="A4" s="81">
        <f t="shared" ref="A4:A17" si="1">1+A3</f>
        <v>3</v>
      </c>
      <c r="B4" s="81" t="s">
        <v>344</v>
      </c>
      <c r="C4" s="117">
        <v>1503460</v>
      </c>
      <c r="D4" s="117">
        <f>+'BROUILLARD DE CAISSE 2023'!E610</f>
        <v>329000</v>
      </c>
      <c r="E4" s="117"/>
      <c r="F4" s="117">
        <f t="shared" si="0"/>
        <v>1832460</v>
      </c>
    </row>
    <row r="5" spans="1:6" x14ac:dyDescent="0.25">
      <c r="A5" s="81">
        <f t="shared" si="1"/>
        <v>4</v>
      </c>
      <c r="B5" s="81" t="s">
        <v>225</v>
      </c>
      <c r="C5" s="117">
        <v>634762</v>
      </c>
      <c r="D5" s="117">
        <f>+'BROUILLARD DE CAISSE 2023'!R610</f>
        <v>360000</v>
      </c>
      <c r="E5" s="117">
        <f>+'CAISSE 2023'!D52+'CAISSE 2023'!D136+'CAISSE 2023'!D146</f>
        <v>760000</v>
      </c>
      <c r="F5" s="117">
        <f>+C5+D5-E5</f>
        <v>234762</v>
      </c>
    </row>
    <row r="6" spans="1:6" x14ac:dyDescent="0.25">
      <c r="A6" s="81">
        <f t="shared" si="1"/>
        <v>5</v>
      </c>
      <c r="B6" s="81" t="s">
        <v>345</v>
      </c>
      <c r="C6" s="117">
        <v>680000</v>
      </c>
      <c r="D6" s="117">
        <f>+'BROUILLARD DE CAISSE 2023'!N610</f>
        <v>75000</v>
      </c>
      <c r="E6" s="117"/>
      <c r="F6" s="117">
        <f t="shared" si="0"/>
        <v>755000</v>
      </c>
    </row>
    <row r="7" spans="1:6" x14ac:dyDescent="0.25">
      <c r="A7" s="81">
        <f t="shared" si="1"/>
        <v>6</v>
      </c>
      <c r="B7" s="81" t="s">
        <v>346</v>
      </c>
      <c r="C7" s="117">
        <v>768025</v>
      </c>
      <c r="D7" s="117">
        <f>+'BROUILLARD DE CAISSE 2023'!O610</f>
        <v>76000</v>
      </c>
      <c r="E7" s="117"/>
      <c r="F7" s="117">
        <f t="shared" si="0"/>
        <v>844025</v>
      </c>
    </row>
    <row r="8" spans="1:6" x14ac:dyDescent="0.25">
      <c r="A8" s="81">
        <f t="shared" si="1"/>
        <v>7</v>
      </c>
      <c r="B8" s="81" t="s">
        <v>347</v>
      </c>
      <c r="C8" s="117">
        <v>1320525</v>
      </c>
      <c r="D8" s="117">
        <f>+'BROUILLARD DE CAISSE 2023'!F610</f>
        <v>1320000</v>
      </c>
      <c r="E8" s="117">
        <f>+'CAISSE 2023'!D24+'CAISSE 2023'!D82+'CAISSE 2023'!D83+'CAISSE 2023'!D112+'CAISSE 2023'!D148</f>
        <v>500000</v>
      </c>
      <c r="F8" s="117">
        <f t="shared" si="0"/>
        <v>2140525</v>
      </c>
    </row>
    <row r="9" spans="1:6" x14ac:dyDescent="0.25">
      <c r="A9" s="81">
        <f t="shared" si="1"/>
        <v>8</v>
      </c>
      <c r="B9" s="81" t="s">
        <v>242</v>
      </c>
      <c r="C9" s="117">
        <v>94000</v>
      </c>
      <c r="D9" s="117">
        <f>+'BROUILLARD DE CAISSE 2023'!G610+'BROUILLARD DE CAISSE 2023'!H610</f>
        <v>9075500</v>
      </c>
      <c r="E9" s="117">
        <f>+'CAISSE 2023'!D5+'CAISSE 2023'!D6+'CAISSE 2023'!D7+'CAISSE 2023'!D8+'CAISSE 2023'!D9+'CAISSE 2023'!D10+'CAISSE 2023'!D11+'CAISSE 2023'!D40+'CAISSE 2023'!D41+'CAISSE 2023'!D42+'CAISSE 2023'!D48+'CAISSE 2023'!D49+'CAISSE 2023'!D50+'CAISSE 2023'!D74+'CAISSE 2023'!D75+'CAISSE 2023'!D76+'CAISSE 2023'!D103+'CAISSE 2023'!D104+'CAISSE 2023'!D105+'CAISSE 2023'!D106+'CAISSE 2023'!D111+'CAISSE 2023'!D134+'CAISSE 2023'!D140+'CAISSE 2023'!D141+'CAISSE 2023'!D144</f>
        <v>4418500</v>
      </c>
      <c r="F9" s="117">
        <f t="shared" si="0"/>
        <v>4751000</v>
      </c>
    </row>
    <row r="10" spans="1:6" x14ac:dyDescent="0.25">
      <c r="A10" s="81">
        <f t="shared" si="1"/>
        <v>9</v>
      </c>
      <c r="B10" s="81" t="s">
        <v>348</v>
      </c>
      <c r="C10" s="117">
        <v>0</v>
      </c>
      <c r="D10" s="117"/>
      <c r="E10" s="117"/>
      <c r="F10" s="117">
        <f t="shared" si="0"/>
        <v>0</v>
      </c>
    </row>
    <row r="11" spans="1:6" x14ac:dyDescent="0.25">
      <c r="A11" s="81">
        <f t="shared" si="1"/>
        <v>10</v>
      </c>
      <c r="B11" s="81" t="s">
        <v>178</v>
      </c>
      <c r="C11" s="117">
        <v>586000</v>
      </c>
      <c r="D11" s="117">
        <f>+'BROUILLARD DE CAISSE 2023'!Q610+1750000</f>
        <v>1260000</v>
      </c>
      <c r="E11" s="117">
        <v>1750000</v>
      </c>
      <c r="F11" s="117">
        <f t="shared" si="0"/>
        <v>96000</v>
      </c>
    </row>
    <row r="12" spans="1:6" x14ac:dyDescent="0.25">
      <c r="A12" s="81">
        <f t="shared" si="1"/>
        <v>11</v>
      </c>
      <c r="B12" s="81" t="s">
        <v>349</v>
      </c>
      <c r="C12" s="117">
        <v>3293134</v>
      </c>
      <c r="D12" s="117"/>
      <c r="E12" s="117"/>
      <c r="F12" s="117">
        <f t="shared" si="0"/>
        <v>3293134</v>
      </c>
    </row>
    <row r="13" spans="1:6" x14ac:dyDescent="0.25">
      <c r="A13" s="81">
        <f t="shared" si="1"/>
        <v>12</v>
      </c>
      <c r="B13" s="81" t="s">
        <v>289</v>
      </c>
      <c r="C13" s="117">
        <v>0</v>
      </c>
      <c r="D13" s="117" t="e">
        <f>+'BROUILLARD DE CAISSE 2023'!I610+'BROUILLARD DE CAISSE 2023'!J610</f>
        <v>#VALUE!</v>
      </c>
      <c r="E13" s="117">
        <f>+'CAISSE 2023'!D151+'CAISSE 2023'!D150+'CAISSE 2023'!D145+'CAISSE 2023'!D137+'CAISSE 2023'!D135+'CAISSE 2023'!D109+'CAISSE 2023'!D108+'CAISSE 2023'!D107+'CAISSE 2023'!D101+'CAISSE 2023'!D71+'CAISSE 2023'!D69+'CAISSE 2023'!D44+'CAISSE 2023'!D43+'CAISSE 2023'!D22+'CAISSE 2023'!D21+'CAISSE 2023'!D20+'CAISSE 2023'!D19+'CAISSE 2023'!D18</f>
        <v>8243000</v>
      </c>
      <c r="F13" s="117" t="e">
        <f t="shared" si="0"/>
        <v>#VALUE!</v>
      </c>
    </row>
    <row r="14" spans="1:6" x14ac:dyDescent="0.25">
      <c r="A14" s="81">
        <f t="shared" si="1"/>
        <v>13</v>
      </c>
      <c r="B14" s="81" t="s">
        <v>350</v>
      </c>
      <c r="C14" s="117">
        <v>-1452000</v>
      </c>
      <c r="D14" s="117">
        <f>1452000+'BROUILLARD DE CAISSE 2023'!K610+'BROUILLARD DE CAISSE 2023'!L610</f>
        <v>22212500</v>
      </c>
      <c r="E14" s="117">
        <f>+'CAISSE 2023'!D12+'CAISSE 2023'!D13+'CAISSE 2023'!D14+'CAISSE 2023'!D15+'CAISSE 2023'!D16+'CAISSE 2023'!D17+'CAISSE 2023'!D46+'CAISSE 2023'!D47+'CAISSE 2023'!D72+'CAISSE 2023'!D73+'CAISSE 2023'!D77+'CAISSE 2023'!D78+'CAISSE 2023'!D79+'CAISSE 2023'!D80+'CAISSE 2023'!D81+'CAISSE 2023'!D102+'CAISSE 2023'!D110+'CAISSE 2023'!D139+'CAISSE 2023'!D142+'CAISSE 2023'!D149</f>
        <v>12582000</v>
      </c>
      <c r="F14" s="117">
        <f t="shared" si="0"/>
        <v>8178500</v>
      </c>
    </row>
    <row r="15" spans="1:6" x14ac:dyDescent="0.25">
      <c r="A15" s="81">
        <f t="shared" si="1"/>
        <v>14</v>
      </c>
      <c r="B15" s="81" t="s">
        <v>351</v>
      </c>
      <c r="C15" s="117">
        <v>0</v>
      </c>
      <c r="D15" s="117"/>
      <c r="E15" s="117"/>
      <c r="F15" s="117">
        <f t="shared" si="0"/>
        <v>0</v>
      </c>
    </row>
    <row r="16" spans="1:6" x14ac:dyDescent="0.25">
      <c r="A16" s="81">
        <f t="shared" si="1"/>
        <v>15</v>
      </c>
      <c r="B16" s="81" t="s">
        <v>352</v>
      </c>
      <c r="C16" s="117">
        <v>82104</v>
      </c>
      <c r="D16" s="117"/>
      <c r="E16" s="117"/>
      <c r="F16" s="117">
        <f t="shared" si="0"/>
        <v>82104</v>
      </c>
    </row>
    <row r="17" spans="1:6" x14ac:dyDescent="0.25">
      <c r="A17" s="81">
        <f t="shared" si="1"/>
        <v>16</v>
      </c>
      <c r="B17" s="81"/>
      <c r="C17" s="117">
        <v>0</v>
      </c>
      <c r="D17" s="117"/>
      <c r="E17" s="117"/>
      <c r="F17" s="117">
        <f t="shared" si="0"/>
        <v>0</v>
      </c>
    </row>
    <row r="18" spans="1:6" x14ac:dyDescent="0.25">
      <c r="A18" s="81"/>
      <c r="B18" s="122" t="s">
        <v>0</v>
      </c>
      <c r="C18" s="117">
        <f>SUM(C2:C17)</f>
        <v>31073404</v>
      </c>
      <c r="D18" s="117" t="e">
        <f t="shared" ref="D18:F18" si="2">SUM(D2:D17)</f>
        <v>#VALUE!</v>
      </c>
      <c r="E18" s="117">
        <f t="shared" si="2"/>
        <v>28549000</v>
      </c>
      <c r="F18" s="117" t="e">
        <f t="shared" si="2"/>
        <v>#VALUE!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9</vt:i4>
      </vt:variant>
    </vt:vector>
  </HeadingPairs>
  <TitlesOfParts>
    <vt:vector size="9" baseType="lpstr">
      <vt:lpstr>BROUILLARD DE CAISSE 2023</vt:lpstr>
      <vt:lpstr>TONTINE PRESENCE EXO 2023 </vt:lpstr>
      <vt:lpstr>TONTINE 75000 EXO 2023</vt:lpstr>
      <vt:lpstr>TONTINE DE 100 000 EXO 2023</vt:lpstr>
      <vt:lpstr>EPARGNE 2023</vt:lpstr>
      <vt:lpstr>MOUVEMENTS PRETS 2023</vt:lpstr>
      <vt:lpstr>CAISSE 2023</vt:lpstr>
      <vt:lpstr>FOYER 2023</vt:lpstr>
      <vt:lpstr>SYNTHESE DES FINANCES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VICE PRESIDENT ASELBY</dc:creator>
  <cp:lastModifiedBy>DJUOMBESSY</cp:lastModifiedBy>
  <cp:lastPrinted>2018-06-08T16:56:24Z</cp:lastPrinted>
  <dcterms:created xsi:type="dcterms:W3CDTF">2003-01-01T16:45:41Z</dcterms:created>
  <dcterms:modified xsi:type="dcterms:W3CDTF">2023-11-24T10:19:43Z</dcterms:modified>
</cp:coreProperties>
</file>