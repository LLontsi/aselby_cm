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SELBYTONTINE\"/>
    </mc:Choice>
  </mc:AlternateContent>
  <bookViews>
    <workbookView xWindow="0" yWindow="0" windowWidth="15480" windowHeight="6810" activeTab="4"/>
  </bookViews>
  <sheets>
    <sheet name="MODEVERSEMENT" sheetId="2" r:id="rId1"/>
    <sheet name="TONTNOV" sheetId="20" r:id="rId2"/>
    <sheet name="TONTDEC" sheetId="34" r:id="rId3"/>
    <sheet name="TONTJANV" sheetId="35" r:id="rId4"/>
    <sheet name="TONTFEV" sheetId="36" r:id="rId5"/>
    <sheet name="TONTMARS" sheetId="37" r:id="rId6"/>
    <sheet name="TONTAVRIL" sheetId="38" r:id="rId7"/>
    <sheet name="TONTMAI" sheetId="39" r:id="rId8"/>
    <sheet name="TONTJUIN" sheetId="40" r:id="rId9"/>
    <sheet name="TONTJUIL" sheetId="41" r:id="rId10"/>
    <sheet name="TONTAOUT" sheetId="42" r:id="rId11"/>
    <sheet name="TONTSEPT" sheetId="43" r:id="rId12"/>
    <sheet name="TONTOCT" sheetId="44" r:id="rId13"/>
    <sheet name="TONTNOV20" sheetId="45" r:id="rId14"/>
    <sheet name="TONTDEC20" sheetId="46" r:id="rId15"/>
    <sheet name="TONTRESUME" sheetId="48" r:id="rId16"/>
  </sheets>
  <externalReferences>
    <externalReference r:id="rId17"/>
    <externalReference r:id="rId18"/>
    <externalReference r:id="rId19"/>
    <externalReference r:id="rId20"/>
    <externalReference r:id="rId21"/>
  </externalReferences>
  <definedNames>
    <definedName name="_xlnm._FilterDatabase" localSheetId="10" hidden="1">TONTAOUT!$A$5:$R$39</definedName>
    <definedName name="_xlnm._FilterDatabase" localSheetId="6" hidden="1">TONTAVRIL!$A$5:$R$39</definedName>
    <definedName name="_xlnm._FilterDatabase" localSheetId="2" hidden="1">TONTDEC!$A$5:$R$39</definedName>
    <definedName name="_xlnm._FilterDatabase" localSheetId="14" hidden="1">TONTDEC20!$A$5:$R$39</definedName>
    <definedName name="_xlnm._FilterDatabase" localSheetId="4" hidden="1">TONTFEV!$A$5:$R$39</definedName>
    <definedName name="_xlnm._FilterDatabase" localSheetId="3" hidden="1">TONTJANV!$A$5:$R$39</definedName>
    <definedName name="_xlnm._FilterDatabase" localSheetId="9" hidden="1">TONTJUIL!$A$5:$R$39</definedName>
    <definedName name="_xlnm._FilterDatabase" localSheetId="8" hidden="1">TONTJUIN!$A$5:$R$39</definedName>
    <definedName name="_xlnm._FilterDatabase" localSheetId="7" hidden="1">TONTMAI!$A$5:$R$39</definedName>
    <definedName name="_xlnm._FilterDatabase" localSheetId="5" hidden="1">TONTMARS!$A$5:$R$39</definedName>
    <definedName name="_xlnm._FilterDatabase" localSheetId="1" hidden="1">TONTNOV!$A$5:$R$39</definedName>
    <definedName name="_xlnm._FilterDatabase" localSheetId="13" hidden="1">TONTNOV20!$A$5:$R$39</definedName>
    <definedName name="_xlnm._FilterDatabase" localSheetId="12" hidden="1">TONTOCT!$A$5:$R$39</definedName>
    <definedName name="_xlnm._FilterDatabase" localSheetId="15" hidden="1">TONTRESUME!$A$5:$K$40</definedName>
    <definedName name="_xlnm._FilterDatabase" localSheetId="11" hidden="1">TONTSEPT!$A$5:$R$39</definedName>
    <definedName name="BANQUE" localSheetId="0">#REF!</definedName>
    <definedName name="BANQUE" localSheetId="10">#REF!</definedName>
    <definedName name="BANQUE" localSheetId="6">#REF!</definedName>
    <definedName name="BANQUE" localSheetId="2">#REF!</definedName>
    <definedName name="BANQUE" localSheetId="14">#REF!</definedName>
    <definedName name="BANQUE" localSheetId="4">#REF!</definedName>
    <definedName name="BANQUE" localSheetId="3">#REF!</definedName>
    <definedName name="BANQUE" localSheetId="9">#REF!</definedName>
    <definedName name="BANQUE" localSheetId="8">#REF!</definedName>
    <definedName name="BANQUE" localSheetId="7">#REF!</definedName>
    <definedName name="BANQUE" localSheetId="5">#REF!</definedName>
    <definedName name="BANQUE" localSheetId="1">#REF!</definedName>
    <definedName name="BANQUE" localSheetId="13">#REF!</definedName>
    <definedName name="BANQUE" localSheetId="12">#REF!</definedName>
    <definedName name="BANQUE" localSheetId="15">#REF!</definedName>
    <definedName name="BANQUE" localSheetId="11">#REF!</definedName>
    <definedName name="BANQUE">#REF!</definedName>
    <definedName name="MODEPAID">[1]Feuil2!$A$1:$A$3</definedName>
    <definedName name="MODET25000">[2]MODEVERSEMENT!$A$1:$A$3</definedName>
    <definedName name="MODEVERSEMENT" localSheetId="0">#REF!</definedName>
    <definedName name="MODEVERSEMENT" localSheetId="10">#REF!</definedName>
    <definedName name="MODEVERSEMENT" localSheetId="6">#REF!</definedName>
    <definedName name="MODEVERSEMENT" localSheetId="2">#REF!</definedName>
    <definedName name="MODEVERSEMENT" localSheetId="14">#REF!</definedName>
    <definedName name="MODEVERSEMENT" localSheetId="4">#REF!</definedName>
    <definedName name="MODEVERSEMENT" localSheetId="3">#REF!</definedName>
    <definedName name="MODEVERSEMENT" localSheetId="9">#REF!</definedName>
    <definedName name="MODEVERSEMENT" localSheetId="8">#REF!</definedName>
    <definedName name="MODEVERSEMENT" localSheetId="7">#REF!</definedName>
    <definedName name="MODEVERSEMENT" localSheetId="5">#REF!</definedName>
    <definedName name="MODEVERSEMENT" localSheetId="1">#REF!</definedName>
    <definedName name="MODEVERSEMENT" localSheetId="13">#REF!</definedName>
    <definedName name="MODEVERSEMENT" localSheetId="12">#REF!</definedName>
    <definedName name="MODEVERSEMENT" localSheetId="15">#REF!</definedName>
    <definedName name="MODEVERSEMENT" localSheetId="11">#REF!</definedName>
    <definedName name="MODEVERSEMENT">#REF!</definedName>
    <definedName name="MODEVERSEMENTS">MODEVERSEMENT!$A$1:$A$3</definedName>
    <definedName name="MODPAID" localSheetId="10">TONTAOUT!#REF!</definedName>
    <definedName name="MODPAID" localSheetId="6">TONTAVRIL!#REF!</definedName>
    <definedName name="MODPAID" localSheetId="2">TONTDEC!#REF!</definedName>
    <definedName name="MODPAID" localSheetId="14">TONTDEC20!#REF!</definedName>
    <definedName name="MODPAID" localSheetId="4">TONTFEV!#REF!</definedName>
    <definedName name="MODPAID" localSheetId="3">TONTJANV!#REF!</definedName>
    <definedName name="MODPAID" localSheetId="9">TONTJUIL!#REF!</definedName>
    <definedName name="MODPAID" localSheetId="8">TONTJUIN!#REF!</definedName>
    <definedName name="MODPAID" localSheetId="7">TONTMAI!#REF!</definedName>
    <definedName name="MODPAID" localSheetId="5">TONTMARS!#REF!</definedName>
    <definedName name="MODPAID" localSheetId="1">TONTNOV!#REF!</definedName>
    <definedName name="MODPAID" localSheetId="13">TONTNOV20!#REF!</definedName>
    <definedName name="MODPAID" localSheetId="12">TONTOCT!#REF!</definedName>
    <definedName name="MODPAID" localSheetId="15">TONTRESUME!#REF!</definedName>
    <definedName name="MODPAID" localSheetId="11">TONTSEPT!#REF!</definedName>
    <definedName name="VALMODEPAID">[3]MODEPAID!$A$1:$A$3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7" i="36" l="1"/>
  <c r="L46" i="48" l="1"/>
  <c r="L24" i="48"/>
  <c r="L25" i="48"/>
  <c r="L26" i="48"/>
  <c r="L27" i="48"/>
  <c r="L28" i="48"/>
  <c r="L29" i="48"/>
  <c r="L30" i="48"/>
  <c r="L31" i="48"/>
  <c r="L32" i="48"/>
  <c r="L33" i="48"/>
  <c r="L34" i="48"/>
  <c r="L35" i="48"/>
  <c r="L36" i="48"/>
  <c r="L37" i="48"/>
  <c r="L38" i="48"/>
  <c r="L39" i="48"/>
  <c r="L40" i="48"/>
  <c r="L7" i="48"/>
  <c r="L8" i="48"/>
  <c r="L9" i="48"/>
  <c r="L10" i="48"/>
  <c r="L11" i="48"/>
  <c r="L12" i="48"/>
  <c r="L13" i="48"/>
  <c r="L14" i="48"/>
  <c r="L15" i="48"/>
  <c r="L16" i="48"/>
  <c r="L17" i="48"/>
  <c r="L18" i="48"/>
  <c r="L19" i="48"/>
  <c r="L20" i="48"/>
  <c r="L21" i="48"/>
  <c r="L22" i="48"/>
  <c r="L23" i="48"/>
  <c r="L6" i="48"/>
  <c r="D40" i="45" l="1"/>
  <c r="D46" i="45" s="1"/>
  <c r="G40" i="45"/>
  <c r="E40" i="48" s="1"/>
  <c r="E46" i="48" s="1"/>
  <c r="G40" i="46"/>
  <c r="C40" i="46"/>
  <c r="D40" i="46"/>
  <c r="C40" i="48" s="1"/>
  <c r="C46" i="48" s="1"/>
  <c r="F46" i="48"/>
  <c r="G46" i="48"/>
  <c r="H46" i="48"/>
  <c r="I46" i="48"/>
  <c r="J46" i="48"/>
  <c r="J40" i="48"/>
  <c r="I40" i="48"/>
  <c r="H40" i="48"/>
  <c r="G40" i="48"/>
  <c r="F40" i="48"/>
  <c r="D37" i="48"/>
  <c r="E37" i="48"/>
  <c r="F37" i="48"/>
  <c r="G37" i="48"/>
  <c r="H37" i="48"/>
  <c r="I37" i="48"/>
  <c r="J37" i="48"/>
  <c r="F46" i="46"/>
  <c r="G46" i="46"/>
  <c r="H46" i="46"/>
  <c r="I46" i="46"/>
  <c r="J46" i="46"/>
  <c r="K46" i="46"/>
  <c r="L46" i="46"/>
  <c r="M46" i="46"/>
  <c r="N46" i="46"/>
  <c r="O46" i="46"/>
  <c r="P46" i="46"/>
  <c r="Q46" i="46"/>
  <c r="R46" i="46"/>
  <c r="F46" i="45"/>
  <c r="G46" i="45"/>
  <c r="H46" i="45"/>
  <c r="I46" i="45"/>
  <c r="J46" i="45"/>
  <c r="K46" i="45"/>
  <c r="L46" i="45"/>
  <c r="M46" i="45"/>
  <c r="N46" i="45"/>
  <c r="O46" i="45"/>
  <c r="P46" i="45"/>
  <c r="Q46" i="45"/>
  <c r="R46" i="45"/>
  <c r="D46" i="44"/>
  <c r="E46" i="44"/>
  <c r="F46" i="44"/>
  <c r="G46" i="44"/>
  <c r="H46" i="44"/>
  <c r="I46" i="44"/>
  <c r="J46" i="44"/>
  <c r="K46" i="44"/>
  <c r="L46" i="44"/>
  <c r="M46" i="44"/>
  <c r="N46" i="44"/>
  <c r="O46" i="44"/>
  <c r="P46" i="44"/>
  <c r="Q46" i="44"/>
  <c r="R46" i="44"/>
  <c r="S46" i="44"/>
  <c r="C46" i="44"/>
  <c r="E40" i="46"/>
  <c r="E40" i="45"/>
  <c r="C40" i="45"/>
  <c r="B40" i="43"/>
  <c r="D46" i="43"/>
  <c r="E46" i="43"/>
  <c r="F46" i="43"/>
  <c r="G46" i="43"/>
  <c r="H46" i="43"/>
  <c r="I46" i="43"/>
  <c r="J46" i="43"/>
  <c r="K46" i="43"/>
  <c r="L46" i="43"/>
  <c r="M46" i="43"/>
  <c r="N46" i="43"/>
  <c r="O46" i="43"/>
  <c r="P46" i="43"/>
  <c r="Q46" i="43"/>
  <c r="R46" i="43"/>
  <c r="C46" i="43"/>
  <c r="R46" i="42"/>
  <c r="Q46" i="42"/>
  <c r="P46" i="42"/>
  <c r="O46" i="42"/>
  <c r="N46" i="42"/>
  <c r="M46" i="42"/>
  <c r="L46" i="42"/>
  <c r="K46" i="42"/>
  <c r="J46" i="42"/>
  <c r="I46" i="42"/>
  <c r="H46" i="42"/>
  <c r="G46" i="42"/>
  <c r="F46" i="42"/>
  <c r="E46" i="42"/>
  <c r="D46" i="42"/>
  <c r="C46" i="42"/>
  <c r="B40" i="42"/>
  <c r="R46" i="41"/>
  <c r="Q46" i="41"/>
  <c r="P46" i="41"/>
  <c r="O46" i="41"/>
  <c r="N46" i="41"/>
  <c r="M46" i="41"/>
  <c r="L46" i="41"/>
  <c r="K46" i="41"/>
  <c r="J46" i="41"/>
  <c r="I46" i="41"/>
  <c r="H46" i="41"/>
  <c r="G46" i="41"/>
  <c r="F46" i="41"/>
  <c r="E46" i="41"/>
  <c r="D46" i="41"/>
  <c r="C46" i="41"/>
  <c r="B40" i="41"/>
  <c r="R46" i="40"/>
  <c r="Q46" i="40"/>
  <c r="P46" i="40"/>
  <c r="O46" i="40"/>
  <c r="N46" i="40"/>
  <c r="M46" i="40"/>
  <c r="L46" i="40"/>
  <c r="K46" i="40"/>
  <c r="J46" i="40"/>
  <c r="I46" i="40"/>
  <c r="H46" i="40"/>
  <c r="G46" i="40"/>
  <c r="F46" i="40"/>
  <c r="E46" i="40"/>
  <c r="D46" i="40"/>
  <c r="C46" i="40"/>
  <c r="B40" i="40"/>
  <c r="R46" i="39"/>
  <c r="Q46" i="39"/>
  <c r="P46" i="39"/>
  <c r="O46" i="39"/>
  <c r="N46" i="39"/>
  <c r="M46" i="39"/>
  <c r="L46" i="39"/>
  <c r="K46" i="39"/>
  <c r="J46" i="39"/>
  <c r="I46" i="39"/>
  <c r="H46" i="39"/>
  <c r="G46" i="39"/>
  <c r="F46" i="39"/>
  <c r="E46" i="39"/>
  <c r="D46" i="39"/>
  <c r="C46" i="39"/>
  <c r="B40" i="39"/>
  <c r="R46" i="38"/>
  <c r="Q46" i="38"/>
  <c r="P46" i="38"/>
  <c r="O46" i="38"/>
  <c r="N46" i="38"/>
  <c r="M46" i="38"/>
  <c r="L46" i="38"/>
  <c r="K46" i="38"/>
  <c r="J46" i="38"/>
  <c r="I46" i="38"/>
  <c r="H46" i="38"/>
  <c r="G46" i="38"/>
  <c r="F46" i="38"/>
  <c r="E46" i="38"/>
  <c r="D46" i="38"/>
  <c r="C46" i="38"/>
  <c r="B40" i="38"/>
  <c r="R46" i="37"/>
  <c r="Q46" i="37"/>
  <c r="P46" i="37"/>
  <c r="O46" i="37"/>
  <c r="N46" i="37"/>
  <c r="M46" i="37"/>
  <c r="L46" i="37"/>
  <c r="K46" i="37"/>
  <c r="J46" i="37"/>
  <c r="I46" i="37"/>
  <c r="H46" i="37"/>
  <c r="G46" i="37"/>
  <c r="F46" i="37"/>
  <c r="E46" i="37"/>
  <c r="D46" i="37"/>
  <c r="C46" i="37"/>
  <c r="B40" i="37"/>
  <c r="R46" i="36"/>
  <c r="Q46" i="36"/>
  <c r="P46" i="36"/>
  <c r="O46" i="36"/>
  <c r="N46" i="36"/>
  <c r="M46" i="36"/>
  <c r="L46" i="36"/>
  <c r="K46" i="36"/>
  <c r="J46" i="36"/>
  <c r="I46" i="36"/>
  <c r="H46" i="36"/>
  <c r="G46" i="36"/>
  <c r="F46" i="36"/>
  <c r="E46" i="36"/>
  <c r="D46" i="36"/>
  <c r="C46" i="36"/>
  <c r="B40" i="36"/>
  <c r="R46" i="35"/>
  <c r="Q46" i="35"/>
  <c r="P46" i="35"/>
  <c r="O46" i="35"/>
  <c r="N46" i="35"/>
  <c r="M46" i="35"/>
  <c r="L46" i="35"/>
  <c r="K46" i="35"/>
  <c r="J46" i="35"/>
  <c r="I46" i="35"/>
  <c r="H46" i="35"/>
  <c r="G46" i="35"/>
  <c r="F46" i="35"/>
  <c r="E46" i="35"/>
  <c r="D46" i="35"/>
  <c r="C46" i="35"/>
  <c r="B40" i="35"/>
  <c r="R46" i="34"/>
  <c r="Q46" i="34"/>
  <c r="P46" i="34"/>
  <c r="O46" i="34"/>
  <c r="N46" i="34"/>
  <c r="M46" i="34"/>
  <c r="L46" i="34"/>
  <c r="K46" i="34"/>
  <c r="J46" i="34"/>
  <c r="I46" i="34"/>
  <c r="H46" i="34"/>
  <c r="G46" i="34"/>
  <c r="F46" i="34"/>
  <c r="E46" i="34"/>
  <c r="D46" i="34"/>
  <c r="C46" i="34"/>
  <c r="B40" i="34"/>
  <c r="D46" i="20"/>
  <c r="E46" i="20"/>
  <c r="F46" i="20"/>
  <c r="G46" i="20"/>
  <c r="H46" i="20"/>
  <c r="I46" i="20"/>
  <c r="J46" i="20"/>
  <c r="K46" i="20"/>
  <c r="L46" i="20"/>
  <c r="M46" i="20"/>
  <c r="N46" i="20"/>
  <c r="O46" i="20"/>
  <c r="P46" i="20"/>
  <c r="Q46" i="20"/>
  <c r="R46" i="20"/>
  <c r="C46" i="20"/>
  <c r="B40" i="20"/>
  <c r="B40" i="48"/>
  <c r="E46" i="46" l="1"/>
  <c r="D40" i="48"/>
  <c r="C46" i="45"/>
  <c r="E46" i="45"/>
  <c r="D46" i="46"/>
  <c r="H55" i="44"/>
  <c r="E40" i="44"/>
  <c r="C40" i="44"/>
  <c r="G33" i="44"/>
  <c r="G32" i="44"/>
  <c r="G30" i="44"/>
  <c r="G26" i="44"/>
  <c r="G25" i="44"/>
  <c r="G14" i="44"/>
  <c r="G10" i="44"/>
  <c r="G29" i="43"/>
  <c r="C40" i="43"/>
  <c r="E40" i="43"/>
  <c r="E55" i="43"/>
  <c r="G30" i="42"/>
  <c r="G29" i="42"/>
  <c r="L37" i="39"/>
  <c r="L20" i="39"/>
  <c r="L19" i="36"/>
  <c r="D9" i="37"/>
  <c r="E37" i="37"/>
  <c r="C46" i="46" l="1"/>
  <c r="G16" i="44"/>
  <c r="G8" i="44"/>
  <c r="G9" i="44"/>
  <c r="G11" i="44"/>
  <c r="G12" i="44"/>
  <c r="G7" i="44"/>
  <c r="G13" i="40" l="1"/>
  <c r="D9" i="38"/>
  <c r="E8" i="38"/>
  <c r="G8" i="38"/>
  <c r="L8" i="38"/>
  <c r="P8" i="38"/>
  <c r="G9" i="38"/>
  <c r="G9" i="37" l="1"/>
  <c r="G32" i="43" l="1"/>
  <c r="G32" i="38"/>
  <c r="G25" i="43" l="1"/>
  <c r="G16" i="43"/>
  <c r="G10" i="43"/>
  <c r="G35" i="42" l="1"/>
  <c r="G33" i="42"/>
  <c r="G32" i="42"/>
  <c r="G19" i="42"/>
  <c r="G14" i="42"/>
  <c r="G8" i="42"/>
  <c r="G8" i="41" l="1"/>
  <c r="G14" i="41"/>
  <c r="G29" i="41"/>
  <c r="G32" i="41"/>
  <c r="G28" i="41"/>
  <c r="G26" i="41"/>
  <c r="G16" i="41"/>
  <c r="G7" i="41"/>
  <c r="G25" i="41"/>
  <c r="G35" i="41"/>
  <c r="G26" i="40" l="1"/>
  <c r="G32" i="40"/>
  <c r="G29" i="40"/>
  <c r="G35" i="40"/>
  <c r="G16" i="40"/>
  <c r="G35" i="38" l="1"/>
  <c r="G33" i="38"/>
  <c r="G26" i="38"/>
  <c r="G25" i="38"/>
  <c r="G22" i="38"/>
  <c r="G20" i="38"/>
  <c r="G16" i="38"/>
  <c r="G32" i="37" l="1"/>
  <c r="G26" i="37"/>
  <c r="G25" i="37"/>
  <c r="I8" i="36"/>
  <c r="H8" i="36"/>
  <c r="L39" i="46"/>
  <c r="L38" i="46"/>
  <c r="L37" i="46"/>
  <c r="L36" i="46"/>
  <c r="L35" i="46"/>
  <c r="L34" i="46"/>
  <c r="L33" i="46"/>
  <c r="L32" i="46"/>
  <c r="L31" i="46"/>
  <c r="L30" i="46"/>
  <c r="L29" i="46"/>
  <c r="L28" i="46"/>
  <c r="L27" i="46"/>
  <c r="L26" i="46"/>
  <c r="L25" i="46"/>
  <c r="L24" i="46"/>
  <c r="L23" i="46"/>
  <c r="L22" i="46"/>
  <c r="L21" i="46"/>
  <c r="L20" i="46"/>
  <c r="L19" i="46"/>
  <c r="L18" i="46"/>
  <c r="L17" i="46"/>
  <c r="L16" i="46"/>
  <c r="L15" i="46"/>
  <c r="L14" i="46"/>
  <c r="L13" i="46"/>
  <c r="L12" i="46"/>
  <c r="L11" i="46"/>
  <c r="L10" i="46"/>
  <c r="L9" i="46"/>
  <c r="L8" i="46"/>
  <c r="L7" i="46"/>
  <c r="L6" i="46"/>
  <c r="L39" i="45"/>
  <c r="L38" i="45"/>
  <c r="L37" i="45"/>
  <c r="L36" i="45"/>
  <c r="L35" i="45"/>
  <c r="L34" i="45"/>
  <c r="L33" i="45"/>
  <c r="L32" i="45"/>
  <c r="L31" i="45"/>
  <c r="L30" i="45"/>
  <c r="L29" i="45"/>
  <c r="L28" i="45"/>
  <c r="L27" i="45"/>
  <c r="L26" i="45"/>
  <c r="L25" i="45"/>
  <c r="L24" i="45"/>
  <c r="L23" i="45"/>
  <c r="L22" i="45"/>
  <c r="L21" i="45"/>
  <c r="L20" i="45"/>
  <c r="L19" i="45"/>
  <c r="L18" i="45"/>
  <c r="L17" i="45"/>
  <c r="L16" i="45"/>
  <c r="L15" i="45"/>
  <c r="L14" i="45"/>
  <c r="L13" i="45"/>
  <c r="L12" i="45"/>
  <c r="L11" i="45"/>
  <c r="L10" i="45"/>
  <c r="L9" i="45"/>
  <c r="L8" i="45"/>
  <c r="L7" i="45"/>
  <c r="L6" i="45"/>
  <c r="L39" i="44"/>
  <c r="L38" i="44"/>
  <c r="L37" i="44"/>
  <c r="L36" i="44"/>
  <c r="L35" i="44"/>
  <c r="L34" i="44"/>
  <c r="L33" i="44"/>
  <c r="L32" i="44"/>
  <c r="L31" i="44"/>
  <c r="L30" i="44"/>
  <c r="L29" i="44"/>
  <c r="L28" i="44"/>
  <c r="L27" i="44"/>
  <c r="L26" i="44"/>
  <c r="L25" i="44"/>
  <c r="L24" i="44"/>
  <c r="L23" i="44"/>
  <c r="L22" i="44"/>
  <c r="L21" i="44"/>
  <c r="L20" i="44"/>
  <c r="L19" i="44"/>
  <c r="L18" i="44"/>
  <c r="L17" i="44"/>
  <c r="L16" i="44"/>
  <c r="L15" i="44"/>
  <c r="L14" i="44"/>
  <c r="L13" i="44"/>
  <c r="L12" i="44"/>
  <c r="L11" i="44"/>
  <c r="L10" i="44"/>
  <c r="L9" i="44"/>
  <c r="L8" i="44"/>
  <c r="L7" i="44"/>
  <c r="L6" i="44"/>
  <c r="L39" i="43"/>
  <c r="L38" i="43"/>
  <c r="L37" i="43"/>
  <c r="L36" i="43"/>
  <c r="L35" i="43"/>
  <c r="L34" i="43"/>
  <c r="L33" i="43"/>
  <c r="L32" i="43"/>
  <c r="L31" i="43"/>
  <c r="L30" i="43"/>
  <c r="L29" i="43"/>
  <c r="L28" i="43"/>
  <c r="L27" i="43"/>
  <c r="L26" i="43"/>
  <c r="L25" i="43"/>
  <c r="L24" i="43"/>
  <c r="L23" i="43"/>
  <c r="L22" i="43"/>
  <c r="L21" i="43"/>
  <c r="L20" i="43"/>
  <c r="L19" i="43"/>
  <c r="L18" i="43"/>
  <c r="L17" i="43"/>
  <c r="L16" i="43"/>
  <c r="L15" i="43"/>
  <c r="L14" i="43"/>
  <c r="L13" i="43"/>
  <c r="L12" i="43"/>
  <c r="L11" i="43"/>
  <c r="L10" i="43"/>
  <c r="L9" i="43"/>
  <c r="L8" i="43"/>
  <c r="L7" i="43"/>
  <c r="L6" i="43"/>
  <c r="L39" i="42"/>
  <c r="L38" i="42"/>
  <c r="L37" i="42"/>
  <c r="L36" i="42"/>
  <c r="L35" i="42"/>
  <c r="L34" i="42"/>
  <c r="L33" i="42"/>
  <c r="L32" i="42"/>
  <c r="L31" i="42"/>
  <c r="L30" i="42"/>
  <c r="L29" i="42"/>
  <c r="L28" i="42"/>
  <c r="L27" i="42"/>
  <c r="L26" i="42"/>
  <c r="L25" i="42"/>
  <c r="L24" i="42"/>
  <c r="L23" i="42"/>
  <c r="L22" i="42"/>
  <c r="L21" i="42"/>
  <c r="L20" i="42"/>
  <c r="L19" i="42"/>
  <c r="L18" i="42"/>
  <c r="L17" i="42"/>
  <c r="L16" i="42"/>
  <c r="L15" i="42"/>
  <c r="L14" i="42"/>
  <c r="L13" i="42"/>
  <c r="L12" i="42"/>
  <c r="L11" i="42"/>
  <c r="L10" i="42"/>
  <c r="L9" i="42"/>
  <c r="L8" i="42"/>
  <c r="L7" i="42"/>
  <c r="L6" i="42"/>
  <c r="L39" i="41"/>
  <c r="L38" i="41"/>
  <c r="L37" i="41"/>
  <c r="L36" i="41"/>
  <c r="L35" i="41"/>
  <c r="L34" i="41"/>
  <c r="L33" i="41"/>
  <c r="L32" i="41"/>
  <c r="L31" i="41"/>
  <c r="L30" i="41"/>
  <c r="L29" i="41"/>
  <c r="L28" i="41"/>
  <c r="L27" i="41"/>
  <c r="L26" i="41"/>
  <c r="L25" i="41"/>
  <c r="L24" i="41"/>
  <c r="L23" i="41"/>
  <c r="L22" i="41"/>
  <c r="L21" i="41"/>
  <c r="L20" i="41"/>
  <c r="L19" i="41"/>
  <c r="L18" i="41"/>
  <c r="L17" i="41"/>
  <c r="L16" i="41"/>
  <c r="L15" i="41"/>
  <c r="L14" i="41"/>
  <c r="L13" i="41"/>
  <c r="L12" i="41"/>
  <c r="L11" i="41"/>
  <c r="L10" i="41"/>
  <c r="L9" i="41"/>
  <c r="L8" i="41"/>
  <c r="L7" i="41"/>
  <c r="L6" i="41"/>
  <c r="L39" i="40"/>
  <c r="L38" i="40"/>
  <c r="L37" i="40"/>
  <c r="L36" i="40"/>
  <c r="L35" i="40"/>
  <c r="L34" i="40"/>
  <c r="L33" i="40"/>
  <c r="L32" i="40"/>
  <c r="L31" i="40"/>
  <c r="L30" i="40"/>
  <c r="L29" i="40"/>
  <c r="L28" i="40"/>
  <c r="L27" i="40"/>
  <c r="L26" i="40"/>
  <c r="L25" i="40"/>
  <c r="L24" i="40"/>
  <c r="L23" i="40"/>
  <c r="L22" i="40"/>
  <c r="L21" i="40"/>
  <c r="L20" i="40"/>
  <c r="L19" i="40"/>
  <c r="L18" i="40"/>
  <c r="L17" i="40"/>
  <c r="L16" i="40"/>
  <c r="L15" i="40"/>
  <c r="L14" i="40"/>
  <c r="L13" i="40"/>
  <c r="L12" i="40"/>
  <c r="L11" i="40"/>
  <c r="L10" i="40"/>
  <c r="L9" i="40"/>
  <c r="L8" i="40"/>
  <c r="L7" i="40"/>
  <c r="L6" i="40"/>
  <c r="L39" i="39"/>
  <c r="L38" i="39"/>
  <c r="L36" i="39"/>
  <c r="L35" i="39"/>
  <c r="L34" i="39"/>
  <c r="L33" i="39"/>
  <c r="L32" i="39"/>
  <c r="L31" i="39"/>
  <c r="L30" i="39"/>
  <c r="L29" i="39"/>
  <c r="L28" i="39"/>
  <c r="L27" i="39"/>
  <c r="L26" i="39"/>
  <c r="L25" i="39"/>
  <c r="L24" i="39"/>
  <c r="L23" i="39"/>
  <c r="L22" i="39"/>
  <c r="L21" i="39"/>
  <c r="L19" i="39"/>
  <c r="L18" i="39"/>
  <c r="L17" i="39"/>
  <c r="L16" i="39"/>
  <c r="L15" i="39"/>
  <c r="L14" i="39"/>
  <c r="L13" i="39"/>
  <c r="L12" i="39"/>
  <c r="L11" i="39"/>
  <c r="L10" i="39"/>
  <c r="L9" i="39"/>
  <c r="L8" i="39"/>
  <c r="L7" i="39"/>
  <c r="L6" i="39"/>
  <c r="L39" i="38"/>
  <c r="L38" i="38"/>
  <c r="L37" i="38"/>
  <c r="L36" i="38"/>
  <c r="L35" i="38"/>
  <c r="L34" i="38"/>
  <c r="L33" i="38"/>
  <c r="L32" i="38"/>
  <c r="L31" i="38"/>
  <c r="L30" i="38"/>
  <c r="L29" i="38"/>
  <c r="L28" i="38"/>
  <c r="L27" i="38"/>
  <c r="L26" i="38"/>
  <c r="L25" i="38"/>
  <c r="L24" i="38"/>
  <c r="L23" i="38"/>
  <c r="L22" i="38"/>
  <c r="L21" i="38"/>
  <c r="L20" i="38"/>
  <c r="L19" i="38"/>
  <c r="L18" i="38"/>
  <c r="L17" i="38"/>
  <c r="L16" i="38"/>
  <c r="L15" i="38"/>
  <c r="L14" i="38"/>
  <c r="L13" i="38"/>
  <c r="L12" i="38"/>
  <c r="L11" i="38"/>
  <c r="L10" i="38"/>
  <c r="L9" i="38"/>
  <c r="L7" i="38"/>
  <c r="L6" i="38"/>
  <c r="L39" i="37"/>
  <c r="L38" i="37"/>
  <c r="L37" i="37"/>
  <c r="L36" i="37"/>
  <c r="L35" i="37"/>
  <c r="L34" i="37"/>
  <c r="L33" i="37"/>
  <c r="L32" i="37"/>
  <c r="L31" i="37"/>
  <c r="L30" i="37"/>
  <c r="L29" i="37"/>
  <c r="L28" i="37"/>
  <c r="L27" i="37"/>
  <c r="L26" i="37"/>
  <c r="L25" i="37"/>
  <c r="L24" i="37"/>
  <c r="L23" i="37"/>
  <c r="L22" i="37"/>
  <c r="L21" i="37"/>
  <c r="L20" i="37"/>
  <c r="L19" i="37"/>
  <c r="L18" i="37"/>
  <c r="L17" i="37"/>
  <c r="L16" i="37"/>
  <c r="L15" i="37"/>
  <c r="L14" i="37"/>
  <c r="L13" i="37"/>
  <c r="L12" i="37"/>
  <c r="L11" i="37"/>
  <c r="L10" i="37"/>
  <c r="L9" i="37"/>
  <c r="L8" i="37"/>
  <c r="L7" i="37"/>
  <c r="L6" i="37"/>
  <c r="L39" i="36"/>
  <c r="L38" i="36"/>
  <c r="L37" i="36"/>
  <c r="L36" i="36"/>
  <c r="L35" i="36"/>
  <c r="L34" i="36"/>
  <c r="L33" i="36"/>
  <c r="L32" i="36"/>
  <c r="L31" i="36"/>
  <c r="L30" i="36"/>
  <c r="L29" i="36"/>
  <c r="L28" i="36"/>
  <c r="L27" i="36"/>
  <c r="L26" i="36"/>
  <c r="L25" i="36"/>
  <c r="L24" i="36"/>
  <c r="L23" i="36"/>
  <c r="L22" i="36"/>
  <c r="L21" i="36"/>
  <c r="L20" i="36"/>
  <c r="L18" i="36"/>
  <c r="L17" i="36"/>
  <c r="L16" i="36"/>
  <c r="L15" i="36"/>
  <c r="L14" i="36"/>
  <c r="L13" i="36"/>
  <c r="L12" i="36"/>
  <c r="L11" i="36"/>
  <c r="L10" i="36"/>
  <c r="L9" i="36"/>
  <c r="L8" i="36"/>
  <c r="L7" i="36"/>
  <c r="L6" i="36"/>
  <c r="G9" i="36"/>
  <c r="G35" i="36"/>
  <c r="G32" i="36"/>
  <c r="G26" i="36"/>
  <c r="G25" i="36"/>
  <c r="G16" i="36"/>
  <c r="G14" i="36"/>
  <c r="G10" i="36"/>
  <c r="D71" i="34"/>
  <c r="D70" i="34"/>
  <c r="D70" i="39"/>
  <c r="D71" i="45"/>
  <c r="D70" i="45"/>
  <c r="D71" i="46"/>
  <c r="D70" i="46"/>
  <c r="E67" i="46"/>
  <c r="E66" i="46"/>
  <c r="E65" i="46"/>
  <c r="E64" i="46"/>
  <c r="E63" i="46"/>
  <c r="E62" i="46"/>
  <c r="E67" i="45"/>
  <c r="E66" i="45"/>
  <c r="E65" i="45"/>
  <c r="E64" i="45"/>
  <c r="E63" i="45"/>
  <c r="E62" i="45"/>
  <c r="E67" i="44"/>
  <c r="E66" i="44"/>
  <c r="E65" i="44"/>
  <c r="E64" i="44"/>
  <c r="E63" i="44"/>
  <c r="E62" i="44"/>
  <c r="E57" i="44"/>
  <c r="E67" i="43"/>
  <c r="E66" i="43"/>
  <c r="E65" i="43"/>
  <c r="E64" i="43"/>
  <c r="E63" i="43"/>
  <c r="E62" i="43"/>
  <c r="E57" i="43"/>
  <c r="E67" i="42"/>
  <c r="E66" i="42"/>
  <c r="E63" i="42"/>
  <c r="E67" i="41"/>
  <c r="E66" i="41"/>
  <c r="E63" i="41"/>
  <c r="E67" i="40"/>
  <c r="E66" i="40"/>
  <c r="E63" i="40"/>
  <c r="E67" i="39"/>
  <c r="E66" i="39"/>
  <c r="E63" i="39"/>
  <c r="E67" i="38"/>
  <c r="E66" i="38"/>
  <c r="E63" i="38"/>
  <c r="E67" i="37"/>
  <c r="E66" i="37"/>
  <c r="E63" i="37"/>
  <c r="E67" i="36"/>
  <c r="E66" i="36"/>
  <c r="E63" i="36"/>
  <c r="E67" i="35"/>
  <c r="E66" i="35"/>
  <c r="E56" i="46"/>
  <c r="E54" i="46"/>
  <c r="E53" i="46"/>
  <c r="E52" i="46"/>
  <c r="E51" i="46"/>
  <c r="E56" i="45"/>
  <c r="E54" i="45"/>
  <c r="E53" i="45"/>
  <c r="E52" i="45"/>
  <c r="E51" i="45"/>
  <c r="E54" i="40"/>
  <c r="E56" i="39"/>
  <c r="E56" i="35"/>
  <c r="E67" i="34"/>
  <c r="E66" i="34"/>
  <c r="E63" i="34"/>
  <c r="E56" i="34"/>
  <c r="E54" i="34"/>
  <c r="E53" i="34"/>
  <c r="E67" i="20"/>
  <c r="E66" i="20"/>
  <c r="E65" i="20"/>
  <c r="E64" i="20"/>
  <c r="E63" i="20"/>
  <c r="G7" i="38" l="1"/>
  <c r="G10" i="38"/>
  <c r="G11" i="38"/>
  <c r="G12" i="38"/>
  <c r="G13" i="38"/>
  <c r="G14" i="38"/>
  <c r="G15" i="38"/>
  <c r="G17" i="38"/>
  <c r="G18" i="38"/>
  <c r="G19" i="38"/>
  <c r="G21" i="38"/>
  <c r="G23" i="38"/>
  <c r="G24" i="38"/>
  <c r="G27" i="38"/>
  <c r="G28" i="38"/>
  <c r="G29" i="38"/>
  <c r="G30" i="38"/>
  <c r="G31" i="38"/>
  <c r="G34" i="38"/>
  <c r="G36" i="38"/>
  <c r="G37" i="38"/>
  <c r="G38" i="38"/>
  <c r="G39" i="38"/>
  <c r="G6" i="38" l="1"/>
  <c r="G16" i="35" l="1"/>
  <c r="G7" i="35"/>
  <c r="L7" i="35" l="1"/>
  <c r="L8" i="35"/>
  <c r="L9" i="35"/>
  <c r="L10" i="35"/>
  <c r="L11" i="35"/>
  <c r="L12" i="35"/>
  <c r="L13" i="35"/>
  <c r="L14" i="35"/>
  <c r="L15" i="35"/>
  <c r="L16" i="35"/>
  <c r="L17" i="35"/>
  <c r="L18" i="35"/>
  <c r="L19" i="35"/>
  <c r="L20" i="35"/>
  <c r="L21" i="35"/>
  <c r="L22" i="35"/>
  <c r="L23" i="35"/>
  <c r="L24" i="35"/>
  <c r="L25" i="35"/>
  <c r="L26" i="35"/>
  <c r="L27" i="35"/>
  <c r="L28" i="35"/>
  <c r="L29" i="35"/>
  <c r="L30" i="35"/>
  <c r="L31" i="35"/>
  <c r="L32" i="35"/>
  <c r="L33" i="35"/>
  <c r="L34" i="35"/>
  <c r="L35" i="35"/>
  <c r="L36" i="35"/>
  <c r="L37" i="35"/>
  <c r="L38" i="35"/>
  <c r="L39" i="35"/>
  <c r="L6" i="35"/>
  <c r="L7" i="34"/>
  <c r="L8" i="34"/>
  <c r="L9" i="34"/>
  <c r="L10" i="34"/>
  <c r="L11" i="34"/>
  <c r="L12" i="34"/>
  <c r="L13" i="34"/>
  <c r="L14" i="34"/>
  <c r="L15" i="34"/>
  <c r="L16" i="34"/>
  <c r="L17" i="34"/>
  <c r="L18" i="34"/>
  <c r="L19" i="34"/>
  <c r="L20" i="34"/>
  <c r="L21" i="34"/>
  <c r="L22" i="34"/>
  <c r="L23" i="34"/>
  <c r="L24" i="34"/>
  <c r="L25" i="34"/>
  <c r="L26" i="34"/>
  <c r="L27" i="34"/>
  <c r="L28" i="34"/>
  <c r="L29" i="34"/>
  <c r="L30" i="34"/>
  <c r="L31" i="34"/>
  <c r="L32" i="34"/>
  <c r="L33" i="34"/>
  <c r="L34" i="34"/>
  <c r="L35" i="34"/>
  <c r="L36" i="34"/>
  <c r="L37" i="34"/>
  <c r="L38" i="34"/>
  <c r="L39" i="34"/>
  <c r="L6" i="34"/>
  <c r="D70" i="35"/>
  <c r="J7" i="48" l="1"/>
  <c r="J8" i="48"/>
  <c r="J9" i="48"/>
  <c r="J10" i="48"/>
  <c r="J11" i="48"/>
  <c r="J12" i="48"/>
  <c r="J13" i="48"/>
  <c r="J14" i="48"/>
  <c r="J15" i="48"/>
  <c r="J16" i="48"/>
  <c r="J17" i="48"/>
  <c r="J18" i="48"/>
  <c r="J19" i="48"/>
  <c r="J20" i="48"/>
  <c r="J21" i="48"/>
  <c r="J22" i="48"/>
  <c r="J23" i="48"/>
  <c r="J24" i="48"/>
  <c r="J25" i="48"/>
  <c r="J26" i="48"/>
  <c r="J27" i="48"/>
  <c r="J28" i="48"/>
  <c r="J29" i="48"/>
  <c r="J30" i="48"/>
  <c r="J31" i="48"/>
  <c r="J32" i="48"/>
  <c r="J33" i="48"/>
  <c r="J34" i="48"/>
  <c r="J35" i="48"/>
  <c r="J36" i="48"/>
  <c r="J38" i="48"/>
  <c r="J39" i="48"/>
  <c r="F7" i="48"/>
  <c r="G7" i="48"/>
  <c r="H7" i="48"/>
  <c r="F8" i="48"/>
  <c r="G8" i="48"/>
  <c r="H8" i="48"/>
  <c r="F9" i="48"/>
  <c r="G9" i="48"/>
  <c r="H9" i="48"/>
  <c r="F10" i="48"/>
  <c r="G10" i="48"/>
  <c r="H10" i="48"/>
  <c r="F11" i="48"/>
  <c r="G11" i="48"/>
  <c r="H11" i="48"/>
  <c r="F12" i="48"/>
  <c r="G12" i="48"/>
  <c r="H12" i="48"/>
  <c r="F13" i="48"/>
  <c r="G13" i="48"/>
  <c r="H13" i="48"/>
  <c r="F14" i="48"/>
  <c r="G14" i="48"/>
  <c r="H14" i="48"/>
  <c r="F15" i="48"/>
  <c r="G15" i="48"/>
  <c r="H15" i="48"/>
  <c r="F16" i="48"/>
  <c r="G16" i="48"/>
  <c r="H16" i="48"/>
  <c r="F17" i="48"/>
  <c r="G17" i="48"/>
  <c r="H17" i="48"/>
  <c r="F18" i="48"/>
  <c r="G18" i="48"/>
  <c r="H18" i="48"/>
  <c r="F19" i="48"/>
  <c r="G19" i="48"/>
  <c r="H19" i="48"/>
  <c r="F20" i="48"/>
  <c r="G20" i="48"/>
  <c r="H20" i="48"/>
  <c r="F21" i="48"/>
  <c r="G21" i="48"/>
  <c r="H21" i="48"/>
  <c r="F22" i="48"/>
  <c r="G22" i="48"/>
  <c r="H22" i="48"/>
  <c r="F23" i="48"/>
  <c r="G23" i="48"/>
  <c r="H23" i="48"/>
  <c r="F24" i="48"/>
  <c r="G24" i="48"/>
  <c r="H24" i="48"/>
  <c r="F25" i="48"/>
  <c r="G25" i="48"/>
  <c r="H25" i="48"/>
  <c r="F26" i="48"/>
  <c r="G26" i="48"/>
  <c r="H26" i="48"/>
  <c r="F27" i="48"/>
  <c r="G27" i="48"/>
  <c r="H27" i="48"/>
  <c r="F28" i="48"/>
  <c r="G28" i="48"/>
  <c r="H28" i="48"/>
  <c r="F29" i="48"/>
  <c r="G29" i="48"/>
  <c r="H29" i="48"/>
  <c r="F30" i="48"/>
  <c r="G30" i="48"/>
  <c r="H30" i="48"/>
  <c r="F31" i="48"/>
  <c r="G31" i="48"/>
  <c r="H31" i="48"/>
  <c r="F32" i="48"/>
  <c r="G32" i="48"/>
  <c r="H32" i="48"/>
  <c r="F33" i="48"/>
  <c r="G33" i="48"/>
  <c r="H33" i="48"/>
  <c r="F34" i="48"/>
  <c r="G34" i="48"/>
  <c r="H34" i="48"/>
  <c r="F35" i="48"/>
  <c r="G35" i="48"/>
  <c r="H35" i="48"/>
  <c r="F36" i="48"/>
  <c r="G36" i="48"/>
  <c r="H36" i="48"/>
  <c r="F38" i="48"/>
  <c r="G38" i="48"/>
  <c r="H38" i="48"/>
  <c r="F39" i="48"/>
  <c r="G39" i="48"/>
  <c r="H39" i="48"/>
  <c r="G26" i="35" l="1"/>
  <c r="G25" i="35"/>
  <c r="G30" i="35"/>
  <c r="G15" i="35"/>
  <c r="G9" i="35"/>
  <c r="P9" i="20"/>
  <c r="E9" i="20"/>
  <c r="D9" i="20"/>
  <c r="C9" i="20"/>
  <c r="B9" i="20"/>
  <c r="G7" i="34" l="1"/>
  <c r="J6" i="48" l="1"/>
  <c r="H6" i="48"/>
  <c r="G6" i="48"/>
  <c r="F6" i="48"/>
  <c r="B39" i="48"/>
  <c r="B38" i="48"/>
  <c r="B37" i="48"/>
  <c r="B36" i="48"/>
  <c r="B35" i="48"/>
  <c r="B34" i="48"/>
  <c r="B33" i="48"/>
  <c r="B32" i="48"/>
  <c r="B31" i="48"/>
  <c r="B30" i="48"/>
  <c r="B29" i="48"/>
  <c r="B28" i="48"/>
  <c r="B27" i="48"/>
  <c r="B26" i="48"/>
  <c r="B25" i="48"/>
  <c r="B24" i="48"/>
  <c r="B23" i="48"/>
  <c r="B22" i="48"/>
  <c r="B21" i="48"/>
  <c r="B20" i="48"/>
  <c r="B19" i="48"/>
  <c r="B18" i="48"/>
  <c r="B17" i="48"/>
  <c r="B16" i="48"/>
  <c r="B15" i="48"/>
  <c r="B14" i="48"/>
  <c r="B13" i="48"/>
  <c r="B12" i="48"/>
  <c r="B11" i="48"/>
  <c r="B10" i="48"/>
  <c r="B9" i="48"/>
  <c r="B8" i="48"/>
  <c r="B7" i="48"/>
  <c r="B6" i="48"/>
  <c r="D73" i="46" l="1"/>
  <c r="J71" i="46"/>
  <c r="I71" i="46"/>
  <c r="H71" i="46"/>
  <c r="F71" i="46"/>
  <c r="J70" i="46"/>
  <c r="I70" i="46"/>
  <c r="I73" i="46" s="1"/>
  <c r="H70" i="46"/>
  <c r="H73" i="46" s="1"/>
  <c r="F70" i="46"/>
  <c r="E55" i="46"/>
  <c r="G70" i="46"/>
  <c r="P39" i="46"/>
  <c r="G39" i="46"/>
  <c r="C39" i="46" s="1"/>
  <c r="E39" i="46"/>
  <c r="D39" i="46"/>
  <c r="B39" i="46"/>
  <c r="P38" i="46"/>
  <c r="G38" i="46"/>
  <c r="C38" i="46" s="1"/>
  <c r="E38" i="46"/>
  <c r="D38" i="46"/>
  <c r="B38" i="46"/>
  <c r="P37" i="46"/>
  <c r="G37" i="46"/>
  <c r="C37" i="46" s="1"/>
  <c r="E37" i="46"/>
  <c r="D37" i="46"/>
  <c r="B37" i="46"/>
  <c r="P36" i="46"/>
  <c r="G36" i="46"/>
  <c r="C36" i="46" s="1"/>
  <c r="E36" i="46"/>
  <c r="D36" i="46"/>
  <c r="B36" i="46"/>
  <c r="P35" i="46"/>
  <c r="G35" i="46"/>
  <c r="C35" i="46" s="1"/>
  <c r="E35" i="46"/>
  <c r="D35" i="46"/>
  <c r="B35" i="46"/>
  <c r="P34" i="46"/>
  <c r="G34" i="46"/>
  <c r="C34" i="46" s="1"/>
  <c r="E34" i="46"/>
  <c r="D34" i="46"/>
  <c r="B34" i="46"/>
  <c r="P33" i="46"/>
  <c r="G33" i="46"/>
  <c r="C33" i="46" s="1"/>
  <c r="E33" i="46"/>
  <c r="D33" i="46"/>
  <c r="B33" i="46"/>
  <c r="P32" i="46"/>
  <c r="G32" i="46"/>
  <c r="C32" i="46" s="1"/>
  <c r="E32" i="46"/>
  <c r="D32" i="46"/>
  <c r="B32" i="46"/>
  <c r="P31" i="46"/>
  <c r="G31" i="46"/>
  <c r="C31" i="46" s="1"/>
  <c r="E31" i="46"/>
  <c r="D31" i="46"/>
  <c r="B31" i="46"/>
  <c r="P30" i="46"/>
  <c r="G30" i="46"/>
  <c r="C30" i="46" s="1"/>
  <c r="E30" i="46"/>
  <c r="D30" i="46"/>
  <c r="B30" i="46"/>
  <c r="P29" i="46"/>
  <c r="G29" i="46"/>
  <c r="C29" i="46" s="1"/>
  <c r="E29" i="46"/>
  <c r="D29" i="46"/>
  <c r="B29" i="46"/>
  <c r="P28" i="46"/>
  <c r="G28" i="46"/>
  <c r="C28" i="46" s="1"/>
  <c r="E28" i="46"/>
  <c r="D28" i="46"/>
  <c r="B28" i="46"/>
  <c r="P27" i="46"/>
  <c r="G27" i="46"/>
  <c r="C27" i="46" s="1"/>
  <c r="E27" i="46"/>
  <c r="D27" i="46"/>
  <c r="B27" i="46"/>
  <c r="P26" i="46"/>
  <c r="G26" i="46"/>
  <c r="C26" i="46" s="1"/>
  <c r="E26" i="46"/>
  <c r="D26" i="46"/>
  <c r="B26" i="46"/>
  <c r="P25" i="46"/>
  <c r="G25" i="46"/>
  <c r="C25" i="46" s="1"/>
  <c r="E25" i="46"/>
  <c r="D25" i="46"/>
  <c r="B25" i="46"/>
  <c r="P24" i="46"/>
  <c r="G24" i="46"/>
  <c r="C24" i="46" s="1"/>
  <c r="E24" i="46"/>
  <c r="D24" i="46"/>
  <c r="B24" i="46"/>
  <c r="P23" i="46"/>
  <c r="G23" i="46"/>
  <c r="C23" i="46" s="1"/>
  <c r="E23" i="46"/>
  <c r="D23" i="46"/>
  <c r="B23" i="46"/>
  <c r="P22" i="46"/>
  <c r="G22" i="46"/>
  <c r="C22" i="46" s="1"/>
  <c r="E22" i="46"/>
  <c r="D22" i="46"/>
  <c r="B22" i="46"/>
  <c r="P21" i="46"/>
  <c r="G21" i="46"/>
  <c r="C21" i="46" s="1"/>
  <c r="E21" i="46"/>
  <c r="D21" i="46"/>
  <c r="B21" i="46"/>
  <c r="P20" i="46"/>
  <c r="G20" i="46"/>
  <c r="C20" i="46" s="1"/>
  <c r="E20" i="46"/>
  <c r="D20" i="46"/>
  <c r="B20" i="46"/>
  <c r="P19" i="46"/>
  <c r="G19" i="46"/>
  <c r="C19" i="46" s="1"/>
  <c r="E19" i="46"/>
  <c r="D19" i="46"/>
  <c r="B19" i="46"/>
  <c r="P18" i="46"/>
  <c r="G18" i="46"/>
  <c r="C18" i="46" s="1"/>
  <c r="E18" i="46"/>
  <c r="D18" i="46"/>
  <c r="B18" i="46"/>
  <c r="P17" i="46"/>
  <c r="G17" i="46"/>
  <c r="C17" i="46" s="1"/>
  <c r="E17" i="46"/>
  <c r="D17" i="46"/>
  <c r="B17" i="46"/>
  <c r="P16" i="46"/>
  <c r="G16" i="46"/>
  <c r="C16" i="46" s="1"/>
  <c r="E16" i="46"/>
  <c r="D16" i="46"/>
  <c r="B16" i="46"/>
  <c r="P15" i="46"/>
  <c r="G15" i="46"/>
  <c r="C15" i="46" s="1"/>
  <c r="E15" i="46"/>
  <c r="D15" i="46"/>
  <c r="B15" i="46"/>
  <c r="P14" i="46"/>
  <c r="G14" i="46"/>
  <c r="C14" i="46" s="1"/>
  <c r="E14" i="46"/>
  <c r="D14" i="46"/>
  <c r="B14" i="46"/>
  <c r="P13" i="46"/>
  <c r="G13" i="46"/>
  <c r="C13" i="46" s="1"/>
  <c r="E13" i="46"/>
  <c r="D13" i="46"/>
  <c r="B13" i="46"/>
  <c r="P12" i="46"/>
  <c r="G12" i="46"/>
  <c r="C12" i="46" s="1"/>
  <c r="E12" i="46"/>
  <c r="D12" i="46"/>
  <c r="B12" i="46"/>
  <c r="P11" i="46"/>
  <c r="G11" i="46"/>
  <c r="C11" i="46" s="1"/>
  <c r="E11" i="46"/>
  <c r="D11" i="46"/>
  <c r="B11" i="46"/>
  <c r="P10" i="46"/>
  <c r="G10" i="46"/>
  <c r="C10" i="46" s="1"/>
  <c r="E10" i="46"/>
  <c r="D10" i="46"/>
  <c r="B10" i="46"/>
  <c r="P9" i="46"/>
  <c r="G9" i="46"/>
  <c r="C9" i="46" s="1"/>
  <c r="E9" i="46"/>
  <c r="D9" i="46"/>
  <c r="B9" i="46"/>
  <c r="P8" i="46"/>
  <c r="G8" i="46"/>
  <c r="C8" i="46" s="1"/>
  <c r="E8" i="46"/>
  <c r="D8" i="46"/>
  <c r="B8" i="46"/>
  <c r="P7" i="46"/>
  <c r="G7" i="46"/>
  <c r="C7" i="46" s="1"/>
  <c r="E7" i="46"/>
  <c r="D7" i="46"/>
  <c r="B7" i="46"/>
  <c r="P6" i="46"/>
  <c r="G6" i="46"/>
  <c r="C6" i="46" s="1"/>
  <c r="E6" i="46"/>
  <c r="D6" i="46"/>
  <c r="B6" i="46"/>
  <c r="J71" i="45"/>
  <c r="I71" i="45"/>
  <c r="H71" i="45"/>
  <c r="F71" i="45"/>
  <c r="J70" i="45"/>
  <c r="I70" i="45"/>
  <c r="I73" i="45" s="1"/>
  <c r="H70" i="45"/>
  <c r="H73" i="45" s="1"/>
  <c r="F70" i="45"/>
  <c r="F73" i="45" s="1"/>
  <c r="D73" i="45"/>
  <c r="D74" i="45" s="1"/>
  <c r="E55" i="45"/>
  <c r="P39" i="45"/>
  <c r="G39" i="45"/>
  <c r="E39" i="45"/>
  <c r="D39" i="45"/>
  <c r="C39" i="45"/>
  <c r="B39" i="45"/>
  <c r="P38" i="45"/>
  <c r="G38" i="45"/>
  <c r="E38" i="45"/>
  <c r="D38" i="45"/>
  <c r="C38" i="45"/>
  <c r="B38" i="45"/>
  <c r="P37" i="45"/>
  <c r="G37" i="45"/>
  <c r="E37" i="45"/>
  <c r="D37" i="45"/>
  <c r="C37" i="45"/>
  <c r="B37" i="45"/>
  <c r="P36" i="45"/>
  <c r="G36" i="45"/>
  <c r="E36" i="45"/>
  <c r="D36" i="45"/>
  <c r="C36" i="45"/>
  <c r="B36" i="45"/>
  <c r="P35" i="45"/>
  <c r="G35" i="45"/>
  <c r="E35" i="45"/>
  <c r="D35" i="45"/>
  <c r="C35" i="45"/>
  <c r="B35" i="45"/>
  <c r="P34" i="45"/>
  <c r="G34" i="45"/>
  <c r="E34" i="45"/>
  <c r="D34" i="45"/>
  <c r="C34" i="45"/>
  <c r="B34" i="45"/>
  <c r="P33" i="45"/>
  <c r="G33" i="45"/>
  <c r="E33" i="45"/>
  <c r="D33" i="45"/>
  <c r="C33" i="45"/>
  <c r="B33" i="45"/>
  <c r="P32" i="45"/>
  <c r="G32" i="45"/>
  <c r="E32" i="45"/>
  <c r="D32" i="45"/>
  <c r="C32" i="45"/>
  <c r="B32" i="45"/>
  <c r="P31" i="45"/>
  <c r="G31" i="45"/>
  <c r="E31" i="45"/>
  <c r="D31" i="45"/>
  <c r="C31" i="45"/>
  <c r="B31" i="45"/>
  <c r="P30" i="45"/>
  <c r="G30" i="45"/>
  <c r="E30" i="45"/>
  <c r="D30" i="45"/>
  <c r="C30" i="45"/>
  <c r="B30" i="45"/>
  <c r="P29" i="45"/>
  <c r="G29" i="45"/>
  <c r="E29" i="45"/>
  <c r="D29" i="45"/>
  <c r="C29" i="45"/>
  <c r="B29" i="45"/>
  <c r="P28" i="45"/>
  <c r="G28" i="45"/>
  <c r="E28" i="45"/>
  <c r="D28" i="45"/>
  <c r="C28" i="45"/>
  <c r="B28" i="45"/>
  <c r="P27" i="45"/>
  <c r="G27" i="45"/>
  <c r="E27" i="45"/>
  <c r="D27" i="45"/>
  <c r="C27" i="45"/>
  <c r="B27" i="45"/>
  <c r="P26" i="45"/>
  <c r="G26" i="45"/>
  <c r="E26" i="45"/>
  <c r="D26" i="45"/>
  <c r="C26" i="45"/>
  <c r="B26" i="45"/>
  <c r="P25" i="45"/>
  <c r="G25" i="45"/>
  <c r="E25" i="45"/>
  <c r="D25" i="45"/>
  <c r="C25" i="45"/>
  <c r="B25" i="45"/>
  <c r="P24" i="45"/>
  <c r="G24" i="45"/>
  <c r="E24" i="45"/>
  <c r="D24" i="45"/>
  <c r="C24" i="45"/>
  <c r="B24" i="45"/>
  <c r="P23" i="45"/>
  <c r="G23" i="45"/>
  <c r="E23" i="45"/>
  <c r="D23" i="45"/>
  <c r="C23" i="45"/>
  <c r="B23" i="45"/>
  <c r="P22" i="45"/>
  <c r="G22" i="45"/>
  <c r="E22" i="45"/>
  <c r="D22" i="45"/>
  <c r="C22" i="45"/>
  <c r="B22" i="45"/>
  <c r="P21" i="45"/>
  <c r="G21" i="45"/>
  <c r="E21" i="45"/>
  <c r="D21" i="45"/>
  <c r="C21" i="45"/>
  <c r="B21" i="45"/>
  <c r="P20" i="45"/>
  <c r="G20" i="45"/>
  <c r="E20" i="45"/>
  <c r="D20" i="45"/>
  <c r="C20" i="45"/>
  <c r="B20" i="45"/>
  <c r="P19" i="45"/>
  <c r="G19" i="45"/>
  <c r="E19" i="45"/>
  <c r="D19" i="45"/>
  <c r="C19" i="45"/>
  <c r="B19" i="45"/>
  <c r="P18" i="45"/>
  <c r="G18" i="45"/>
  <c r="E18" i="45"/>
  <c r="D18" i="45"/>
  <c r="C18" i="45"/>
  <c r="B18" i="45"/>
  <c r="P17" i="45"/>
  <c r="G17" i="45"/>
  <c r="E17" i="45"/>
  <c r="D17" i="45"/>
  <c r="C17" i="45"/>
  <c r="B17" i="45"/>
  <c r="P16" i="45"/>
  <c r="G16" i="45"/>
  <c r="E16" i="45"/>
  <c r="D16" i="45"/>
  <c r="C16" i="45"/>
  <c r="B16" i="45"/>
  <c r="P15" i="45"/>
  <c r="G15" i="45"/>
  <c r="E15" i="45"/>
  <c r="D15" i="45"/>
  <c r="C15" i="45"/>
  <c r="B15" i="45"/>
  <c r="P14" i="45"/>
  <c r="G14" i="45"/>
  <c r="E14" i="45"/>
  <c r="D14" i="45"/>
  <c r="C14" i="45"/>
  <c r="B14" i="45"/>
  <c r="P13" i="45"/>
  <c r="G13" i="45"/>
  <c r="E13" i="45"/>
  <c r="D13" i="45"/>
  <c r="C13" i="45"/>
  <c r="B13" i="45"/>
  <c r="P12" i="45"/>
  <c r="G12" i="45"/>
  <c r="E12" i="45"/>
  <c r="D12" i="45"/>
  <c r="C12" i="45"/>
  <c r="B12" i="45"/>
  <c r="P11" i="45"/>
  <c r="G11" i="45"/>
  <c r="E11" i="45"/>
  <c r="D11" i="45"/>
  <c r="C11" i="45"/>
  <c r="B11" i="45"/>
  <c r="P10" i="45"/>
  <c r="G10" i="45"/>
  <c r="E10" i="45"/>
  <c r="D10" i="45"/>
  <c r="C10" i="45"/>
  <c r="B10" i="45"/>
  <c r="P9" i="45"/>
  <c r="G9" i="45"/>
  <c r="E9" i="45"/>
  <c r="D9" i="45"/>
  <c r="C9" i="45"/>
  <c r="B9" i="45"/>
  <c r="P8" i="45"/>
  <c r="G8" i="45"/>
  <c r="E8" i="45"/>
  <c r="D8" i="45"/>
  <c r="C8" i="45"/>
  <c r="B8" i="45"/>
  <c r="P7" i="45"/>
  <c r="G7" i="45"/>
  <c r="E7" i="45"/>
  <c r="D7" i="45"/>
  <c r="C7" i="45"/>
  <c r="B7" i="45"/>
  <c r="P6" i="45"/>
  <c r="G6" i="45"/>
  <c r="E6" i="45"/>
  <c r="D6" i="45"/>
  <c r="C6" i="45"/>
  <c r="B6" i="45"/>
  <c r="J71" i="44"/>
  <c r="I71" i="44"/>
  <c r="H71" i="44"/>
  <c r="J70" i="44"/>
  <c r="I70" i="44"/>
  <c r="H70" i="44"/>
  <c r="E56" i="44"/>
  <c r="E55" i="44"/>
  <c r="E54" i="44"/>
  <c r="P39" i="44"/>
  <c r="G39" i="44"/>
  <c r="C39" i="44" s="1"/>
  <c r="E39" i="44"/>
  <c r="D39" i="44"/>
  <c r="B39" i="44"/>
  <c r="P38" i="44"/>
  <c r="G38" i="44"/>
  <c r="E38" i="44"/>
  <c r="D38" i="44"/>
  <c r="B38" i="44"/>
  <c r="P37" i="44"/>
  <c r="G37" i="44"/>
  <c r="C37" i="44" s="1"/>
  <c r="E37" i="44"/>
  <c r="D37" i="44"/>
  <c r="B37" i="44"/>
  <c r="P36" i="44"/>
  <c r="G36" i="44"/>
  <c r="C36" i="44" s="1"/>
  <c r="E36" i="44"/>
  <c r="D36" i="44"/>
  <c r="B36" i="44"/>
  <c r="P35" i="44"/>
  <c r="G35" i="44"/>
  <c r="E35" i="44"/>
  <c r="D35" i="44"/>
  <c r="B35" i="44"/>
  <c r="P34" i="44"/>
  <c r="G34" i="44"/>
  <c r="C34" i="44" s="1"/>
  <c r="E34" i="44"/>
  <c r="D34" i="44"/>
  <c r="B34" i="44"/>
  <c r="P33" i="44"/>
  <c r="C33" i="44"/>
  <c r="E33" i="44"/>
  <c r="D33" i="44"/>
  <c r="B33" i="44"/>
  <c r="P32" i="44"/>
  <c r="E32" i="44"/>
  <c r="D32" i="44"/>
  <c r="C32" i="44"/>
  <c r="B32" i="44"/>
  <c r="P31" i="44"/>
  <c r="G31" i="44"/>
  <c r="C31" i="44" s="1"/>
  <c r="E31" i="44"/>
  <c r="D31" i="44"/>
  <c r="B31" i="44"/>
  <c r="P30" i="44"/>
  <c r="C30" i="44"/>
  <c r="E30" i="44"/>
  <c r="D30" i="44"/>
  <c r="B30" i="44"/>
  <c r="P29" i="44"/>
  <c r="G29" i="44"/>
  <c r="C29" i="44" s="1"/>
  <c r="E29" i="44"/>
  <c r="D29" i="44"/>
  <c r="B29" i="44"/>
  <c r="P28" i="44"/>
  <c r="G28" i="44"/>
  <c r="E28" i="44"/>
  <c r="D28" i="44"/>
  <c r="C28" i="44" s="1"/>
  <c r="B28" i="44"/>
  <c r="P27" i="44"/>
  <c r="G27" i="44"/>
  <c r="C27" i="44" s="1"/>
  <c r="E27" i="44"/>
  <c r="D27" i="44"/>
  <c r="B27" i="44"/>
  <c r="P26" i="44"/>
  <c r="E26" i="44"/>
  <c r="D26" i="44"/>
  <c r="B26" i="44"/>
  <c r="P25" i="44"/>
  <c r="C25" i="44"/>
  <c r="E25" i="44"/>
  <c r="D25" i="44"/>
  <c r="B25" i="44"/>
  <c r="P24" i="44"/>
  <c r="G24" i="44"/>
  <c r="E24" i="44"/>
  <c r="D24" i="44"/>
  <c r="C24" i="44"/>
  <c r="B24" i="44"/>
  <c r="P23" i="44"/>
  <c r="G23" i="44"/>
  <c r="E23" i="44"/>
  <c r="D23" i="44"/>
  <c r="B23" i="44"/>
  <c r="P22" i="44"/>
  <c r="G22" i="44"/>
  <c r="C22" i="44" s="1"/>
  <c r="E22" i="44"/>
  <c r="D22" i="44"/>
  <c r="B22" i="44"/>
  <c r="P21" i="44"/>
  <c r="G21" i="44"/>
  <c r="C21" i="44" s="1"/>
  <c r="E21" i="44"/>
  <c r="D21" i="44"/>
  <c r="B21" i="44"/>
  <c r="P20" i="44"/>
  <c r="G20" i="44"/>
  <c r="C20" i="44" s="1"/>
  <c r="E20" i="44"/>
  <c r="D20" i="44"/>
  <c r="B20" i="44"/>
  <c r="P19" i="44"/>
  <c r="G19" i="44"/>
  <c r="C19" i="44" s="1"/>
  <c r="E19" i="44"/>
  <c r="D19" i="44"/>
  <c r="B19" i="44"/>
  <c r="P18" i="44"/>
  <c r="G18" i="44"/>
  <c r="C18" i="44" s="1"/>
  <c r="E18" i="44"/>
  <c r="D18" i="44"/>
  <c r="B18" i="44"/>
  <c r="P17" i="44"/>
  <c r="G17" i="44"/>
  <c r="C17" i="44" s="1"/>
  <c r="E17" i="44"/>
  <c r="D17" i="44"/>
  <c r="B17" i="44"/>
  <c r="P16" i="44"/>
  <c r="C16" i="44"/>
  <c r="E16" i="44"/>
  <c r="D16" i="44"/>
  <c r="B16" i="44"/>
  <c r="P15" i="44"/>
  <c r="G15" i="44"/>
  <c r="C15" i="44" s="1"/>
  <c r="E15" i="44"/>
  <c r="D15" i="44"/>
  <c r="B15" i="44"/>
  <c r="P14" i="44"/>
  <c r="C14" i="44"/>
  <c r="E14" i="44"/>
  <c r="D14" i="44"/>
  <c r="B14" i="44"/>
  <c r="P13" i="44"/>
  <c r="G13" i="44"/>
  <c r="C13" i="44" s="1"/>
  <c r="E13" i="44"/>
  <c r="D13" i="44"/>
  <c r="B13" i="44"/>
  <c r="P12" i="44"/>
  <c r="E12" i="44"/>
  <c r="D12" i="44"/>
  <c r="C12" i="44"/>
  <c r="B12" i="44"/>
  <c r="P11" i="44"/>
  <c r="C11" i="44"/>
  <c r="E11" i="44"/>
  <c r="D11" i="44"/>
  <c r="B11" i="44"/>
  <c r="P10" i="44"/>
  <c r="E10" i="44"/>
  <c r="D10" i="44"/>
  <c r="C10" i="44" s="1"/>
  <c r="B10" i="44"/>
  <c r="P9" i="44"/>
  <c r="C9" i="44"/>
  <c r="E9" i="44"/>
  <c r="D9" i="44"/>
  <c r="B9" i="44"/>
  <c r="P8" i="44"/>
  <c r="E8" i="44"/>
  <c r="D8" i="44"/>
  <c r="C8" i="44" s="1"/>
  <c r="B8" i="44"/>
  <c r="P7" i="44"/>
  <c r="C7" i="44"/>
  <c r="E7" i="44"/>
  <c r="D7" i="44"/>
  <c r="B7" i="44"/>
  <c r="P6" i="44"/>
  <c r="G6" i="44"/>
  <c r="C6" i="44" s="1"/>
  <c r="E6" i="44"/>
  <c r="D6" i="44"/>
  <c r="B6" i="44"/>
  <c r="J71" i="43"/>
  <c r="I71" i="43"/>
  <c r="H71" i="43"/>
  <c r="J70" i="43"/>
  <c r="I70" i="43"/>
  <c r="H70" i="43"/>
  <c r="E56" i="43"/>
  <c r="E54" i="43"/>
  <c r="E53" i="43"/>
  <c r="P39" i="43"/>
  <c r="G39" i="43"/>
  <c r="C39" i="43" s="1"/>
  <c r="E39" i="43"/>
  <c r="D39" i="43"/>
  <c r="B39" i="43"/>
  <c r="P38" i="43"/>
  <c r="G38" i="43"/>
  <c r="E38" i="43"/>
  <c r="D38" i="43"/>
  <c r="B38" i="43"/>
  <c r="P37" i="43"/>
  <c r="G37" i="43"/>
  <c r="C37" i="43" s="1"/>
  <c r="E37" i="43"/>
  <c r="D37" i="43"/>
  <c r="B37" i="43"/>
  <c r="P36" i="43"/>
  <c r="G36" i="43"/>
  <c r="C36" i="43" s="1"/>
  <c r="E36" i="43"/>
  <c r="D36" i="43"/>
  <c r="B36" i="43"/>
  <c r="P35" i="43"/>
  <c r="G35" i="43"/>
  <c r="E35" i="43"/>
  <c r="D35" i="43"/>
  <c r="C35" i="43"/>
  <c r="B35" i="43"/>
  <c r="P34" i="43"/>
  <c r="G34" i="43"/>
  <c r="C34" i="43" s="1"/>
  <c r="E34" i="43"/>
  <c r="D34" i="43"/>
  <c r="B34" i="43"/>
  <c r="P33" i="43"/>
  <c r="G33" i="43"/>
  <c r="C33" i="43" s="1"/>
  <c r="E33" i="43"/>
  <c r="D33" i="43"/>
  <c r="B33" i="43"/>
  <c r="P32" i="43"/>
  <c r="E32" i="43"/>
  <c r="D32" i="43"/>
  <c r="B32" i="43"/>
  <c r="P31" i="43"/>
  <c r="G31" i="43"/>
  <c r="C31" i="43" s="1"/>
  <c r="E31" i="43"/>
  <c r="D31" i="43"/>
  <c r="B31" i="43"/>
  <c r="P30" i="43"/>
  <c r="G30" i="43"/>
  <c r="E30" i="43"/>
  <c r="D30" i="43"/>
  <c r="B30" i="43"/>
  <c r="P29" i="43"/>
  <c r="E29" i="43"/>
  <c r="D29" i="43"/>
  <c r="B29" i="43"/>
  <c r="P28" i="43"/>
  <c r="G28" i="43"/>
  <c r="E28" i="43"/>
  <c r="D28" i="43"/>
  <c r="B28" i="43"/>
  <c r="P27" i="43"/>
  <c r="G27" i="43"/>
  <c r="E27" i="43"/>
  <c r="D27" i="43"/>
  <c r="C27" i="43"/>
  <c r="B27" i="43"/>
  <c r="P26" i="43"/>
  <c r="G26" i="43"/>
  <c r="C26" i="43" s="1"/>
  <c r="E26" i="43"/>
  <c r="D26" i="43"/>
  <c r="B26" i="43"/>
  <c r="P25" i="43"/>
  <c r="C25" i="43"/>
  <c r="E25" i="43"/>
  <c r="D25" i="43"/>
  <c r="B25" i="43"/>
  <c r="P24" i="43"/>
  <c r="G24" i="43"/>
  <c r="E24" i="43"/>
  <c r="D24" i="43"/>
  <c r="B24" i="43"/>
  <c r="P23" i="43"/>
  <c r="G23" i="43"/>
  <c r="C23" i="43" s="1"/>
  <c r="E23" i="43"/>
  <c r="D23" i="43"/>
  <c r="B23" i="43"/>
  <c r="P22" i="43"/>
  <c r="G22" i="43"/>
  <c r="E22" i="43"/>
  <c r="D22" i="43"/>
  <c r="B22" i="43"/>
  <c r="P21" i="43"/>
  <c r="G21" i="43"/>
  <c r="C21" i="43" s="1"/>
  <c r="E21" i="43"/>
  <c r="D21" i="43"/>
  <c r="B21" i="43"/>
  <c r="P20" i="43"/>
  <c r="G20" i="43"/>
  <c r="C20" i="43" s="1"/>
  <c r="D20" i="43"/>
  <c r="B20" i="43"/>
  <c r="P19" i="43"/>
  <c r="G19" i="43"/>
  <c r="E19" i="43"/>
  <c r="D19" i="43"/>
  <c r="C19" i="43"/>
  <c r="B19" i="43"/>
  <c r="P18" i="43"/>
  <c r="G18" i="43"/>
  <c r="C18" i="43" s="1"/>
  <c r="E18" i="43"/>
  <c r="D18" i="43"/>
  <c r="B18" i="43"/>
  <c r="P17" i="43"/>
  <c r="G17" i="43"/>
  <c r="E17" i="43"/>
  <c r="D17" i="43"/>
  <c r="B17" i="43"/>
  <c r="P16" i="43"/>
  <c r="E16" i="43"/>
  <c r="D16" i="43"/>
  <c r="B16" i="43"/>
  <c r="P15" i="43"/>
  <c r="G15" i="43"/>
  <c r="C15" i="43" s="1"/>
  <c r="E15" i="43"/>
  <c r="D15" i="43"/>
  <c r="B15" i="43"/>
  <c r="P14" i="43"/>
  <c r="G14" i="43"/>
  <c r="E14" i="43"/>
  <c r="D14" i="43"/>
  <c r="B14" i="43"/>
  <c r="P13" i="43"/>
  <c r="G13" i="43"/>
  <c r="C13" i="43" s="1"/>
  <c r="E13" i="43"/>
  <c r="D13" i="43"/>
  <c r="B13" i="43"/>
  <c r="P12" i="43"/>
  <c r="G12" i="43"/>
  <c r="C12" i="43" s="1"/>
  <c r="E12" i="43"/>
  <c r="D12" i="43"/>
  <c r="B12" i="43"/>
  <c r="P11" i="43"/>
  <c r="G11" i="43"/>
  <c r="E11" i="43"/>
  <c r="D11" i="43"/>
  <c r="C11" i="43"/>
  <c r="B11" i="43"/>
  <c r="P10" i="43"/>
  <c r="C10" i="43"/>
  <c r="E10" i="43"/>
  <c r="D10" i="43"/>
  <c r="B10" i="43"/>
  <c r="P9" i="43"/>
  <c r="G9" i="43"/>
  <c r="C9" i="43" s="1"/>
  <c r="E9" i="43"/>
  <c r="D9" i="43"/>
  <c r="B9" i="43"/>
  <c r="P8" i="43"/>
  <c r="G8" i="43"/>
  <c r="E8" i="43"/>
  <c r="D8" i="43"/>
  <c r="B8" i="43"/>
  <c r="P7" i="43"/>
  <c r="G7" i="43"/>
  <c r="C7" i="43" s="1"/>
  <c r="E7" i="43"/>
  <c r="D7" i="43"/>
  <c r="B7" i="43"/>
  <c r="P6" i="43"/>
  <c r="G6" i="43"/>
  <c r="C6" i="43" s="1"/>
  <c r="E6" i="43"/>
  <c r="D6" i="43"/>
  <c r="B6" i="43"/>
  <c r="J71" i="42"/>
  <c r="I71" i="42"/>
  <c r="H71" i="42"/>
  <c r="J70" i="42"/>
  <c r="I70" i="42"/>
  <c r="H70" i="42"/>
  <c r="E56" i="42"/>
  <c r="E54" i="42"/>
  <c r="E53" i="42"/>
  <c r="P39" i="42"/>
  <c r="G39" i="42"/>
  <c r="C39" i="42" s="1"/>
  <c r="E39" i="42"/>
  <c r="D39" i="42"/>
  <c r="B39" i="42"/>
  <c r="P38" i="42"/>
  <c r="G38" i="42"/>
  <c r="E38" i="42"/>
  <c r="D38" i="42"/>
  <c r="B38" i="42"/>
  <c r="P37" i="42"/>
  <c r="G37" i="42"/>
  <c r="C37" i="42" s="1"/>
  <c r="E37" i="42"/>
  <c r="D37" i="42"/>
  <c r="B37" i="42"/>
  <c r="P36" i="42"/>
  <c r="G36" i="42"/>
  <c r="C36" i="42" s="1"/>
  <c r="E36" i="42"/>
  <c r="D36" i="42"/>
  <c r="B36" i="42"/>
  <c r="P35" i="42"/>
  <c r="E35" i="42"/>
  <c r="D35" i="42"/>
  <c r="B35" i="42"/>
  <c r="P34" i="42"/>
  <c r="G34" i="42"/>
  <c r="E34" i="42"/>
  <c r="D34" i="42"/>
  <c r="B34" i="42"/>
  <c r="P33" i="42"/>
  <c r="C33" i="42"/>
  <c r="E33" i="42"/>
  <c r="D33" i="42"/>
  <c r="B33" i="42"/>
  <c r="P32" i="42"/>
  <c r="E32" i="42"/>
  <c r="D32" i="42"/>
  <c r="B32" i="42"/>
  <c r="P31" i="42"/>
  <c r="G31" i="42"/>
  <c r="E31" i="42"/>
  <c r="D31" i="42"/>
  <c r="B31" i="42"/>
  <c r="P30" i="42"/>
  <c r="C30" i="42"/>
  <c r="E30" i="42"/>
  <c r="D30" i="42"/>
  <c r="B30" i="42"/>
  <c r="P29" i="42"/>
  <c r="E29" i="42"/>
  <c r="D29" i="42"/>
  <c r="B29" i="42"/>
  <c r="P28" i="42"/>
  <c r="G28" i="42"/>
  <c r="E28" i="42"/>
  <c r="D28" i="42"/>
  <c r="B28" i="42"/>
  <c r="P27" i="42"/>
  <c r="G27" i="42"/>
  <c r="C27" i="42" s="1"/>
  <c r="E27" i="42"/>
  <c r="D27" i="42"/>
  <c r="B27" i="42"/>
  <c r="P26" i="42"/>
  <c r="G26" i="42"/>
  <c r="C26" i="42" s="1"/>
  <c r="E26" i="42"/>
  <c r="D26" i="42"/>
  <c r="B26" i="42"/>
  <c r="P25" i="42"/>
  <c r="G25" i="42"/>
  <c r="E25" i="42"/>
  <c r="D25" i="42"/>
  <c r="B25" i="42"/>
  <c r="P24" i="42"/>
  <c r="G24" i="42"/>
  <c r="E24" i="42"/>
  <c r="D24" i="42"/>
  <c r="B24" i="42"/>
  <c r="P23" i="42"/>
  <c r="G23" i="42"/>
  <c r="C23" i="42" s="1"/>
  <c r="E23" i="42"/>
  <c r="D23" i="42"/>
  <c r="B23" i="42"/>
  <c r="P22" i="42"/>
  <c r="G22" i="42"/>
  <c r="C22" i="42" s="1"/>
  <c r="E22" i="42"/>
  <c r="D22" i="42"/>
  <c r="B22" i="42"/>
  <c r="P21" i="42"/>
  <c r="G21" i="42"/>
  <c r="E21" i="42"/>
  <c r="D21" i="42"/>
  <c r="C21" i="42"/>
  <c r="B21" i="42"/>
  <c r="P20" i="42"/>
  <c r="G20" i="42"/>
  <c r="C20" i="42" s="1"/>
  <c r="E20" i="42"/>
  <c r="D20" i="42"/>
  <c r="B20" i="42"/>
  <c r="P19" i="42"/>
  <c r="C19" i="42"/>
  <c r="E19" i="42"/>
  <c r="D19" i="42"/>
  <c r="B19" i="42"/>
  <c r="P18" i="42"/>
  <c r="G18" i="42"/>
  <c r="E18" i="42"/>
  <c r="D18" i="42"/>
  <c r="B18" i="42"/>
  <c r="P17" i="42"/>
  <c r="G17" i="42"/>
  <c r="E17" i="42"/>
  <c r="D17" i="42"/>
  <c r="B17" i="42"/>
  <c r="P16" i="42"/>
  <c r="G16" i="42"/>
  <c r="C16" i="42" s="1"/>
  <c r="E16" i="42"/>
  <c r="D16" i="42"/>
  <c r="B16" i="42"/>
  <c r="P15" i="42"/>
  <c r="G15" i="42"/>
  <c r="C15" i="42" s="1"/>
  <c r="E15" i="42"/>
  <c r="D15" i="42"/>
  <c r="B15" i="42"/>
  <c r="P14" i="42"/>
  <c r="E14" i="42"/>
  <c r="D14" i="42"/>
  <c r="B14" i="42"/>
  <c r="P13" i="42"/>
  <c r="G13" i="42"/>
  <c r="C13" i="42" s="1"/>
  <c r="E13" i="42"/>
  <c r="D13" i="42"/>
  <c r="B13" i="42"/>
  <c r="P12" i="42"/>
  <c r="G12" i="42"/>
  <c r="C12" i="42" s="1"/>
  <c r="E12" i="42"/>
  <c r="D12" i="42"/>
  <c r="B12" i="42"/>
  <c r="P11" i="42"/>
  <c r="G11" i="42"/>
  <c r="E11" i="42"/>
  <c r="D11" i="42"/>
  <c r="B11" i="42"/>
  <c r="P10" i="42"/>
  <c r="G10" i="42"/>
  <c r="E10" i="42"/>
  <c r="D10" i="42"/>
  <c r="B10" i="42"/>
  <c r="P9" i="42"/>
  <c r="G9" i="42"/>
  <c r="C9" i="42" s="1"/>
  <c r="E9" i="42"/>
  <c r="D9" i="42"/>
  <c r="B9" i="42"/>
  <c r="P8" i="42"/>
  <c r="C8" i="42"/>
  <c r="E8" i="42"/>
  <c r="D8" i="42"/>
  <c r="B8" i="42"/>
  <c r="P7" i="42"/>
  <c r="G7" i="42"/>
  <c r="E7" i="42"/>
  <c r="D7" i="42"/>
  <c r="B7" i="42"/>
  <c r="P6" i="42"/>
  <c r="G6" i="42"/>
  <c r="C6" i="42" s="1"/>
  <c r="E6" i="42"/>
  <c r="D6" i="42"/>
  <c r="B6" i="42"/>
  <c r="J71" i="41"/>
  <c r="I71" i="41"/>
  <c r="H71" i="41"/>
  <c r="J70" i="41"/>
  <c r="I70" i="41"/>
  <c r="H70" i="41"/>
  <c r="E56" i="41"/>
  <c r="E54" i="41"/>
  <c r="E53" i="41"/>
  <c r="P39" i="41"/>
  <c r="G39" i="41"/>
  <c r="C39" i="41" s="1"/>
  <c r="E39" i="41"/>
  <c r="D39" i="41"/>
  <c r="B39" i="41"/>
  <c r="P38" i="41"/>
  <c r="G38" i="41"/>
  <c r="C38" i="41" s="1"/>
  <c r="E38" i="41"/>
  <c r="D38" i="41"/>
  <c r="B38" i="41"/>
  <c r="P37" i="41"/>
  <c r="G37" i="41"/>
  <c r="C37" i="41" s="1"/>
  <c r="E37" i="41"/>
  <c r="D37" i="41"/>
  <c r="B37" i="41"/>
  <c r="P36" i="41"/>
  <c r="G36" i="41"/>
  <c r="E36" i="41"/>
  <c r="D36" i="41"/>
  <c r="C36" i="41"/>
  <c r="B36" i="41"/>
  <c r="P35" i="41"/>
  <c r="C35" i="41"/>
  <c r="E35" i="41"/>
  <c r="D35" i="41"/>
  <c r="B35" i="41"/>
  <c r="P34" i="41"/>
  <c r="G34" i="41"/>
  <c r="E34" i="41"/>
  <c r="D34" i="41"/>
  <c r="C34" i="41"/>
  <c r="B34" i="41"/>
  <c r="P33" i="41"/>
  <c r="G33" i="41"/>
  <c r="C33" i="41" s="1"/>
  <c r="E33" i="41"/>
  <c r="D33" i="41"/>
  <c r="B33" i="41"/>
  <c r="P32" i="41"/>
  <c r="E32" i="41"/>
  <c r="D32" i="41"/>
  <c r="C32" i="41"/>
  <c r="B32" i="41"/>
  <c r="P31" i="41"/>
  <c r="G31" i="41"/>
  <c r="E31" i="41"/>
  <c r="D31" i="41"/>
  <c r="C31" i="41"/>
  <c r="B31" i="41"/>
  <c r="P30" i="41"/>
  <c r="G30" i="41"/>
  <c r="C30" i="41" s="1"/>
  <c r="E30" i="41"/>
  <c r="D30" i="41"/>
  <c r="B30" i="41"/>
  <c r="P29" i="41"/>
  <c r="C29" i="41"/>
  <c r="E29" i="41"/>
  <c r="D29" i="41"/>
  <c r="B29" i="41"/>
  <c r="P28" i="41"/>
  <c r="E28" i="41"/>
  <c r="D28" i="41"/>
  <c r="C28" i="41"/>
  <c r="B28" i="41"/>
  <c r="P27" i="41"/>
  <c r="G27" i="41"/>
  <c r="C27" i="41" s="1"/>
  <c r="E27" i="41"/>
  <c r="D27" i="41"/>
  <c r="B27" i="41"/>
  <c r="P26" i="41"/>
  <c r="E26" i="41"/>
  <c r="D26" i="41"/>
  <c r="C26" i="41"/>
  <c r="B26" i="41"/>
  <c r="P25" i="41"/>
  <c r="C25" i="41"/>
  <c r="E25" i="41"/>
  <c r="D25" i="41"/>
  <c r="B25" i="41"/>
  <c r="P24" i="41"/>
  <c r="G24" i="41"/>
  <c r="C24" i="41" s="1"/>
  <c r="E24" i="41"/>
  <c r="D24" i="41"/>
  <c r="B24" i="41"/>
  <c r="P23" i="41"/>
  <c r="G23" i="41"/>
  <c r="E23" i="41"/>
  <c r="D23" i="41"/>
  <c r="C23" i="41"/>
  <c r="B23" i="41"/>
  <c r="P22" i="41"/>
  <c r="G22" i="41"/>
  <c r="C22" i="41" s="1"/>
  <c r="E22" i="41"/>
  <c r="D22" i="41"/>
  <c r="B22" i="41"/>
  <c r="P21" i="41"/>
  <c r="G21" i="41"/>
  <c r="C21" i="41" s="1"/>
  <c r="E21" i="41"/>
  <c r="D21" i="41"/>
  <c r="B21" i="41"/>
  <c r="P20" i="41"/>
  <c r="G20" i="41"/>
  <c r="C20" i="41" s="1"/>
  <c r="E20" i="41"/>
  <c r="D20" i="41"/>
  <c r="B20" i="41"/>
  <c r="P19" i="41"/>
  <c r="G19" i="41"/>
  <c r="C19" i="41" s="1"/>
  <c r="E19" i="41"/>
  <c r="D19" i="41"/>
  <c r="B19" i="41"/>
  <c r="P18" i="41"/>
  <c r="G18" i="41"/>
  <c r="E18" i="41"/>
  <c r="D18" i="41"/>
  <c r="C18" i="41"/>
  <c r="B18" i="41"/>
  <c r="P17" i="41"/>
  <c r="G17" i="41"/>
  <c r="C17" i="41" s="1"/>
  <c r="E17" i="41"/>
  <c r="D17" i="41"/>
  <c r="B17" i="41"/>
  <c r="P16" i="41"/>
  <c r="E16" i="41"/>
  <c r="D16" i="41"/>
  <c r="C16" i="41"/>
  <c r="B16" i="41"/>
  <c r="P15" i="41"/>
  <c r="G15" i="41"/>
  <c r="C15" i="41" s="1"/>
  <c r="E15" i="41"/>
  <c r="D15" i="41"/>
  <c r="B15" i="41"/>
  <c r="P14" i="41"/>
  <c r="C14" i="41"/>
  <c r="E14" i="41"/>
  <c r="D14" i="41"/>
  <c r="B14" i="41"/>
  <c r="P13" i="41"/>
  <c r="G13" i="41"/>
  <c r="C13" i="41" s="1"/>
  <c r="E13" i="41"/>
  <c r="D13" i="41"/>
  <c r="B13" i="41"/>
  <c r="P12" i="41"/>
  <c r="G12" i="41"/>
  <c r="C12" i="41" s="1"/>
  <c r="E12" i="41"/>
  <c r="D12" i="41"/>
  <c r="B12" i="41"/>
  <c r="P11" i="41"/>
  <c r="G11" i="41"/>
  <c r="C11" i="41" s="1"/>
  <c r="E11" i="41"/>
  <c r="D11" i="41"/>
  <c r="B11" i="41"/>
  <c r="P10" i="41"/>
  <c r="G10" i="41"/>
  <c r="C10" i="41" s="1"/>
  <c r="E10" i="41"/>
  <c r="D10" i="41"/>
  <c r="B10" i="41"/>
  <c r="P9" i="41"/>
  <c r="G9" i="41"/>
  <c r="C9" i="41" s="1"/>
  <c r="E9" i="41"/>
  <c r="D9" i="41"/>
  <c r="B9" i="41"/>
  <c r="P8" i="41"/>
  <c r="C8" i="41"/>
  <c r="E8" i="41"/>
  <c r="D8" i="41"/>
  <c r="B8" i="41"/>
  <c r="P7" i="41"/>
  <c r="C7" i="41"/>
  <c r="E7" i="41"/>
  <c r="D7" i="41"/>
  <c r="B7" i="41"/>
  <c r="P6" i="41"/>
  <c r="G6" i="41"/>
  <c r="E6" i="41"/>
  <c r="D6" i="41"/>
  <c r="C6" i="41"/>
  <c r="B6" i="41"/>
  <c r="J71" i="40"/>
  <c r="I71" i="40"/>
  <c r="H71" i="40"/>
  <c r="J70" i="40"/>
  <c r="I70" i="40"/>
  <c r="H70" i="40"/>
  <c r="F70" i="40"/>
  <c r="E56" i="40"/>
  <c r="E55" i="40"/>
  <c r="P39" i="40"/>
  <c r="G39" i="40"/>
  <c r="E39" i="40"/>
  <c r="D39" i="40"/>
  <c r="B39" i="40"/>
  <c r="P38" i="40"/>
  <c r="G38" i="40"/>
  <c r="E38" i="40"/>
  <c r="D38" i="40"/>
  <c r="B38" i="40"/>
  <c r="P37" i="40"/>
  <c r="G37" i="40"/>
  <c r="C37" i="40" s="1"/>
  <c r="E37" i="40"/>
  <c r="D37" i="40"/>
  <c r="B37" i="40"/>
  <c r="P36" i="40"/>
  <c r="G36" i="40"/>
  <c r="E36" i="40"/>
  <c r="D36" i="40"/>
  <c r="B36" i="40"/>
  <c r="P35" i="40"/>
  <c r="C35" i="40"/>
  <c r="E35" i="40"/>
  <c r="D35" i="40"/>
  <c r="B35" i="40"/>
  <c r="P34" i="40"/>
  <c r="G34" i="40"/>
  <c r="E34" i="40"/>
  <c r="D34" i="40"/>
  <c r="B34" i="40"/>
  <c r="P33" i="40"/>
  <c r="G33" i="40"/>
  <c r="C33" i="40" s="1"/>
  <c r="E33" i="40"/>
  <c r="D33" i="40"/>
  <c r="B33" i="40"/>
  <c r="P32" i="40"/>
  <c r="C32" i="40"/>
  <c r="E32" i="40"/>
  <c r="D32" i="40"/>
  <c r="B32" i="40"/>
  <c r="P31" i="40"/>
  <c r="G31" i="40"/>
  <c r="C31" i="40" s="1"/>
  <c r="E31" i="40"/>
  <c r="D31" i="40"/>
  <c r="B31" i="40"/>
  <c r="P30" i="40"/>
  <c r="G30" i="40"/>
  <c r="C30" i="40" s="1"/>
  <c r="E30" i="40"/>
  <c r="D30" i="40"/>
  <c r="B30" i="40"/>
  <c r="P29" i="40"/>
  <c r="E29" i="40"/>
  <c r="D29" i="40"/>
  <c r="B29" i="40"/>
  <c r="P28" i="40"/>
  <c r="G28" i="40"/>
  <c r="E28" i="40"/>
  <c r="D28" i="40"/>
  <c r="B28" i="40"/>
  <c r="P27" i="40"/>
  <c r="G27" i="40"/>
  <c r="C27" i="40" s="1"/>
  <c r="E27" i="40"/>
  <c r="D27" i="40"/>
  <c r="B27" i="40"/>
  <c r="P26" i="40"/>
  <c r="E26" i="40"/>
  <c r="D26" i="40"/>
  <c r="B26" i="40"/>
  <c r="P25" i="40"/>
  <c r="G25" i="40"/>
  <c r="E25" i="40"/>
  <c r="D25" i="40"/>
  <c r="B25" i="40"/>
  <c r="P24" i="40"/>
  <c r="G24" i="40"/>
  <c r="C24" i="40" s="1"/>
  <c r="E24" i="40"/>
  <c r="D24" i="40"/>
  <c r="B24" i="40"/>
  <c r="P23" i="40"/>
  <c r="G23" i="40"/>
  <c r="C23" i="40" s="1"/>
  <c r="E23" i="40"/>
  <c r="D23" i="40"/>
  <c r="B23" i="40"/>
  <c r="P22" i="40"/>
  <c r="G22" i="40"/>
  <c r="C22" i="40" s="1"/>
  <c r="E22" i="40"/>
  <c r="D22" i="40"/>
  <c r="B22" i="40"/>
  <c r="P21" i="40"/>
  <c r="G21" i="40"/>
  <c r="C21" i="40" s="1"/>
  <c r="E21" i="40"/>
  <c r="D21" i="40"/>
  <c r="B21" i="40"/>
  <c r="P20" i="40"/>
  <c r="G20" i="40"/>
  <c r="C20" i="40" s="1"/>
  <c r="E20" i="40"/>
  <c r="D20" i="40"/>
  <c r="B20" i="40"/>
  <c r="P19" i="40"/>
  <c r="G19" i="40"/>
  <c r="C19" i="40" s="1"/>
  <c r="E19" i="40"/>
  <c r="D19" i="40"/>
  <c r="B19" i="40"/>
  <c r="P18" i="40"/>
  <c r="G18" i="40"/>
  <c r="C18" i="40" s="1"/>
  <c r="E18" i="40"/>
  <c r="D18" i="40"/>
  <c r="B18" i="40"/>
  <c r="P17" i="40"/>
  <c r="G17" i="40"/>
  <c r="E17" i="40"/>
  <c r="D17" i="40"/>
  <c r="B17" i="40"/>
  <c r="P16" i="40"/>
  <c r="C16" i="40"/>
  <c r="E16" i="40"/>
  <c r="D16" i="40"/>
  <c r="B16" i="40"/>
  <c r="P15" i="40"/>
  <c r="G15" i="40"/>
  <c r="E15" i="40"/>
  <c r="D15" i="40"/>
  <c r="B15" i="40"/>
  <c r="P14" i="40"/>
  <c r="G14" i="40"/>
  <c r="C14" i="40" s="1"/>
  <c r="E14" i="40"/>
  <c r="D14" i="40"/>
  <c r="B14" i="40"/>
  <c r="P13" i="40"/>
  <c r="E13" i="40"/>
  <c r="D13" i="40"/>
  <c r="B13" i="40"/>
  <c r="P12" i="40"/>
  <c r="G12" i="40"/>
  <c r="C12" i="40" s="1"/>
  <c r="E12" i="40"/>
  <c r="D12" i="40"/>
  <c r="B12" i="40"/>
  <c r="P11" i="40"/>
  <c r="G11" i="40"/>
  <c r="C11" i="40" s="1"/>
  <c r="E11" i="40"/>
  <c r="D11" i="40"/>
  <c r="B11" i="40"/>
  <c r="P10" i="40"/>
  <c r="C10" i="40"/>
  <c r="E10" i="40"/>
  <c r="D10" i="40"/>
  <c r="B10" i="40"/>
  <c r="P9" i="40"/>
  <c r="G9" i="40"/>
  <c r="C9" i="40" s="1"/>
  <c r="E9" i="40"/>
  <c r="D9" i="40"/>
  <c r="B9" i="40"/>
  <c r="P8" i="40"/>
  <c r="G8" i="40"/>
  <c r="E8" i="40"/>
  <c r="D8" i="40"/>
  <c r="B8" i="40"/>
  <c r="P7" i="40"/>
  <c r="G7" i="40"/>
  <c r="E7" i="40"/>
  <c r="D7" i="40"/>
  <c r="B7" i="40"/>
  <c r="P6" i="40"/>
  <c r="G6" i="40"/>
  <c r="C6" i="40" s="1"/>
  <c r="E6" i="40"/>
  <c r="D6" i="40"/>
  <c r="B6" i="40"/>
  <c r="J71" i="39"/>
  <c r="I71" i="39"/>
  <c r="H71" i="39"/>
  <c r="J70" i="39"/>
  <c r="I70" i="39"/>
  <c r="H70" i="39"/>
  <c r="E54" i="39"/>
  <c r="E53" i="39"/>
  <c r="P39" i="39"/>
  <c r="G39" i="39"/>
  <c r="E39" i="39"/>
  <c r="D39" i="39"/>
  <c r="C39" i="39"/>
  <c r="B39" i="39"/>
  <c r="P38" i="39"/>
  <c r="G38" i="39"/>
  <c r="C38" i="39" s="1"/>
  <c r="E38" i="39"/>
  <c r="D38" i="39"/>
  <c r="B38" i="39"/>
  <c r="P37" i="39"/>
  <c r="G37" i="39"/>
  <c r="C37" i="39" s="1"/>
  <c r="D37" i="39"/>
  <c r="B37" i="39"/>
  <c r="P36" i="39"/>
  <c r="G36" i="39"/>
  <c r="E36" i="39"/>
  <c r="D36" i="39"/>
  <c r="C36" i="39"/>
  <c r="B36" i="39"/>
  <c r="P35" i="39"/>
  <c r="C35" i="39"/>
  <c r="E35" i="39"/>
  <c r="D35" i="39"/>
  <c r="B35" i="39"/>
  <c r="P34" i="39"/>
  <c r="G34" i="39"/>
  <c r="C34" i="39" s="1"/>
  <c r="E34" i="39"/>
  <c r="D34" i="39"/>
  <c r="B34" i="39"/>
  <c r="P33" i="39"/>
  <c r="C33" i="39"/>
  <c r="E33" i="39"/>
  <c r="D33" i="39"/>
  <c r="B33" i="39"/>
  <c r="P32" i="39"/>
  <c r="C32" i="39"/>
  <c r="E32" i="39"/>
  <c r="D32" i="39"/>
  <c r="B32" i="39"/>
  <c r="P31" i="39"/>
  <c r="G31" i="39"/>
  <c r="C31" i="39" s="1"/>
  <c r="E31" i="39"/>
  <c r="D31" i="39"/>
  <c r="B31" i="39"/>
  <c r="P30" i="39"/>
  <c r="G30" i="39"/>
  <c r="C30" i="39" s="1"/>
  <c r="E30" i="39"/>
  <c r="D30" i="39"/>
  <c r="B30" i="39"/>
  <c r="P29" i="39"/>
  <c r="C29" i="39"/>
  <c r="D29" i="39"/>
  <c r="B29" i="39"/>
  <c r="P28" i="39"/>
  <c r="G28" i="39"/>
  <c r="C28" i="39" s="1"/>
  <c r="E28" i="39"/>
  <c r="D28" i="39"/>
  <c r="B28" i="39"/>
  <c r="P27" i="39"/>
  <c r="G27" i="39"/>
  <c r="C27" i="39" s="1"/>
  <c r="E27" i="39"/>
  <c r="D27" i="39"/>
  <c r="B27" i="39"/>
  <c r="P26" i="39"/>
  <c r="C26" i="39"/>
  <c r="E26" i="39"/>
  <c r="D26" i="39"/>
  <c r="B26" i="39"/>
  <c r="P25" i="39"/>
  <c r="E25" i="39"/>
  <c r="D25" i="39"/>
  <c r="B25" i="39"/>
  <c r="P24" i="39"/>
  <c r="G24" i="39"/>
  <c r="C24" i="39" s="1"/>
  <c r="E24" i="39"/>
  <c r="D24" i="39"/>
  <c r="B24" i="39"/>
  <c r="P23" i="39"/>
  <c r="E23" i="39"/>
  <c r="D23" i="39"/>
  <c r="B23" i="39"/>
  <c r="P22" i="39"/>
  <c r="G22" i="39"/>
  <c r="E22" i="39"/>
  <c r="D22" i="39"/>
  <c r="C22" i="39"/>
  <c r="B22" i="39"/>
  <c r="P21" i="39"/>
  <c r="G21" i="39"/>
  <c r="E21" i="39"/>
  <c r="D21" i="39"/>
  <c r="B21" i="39"/>
  <c r="P20" i="39"/>
  <c r="G20" i="39"/>
  <c r="E20" i="39"/>
  <c r="D20" i="39"/>
  <c r="C20" i="39"/>
  <c r="B20" i="39"/>
  <c r="P19" i="39"/>
  <c r="G19" i="39"/>
  <c r="C19" i="39" s="1"/>
  <c r="E19" i="39"/>
  <c r="D19" i="39"/>
  <c r="B19" i="39"/>
  <c r="P18" i="39"/>
  <c r="G18" i="39"/>
  <c r="E18" i="39"/>
  <c r="D18" i="39"/>
  <c r="C18" i="39"/>
  <c r="B18" i="39"/>
  <c r="P17" i="39"/>
  <c r="G17" i="39"/>
  <c r="C17" i="39" s="1"/>
  <c r="E17" i="39"/>
  <c r="D17" i="39"/>
  <c r="B17" i="39"/>
  <c r="P16" i="39"/>
  <c r="E16" i="39"/>
  <c r="D16" i="39"/>
  <c r="C16" i="39"/>
  <c r="B16" i="39"/>
  <c r="P15" i="39"/>
  <c r="G15" i="39"/>
  <c r="E15" i="39"/>
  <c r="D15" i="39"/>
  <c r="B15" i="39"/>
  <c r="P14" i="39"/>
  <c r="G14" i="39"/>
  <c r="C14" i="39" s="1"/>
  <c r="E14" i="39"/>
  <c r="D14" i="39"/>
  <c r="B14" i="39"/>
  <c r="P13" i="39"/>
  <c r="G13" i="39"/>
  <c r="C13" i="39" s="1"/>
  <c r="E13" i="39"/>
  <c r="D13" i="39"/>
  <c r="B13" i="39"/>
  <c r="P12" i="39"/>
  <c r="G12" i="39"/>
  <c r="C12" i="39" s="1"/>
  <c r="E12" i="39"/>
  <c r="D12" i="39"/>
  <c r="B12" i="39"/>
  <c r="P11" i="39"/>
  <c r="G11" i="39"/>
  <c r="E11" i="39"/>
  <c r="D11" i="39"/>
  <c r="B11" i="39"/>
  <c r="P10" i="39"/>
  <c r="C10" i="39"/>
  <c r="E10" i="39"/>
  <c r="D10" i="39"/>
  <c r="B10" i="39"/>
  <c r="P9" i="39"/>
  <c r="G9" i="39"/>
  <c r="C9" i="39" s="1"/>
  <c r="E9" i="39"/>
  <c r="D9" i="39"/>
  <c r="D71" i="39" s="1"/>
  <c r="B9" i="39"/>
  <c r="P8" i="39"/>
  <c r="E8" i="39"/>
  <c r="D8" i="39"/>
  <c r="C8" i="39"/>
  <c r="B8" i="39"/>
  <c r="P7" i="39"/>
  <c r="G7" i="39"/>
  <c r="C7" i="39" s="1"/>
  <c r="E7" i="39"/>
  <c r="D7" i="39"/>
  <c r="B7" i="39"/>
  <c r="P6" i="39"/>
  <c r="G6" i="39"/>
  <c r="E6" i="39"/>
  <c r="D6" i="39"/>
  <c r="C6" i="39"/>
  <c r="B6" i="39"/>
  <c r="J71" i="38"/>
  <c r="I71" i="38"/>
  <c r="H71" i="38"/>
  <c r="J70" i="38"/>
  <c r="I70" i="38"/>
  <c r="H70" i="38"/>
  <c r="F70" i="38"/>
  <c r="E56" i="38"/>
  <c r="E54" i="38"/>
  <c r="E53" i="38"/>
  <c r="P39" i="38"/>
  <c r="E39" i="38"/>
  <c r="D39" i="38"/>
  <c r="C39" i="38" s="1"/>
  <c r="B39" i="38"/>
  <c r="P38" i="38"/>
  <c r="E38" i="38"/>
  <c r="D38" i="38"/>
  <c r="B38" i="38"/>
  <c r="P37" i="38"/>
  <c r="E37" i="38"/>
  <c r="D37" i="38"/>
  <c r="B37" i="38"/>
  <c r="P36" i="38"/>
  <c r="E36" i="38"/>
  <c r="D36" i="38"/>
  <c r="B36" i="38"/>
  <c r="P35" i="38"/>
  <c r="E35" i="38"/>
  <c r="D35" i="38"/>
  <c r="B35" i="38"/>
  <c r="P34" i="38"/>
  <c r="E34" i="38"/>
  <c r="D34" i="38"/>
  <c r="B34" i="38"/>
  <c r="P33" i="38"/>
  <c r="E33" i="38"/>
  <c r="D33" i="38"/>
  <c r="D70" i="38" s="1"/>
  <c r="B33" i="38"/>
  <c r="P32" i="38"/>
  <c r="E32" i="38"/>
  <c r="D32" i="38"/>
  <c r="B32" i="38"/>
  <c r="P31" i="38"/>
  <c r="E31" i="38"/>
  <c r="D31" i="38"/>
  <c r="C31" i="38"/>
  <c r="B31" i="38"/>
  <c r="P30" i="38"/>
  <c r="E30" i="38"/>
  <c r="D30" i="38"/>
  <c r="B30" i="38"/>
  <c r="P29" i="38"/>
  <c r="E29" i="38"/>
  <c r="D29" i="38"/>
  <c r="B29" i="38"/>
  <c r="P28" i="38"/>
  <c r="E28" i="38"/>
  <c r="D28" i="38"/>
  <c r="B28" i="38"/>
  <c r="P27" i="38"/>
  <c r="E27" i="38"/>
  <c r="D27" i="38"/>
  <c r="B27" i="38"/>
  <c r="P26" i="38"/>
  <c r="E26" i="38"/>
  <c r="D26" i="38"/>
  <c r="B26" i="38"/>
  <c r="P25" i="38"/>
  <c r="E25" i="38"/>
  <c r="D25" i="38"/>
  <c r="B25" i="38"/>
  <c r="P24" i="38"/>
  <c r="E24" i="38"/>
  <c r="D24" i="38"/>
  <c r="B24" i="38"/>
  <c r="P23" i="38"/>
  <c r="E23" i="38"/>
  <c r="D23" i="38"/>
  <c r="B23" i="38"/>
  <c r="P22" i="38"/>
  <c r="E22" i="38"/>
  <c r="D22" i="38"/>
  <c r="B22" i="38"/>
  <c r="P21" i="38"/>
  <c r="E21" i="38"/>
  <c r="D21" i="38"/>
  <c r="B21" i="38"/>
  <c r="P20" i="38"/>
  <c r="E20" i="38"/>
  <c r="D20" i="38"/>
  <c r="B20" i="38"/>
  <c r="P19" i="38"/>
  <c r="E19" i="38"/>
  <c r="D19" i="38"/>
  <c r="C19" i="38" s="1"/>
  <c r="B19" i="38"/>
  <c r="P18" i="38"/>
  <c r="C18" i="38"/>
  <c r="E18" i="38"/>
  <c r="D18" i="38"/>
  <c r="B18" i="38"/>
  <c r="P17" i="38"/>
  <c r="E17" i="38"/>
  <c r="D17" i="38"/>
  <c r="B17" i="38"/>
  <c r="P16" i="38"/>
  <c r="E16" i="38"/>
  <c r="D16" i="38"/>
  <c r="B16" i="38"/>
  <c r="P15" i="38"/>
  <c r="E15" i="38"/>
  <c r="D15" i="38"/>
  <c r="B15" i="38"/>
  <c r="P14" i="38"/>
  <c r="E14" i="38"/>
  <c r="D14" i="38"/>
  <c r="B14" i="38"/>
  <c r="P13" i="38"/>
  <c r="E13" i="38"/>
  <c r="D13" i="38"/>
  <c r="B13" i="38"/>
  <c r="P12" i="38"/>
  <c r="E12" i="38"/>
  <c r="D12" i="38"/>
  <c r="B12" i="38"/>
  <c r="P11" i="38"/>
  <c r="E11" i="38"/>
  <c r="D11" i="38"/>
  <c r="B11" i="38"/>
  <c r="P10" i="38"/>
  <c r="E10" i="38"/>
  <c r="D10" i="38"/>
  <c r="B10" i="38"/>
  <c r="P9" i="38"/>
  <c r="E9" i="38"/>
  <c r="B9" i="38"/>
  <c r="D8" i="38"/>
  <c r="B8" i="38"/>
  <c r="P7" i="38"/>
  <c r="E7" i="38"/>
  <c r="D7" i="38"/>
  <c r="B7" i="38"/>
  <c r="P6" i="38"/>
  <c r="E6" i="38"/>
  <c r="D6" i="38"/>
  <c r="B6" i="38"/>
  <c r="I71" i="37"/>
  <c r="H71" i="37"/>
  <c r="J70" i="37"/>
  <c r="I70" i="37"/>
  <c r="H70" i="37"/>
  <c r="E56" i="37"/>
  <c r="E55" i="37"/>
  <c r="E54" i="37"/>
  <c r="E53" i="37"/>
  <c r="P39" i="37"/>
  <c r="G39" i="37"/>
  <c r="E39" i="37"/>
  <c r="D39" i="37"/>
  <c r="B39" i="37"/>
  <c r="P38" i="37"/>
  <c r="G38" i="37"/>
  <c r="C38" i="37" s="1"/>
  <c r="E38" i="37"/>
  <c r="D38" i="37"/>
  <c r="B38" i="37"/>
  <c r="P37" i="37"/>
  <c r="C37" i="37"/>
  <c r="B37" i="37"/>
  <c r="P36" i="37"/>
  <c r="G36" i="37"/>
  <c r="E36" i="37"/>
  <c r="D36" i="37"/>
  <c r="C36" i="37"/>
  <c r="B36" i="37"/>
  <c r="P35" i="37"/>
  <c r="G35" i="37"/>
  <c r="C35" i="37" s="1"/>
  <c r="E35" i="37"/>
  <c r="D35" i="37"/>
  <c r="B35" i="37"/>
  <c r="P34" i="37"/>
  <c r="G34" i="37"/>
  <c r="E34" i="37"/>
  <c r="D34" i="37"/>
  <c r="C34" i="37"/>
  <c r="B34" i="37"/>
  <c r="P33" i="37"/>
  <c r="G33" i="37"/>
  <c r="C33" i="37" s="1"/>
  <c r="E33" i="37"/>
  <c r="D33" i="37"/>
  <c r="B33" i="37"/>
  <c r="P32" i="37"/>
  <c r="E32" i="37"/>
  <c r="D32" i="37"/>
  <c r="C32" i="37"/>
  <c r="B32" i="37"/>
  <c r="P31" i="37"/>
  <c r="G31" i="37"/>
  <c r="E31" i="37"/>
  <c r="D31" i="37"/>
  <c r="B31" i="37"/>
  <c r="P30" i="37"/>
  <c r="J71" i="37" s="1"/>
  <c r="G30" i="37"/>
  <c r="C30" i="37" s="1"/>
  <c r="E30" i="37"/>
  <c r="D30" i="37"/>
  <c r="B30" i="37"/>
  <c r="P29" i="37"/>
  <c r="G29" i="37"/>
  <c r="C29" i="37" s="1"/>
  <c r="E29" i="37"/>
  <c r="D29" i="37"/>
  <c r="B29" i="37"/>
  <c r="P28" i="37"/>
  <c r="G28" i="37"/>
  <c r="C28" i="37" s="1"/>
  <c r="E28" i="37"/>
  <c r="D28" i="37"/>
  <c r="B28" i="37"/>
  <c r="P27" i="37"/>
  <c r="G27" i="37"/>
  <c r="C27" i="37" s="1"/>
  <c r="E27" i="37"/>
  <c r="D27" i="37"/>
  <c r="B27" i="37"/>
  <c r="P26" i="37"/>
  <c r="C26" i="37"/>
  <c r="E26" i="37"/>
  <c r="D26" i="37"/>
  <c r="B26" i="37"/>
  <c r="P25" i="37"/>
  <c r="E25" i="37"/>
  <c r="D25" i="37"/>
  <c r="B25" i="37"/>
  <c r="P24" i="37"/>
  <c r="G24" i="37"/>
  <c r="C24" i="37" s="1"/>
  <c r="E24" i="37"/>
  <c r="D24" i="37"/>
  <c r="B24" i="37"/>
  <c r="P23" i="37"/>
  <c r="G23" i="37"/>
  <c r="E23" i="37"/>
  <c r="D23" i="37"/>
  <c r="B23" i="37"/>
  <c r="P22" i="37"/>
  <c r="G22" i="37"/>
  <c r="C22" i="37" s="1"/>
  <c r="E22" i="37"/>
  <c r="D22" i="37"/>
  <c r="B22" i="37"/>
  <c r="P21" i="37"/>
  <c r="G21" i="37"/>
  <c r="C21" i="37" s="1"/>
  <c r="E21" i="37"/>
  <c r="D21" i="37"/>
  <c r="B21" i="37"/>
  <c r="P20" i="37"/>
  <c r="G20" i="37"/>
  <c r="E20" i="37"/>
  <c r="D20" i="37"/>
  <c r="C20" i="37"/>
  <c r="B20" i="37"/>
  <c r="P19" i="37"/>
  <c r="G19" i="37"/>
  <c r="C19" i="37" s="1"/>
  <c r="E19" i="37"/>
  <c r="D19" i="37"/>
  <c r="B19" i="37"/>
  <c r="P18" i="37"/>
  <c r="G18" i="37"/>
  <c r="E18" i="37"/>
  <c r="D18" i="37"/>
  <c r="C18" i="37"/>
  <c r="B18" i="37"/>
  <c r="P17" i="37"/>
  <c r="G17" i="37"/>
  <c r="E17" i="37"/>
  <c r="D17" i="37"/>
  <c r="B17" i="37"/>
  <c r="P16" i="37"/>
  <c r="G16" i="37"/>
  <c r="C16" i="37" s="1"/>
  <c r="E16" i="37"/>
  <c r="D16" i="37"/>
  <c r="B16" i="37"/>
  <c r="P15" i="37"/>
  <c r="G15" i="37"/>
  <c r="E15" i="37"/>
  <c r="D15" i="37"/>
  <c r="B15" i="37"/>
  <c r="P14" i="37"/>
  <c r="G14" i="37"/>
  <c r="C14" i="37" s="1"/>
  <c r="E14" i="37"/>
  <c r="D14" i="37"/>
  <c r="B14" i="37"/>
  <c r="P13" i="37"/>
  <c r="G13" i="37"/>
  <c r="E13" i="37"/>
  <c r="D13" i="37"/>
  <c r="B13" i="37"/>
  <c r="P12" i="37"/>
  <c r="G12" i="37"/>
  <c r="C12" i="37" s="1"/>
  <c r="E12" i="37"/>
  <c r="D12" i="37"/>
  <c r="B12" i="37"/>
  <c r="P11" i="37"/>
  <c r="G11" i="37"/>
  <c r="C11" i="37" s="1"/>
  <c r="E11" i="37"/>
  <c r="D11" i="37"/>
  <c r="B11" i="37"/>
  <c r="P10" i="37"/>
  <c r="G10" i="37"/>
  <c r="E10" i="37"/>
  <c r="D10" i="37"/>
  <c r="B10" i="37"/>
  <c r="P9" i="37"/>
  <c r="C9" i="37"/>
  <c r="E9" i="37"/>
  <c r="B9" i="37"/>
  <c r="P8" i="37"/>
  <c r="G8" i="37"/>
  <c r="E8" i="37"/>
  <c r="D8" i="37"/>
  <c r="B8" i="37"/>
  <c r="P7" i="37"/>
  <c r="G7" i="37"/>
  <c r="C7" i="37" s="1"/>
  <c r="E7" i="37"/>
  <c r="D7" i="37"/>
  <c r="B7" i="37"/>
  <c r="P6" i="37"/>
  <c r="G6" i="37"/>
  <c r="C6" i="37" s="1"/>
  <c r="E6" i="37"/>
  <c r="D6" i="37"/>
  <c r="B6" i="37"/>
  <c r="J71" i="36"/>
  <c r="I71" i="36"/>
  <c r="H71" i="36"/>
  <c r="J70" i="36"/>
  <c r="I70" i="36"/>
  <c r="H70" i="36"/>
  <c r="E56" i="36"/>
  <c r="E54" i="36"/>
  <c r="E53" i="36"/>
  <c r="P39" i="36"/>
  <c r="G39" i="36"/>
  <c r="C39" i="36" s="1"/>
  <c r="E39" i="36"/>
  <c r="D39" i="36"/>
  <c r="B39" i="36"/>
  <c r="P38" i="36"/>
  <c r="G38" i="36"/>
  <c r="E38" i="36"/>
  <c r="D38" i="36"/>
  <c r="C38" i="36"/>
  <c r="B38" i="36"/>
  <c r="P37" i="36"/>
  <c r="G37" i="36"/>
  <c r="E37" i="36"/>
  <c r="D37" i="36"/>
  <c r="C37" i="36"/>
  <c r="B37" i="36"/>
  <c r="P36" i="36"/>
  <c r="G36" i="36"/>
  <c r="E36" i="36"/>
  <c r="D36" i="36"/>
  <c r="C36" i="36"/>
  <c r="B36" i="36"/>
  <c r="P35" i="36"/>
  <c r="C35" i="36"/>
  <c r="E35" i="36"/>
  <c r="D35" i="36"/>
  <c r="B35" i="36"/>
  <c r="P34" i="36"/>
  <c r="G34" i="36"/>
  <c r="C34" i="36" s="1"/>
  <c r="E34" i="36"/>
  <c r="D34" i="36"/>
  <c r="B34" i="36"/>
  <c r="P33" i="36"/>
  <c r="G33" i="36"/>
  <c r="C33" i="36" s="1"/>
  <c r="E33" i="36"/>
  <c r="D33" i="36"/>
  <c r="B33" i="36"/>
  <c r="P32" i="36"/>
  <c r="E32" i="36"/>
  <c r="D32" i="36"/>
  <c r="C32" i="36"/>
  <c r="B32" i="36"/>
  <c r="P31" i="36"/>
  <c r="G31" i="36"/>
  <c r="C31" i="36" s="1"/>
  <c r="E31" i="36"/>
  <c r="D31" i="36"/>
  <c r="B31" i="36"/>
  <c r="P30" i="36"/>
  <c r="G30" i="36"/>
  <c r="E30" i="36"/>
  <c r="D30" i="36"/>
  <c r="C30" i="36"/>
  <c r="B30" i="36"/>
  <c r="P29" i="36"/>
  <c r="G29" i="36"/>
  <c r="C29" i="36" s="1"/>
  <c r="E29" i="36"/>
  <c r="D29" i="36"/>
  <c r="B29" i="36"/>
  <c r="P28" i="36"/>
  <c r="G28" i="36"/>
  <c r="C28" i="36" s="1"/>
  <c r="E28" i="36"/>
  <c r="D28" i="36"/>
  <c r="B28" i="36"/>
  <c r="P27" i="36"/>
  <c r="G27" i="36"/>
  <c r="E27" i="36"/>
  <c r="D27" i="36"/>
  <c r="C27" i="36"/>
  <c r="B27" i="36"/>
  <c r="P26" i="36"/>
  <c r="C26" i="36"/>
  <c r="E26" i="36"/>
  <c r="D26" i="36"/>
  <c r="B26" i="36"/>
  <c r="P25" i="36"/>
  <c r="C25" i="36"/>
  <c r="E25" i="36"/>
  <c r="D25" i="36"/>
  <c r="B25" i="36"/>
  <c r="P24" i="36"/>
  <c r="G24" i="36"/>
  <c r="C24" i="36" s="1"/>
  <c r="E24" i="36"/>
  <c r="D24" i="36"/>
  <c r="B24" i="36"/>
  <c r="P23" i="36"/>
  <c r="G23" i="36"/>
  <c r="C23" i="36" s="1"/>
  <c r="E23" i="36"/>
  <c r="D23" i="36"/>
  <c r="B23" i="36"/>
  <c r="P22" i="36"/>
  <c r="G22" i="36"/>
  <c r="C22" i="36" s="1"/>
  <c r="E22" i="36"/>
  <c r="D22" i="36"/>
  <c r="B22" i="36"/>
  <c r="P21" i="36"/>
  <c r="G21" i="36"/>
  <c r="C21" i="36" s="1"/>
  <c r="E21" i="36"/>
  <c r="D21" i="36"/>
  <c r="B21" i="36"/>
  <c r="P20" i="36"/>
  <c r="G20" i="36"/>
  <c r="E20" i="36"/>
  <c r="D20" i="36"/>
  <c r="B20" i="36"/>
  <c r="P19" i="36"/>
  <c r="G19" i="36"/>
  <c r="C19" i="36" s="1"/>
  <c r="E19" i="36"/>
  <c r="D19" i="36"/>
  <c r="B19" i="36"/>
  <c r="P18" i="36"/>
  <c r="G18" i="36"/>
  <c r="C18" i="36" s="1"/>
  <c r="E18" i="36"/>
  <c r="D18" i="36"/>
  <c r="B18" i="36"/>
  <c r="P17" i="36"/>
  <c r="G17" i="36"/>
  <c r="E17" i="36"/>
  <c r="D17" i="36"/>
  <c r="C17" i="36"/>
  <c r="B17" i="36"/>
  <c r="P16" i="36"/>
  <c r="C16" i="36"/>
  <c r="E16" i="36"/>
  <c r="D16" i="36"/>
  <c r="B16" i="36"/>
  <c r="P15" i="36"/>
  <c r="G15" i="36"/>
  <c r="E15" i="36"/>
  <c r="D15" i="36"/>
  <c r="C15" i="36"/>
  <c r="B15" i="36"/>
  <c r="P14" i="36"/>
  <c r="E14" i="36"/>
  <c r="D14" i="36"/>
  <c r="B14" i="36"/>
  <c r="P13" i="36"/>
  <c r="G13" i="36"/>
  <c r="C13" i="36" s="1"/>
  <c r="E13" i="36"/>
  <c r="D13" i="36"/>
  <c r="B13" i="36"/>
  <c r="P12" i="36"/>
  <c r="G12" i="36"/>
  <c r="E12" i="36"/>
  <c r="D12" i="36"/>
  <c r="B12" i="36"/>
  <c r="P11" i="36"/>
  <c r="G11" i="36"/>
  <c r="C11" i="36" s="1"/>
  <c r="E11" i="36"/>
  <c r="D11" i="36"/>
  <c r="B11" i="36"/>
  <c r="P10" i="36"/>
  <c r="E10" i="36"/>
  <c r="D10" i="36"/>
  <c r="B10" i="36"/>
  <c r="P9" i="36"/>
  <c r="E9" i="36"/>
  <c r="D9" i="36"/>
  <c r="B9" i="36"/>
  <c r="P8" i="36"/>
  <c r="G8" i="36"/>
  <c r="E8" i="36"/>
  <c r="D8" i="36"/>
  <c r="B8" i="36"/>
  <c r="P7" i="36"/>
  <c r="G7" i="36"/>
  <c r="E7" i="36"/>
  <c r="D7" i="36"/>
  <c r="B7" i="36"/>
  <c r="P6" i="36"/>
  <c r="G6" i="36"/>
  <c r="C6" i="36" s="1"/>
  <c r="E6" i="36"/>
  <c r="D6" i="36"/>
  <c r="B6" i="36"/>
  <c r="G8" i="35"/>
  <c r="G10" i="35"/>
  <c r="G11" i="35"/>
  <c r="G12" i="35"/>
  <c r="C12" i="35" s="1"/>
  <c r="G13" i="35"/>
  <c r="G14" i="35"/>
  <c r="C14" i="35" s="1"/>
  <c r="G17" i="35"/>
  <c r="C17" i="35" s="1"/>
  <c r="G18" i="35"/>
  <c r="G19" i="35"/>
  <c r="G20" i="35"/>
  <c r="C20" i="35" s="1"/>
  <c r="G21" i="35"/>
  <c r="G22" i="35"/>
  <c r="G23" i="35"/>
  <c r="G24" i="35"/>
  <c r="G27" i="35"/>
  <c r="G28" i="35"/>
  <c r="G29" i="35"/>
  <c r="G31" i="35"/>
  <c r="G33" i="35"/>
  <c r="G34" i="35"/>
  <c r="G35" i="35"/>
  <c r="G36" i="35"/>
  <c r="G37" i="35"/>
  <c r="C37" i="35" s="1"/>
  <c r="G38" i="35"/>
  <c r="G39" i="35"/>
  <c r="J71" i="35"/>
  <c r="I71" i="35"/>
  <c r="H71" i="35"/>
  <c r="J70" i="35"/>
  <c r="I70" i="35"/>
  <c r="H70" i="35"/>
  <c r="E54" i="35"/>
  <c r="E53" i="35"/>
  <c r="P39" i="35"/>
  <c r="E39" i="35"/>
  <c r="D39" i="35"/>
  <c r="C39" i="35" s="1"/>
  <c r="B39" i="35"/>
  <c r="P38" i="35"/>
  <c r="C38" i="35"/>
  <c r="E38" i="35"/>
  <c r="D38" i="35"/>
  <c r="B38" i="35"/>
  <c r="P37" i="35"/>
  <c r="E37" i="35"/>
  <c r="D37" i="35"/>
  <c r="B37" i="35"/>
  <c r="P36" i="35"/>
  <c r="E36" i="35"/>
  <c r="D36" i="35"/>
  <c r="B36" i="35"/>
  <c r="P35" i="35"/>
  <c r="E35" i="35"/>
  <c r="D35" i="35"/>
  <c r="B35" i="35"/>
  <c r="P34" i="35"/>
  <c r="E34" i="35"/>
  <c r="D34" i="35"/>
  <c r="C34" i="35" s="1"/>
  <c r="B34" i="35"/>
  <c r="P33" i="35"/>
  <c r="E33" i="35"/>
  <c r="D33" i="35"/>
  <c r="B33" i="35"/>
  <c r="P32" i="35"/>
  <c r="E32" i="35"/>
  <c r="D32" i="35"/>
  <c r="B32" i="35"/>
  <c r="P31" i="35"/>
  <c r="E31" i="35"/>
  <c r="D31" i="35"/>
  <c r="B31" i="35"/>
  <c r="P30" i="35"/>
  <c r="E30" i="35"/>
  <c r="D30" i="35"/>
  <c r="C30" i="35" s="1"/>
  <c r="B30" i="35"/>
  <c r="P29" i="35"/>
  <c r="C29" i="35"/>
  <c r="E29" i="35"/>
  <c r="D29" i="35"/>
  <c r="B29" i="35"/>
  <c r="P28" i="35"/>
  <c r="E28" i="35"/>
  <c r="D28" i="35"/>
  <c r="B28" i="35"/>
  <c r="P27" i="35"/>
  <c r="E27" i="35"/>
  <c r="D27" i="35"/>
  <c r="C27" i="35" s="1"/>
  <c r="B27" i="35"/>
  <c r="P26" i="35"/>
  <c r="E26" i="35"/>
  <c r="D26" i="35"/>
  <c r="C26" i="35"/>
  <c r="B26" i="35"/>
  <c r="P25" i="35"/>
  <c r="E25" i="35"/>
  <c r="D25" i="35"/>
  <c r="C25" i="35" s="1"/>
  <c r="B25" i="35"/>
  <c r="P24" i="35"/>
  <c r="E24" i="35"/>
  <c r="D24" i="35"/>
  <c r="B24" i="35"/>
  <c r="P23" i="35"/>
  <c r="E23" i="35"/>
  <c r="D23" i="35"/>
  <c r="B23" i="35"/>
  <c r="P22" i="35"/>
  <c r="C22" i="35"/>
  <c r="E22" i="35"/>
  <c r="D22" i="35"/>
  <c r="B22" i="35"/>
  <c r="P21" i="35"/>
  <c r="E21" i="35"/>
  <c r="D21" i="35"/>
  <c r="B21" i="35"/>
  <c r="P20" i="35"/>
  <c r="E20" i="35"/>
  <c r="D20" i="35"/>
  <c r="B20" i="35"/>
  <c r="P19" i="35"/>
  <c r="E19" i="35"/>
  <c r="D19" i="35"/>
  <c r="B19" i="35"/>
  <c r="P18" i="35"/>
  <c r="D18" i="35"/>
  <c r="B18" i="35"/>
  <c r="P17" i="35"/>
  <c r="E17" i="35"/>
  <c r="D17" i="35"/>
  <c r="B17" i="35"/>
  <c r="P16" i="35"/>
  <c r="E16" i="35"/>
  <c r="D16" i="35"/>
  <c r="B16" i="35"/>
  <c r="P15" i="35"/>
  <c r="C15" i="35"/>
  <c r="B15" i="35"/>
  <c r="P14" i="35"/>
  <c r="E14" i="35"/>
  <c r="D14" i="35"/>
  <c r="B14" i="35"/>
  <c r="P13" i="35"/>
  <c r="E13" i="35"/>
  <c r="D13" i="35"/>
  <c r="B13" i="35"/>
  <c r="P12" i="35"/>
  <c r="E12" i="35"/>
  <c r="D12" i="35"/>
  <c r="B12" i="35"/>
  <c r="P11" i="35"/>
  <c r="E11" i="35"/>
  <c r="D11" i="35"/>
  <c r="B11" i="35"/>
  <c r="P10" i="35"/>
  <c r="C10" i="35"/>
  <c r="E10" i="35"/>
  <c r="D10" i="35"/>
  <c r="B10" i="35"/>
  <c r="P9" i="35"/>
  <c r="E9" i="35"/>
  <c r="D9" i="35"/>
  <c r="C9" i="35" s="1"/>
  <c r="B9" i="35"/>
  <c r="P8" i="35"/>
  <c r="E8" i="35"/>
  <c r="D8" i="35"/>
  <c r="B8" i="35"/>
  <c r="P7" i="35"/>
  <c r="E7" i="35"/>
  <c r="D7" i="35"/>
  <c r="B7" i="35"/>
  <c r="P6" i="35"/>
  <c r="G6" i="35"/>
  <c r="C6" i="35" s="1"/>
  <c r="E6" i="35"/>
  <c r="D6" i="35"/>
  <c r="B6" i="35"/>
  <c r="P9" i="34"/>
  <c r="E9" i="34"/>
  <c r="C9" i="34"/>
  <c r="B9" i="34"/>
  <c r="H49" i="45" l="1"/>
  <c r="H50" i="45" s="1"/>
  <c r="H52" i="45" s="1"/>
  <c r="H54" i="45" s="1"/>
  <c r="E53" i="44"/>
  <c r="F70" i="43"/>
  <c r="H73" i="41"/>
  <c r="E53" i="40"/>
  <c r="H73" i="40"/>
  <c r="I73" i="39"/>
  <c r="I73" i="37"/>
  <c r="I73" i="44"/>
  <c r="D70" i="44"/>
  <c r="C38" i="44"/>
  <c r="C35" i="44"/>
  <c r="C26" i="44"/>
  <c r="C23" i="44"/>
  <c r="F70" i="44"/>
  <c r="D71" i="44"/>
  <c r="E52" i="44"/>
  <c r="E51" i="44"/>
  <c r="F71" i="44"/>
  <c r="L71" i="44" s="1"/>
  <c r="I73" i="42"/>
  <c r="D70" i="43"/>
  <c r="C28" i="43"/>
  <c r="C29" i="43"/>
  <c r="C17" i="43"/>
  <c r="I73" i="40"/>
  <c r="H73" i="44"/>
  <c r="I73" i="43"/>
  <c r="E51" i="43"/>
  <c r="D71" i="43"/>
  <c r="C14" i="43"/>
  <c r="C22" i="43"/>
  <c r="C30" i="43"/>
  <c r="C38" i="43"/>
  <c r="F71" i="43"/>
  <c r="F73" i="43" s="1"/>
  <c r="C16" i="43"/>
  <c r="C24" i="43"/>
  <c r="C32" i="43"/>
  <c r="F70" i="42"/>
  <c r="C29" i="42"/>
  <c r="D70" i="42"/>
  <c r="D71" i="42"/>
  <c r="F71" i="42"/>
  <c r="L71" i="42" s="1"/>
  <c r="C10" i="42"/>
  <c r="C17" i="42"/>
  <c r="C24" i="42"/>
  <c r="C28" i="42"/>
  <c r="C31" i="42"/>
  <c r="C34" i="42"/>
  <c r="E52" i="42"/>
  <c r="C11" i="42"/>
  <c r="C14" i="42"/>
  <c r="C18" i="42"/>
  <c r="C25" i="42"/>
  <c r="C32" i="42"/>
  <c r="C35" i="42"/>
  <c r="C38" i="42"/>
  <c r="I73" i="41"/>
  <c r="H73" i="42"/>
  <c r="E55" i="42" s="1"/>
  <c r="I9" i="48"/>
  <c r="D70" i="41"/>
  <c r="F70" i="41"/>
  <c r="E9" i="48"/>
  <c r="D71" i="41"/>
  <c r="E51" i="41"/>
  <c r="F71" i="41"/>
  <c r="E52" i="41"/>
  <c r="C38" i="40"/>
  <c r="D70" i="40"/>
  <c r="C28" i="40"/>
  <c r="C17" i="40"/>
  <c r="E17" i="48"/>
  <c r="C34" i="40"/>
  <c r="C29" i="40"/>
  <c r="C13" i="40"/>
  <c r="C25" i="40"/>
  <c r="C8" i="40"/>
  <c r="C39" i="40"/>
  <c r="C15" i="40"/>
  <c r="D71" i="40"/>
  <c r="C36" i="40"/>
  <c r="E51" i="40"/>
  <c r="C26" i="40"/>
  <c r="F71" i="40"/>
  <c r="L71" i="40" s="1"/>
  <c r="I73" i="38"/>
  <c r="C33" i="38"/>
  <c r="D71" i="38"/>
  <c r="D73" i="38" s="1"/>
  <c r="C39" i="37"/>
  <c r="C31" i="37"/>
  <c r="C25" i="37"/>
  <c r="C23" i="37"/>
  <c r="C17" i="37"/>
  <c r="C15" i="37"/>
  <c r="G70" i="37"/>
  <c r="D70" i="37"/>
  <c r="C13" i="37"/>
  <c r="E11" i="48"/>
  <c r="C10" i="37"/>
  <c r="C8" i="37"/>
  <c r="F70" i="37"/>
  <c r="F71" i="37"/>
  <c r="E51" i="37"/>
  <c r="D71" i="37"/>
  <c r="I73" i="36"/>
  <c r="I73" i="35"/>
  <c r="E76" i="46"/>
  <c r="H73" i="38"/>
  <c r="L71" i="46"/>
  <c r="L71" i="45"/>
  <c r="E76" i="44"/>
  <c r="E76" i="42"/>
  <c r="E76" i="41"/>
  <c r="E55" i="41"/>
  <c r="E76" i="40"/>
  <c r="H73" i="39"/>
  <c r="E55" i="39" s="1"/>
  <c r="E76" i="38"/>
  <c r="E55" i="38"/>
  <c r="E76" i="37"/>
  <c r="E76" i="36"/>
  <c r="E55" i="36"/>
  <c r="H73" i="36"/>
  <c r="C9" i="36"/>
  <c r="D70" i="36"/>
  <c r="E25" i="48"/>
  <c r="C20" i="36"/>
  <c r="F70" i="36"/>
  <c r="C14" i="36"/>
  <c r="C12" i="36"/>
  <c r="E52" i="36"/>
  <c r="C10" i="36"/>
  <c r="C8" i="36"/>
  <c r="C7" i="36"/>
  <c r="E51" i="36"/>
  <c r="D71" i="36"/>
  <c r="F71" i="36"/>
  <c r="D9" i="48"/>
  <c r="F70" i="39"/>
  <c r="C9" i="48"/>
  <c r="C15" i="39"/>
  <c r="E7" i="48"/>
  <c r="C23" i="39"/>
  <c r="C25" i="39"/>
  <c r="C11" i="39"/>
  <c r="C21" i="39"/>
  <c r="E51" i="39"/>
  <c r="F71" i="39"/>
  <c r="L71" i="39" s="1"/>
  <c r="C20" i="38"/>
  <c r="C32" i="38"/>
  <c r="E32" i="48"/>
  <c r="C13" i="38"/>
  <c r="C14" i="38"/>
  <c r="C17" i="38"/>
  <c r="C29" i="38"/>
  <c r="C37" i="38"/>
  <c r="C38" i="38"/>
  <c r="E18" i="48"/>
  <c r="C11" i="38"/>
  <c r="C12" i="38"/>
  <c r="C23" i="38"/>
  <c r="C24" i="38"/>
  <c r="C27" i="38"/>
  <c r="C35" i="38"/>
  <c r="C9" i="38"/>
  <c r="C21" i="38"/>
  <c r="C22" i="38"/>
  <c r="C34" i="38"/>
  <c r="C10" i="38"/>
  <c r="C25" i="38"/>
  <c r="C30" i="38"/>
  <c r="C28" i="38"/>
  <c r="C15" i="38"/>
  <c r="C36" i="38"/>
  <c r="C8" i="38"/>
  <c r="E8" i="48"/>
  <c r="F71" i="38"/>
  <c r="L71" i="38" s="1"/>
  <c r="C26" i="38"/>
  <c r="E26" i="48"/>
  <c r="C7" i="38"/>
  <c r="E52" i="38"/>
  <c r="C16" i="38"/>
  <c r="E51" i="38"/>
  <c r="C6" i="38"/>
  <c r="H73" i="35"/>
  <c r="E55" i="35" s="1"/>
  <c r="C33" i="35"/>
  <c r="D71" i="35"/>
  <c r="E76" i="35"/>
  <c r="C18" i="35"/>
  <c r="F70" i="35"/>
  <c r="C36" i="35"/>
  <c r="C16" i="35"/>
  <c r="C35" i="35"/>
  <c r="C31" i="35"/>
  <c r="C24" i="35"/>
  <c r="C21" i="35"/>
  <c r="C11" i="35"/>
  <c r="C8" i="35"/>
  <c r="F71" i="35"/>
  <c r="L71" i="35" s="1"/>
  <c r="C7" i="35"/>
  <c r="E52" i="35"/>
  <c r="C7" i="42"/>
  <c r="C8" i="43"/>
  <c r="F73" i="46"/>
  <c r="L73" i="46" s="1"/>
  <c r="L70" i="46"/>
  <c r="E51" i="42"/>
  <c r="E76" i="43"/>
  <c r="L73" i="45"/>
  <c r="D74" i="46"/>
  <c r="H49" i="46"/>
  <c r="H73" i="43"/>
  <c r="E76" i="45"/>
  <c r="G70" i="45"/>
  <c r="L70" i="45" s="1"/>
  <c r="E76" i="39"/>
  <c r="C7" i="40"/>
  <c r="H73" i="37"/>
  <c r="G70" i="36"/>
  <c r="L70" i="36" s="1"/>
  <c r="C32" i="35"/>
  <c r="C19" i="35"/>
  <c r="C23" i="35"/>
  <c r="C28" i="35"/>
  <c r="C13" i="35"/>
  <c r="E51" i="35"/>
  <c r="D73" i="36" l="1"/>
  <c r="H49" i="36" s="1"/>
  <c r="H50" i="36" s="1"/>
  <c r="H52" i="36" s="1"/>
  <c r="H54" i="36" s="1"/>
  <c r="D73" i="43"/>
  <c r="D74" i="43" s="1"/>
  <c r="D73" i="44"/>
  <c r="D74" i="44" s="1"/>
  <c r="G70" i="44"/>
  <c r="L70" i="44" s="1"/>
  <c r="F73" i="44"/>
  <c r="L73" i="44" s="1"/>
  <c r="H49" i="43"/>
  <c r="H50" i="43" s="1"/>
  <c r="H52" i="43" s="1"/>
  <c r="H54" i="43" s="1"/>
  <c r="G70" i="39"/>
  <c r="L70" i="39" s="1"/>
  <c r="E52" i="39"/>
  <c r="L71" i="43"/>
  <c r="E52" i="43"/>
  <c r="G70" i="43"/>
  <c r="L70" i="43" s="1"/>
  <c r="D73" i="42"/>
  <c r="D74" i="42" s="1"/>
  <c r="F73" i="42"/>
  <c r="L73" i="42" s="1"/>
  <c r="G70" i="42"/>
  <c r="L70" i="42" s="1"/>
  <c r="D73" i="41"/>
  <c r="H49" i="41" s="1"/>
  <c r="H50" i="41" s="1"/>
  <c r="H52" i="41" s="1"/>
  <c r="H54" i="41" s="1"/>
  <c r="F73" i="41"/>
  <c r="L73" i="41" s="1"/>
  <c r="L71" i="41"/>
  <c r="G70" i="41"/>
  <c r="L70" i="41" s="1"/>
  <c r="D73" i="40"/>
  <c r="G70" i="40"/>
  <c r="L70" i="40" s="1"/>
  <c r="E52" i="40"/>
  <c r="F73" i="40"/>
  <c r="L73" i="40" s="1"/>
  <c r="E52" i="37"/>
  <c r="D73" i="37"/>
  <c r="D74" i="37" s="1"/>
  <c r="L70" i="37"/>
  <c r="F73" i="37"/>
  <c r="L73" i="37" s="1"/>
  <c r="L71" i="37"/>
  <c r="F73" i="36"/>
  <c r="L73" i="36" s="1"/>
  <c r="D74" i="36"/>
  <c r="L71" i="36"/>
  <c r="D73" i="39"/>
  <c r="H49" i="39" s="1"/>
  <c r="F73" i="39"/>
  <c r="L73" i="39" s="1"/>
  <c r="F73" i="38"/>
  <c r="L73" i="38" s="1"/>
  <c r="G70" i="38"/>
  <c r="L70" i="38" s="1"/>
  <c r="H49" i="38"/>
  <c r="H50" i="38" s="1"/>
  <c r="H52" i="38" s="1"/>
  <c r="H54" i="38" s="1"/>
  <c r="D74" i="38"/>
  <c r="F73" i="35"/>
  <c r="L73" i="35" s="1"/>
  <c r="D73" i="35"/>
  <c r="D74" i="35" s="1"/>
  <c r="G70" i="35"/>
  <c r="L70" i="35" s="1"/>
  <c r="L73" i="43"/>
  <c r="H50" i="46"/>
  <c r="H52" i="46" s="1"/>
  <c r="H54" i="46" s="1"/>
  <c r="H49" i="42" l="1"/>
  <c r="H50" i="42" s="1"/>
  <c r="H52" i="42" s="1"/>
  <c r="H54" i="42" s="1"/>
  <c r="H49" i="44"/>
  <c r="H50" i="44" s="1"/>
  <c r="H52" i="44" s="1"/>
  <c r="H54" i="44" s="1"/>
  <c r="H50" i="39"/>
  <c r="H52" i="39" s="1"/>
  <c r="H54" i="39" s="1"/>
  <c r="D74" i="41"/>
  <c r="H49" i="40"/>
  <c r="H50" i="40" s="1"/>
  <c r="H52" i="40" s="1"/>
  <c r="H54" i="40" s="1"/>
  <c r="D74" i="40"/>
  <c r="H49" i="37"/>
  <c r="H50" i="37" s="1"/>
  <c r="D74" i="39"/>
  <c r="H49" i="35"/>
  <c r="H50" i="35" s="1"/>
  <c r="H52" i="35" s="1"/>
  <c r="H54" i="35" s="1"/>
  <c r="H57" i="35" s="1"/>
  <c r="H52" i="37" l="1"/>
  <c r="H54" i="37" s="1"/>
  <c r="P6" i="34"/>
  <c r="G6" i="34"/>
  <c r="C6" i="34" s="1"/>
  <c r="E6" i="34"/>
  <c r="D6" i="34"/>
  <c r="C6" i="48" s="1"/>
  <c r="B6" i="34"/>
  <c r="P6" i="20"/>
  <c r="G6" i="20"/>
  <c r="E6" i="20"/>
  <c r="D6" i="48" s="1"/>
  <c r="D6" i="20"/>
  <c r="B6" i="20"/>
  <c r="I6" i="48" l="1"/>
  <c r="C6" i="20"/>
  <c r="E6" i="48"/>
  <c r="G10" i="20"/>
  <c r="G10" i="34"/>
  <c r="E10" i="48" s="1"/>
  <c r="G12" i="34"/>
  <c r="E12" i="48" s="1"/>
  <c r="G13" i="34"/>
  <c r="E13" i="48" s="1"/>
  <c r="G14" i="34"/>
  <c r="E14" i="48" s="1"/>
  <c r="G15" i="34"/>
  <c r="E15" i="48" s="1"/>
  <c r="G16" i="34"/>
  <c r="E16" i="48" s="1"/>
  <c r="G19" i="34"/>
  <c r="E19" i="48" s="1"/>
  <c r="G20" i="34"/>
  <c r="E20" i="48" s="1"/>
  <c r="G21" i="34"/>
  <c r="G22" i="34"/>
  <c r="G23" i="34"/>
  <c r="E23" i="48" s="1"/>
  <c r="G24" i="34"/>
  <c r="E24" i="48" s="1"/>
  <c r="G27" i="34"/>
  <c r="E27" i="48" s="1"/>
  <c r="G28" i="34"/>
  <c r="E28" i="48" s="1"/>
  <c r="G29" i="34"/>
  <c r="G30" i="34"/>
  <c r="E30" i="48" s="1"/>
  <c r="G31" i="34"/>
  <c r="E31" i="48" s="1"/>
  <c r="G33" i="34"/>
  <c r="G34" i="34"/>
  <c r="G35" i="34"/>
  <c r="E35" i="48" s="1"/>
  <c r="G36" i="34"/>
  <c r="E36" i="48" s="1"/>
  <c r="G37" i="34"/>
  <c r="G38" i="34"/>
  <c r="G39" i="34"/>
  <c r="E39" i="48" s="1"/>
  <c r="I71" i="34"/>
  <c r="H71" i="34"/>
  <c r="J70" i="34"/>
  <c r="I70" i="34"/>
  <c r="H70" i="34"/>
  <c r="E55" i="34"/>
  <c r="P39" i="34"/>
  <c r="I39" i="48" s="1"/>
  <c r="E39" i="34"/>
  <c r="D39" i="48" s="1"/>
  <c r="D39" i="34"/>
  <c r="B39" i="34"/>
  <c r="P38" i="34"/>
  <c r="I38" i="48" s="1"/>
  <c r="E38" i="34"/>
  <c r="D38" i="48" s="1"/>
  <c r="D38" i="34"/>
  <c r="C38" i="48" s="1"/>
  <c r="B38" i="34"/>
  <c r="P37" i="34"/>
  <c r="E37" i="34"/>
  <c r="D37" i="34"/>
  <c r="C37" i="48" s="1"/>
  <c r="B37" i="34"/>
  <c r="P36" i="34"/>
  <c r="I36" i="48" s="1"/>
  <c r="E36" i="34"/>
  <c r="D36" i="48" s="1"/>
  <c r="D36" i="34"/>
  <c r="C36" i="48" s="1"/>
  <c r="B36" i="34"/>
  <c r="P35" i="34"/>
  <c r="I35" i="48" s="1"/>
  <c r="E35" i="34"/>
  <c r="D35" i="48" s="1"/>
  <c r="D35" i="34"/>
  <c r="C35" i="48" s="1"/>
  <c r="B35" i="34"/>
  <c r="P34" i="34"/>
  <c r="I34" i="48" s="1"/>
  <c r="E34" i="34"/>
  <c r="D34" i="48" s="1"/>
  <c r="D34" i="34"/>
  <c r="C34" i="48" s="1"/>
  <c r="B34" i="34"/>
  <c r="P33" i="34"/>
  <c r="I33" i="48" s="1"/>
  <c r="E33" i="34"/>
  <c r="D33" i="48" s="1"/>
  <c r="D33" i="34"/>
  <c r="C33" i="48" s="1"/>
  <c r="B33" i="34"/>
  <c r="P32" i="34"/>
  <c r="I32" i="48" s="1"/>
  <c r="E32" i="34"/>
  <c r="D32" i="48" s="1"/>
  <c r="D32" i="34"/>
  <c r="C32" i="48" s="1"/>
  <c r="B32" i="34"/>
  <c r="P31" i="34"/>
  <c r="I31" i="48" s="1"/>
  <c r="E31" i="34"/>
  <c r="D31" i="48" s="1"/>
  <c r="D31" i="34"/>
  <c r="B31" i="34"/>
  <c r="P30" i="34"/>
  <c r="I30" i="48" s="1"/>
  <c r="E30" i="34"/>
  <c r="D30" i="48" s="1"/>
  <c r="D30" i="34"/>
  <c r="C30" i="48" s="1"/>
  <c r="B30" i="34"/>
  <c r="P29" i="34"/>
  <c r="I29" i="48" s="1"/>
  <c r="E29" i="34"/>
  <c r="D29" i="48" s="1"/>
  <c r="D29" i="34"/>
  <c r="C29" i="48" s="1"/>
  <c r="B29" i="34"/>
  <c r="P28" i="34"/>
  <c r="I28" i="48" s="1"/>
  <c r="E28" i="34"/>
  <c r="D28" i="48" s="1"/>
  <c r="D28" i="34"/>
  <c r="C28" i="48" s="1"/>
  <c r="B28" i="34"/>
  <c r="P27" i="34"/>
  <c r="I27" i="48" s="1"/>
  <c r="E27" i="34"/>
  <c r="D27" i="48" s="1"/>
  <c r="D27" i="34"/>
  <c r="C27" i="48" s="1"/>
  <c r="B27" i="34"/>
  <c r="P26" i="34"/>
  <c r="I26" i="48" s="1"/>
  <c r="E26" i="34"/>
  <c r="D26" i="48" s="1"/>
  <c r="D26" i="34"/>
  <c r="C26" i="48" s="1"/>
  <c r="B26" i="34"/>
  <c r="P25" i="34"/>
  <c r="I25" i="48" s="1"/>
  <c r="C25" i="34"/>
  <c r="E25" i="34"/>
  <c r="D25" i="48" s="1"/>
  <c r="D25" i="34"/>
  <c r="C25" i="48" s="1"/>
  <c r="B25" i="34"/>
  <c r="P24" i="34"/>
  <c r="I24" i="48" s="1"/>
  <c r="E24" i="34"/>
  <c r="D24" i="48" s="1"/>
  <c r="D24" i="34"/>
  <c r="C24" i="48" s="1"/>
  <c r="B24" i="34"/>
  <c r="P23" i="34"/>
  <c r="I23" i="48" s="1"/>
  <c r="E23" i="34"/>
  <c r="D23" i="48" s="1"/>
  <c r="D23" i="34"/>
  <c r="B23" i="34"/>
  <c r="P22" i="34"/>
  <c r="I22" i="48" s="1"/>
  <c r="E22" i="34"/>
  <c r="D22" i="48" s="1"/>
  <c r="D22" i="34"/>
  <c r="C22" i="48" s="1"/>
  <c r="B22" i="34"/>
  <c r="P21" i="34"/>
  <c r="I21" i="48" s="1"/>
  <c r="E21" i="34"/>
  <c r="D21" i="48" s="1"/>
  <c r="D21" i="34"/>
  <c r="C21" i="48" s="1"/>
  <c r="B21" i="34"/>
  <c r="P20" i="34"/>
  <c r="I20" i="48" s="1"/>
  <c r="E20" i="34"/>
  <c r="D20" i="48" s="1"/>
  <c r="D46" i="48" s="1"/>
  <c r="D20" i="34"/>
  <c r="C20" i="48" s="1"/>
  <c r="B20" i="34"/>
  <c r="P19" i="34"/>
  <c r="I19" i="48" s="1"/>
  <c r="C19" i="34"/>
  <c r="E19" i="34"/>
  <c r="D19" i="48" s="1"/>
  <c r="D19" i="34"/>
  <c r="C19" i="48" s="1"/>
  <c r="B19" i="34"/>
  <c r="P18" i="34"/>
  <c r="I18" i="48" s="1"/>
  <c r="E18" i="34"/>
  <c r="D18" i="48" s="1"/>
  <c r="D18" i="34"/>
  <c r="C18" i="48" s="1"/>
  <c r="B18" i="34"/>
  <c r="P17" i="34"/>
  <c r="I17" i="48" s="1"/>
  <c r="E17" i="34"/>
  <c r="D17" i="48" s="1"/>
  <c r="D17" i="34"/>
  <c r="C17" i="48" s="1"/>
  <c r="B17" i="34"/>
  <c r="P16" i="34"/>
  <c r="I16" i="48" s="1"/>
  <c r="E16" i="34"/>
  <c r="D16" i="48" s="1"/>
  <c r="D16" i="34"/>
  <c r="C16" i="48" s="1"/>
  <c r="B16" i="34"/>
  <c r="P15" i="34"/>
  <c r="I15" i="48" s="1"/>
  <c r="E15" i="34"/>
  <c r="D15" i="48" s="1"/>
  <c r="D15" i="34"/>
  <c r="C15" i="48" s="1"/>
  <c r="B15" i="34"/>
  <c r="P14" i="34"/>
  <c r="I14" i="48" s="1"/>
  <c r="E14" i="34"/>
  <c r="D14" i="48" s="1"/>
  <c r="D14" i="34"/>
  <c r="C14" i="48" s="1"/>
  <c r="B14" i="34"/>
  <c r="P13" i="34"/>
  <c r="I13" i="48" s="1"/>
  <c r="E13" i="34"/>
  <c r="D13" i="48" s="1"/>
  <c r="D13" i="34"/>
  <c r="C13" i="48" s="1"/>
  <c r="B13" i="34"/>
  <c r="P12" i="34"/>
  <c r="I12" i="48" s="1"/>
  <c r="C12" i="34"/>
  <c r="E12" i="34"/>
  <c r="D12" i="48" s="1"/>
  <c r="D12" i="34"/>
  <c r="C12" i="48" s="1"/>
  <c r="B12" i="34"/>
  <c r="P11" i="34"/>
  <c r="I11" i="48" s="1"/>
  <c r="E11" i="34"/>
  <c r="D11" i="48" s="1"/>
  <c r="D11" i="34"/>
  <c r="C11" i="48" s="1"/>
  <c r="B11" i="34"/>
  <c r="P10" i="34"/>
  <c r="I10" i="48" s="1"/>
  <c r="E10" i="34"/>
  <c r="D10" i="48" s="1"/>
  <c r="D10" i="34"/>
  <c r="C10" i="48" s="1"/>
  <c r="B10" i="34"/>
  <c r="P8" i="34"/>
  <c r="I8" i="48" s="1"/>
  <c r="E8" i="34"/>
  <c r="D8" i="48" s="1"/>
  <c r="D8" i="34"/>
  <c r="C8" i="48" s="1"/>
  <c r="B8" i="34"/>
  <c r="P7" i="34"/>
  <c r="I7" i="48" s="1"/>
  <c r="E7" i="34"/>
  <c r="D7" i="48" s="1"/>
  <c r="D7" i="34"/>
  <c r="C7" i="48" s="1"/>
  <c r="B7" i="34"/>
  <c r="I73" i="34" l="1"/>
  <c r="J71" i="34"/>
  <c r="C22" i="34"/>
  <c r="E22" i="48"/>
  <c r="C18" i="34"/>
  <c r="C31" i="34"/>
  <c r="C31" i="48"/>
  <c r="C26" i="34"/>
  <c r="C21" i="34"/>
  <c r="E21" i="48"/>
  <c r="C13" i="34"/>
  <c r="C27" i="34"/>
  <c r="C39" i="34"/>
  <c r="C39" i="48"/>
  <c r="C38" i="34"/>
  <c r="E38" i="48"/>
  <c r="C34" i="34"/>
  <c r="E34" i="48"/>
  <c r="C29" i="34"/>
  <c r="E29" i="48"/>
  <c r="C17" i="34"/>
  <c r="C23" i="34"/>
  <c r="C23" i="48"/>
  <c r="C35" i="34"/>
  <c r="C37" i="34"/>
  <c r="C33" i="34"/>
  <c r="E33" i="48"/>
  <c r="C8" i="34"/>
  <c r="H73" i="34"/>
  <c r="C30" i="34"/>
  <c r="E52" i="34"/>
  <c r="C14" i="34"/>
  <c r="F70" i="34"/>
  <c r="C36" i="34"/>
  <c r="C32" i="34"/>
  <c r="C28" i="34"/>
  <c r="C24" i="34"/>
  <c r="C20" i="34"/>
  <c r="C16" i="34"/>
  <c r="D73" i="34"/>
  <c r="C11" i="34"/>
  <c r="E51" i="34"/>
  <c r="E76" i="34"/>
  <c r="F71" i="34"/>
  <c r="C7" i="34"/>
  <c r="C10" i="34"/>
  <c r="L71" i="34" l="1"/>
  <c r="H49" i="34"/>
  <c r="H50" i="34" s="1"/>
  <c r="H52" i="34" s="1"/>
  <c r="H54" i="34" s="1"/>
  <c r="G70" i="34"/>
  <c r="L70" i="34" s="1"/>
  <c r="D74" i="34"/>
  <c r="F73" i="34"/>
  <c r="L73" i="34" s="1"/>
  <c r="H14" i="20"/>
  <c r="E7" i="20"/>
  <c r="E8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E22" i="20"/>
  <c r="E23" i="20"/>
  <c r="E24" i="20"/>
  <c r="E25" i="20"/>
  <c r="E26" i="20"/>
  <c r="E27" i="20"/>
  <c r="E28" i="20"/>
  <c r="E29" i="20"/>
  <c r="E30" i="20"/>
  <c r="E31" i="20"/>
  <c r="E32" i="20"/>
  <c r="E33" i="20"/>
  <c r="E34" i="20"/>
  <c r="E35" i="20"/>
  <c r="E36" i="20"/>
  <c r="E37" i="20"/>
  <c r="E38" i="20"/>
  <c r="E39" i="20"/>
  <c r="G17" i="20" l="1"/>
  <c r="G26" i="20"/>
  <c r="G25" i="20" l="1"/>
  <c r="G32" i="20"/>
  <c r="G16" i="20"/>
  <c r="B7" i="20"/>
  <c r="B8" i="20"/>
  <c r="B10" i="20"/>
  <c r="B11" i="20"/>
  <c r="B12" i="20"/>
  <c r="B13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6" i="20"/>
  <c r="B27" i="20"/>
  <c r="B28" i="20"/>
  <c r="B29" i="20"/>
  <c r="B30" i="20"/>
  <c r="B31" i="20"/>
  <c r="B32" i="20"/>
  <c r="B33" i="20"/>
  <c r="B34" i="20"/>
  <c r="B35" i="20"/>
  <c r="B36" i="20"/>
  <c r="B37" i="20"/>
  <c r="B38" i="20"/>
  <c r="B39" i="20"/>
  <c r="D7" i="20" l="1"/>
  <c r="D8" i="20"/>
  <c r="D10" i="20"/>
  <c r="D11" i="20"/>
  <c r="D12" i="20"/>
  <c r="D13" i="20"/>
  <c r="D14" i="20"/>
  <c r="D15" i="20"/>
  <c r="D16" i="20"/>
  <c r="D17" i="20"/>
  <c r="D18" i="20"/>
  <c r="D19" i="20"/>
  <c r="D20" i="20"/>
  <c r="D21" i="20"/>
  <c r="D22" i="20"/>
  <c r="D23" i="20"/>
  <c r="D24" i="20"/>
  <c r="D25" i="20"/>
  <c r="D26" i="20"/>
  <c r="D27" i="20"/>
  <c r="D28" i="20"/>
  <c r="D29" i="20"/>
  <c r="D30" i="20"/>
  <c r="D31" i="20"/>
  <c r="D32" i="20"/>
  <c r="D33" i="20"/>
  <c r="D34" i="20"/>
  <c r="D35" i="20"/>
  <c r="D36" i="20"/>
  <c r="D37" i="20"/>
  <c r="D38" i="20"/>
  <c r="D39" i="20"/>
  <c r="G7" i="20"/>
  <c r="G8" i="20"/>
  <c r="G11" i="20"/>
  <c r="G12" i="20"/>
  <c r="G13" i="20"/>
  <c r="G14" i="20"/>
  <c r="G15" i="20"/>
  <c r="G18" i="20"/>
  <c r="G19" i="20"/>
  <c r="G20" i="20"/>
  <c r="G21" i="20"/>
  <c r="G22" i="20"/>
  <c r="G23" i="20"/>
  <c r="G24" i="20"/>
  <c r="G27" i="20"/>
  <c r="G28" i="20"/>
  <c r="G29" i="20"/>
  <c r="G30" i="20"/>
  <c r="G31" i="20"/>
  <c r="G33" i="20"/>
  <c r="G34" i="20"/>
  <c r="G35" i="20"/>
  <c r="G36" i="20"/>
  <c r="G37" i="20"/>
  <c r="G38" i="20"/>
  <c r="G39" i="20"/>
  <c r="H71" i="20" l="1"/>
  <c r="H70" i="20"/>
  <c r="C8" i="20"/>
  <c r="C11" i="20"/>
  <c r="C13" i="20"/>
  <c r="C15" i="20"/>
  <c r="C16" i="20"/>
  <c r="C17" i="20"/>
  <c r="C20" i="20"/>
  <c r="C24" i="20"/>
  <c r="C25" i="20"/>
  <c r="C26" i="20"/>
  <c r="C31" i="20"/>
  <c r="C35" i="20"/>
  <c r="C39" i="20"/>
  <c r="I71" i="20"/>
  <c r="F71" i="20"/>
  <c r="J70" i="20"/>
  <c r="I70" i="20"/>
  <c r="F70" i="20"/>
  <c r="E56" i="20"/>
  <c r="E54" i="20"/>
  <c r="E53" i="20"/>
  <c r="P39" i="20"/>
  <c r="P38" i="20"/>
  <c r="C38" i="20"/>
  <c r="P37" i="20"/>
  <c r="C37" i="20"/>
  <c r="P36" i="20"/>
  <c r="C36" i="20"/>
  <c r="P35" i="20"/>
  <c r="P34" i="20"/>
  <c r="C34" i="20"/>
  <c r="P33" i="20"/>
  <c r="C33" i="20"/>
  <c r="P32" i="20"/>
  <c r="C32" i="20"/>
  <c r="P31" i="20"/>
  <c r="P30" i="20"/>
  <c r="C30" i="20"/>
  <c r="P29" i="20"/>
  <c r="C29" i="20"/>
  <c r="P28" i="20"/>
  <c r="C28" i="20"/>
  <c r="P27" i="20"/>
  <c r="C27" i="20"/>
  <c r="P26" i="20"/>
  <c r="P25" i="20"/>
  <c r="P24" i="20"/>
  <c r="P23" i="20"/>
  <c r="C23" i="20"/>
  <c r="P22" i="20"/>
  <c r="C22" i="20"/>
  <c r="P21" i="20"/>
  <c r="C21" i="20"/>
  <c r="P20" i="20"/>
  <c r="P19" i="20"/>
  <c r="C19" i="20"/>
  <c r="P18" i="20"/>
  <c r="C18" i="20"/>
  <c r="P17" i="20"/>
  <c r="P16" i="20"/>
  <c r="P15" i="20"/>
  <c r="P14" i="20"/>
  <c r="C14" i="20"/>
  <c r="P13" i="20"/>
  <c r="P12" i="20"/>
  <c r="C12" i="20"/>
  <c r="P11" i="20"/>
  <c r="P10" i="20"/>
  <c r="C10" i="20"/>
  <c r="P8" i="20"/>
  <c r="P7" i="20"/>
  <c r="J71" i="20" l="1"/>
  <c r="L71" i="20" s="1"/>
  <c r="I73" i="20"/>
  <c r="H73" i="20"/>
  <c r="E55" i="20"/>
  <c r="F73" i="20"/>
  <c r="D70" i="20"/>
  <c r="C7" i="20"/>
  <c r="D71" i="20"/>
  <c r="E52" i="20" l="1"/>
  <c r="E51" i="20"/>
  <c r="E76" i="20"/>
  <c r="L73" i="20"/>
  <c r="G70" i="20"/>
  <c r="L70" i="20" s="1"/>
  <c r="D73" i="20"/>
  <c r="H49" i="20" l="1"/>
  <c r="H50" i="20" s="1"/>
  <c r="H52" i="20" s="1"/>
  <c r="D74" i="20"/>
  <c r="H54" i="20" l="1"/>
  <c r="E63" i="35" l="1"/>
  <c r="E62" i="20" l="1"/>
  <c r="E64" i="36" l="1"/>
  <c r="E57" i="46"/>
  <c r="E57" i="45"/>
  <c r="E65" i="42"/>
  <c r="E57" i="42"/>
  <c r="E65" i="41"/>
  <c r="E57" i="41"/>
  <c r="E65" i="40"/>
  <c r="E57" i="40"/>
  <c r="E65" i="39"/>
  <c r="E57" i="39"/>
  <c r="E65" i="38"/>
  <c r="E57" i="38"/>
  <c r="E65" i="37"/>
  <c r="E57" i="37"/>
  <c r="E65" i="36"/>
  <c r="E57" i="36"/>
  <c r="E62" i="42" l="1"/>
  <c r="E62" i="41"/>
  <c r="E62" i="40"/>
  <c r="E62" i="39"/>
  <c r="E62" i="38"/>
  <c r="E62" i="37"/>
  <c r="E62" i="36"/>
  <c r="E64" i="42"/>
  <c r="E64" i="41"/>
  <c r="E64" i="39"/>
  <c r="E64" i="40"/>
  <c r="E64" i="38"/>
  <c r="E64" i="37"/>
  <c r="E65" i="35" l="1"/>
  <c r="E57" i="35"/>
  <c r="E64" i="35"/>
  <c r="E62" i="35" l="1"/>
  <c r="E65" i="34" l="1"/>
  <c r="E57" i="34"/>
  <c r="E62" i="34" l="1"/>
  <c r="E64" i="34"/>
  <c r="E57" i="20" l="1"/>
  <c r="E59" i="45" l="1"/>
  <c r="E60" i="45"/>
  <c r="E59" i="39"/>
  <c r="E60" i="46"/>
  <c r="E60" i="39"/>
  <c r="E61" i="39"/>
  <c r="E61" i="36"/>
  <c r="E61" i="46"/>
  <c r="E59" i="36"/>
  <c r="E61" i="45"/>
  <c r="E60" i="36"/>
  <c r="E59" i="46"/>
  <c r="E58" i="46" l="1"/>
  <c r="E58" i="39"/>
  <c r="E58" i="45"/>
  <c r="E58" i="36"/>
  <c r="E59" i="35" l="1"/>
  <c r="E61" i="35"/>
  <c r="E60" i="35"/>
  <c r="E58" i="35" l="1"/>
  <c r="E60" i="20" l="1"/>
  <c r="E61" i="20"/>
  <c r="E59" i="20"/>
  <c r="E58" i="20" l="1"/>
  <c r="E60" i="34" l="1"/>
  <c r="E59" i="34"/>
  <c r="E61" i="34"/>
  <c r="E58" i="34" l="1"/>
  <c r="E60" i="41" l="1"/>
  <c r="E61" i="41"/>
  <c r="E59" i="41"/>
  <c r="E58" i="41" l="1"/>
  <c r="E61" i="38" l="1"/>
  <c r="E60" i="40"/>
  <c r="E60" i="38"/>
  <c r="E61" i="40"/>
  <c r="E59" i="40"/>
  <c r="E59" i="38"/>
  <c r="E58" i="40" l="1"/>
  <c r="E58" i="38"/>
  <c r="E58" i="37" l="1"/>
  <c r="E60" i="44"/>
  <c r="E61" i="37"/>
  <c r="E60" i="37"/>
  <c r="E61" i="43"/>
  <c r="E59" i="37"/>
  <c r="E61" i="44"/>
  <c r="E61" i="42" l="1"/>
  <c r="E60" i="42"/>
  <c r="E60" i="43"/>
  <c r="E58" i="43"/>
  <c r="E59" i="43"/>
  <c r="E58" i="44"/>
  <c r="E59" i="42"/>
  <c r="E59" i="44"/>
  <c r="E58" i="42" l="1"/>
</calcChain>
</file>

<file path=xl/comments1.xml><?xml version="1.0" encoding="utf-8"?>
<comments xmlns="http://schemas.openxmlformats.org/spreadsheetml/2006/main">
  <authors>
    <author>DJUOMBESSY</author>
  </authors>
  <commentList>
    <comment ref="H54" authorId="0" shapeId="0">
      <text>
        <r>
          <rPr>
            <b/>
            <sz val="9"/>
            <color indexed="81"/>
            <rFont val="Tahoma"/>
            <charset val="1"/>
          </rPr>
          <t>DJUOMBESSY:</t>
        </r>
        <r>
          <rPr>
            <sz val="9"/>
            <color indexed="81"/>
            <rFont val="Tahoma"/>
            <charset val="1"/>
          </rPr>
          <t xml:space="preserve">
ECHEC FOTSO THOMAS
51 500
PENALITE 3 000</t>
        </r>
      </text>
    </comment>
  </commentList>
</comments>
</file>

<file path=xl/sharedStrings.xml><?xml version="1.0" encoding="utf-8"?>
<sst xmlns="http://schemas.openxmlformats.org/spreadsheetml/2006/main" count="1914" uniqueCount="97">
  <si>
    <t>ASSOCIATION</t>
  </si>
  <si>
    <t>ASELBY</t>
  </si>
  <si>
    <t>ANNEE</t>
  </si>
  <si>
    <t xml:space="preserve">TONTINE </t>
  </si>
  <si>
    <t>MATRICULE</t>
  </si>
  <si>
    <t>NOM ET PRENOM</t>
  </si>
  <si>
    <t>MONTANT TONTINE</t>
  </si>
  <si>
    <t>MODE VERSEMENT</t>
  </si>
  <si>
    <t>MONTANT VERSE</t>
  </si>
  <si>
    <t>ECHEC</t>
  </si>
  <si>
    <t>AS201602</t>
  </si>
  <si>
    <t>AS201604</t>
  </si>
  <si>
    <t>AS201605</t>
  </si>
  <si>
    <t>AS201608</t>
  </si>
  <si>
    <t>AS201609</t>
  </si>
  <si>
    <t>AS201610</t>
  </si>
  <si>
    <t>AS201611</t>
  </si>
  <si>
    <t>AS201613</t>
  </si>
  <si>
    <t>AS201614</t>
  </si>
  <si>
    <t>AS201615</t>
  </si>
  <si>
    <t>AS201617</t>
  </si>
  <si>
    <t>AS201618</t>
  </si>
  <si>
    <t>AS201619</t>
  </si>
  <si>
    <t>AS201620</t>
  </si>
  <si>
    <t>AS201621</t>
  </si>
  <si>
    <t>AS201622</t>
  </si>
  <si>
    <t>AS201624</t>
  </si>
  <si>
    <t>AS201626</t>
  </si>
  <si>
    <t>AS201628</t>
  </si>
  <si>
    <t>AS201629</t>
  </si>
  <si>
    <t>AS201633</t>
  </si>
  <si>
    <t>AS201636</t>
  </si>
  <si>
    <t>AS201637</t>
  </si>
  <si>
    <t>AS201638</t>
  </si>
  <si>
    <t>AS201639</t>
  </si>
  <si>
    <t>AS201641</t>
  </si>
  <si>
    <t>AS201644</t>
  </si>
  <si>
    <t>AS201646</t>
  </si>
  <si>
    <t>AS201647</t>
  </si>
  <si>
    <t>TOTAL</t>
  </si>
  <si>
    <t>RESTE</t>
  </si>
  <si>
    <t>EPARGNE</t>
  </si>
  <si>
    <t>FONDS DE ROULEMENT</t>
  </si>
  <si>
    <t>FRAIS EXCEPTIONNELS</t>
  </si>
  <si>
    <t>COLLATION</t>
  </si>
  <si>
    <t>ESPECES</t>
  </si>
  <si>
    <t>BANQUE</t>
  </si>
  <si>
    <t>TONTINE</t>
  </si>
  <si>
    <t>PRÊT FONDS</t>
  </si>
  <si>
    <t>INTERET FONDS</t>
  </si>
  <si>
    <t>REMBOURSEMENT PRÊT FONDS</t>
  </si>
  <si>
    <t>SANCTION</t>
  </si>
  <si>
    <t>MUTUELLE</t>
  </si>
  <si>
    <t>PENALITE FONDS</t>
  </si>
  <si>
    <t>MODE VERSEMENT REMBOURSEMENT</t>
  </si>
  <si>
    <t>REMBOURSEMENT PETIT LOT</t>
  </si>
  <si>
    <t>MONTANT TONTINE LOT PRINCIPAL</t>
  </si>
  <si>
    <t>INTERET PETIT LOT</t>
  </si>
  <si>
    <t>MODE VERSEMENTLOT PRINCIPAL</t>
  </si>
  <si>
    <t>INTERET LOT PRINCIPAL</t>
  </si>
  <si>
    <t>VENTE PETIT LOT</t>
  </si>
  <si>
    <t>MODE VERSEMENT VENTE PETIT LOT</t>
  </si>
  <si>
    <t>VENTE LOT PRINCIPAL</t>
  </si>
  <si>
    <t>SOLDE EN CAISSE</t>
  </si>
  <si>
    <t>MONTANT PETIT LOT A VENDRE</t>
  </si>
  <si>
    <t>PENALITE VERSEMENT ESPECES</t>
  </si>
  <si>
    <t>REMBOURSEMENT VENTE PETIT  LOT</t>
  </si>
  <si>
    <t>INTERET VENTE LOT PRINCIPAL</t>
  </si>
  <si>
    <t>PENALITE VST ESPECES</t>
  </si>
  <si>
    <t>AS201648</t>
  </si>
  <si>
    <t>AS201649</t>
  </si>
  <si>
    <t>AS201651</t>
  </si>
  <si>
    <t>AS201653</t>
  </si>
  <si>
    <t>MONTANT  VERSE</t>
  </si>
  <si>
    <t>PETIT LOT</t>
  </si>
  <si>
    <t>TONTINE + REMB + INTERET VENTE</t>
  </si>
  <si>
    <t>VENDUE</t>
  </si>
  <si>
    <t>NUMERO CHEQUE</t>
  </si>
  <si>
    <t>RELIQUAT</t>
  </si>
  <si>
    <t>INTERET VENTE PETIT LOT</t>
  </si>
  <si>
    <t>2019/2020</t>
  </si>
  <si>
    <t>DEPOT</t>
  </si>
  <si>
    <t>TOTAL+DEPOT</t>
  </si>
  <si>
    <t>AS201654</t>
  </si>
  <si>
    <t>DATE ACHAT</t>
  </si>
  <si>
    <t>RAPPEL DECEMBRE 20119</t>
  </si>
  <si>
    <t>RECAPITULATIF  2020</t>
  </si>
  <si>
    <t>PENALITE PRET FONDS</t>
  </si>
  <si>
    <t>RELIQUAT ANTERIEUR</t>
  </si>
  <si>
    <t>E CHEC</t>
  </si>
  <si>
    <t>A REPORTER</t>
  </si>
  <si>
    <t>TCHEMHOU EMMANUEL</t>
  </si>
  <si>
    <t>AS201655</t>
  </si>
  <si>
    <t>BONUS</t>
  </si>
  <si>
    <t>CUMUL</t>
  </si>
  <si>
    <t>ECHEC TONTINE</t>
  </si>
  <si>
    <t>ECHEC REMBOURSEMENT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</si>
</sst>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C]d\-mmm\-yy;@"/>
    <numFmt numFmtId="165" formatCode="dd/mm/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11"/>
      <color theme="1"/>
      <name val="Castellar"/>
      <family val="1"/>
    </font>
    <font>
      <sz val="14"/>
      <color theme="1"/>
      <name val="Britannic Bold"/>
      <family val="2"/>
    </font>
    <font>
      <sz val="11"/>
      <color rgb="FFFF0000"/>
      <name val="Britannic Bold"/>
      <family val="2"/>
    </font>
    <font>
      <sz val="14"/>
      <color rgb="FFFF0000"/>
      <name val="Britannic Bold"/>
      <family val="2"/>
    </font>
    <font>
      <sz val="14"/>
      <color rgb="FF00B050"/>
      <name val="Britannic Bold"/>
      <family val="2"/>
    </font>
    <font>
      <b/>
      <sz val="2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0" xfId="0" applyAlignment="1">
      <alignment horizontal="center"/>
    </xf>
    <xf numFmtId="3" fontId="1" fillId="0" borderId="0" xfId="0" applyNumberFormat="1" applyFont="1" applyAlignment="1">
      <alignment wrapText="1"/>
    </xf>
    <xf numFmtId="0" fontId="1" fillId="0" borderId="0" xfId="0" applyFont="1" applyAlignment="1">
      <alignment horizontal="center"/>
    </xf>
    <xf numFmtId="3" fontId="1" fillId="0" borderId="0" xfId="0" applyNumberFormat="1" applyFont="1"/>
    <xf numFmtId="3" fontId="2" fillId="0" borderId="0" xfId="0" applyNumberFormat="1" applyFont="1"/>
    <xf numFmtId="3" fontId="3" fillId="0" borderId="0" xfId="0" applyNumberFormat="1" applyFont="1"/>
    <xf numFmtId="3" fontId="0" fillId="0" borderId="0" xfId="0" applyNumberFormat="1" applyAlignment="1">
      <alignment horizontal="center"/>
    </xf>
    <xf numFmtId="3" fontId="4" fillId="0" borderId="0" xfId="0" applyNumberFormat="1" applyFont="1" applyAlignment="1">
      <alignment wrapText="1"/>
    </xf>
    <xf numFmtId="3" fontId="5" fillId="0" borderId="0" xfId="0" applyNumberFormat="1" applyFont="1"/>
    <xf numFmtId="3" fontId="6" fillId="0" borderId="0" xfId="0" applyNumberFormat="1" applyFont="1"/>
    <xf numFmtId="17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wrapText="1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2" fillId="0" borderId="0" xfId="0" applyNumberFormat="1" applyFont="1"/>
    <xf numFmtId="0" fontId="8" fillId="0" borderId="0" xfId="0" applyFont="1" applyAlignment="1">
      <alignment horizontal="center"/>
    </xf>
    <xf numFmtId="164" fontId="3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7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BURAEUDPA\ASELBYTONTINE2017\ASELBYTONTINEBACKUP\TONTASELB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%20-%20BACKUP%202018/ASELBYTONTINE25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%20-%20BACKUP%202018/ASELBYTONTINE10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LISTEADHEREN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AUTREMOUVEM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AOUT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2018"/>
    </sheetNames>
    <sheetDataSet>
      <sheetData sheetId="0" refreshError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6">
          <cell r="C6">
            <v>70000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</sheetNames>
    <sheetDataSet>
      <sheetData sheetId="0" refreshError="1"/>
      <sheetData sheetId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 (2)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>
            <v>677841881</v>
          </cell>
          <cell r="F5">
            <v>677841881</v>
          </cell>
          <cell r="G5" t="str">
            <v>NKOLBISSON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>
            <v>677704694</v>
          </cell>
          <cell r="F6">
            <v>677704694</v>
          </cell>
          <cell r="G6" t="str">
            <v>EMANA</v>
          </cell>
          <cell r="H6" t="str">
            <v>EMANA</v>
          </cell>
        </row>
        <row r="7">
          <cell r="A7" t="str">
            <v>AS201603</v>
          </cell>
          <cell r="B7">
            <v>3</v>
          </cell>
          <cell r="C7" t="str">
            <v>CHINGUE FABRICE</v>
          </cell>
          <cell r="D7" t="str">
            <v>OPERATEUR ECONOMIQUE</v>
          </cell>
          <cell r="E7">
            <v>677881912</v>
          </cell>
          <cell r="F7">
            <v>677881912</v>
          </cell>
          <cell r="G7" t="str">
            <v>SANTA BARBARA</v>
          </cell>
          <cell r="H7" t="str">
            <v>SANTA BARBARA</v>
          </cell>
        </row>
        <row r="8">
          <cell r="A8" t="str">
            <v>AS201604</v>
          </cell>
          <cell r="B8">
            <v>4</v>
          </cell>
          <cell r="C8" t="str">
            <v xml:space="preserve">DJOMO JEAN PAUL </v>
          </cell>
          <cell r="D8" t="str">
            <v>ENTREPRENEUR DE BATIMENT</v>
          </cell>
          <cell r="E8">
            <v>677986676</v>
          </cell>
          <cell r="F8">
            <v>677986676</v>
          </cell>
          <cell r="G8" t="str">
            <v>RUE MANGUIERS</v>
          </cell>
          <cell r="H8" t="str">
            <v>RUE MANGUIERS</v>
          </cell>
        </row>
        <row r="9">
          <cell r="A9" t="str">
            <v>AS201605</v>
          </cell>
          <cell r="B9">
            <v>5</v>
          </cell>
          <cell r="C9" t="str">
            <v>DJOUKWE NANGUEN GUY BLAISE</v>
          </cell>
          <cell r="D9" t="str">
            <v>PROFESSEUR DES LYCEES TECHNIQUE</v>
          </cell>
          <cell r="E9">
            <v>675250451</v>
          </cell>
          <cell r="F9">
            <v>675250451</v>
          </cell>
          <cell r="G9" t="str">
            <v>RUE MANGUIERS</v>
          </cell>
          <cell r="H9" t="str">
            <v>RUE MANGUIERS</v>
          </cell>
        </row>
        <row r="10">
          <cell r="A10" t="str">
            <v>AS201606</v>
          </cell>
          <cell r="B10">
            <v>6</v>
          </cell>
          <cell r="C10" t="str">
            <v>DJOSSEU JOSUE</v>
          </cell>
          <cell r="D10" t="str">
            <v>PROFESSEUR DES LYCEES TECHNIQUE</v>
          </cell>
          <cell r="E10">
            <v>675250451</v>
          </cell>
          <cell r="F10">
            <v>675250451</v>
          </cell>
          <cell r="G10" t="str">
            <v>RUE MANGUIERS</v>
          </cell>
          <cell r="H10" t="str">
            <v>RUE MANGUIERS</v>
          </cell>
        </row>
        <row r="11">
          <cell r="A11" t="str">
            <v>AS201607</v>
          </cell>
          <cell r="B11">
            <v>7</v>
          </cell>
          <cell r="C11" t="str">
            <v>DJOUNKEP SAMUEL</v>
          </cell>
          <cell r="D11" t="str">
            <v>COMPTABLE RETRAITE</v>
          </cell>
          <cell r="E11">
            <v>697103557</v>
          </cell>
          <cell r="F11">
            <v>697103557</v>
          </cell>
          <cell r="G11" t="str">
            <v>BIYEM ASSI LYCEE</v>
          </cell>
          <cell r="H11" t="str">
            <v>BIYEM ASSI LYCEE</v>
          </cell>
        </row>
        <row r="12">
          <cell r="A12" t="str">
            <v>AS201608</v>
          </cell>
          <cell r="B12">
            <v>8</v>
          </cell>
          <cell r="C12" t="str">
            <v>DJUOMBESSY ANTOINE</v>
          </cell>
          <cell r="D12" t="str">
            <v>ANALYSTE CONCEPTEUR SI</v>
          </cell>
          <cell r="E12">
            <v>677501239</v>
          </cell>
          <cell r="F12">
            <v>677501239</v>
          </cell>
          <cell r="G12">
            <v>699324095</v>
          </cell>
          <cell r="H12" t="str">
            <v>MESSASSI</v>
          </cell>
        </row>
        <row r="13">
          <cell r="A13" t="str">
            <v>AS201609</v>
          </cell>
          <cell r="B13">
            <v>9</v>
          </cell>
          <cell r="C13" t="str">
            <v>DONHOU DAVID</v>
          </cell>
          <cell r="D13" t="str">
            <v>MAGISTRAT</v>
          </cell>
          <cell r="E13">
            <v>699908065</v>
          </cell>
          <cell r="F13">
            <v>699908065</v>
          </cell>
          <cell r="G13" t="str">
            <v>TONGOLO</v>
          </cell>
          <cell r="H13" t="str">
            <v>TONGOLO</v>
          </cell>
        </row>
        <row r="14">
          <cell r="A14" t="str">
            <v>AS201610</v>
          </cell>
          <cell r="B14">
            <v>10</v>
          </cell>
          <cell r="C14" t="str">
            <v>FOTSO THOMAS</v>
          </cell>
          <cell r="D14" t="str">
            <v>CADRE BANQUE</v>
          </cell>
          <cell r="E14">
            <v>677910278</v>
          </cell>
          <cell r="F14">
            <v>677910278</v>
          </cell>
          <cell r="G14" t="str">
            <v>OYOMABANG</v>
          </cell>
          <cell r="H14" t="str">
            <v>OYOMABANG</v>
          </cell>
        </row>
        <row r="15">
          <cell r="A15" t="str">
            <v>AS201611</v>
          </cell>
          <cell r="B15">
            <v>11</v>
          </cell>
          <cell r="C15" t="str">
            <v>HENGUE PAUL OMER</v>
          </cell>
          <cell r="D15" t="str">
            <v>SOCIOLOGUE</v>
          </cell>
          <cell r="E15">
            <v>694468080</v>
          </cell>
          <cell r="F15">
            <v>694468080</v>
          </cell>
          <cell r="G15" t="str">
            <v>MESSASSI</v>
          </cell>
          <cell r="H15" t="str">
            <v>MESSASSI</v>
          </cell>
        </row>
        <row r="16">
          <cell r="A16" t="str">
            <v>AS201612</v>
          </cell>
          <cell r="B16">
            <v>12</v>
          </cell>
          <cell r="C16" t="str">
            <v>HODIEP JULES</v>
          </cell>
          <cell r="D16" t="str">
            <v>CADRE CNPS</v>
          </cell>
          <cell r="E16">
            <v>675291170</v>
          </cell>
          <cell r="F16">
            <v>675291170</v>
          </cell>
          <cell r="G16" t="str">
            <v>NYOM 2</v>
          </cell>
          <cell r="H16" t="str">
            <v>NYOM 2</v>
          </cell>
        </row>
        <row r="17">
          <cell r="A17" t="str">
            <v>AS201613</v>
          </cell>
          <cell r="B17">
            <v>13</v>
          </cell>
          <cell r="C17" t="str">
            <v>HOTCHO BENJAMIN</v>
          </cell>
          <cell r="D17" t="str">
            <v>COMPTABLE</v>
          </cell>
          <cell r="E17">
            <v>699956355</v>
          </cell>
          <cell r="F17">
            <v>699956355</v>
          </cell>
          <cell r="G17" t="str">
            <v>DAMAS</v>
          </cell>
          <cell r="H17" t="str">
            <v>DAMAS</v>
          </cell>
        </row>
        <row r="18">
          <cell r="A18" t="str">
            <v>AS201614</v>
          </cell>
          <cell r="B18">
            <v>14</v>
          </cell>
          <cell r="C18" t="str">
            <v>NKEHE DAVID</v>
          </cell>
          <cell r="D18" t="str">
            <v>OPERATEUR ECONOMIQUE</v>
          </cell>
          <cell r="E18">
            <v>677053815</v>
          </cell>
          <cell r="F18">
            <v>677053815</v>
          </cell>
          <cell r="G18" t="str">
            <v>MESSASSI</v>
          </cell>
          <cell r="H18" t="str">
            <v>MESSASSI</v>
          </cell>
        </row>
        <row r="19">
          <cell r="A19" t="str">
            <v>AS201615</v>
          </cell>
          <cell r="B19">
            <v>15</v>
          </cell>
          <cell r="C19" t="str">
            <v>KEPSEU FRANCIS</v>
          </cell>
          <cell r="D19" t="str">
            <v>OFFICIER DE POLICE RETRAITE</v>
          </cell>
          <cell r="E19">
            <v>699528700</v>
          </cell>
          <cell r="F19">
            <v>699528700</v>
          </cell>
          <cell r="G19" t="str">
            <v>SIMBOCK</v>
          </cell>
          <cell r="H19" t="str">
            <v>SIMBOCK</v>
          </cell>
        </row>
        <row r="20">
          <cell r="A20" t="str">
            <v>AS201616</v>
          </cell>
          <cell r="B20">
            <v>16</v>
          </cell>
          <cell r="C20" t="str">
            <v>KOUAMOU EMMANUEL</v>
          </cell>
          <cell r="D20" t="str">
            <v>OPERATEUR ECONOMIQUE</v>
          </cell>
          <cell r="E20">
            <v>699335584</v>
          </cell>
          <cell r="F20">
            <v>699335584</v>
          </cell>
          <cell r="G20" t="str">
            <v>MONTEE JOUVENCE</v>
          </cell>
          <cell r="H20" t="str">
            <v>MONTEE JOUVENCE</v>
          </cell>
        </row>
        <row r="21">
          <cell r="A21" t="str">
            <v>AS201617</v>
          </cell>
          <cell r="B21">
            <v>17</v>
          </cell>
          <cell r="C21" t="str">
            <v>KOUAMOU MOISE</v>
          </cell>
          <cell r="D21" t="str">
            <v>INGENIEUR E-F</v>
          </cell>
          <cell r="E21">
            <v>675836725</v>
          </cell>
          <cell r="F21">
            <v>675836725</v>
          </cell>
          <cell r="G21" t="str">
            <v>DAMAS</v>
          </cell>
          <cell r="H21" t="str">
            <v>DAMAS</v>
          </cell>
        </row>
        <row r="22">
          <cell r="A22" t="str">
            <v>AS201618</v>
          </cell>
          <cell r="B22">
            <v>18</v>
          </cell>
          <cell r="C22" t="str">
            <v>KOUAMO VICTOR PEGUY</v>
          </cell>
          <cell r="D22" t="str">
            <v>S/OFFICIER SUPERIEUR</v>
          </cell>
          <cell r="E22">
            <v>696564847</v>
          </cell>
          <cell r="F22">
            <v>696564847</v>
          </cell>
          <cell r="G22" t="str">
            <v>MESSASSI</v>
          </cell>
          <cell r="H22" t="str">
            <v>MESSASSI</v>
          </cell>
        </row>
        <row r="23">
          <cell r="A23" t="str">
            <v>AS201619</v>
          </cell>
          <cell r="B23">
            <v>19</v>
          </cell>
          <cell r="C23" t="str">
            <v>KOUATCHO MESSACK</v>
          </cell>
          <cell r="D23" t="str">
            <v>INSPECTEUR DE TRAVAIL</v>
          </cell>
          <cell r="E23">
            <v>677735778</v>
          </cell>
          <cell r="F23">
            <v>677735778</v>
          </cell>
          <cell r="G23" t="str">
            <v>SANTA BARBARA</v>
          </cell>
          <cell r="H23" t="str">
            <v>SANTA BARBARA</v>
          </cell>
        </row>
        <row r="24">
          <cell r="A24" t="str">
            <v>AS201620</v>
          </cell>
          <cell r="B24">
            <v>20</v>
          </cell>
          <cell r="C24" t="str">
            <v>LOWE JEAN</v>
          </cell>
          <cell r="D24" t="str">
            <v>PROFESSEUR DE LYCEE</v>
          </cell>
          <cell r="E24">
            <v>0</v>
          </cell>
          <cell r="F24">
            <v>0</v>
          </cell>
          <cell r="G24">
            <v>0</v>
          </cell>
          <cell r="H24" t="str">
            <v>ACTIF</v>
          </cell>
        </row>
        <row r="25">
          <cell r="A25" t="str">
            <v>AS201621</v>
          </cell>
          <cell r="B25">
            <v>21</v>
          </cell>
          <cell r="C25" t="str">
            <v>NANKAM APPOLINAIRE</v>
          </cell>
          <cell r="D25" t="str">
            <v>ENSEIGNANT</v>
          </cell>
          <cell r="E25">
            <v>693055118</v>
          </cell>
          <cell r="F25">
            <v>693055118</v>
          </cell>
          <cell r="G25" t="str">
            <v>DAMAS</v>
          </cell>
          <cell r="H25" t="str">
            <v>DAMAS</v>
          </cell>
        </row>
        <row r="26">
          <cell r="A26" t="str">
            <v>AS201622</v>
          </cell>
          <cell r="B26">
            <v>22</v>
          </cell>
          <cell r="C26" t="str">
            <v>NDJOMO ETIENNE</v>
          </cell>
          <cell r="D26" t="str">
            <v>COMPTABLE</v>
          </cell>
          <cell r="E26">
            <v>677553702</v>
          </cell>
          <cell r="F26">
            <v>677553702</v>
          </cell>
          <cell r="G26" t="str">
            <v>MONTEE JOUVENCE</v>
          </cell>
          <cell r="H26" t="str">
            <v>MONTEE JOUVENCE</v>
          </cell>
        </row>
        <row r="27">
          <cell r="A27" t="str">
            <v>AS201623</v>
          </cell>
          <cell r="B27">
            <v>23</v>
          </cell>
          <cell r="C27" t="str">
            <v>NDOMBOU JEAN CLAUDE</v>
          </cell>
          <cell r="D27" t="str">
            <v>ING AGRONOME RETRAITE</v>
          </cell>
          <cell r="E27">
            <v>699358350</v>
          </cell>
          <cell r="F27">
            <v>699358350</v>
          </cell>
          <cell r="G27" t="str">
            <v>ETOUG EBE</v>
          </cell>
          <cell r="H27" t="str">
            <v>ETOUG EBE</v>
          </cell>
        </row>
        <row r="28">
          <cell r="A28" t="str">
            <v>AS201624</v>
          </cell>
          <cell r="B28">
            <v>24</v>
          </cell>
          <cell r="C28" t="str">
            <v>NGONDIEP CLAUDE</v>
          </cell>
          <cell r="D28" t="str">
            <v>DAS(DIRECTEUR ADMINISTRATEUR SOCIETE)</v>
          </cell>
          <cell r="E28">
            <v>675249207</v>
          </cell>
          <cell r="F28">
            <v>675249207</v>
          </cell>
          <cell r="G28" t="str">
            <v>CITE VERTE</v>
          </cell>
          <cell r="H28" t="str">
            <v>CITE VERTE</v>
          </cell>
        </row>
        <row r="29">
          <cell r="A29" t="str">
            <v>AS201625</v>
          </cell>
          <cell r="B29">
            <v>25</v>
          </cell>
          <cell r="C29" t="str">
            <v>NGONGANG JEAN THEODORE</v>
          </cell>
          <cell r="D29" t="str">
            <v>CHEF ENTREPRISE</v>
          </cell>
          <cell r="E29">
            <v>677766503</v>
          </cell>
          <cell r="F29">
            <v>677766503</v>
          </cell>
          <cell r="G29" t="str">
            <v>RUE MANGUIERS</v>
          </cell>
          <cell r="H29" t="str">
            <v>RUE MANGUIERS</v>
          </cell>
        </row>
        <row r="30">
          <cell r="A30" t="str">
            <v>AS201626</v>
          </cell>
          <cell r="B30">
            <v>26</v>
          </cell>
          <cell r="C30" t="str">
            <v>NGUIEMEGNI MATHIEU BLAISE</v>
          </cell>
          <cell r="D30" t="str">
            <v>CADRE CADASTRE</v>
          </cell>
          <cell r="E30">
            <v>677068360</v>
          </cell>
          <cell r="F30">
            <v>677068360</v>
          </cell>
          <cell r="G30" t="str">
            <v>MONATELE</v>
          </cell>
          <cell r="H30" t="str">
            <v>MONATELE</v>
          </cell>
        </row>
        <row r="31">
          <cell r="A31" t="str">
            <v>AS201627</v>
          </cell>
          <cell r="B31">
            <v>27</v>
          </cell>
          <cell r="C31" t="str">
            <v>NJEPDJIO MBOUKAM DELUXE</v>
          </cell>
          <cell r="D31" t="str">
            <v>OPERATEUR ECONOMIQUE</v>
          </cell>
          <cell r="E31">
            <v>670909070</v>
          </cell>
          <cell r="F31">
            <v>670909070</v>
          </cell>
          <cell r="G31" t="str">
            <v>MENDONG</v>
          </cell>
          <cell r="H31" t="str">
            <v>MENDONG</v>
          </cell>
        </row>
        <row r="32">
          <cell r="A32" t="str">
            <v>AS201628</v>
          </cell>
          <cell r="B32">
            <v>28</v>
          </cell>
          <cell r="C32" t="str">
            <v>NKAMGANG JUSTIN DEJOLIE</v>
          </cell>
          <cell r="D32" t="str">
            <v>DELEGUE COMMERCIAL</v>
          </cell>
          <cell r="E32">
            <v>676659191</v>
          </cell>
          <cell r="F32">
            <v>676659191</v>
          </cell>
          <cell r="G32" t="str">
            <v>MENDONG</v>
          </cell>
          <cell r="H32" t="str">
            <v>MENDONG</v>
          </cell>
        </row>
        <row r="33">
          <cell r="A33" t="str">
            <v>AS201629</v>
          </cell>
          <cell r="B33">
            <v>29</v>
          </cell>
          <cell r="C33" t="str">
            <v>NKEPSEU DIEUDONNE</v>
          </cell>
          <cell r="D33" t="str">
            <v>OPERATEUR ECONOMIQUE</v>
          </cell>
          <cell r="E33">
            <v>677575366</v>
          </cell>
          <cell r="F33">
            <v>677575366</v>
          </cell>
          <cell r="G33" t="str">
            <v>ESSOS</v>
          </cell>
          <cell r="H33" t="str">
            <v>ESSOS</v>
          </cell>
        </row>
        <row r="34">
          <cell r="A34" t="str">
            <v>AS201630</v>
          </cell>
          <cell r="B34">
            <v>30</v>
          </cell>
          <cell r="C34" t="str">
            <v>NKEPSEU HENANG RENE</v>
          </cell>
          <cell r="D34" t="str">
            <v>CADRE SONEL RETRAITE</v>
          </cell>
          <cell r="E34">
            <v>699843118</v>
          </cell>
          <cell r="F34">
            <v>699843118</v>
          </cell>
          <cell r="G34" t="str">
            <v>BIYEM ASSI LYCEE</v>
          </cell>
          <cell r="H34" t="str">
            <v>BIYEM ASSI LYCEE</v>
          </cell>
        </row>
        <row r="35">
          <cell r="A35" t="str">
            <v>AS201631</v>
          </cell>
          <cell r="B35">
            <v>31</v>
          </cell>
          <cell r="C35" t="str">
            <v>NTEPDIE TUEMAC MZ</v>
          </cell>
          <cell r="D35" t="str">
            <v>OPERATEUR ECONOMIQUE</v>
          </cell>
          <cell r="E35">
            <v>677377251</v>
          </cell>
          <cell r="F35">
            <v>677377251</v>
          </cell>
          <cell r="G35" t="str">
            <v>MONTEE JOUVENCE</v>
          </cell>
          <cell r="H35" t="str">
            <v>MONTEE JOUVENCE</v>
          </cell>
        </row>
        <row r="36">
          <cell r="A36" t="str">
            <v>AS201632</v>
          </cell>
          <cell r="B36">
            <v>32</v>
          </cell>
          <cell r="C36" t="str">
            <v>NTOMBOU ADOLPHE</v>
          </cell>
          <cell r="D36" t="str">
            <v xml:space="preserve">INGENIEUR </v>
          </cell>
          <cell r="E36">
            <v>677867173</v>
          </cell>
          <cell r="F36">
            <v>677867173</v>
          </cell>
          <cell r="G36" t="str">
            <v>BIYEM ASSI LYCEE</v>
          </cell>
          <cell r="H36" t="str">
            <v>BIYEM ASSI LYCEE</v>
          </cell>
        </row>
        <row r="37">
          <cell r="A37" t="str">
            <v>AS201633</v>
          </cell>
          <cell r="B37">
            <v>33</v>
          </cell>
          <cell r="C37" t="str">
            <v>PATEGO NJOSSU GUSTAVE</v>
          </cell>
          <cell r="D37" t="str">
            <v>INGENIEUR T-P</v>
          </cell>
          <cell r="E37">
            <v>699995086</v>
          </cell>
          <cell r="F37">
            <v>699995086</v>
          </cell>
          <cell r="G37" t="str">
            <v>EBOGO 1(SOA)</v>
          </cell>
          <cell r="H37" t="str">
            <v>EBOGO 1(SOA)</v>
          </cell>
        </row>
        <row r="38">
          <cell r="A38" t="str">
            <v>AS201634</v>
          </cell>
          <cell r="B38">
            <v>34</v>
          </cell>
          <cell r="C38" t="str">
            <v>SEUNOU RICHELOT</v>
          </cell>
          <cell r="D38" t="str">
            <v>OPERATEUR ECONOMIQUE</v>
          </cell>
          <cell r="E38">
            <v>677054646</v>
          </cell>
          <cell r="F38">
            <v>677054646</v>
          </cell>
          <cell r="G38" t="str">
            <v>EMANA</v>
          </cell>
          <cell r="H38" t="str">
            <v>EMANA</v>
          </cell>
        </row>
        <row r="39">
          <cell r="A39" t="str">
            <v>AS201635</v>
          </cell>
          <cell r="B39">
            <v>35</v>
          </cell>
          <cell r="C39" t="str">
            <v>SIME ABEL</v>
          </cell>
          <cell r="D39" t="str">
            <v>OPERATEUR ECONOMIQUE</v>
          </cell>
          <cell r="E39">
            <v>699549665</v>
          </cell>
          <cell r="F39">
            <v>699549665</v>
          </cell>
          <cell r="G39" t="str">
            <v>ELEVEUR</v>
          </cell>
          <cell r="H39" t="str">
            <v>ELEVEUR</v>
          </cell>
        </row>
        <row r="40">
          <cell r="A40" t="str">
            <v>AS201636</v>
          </cell>
          <cell r="B40">
            <v>36</v>
          </cell>
          <cell r="C40" t="str">
            <v>SIMO FONGANG ERIC</v>
          </cell>
          <cell r="D40" t="str">
            <v>CADRE BANQUE</v>
          </cell>
          <cell r="E40">
            <v>699350133</v>
          </cell>
          <cell r="F40">
            <v>699350133</v>
          </cell>
          <cell r="G40" t="str">
            <v>DAMAS</v>
          </cell>
          <cell r="H40" t="str">
            <v>DAMAS</v>
          </cell>
        </row>
        <row r="41">
          <cell r="A41" t="str">
            <v>AS201637</v>
          </cell>
          <cell r="B41">
            <v>37</v>
          </cell>
          <cell r="C41" t="str">
            <v>SIME MATHIEU</v>
          </cell>
          <cell r="D41" t="str">
            <v>CHEF ENTREPRISE</v>
          </cell>
          <cell r="E41">
            <v>677477649</v>
          </cell>
          <cell r="F41">
            <v>677477649</v>
          </cell>
          <cell r="G41" t="str">
            <v>PARC NATIONAL</v>
          </cell>
          <cell r="H41" t="str">
            <v>PARC NATIONAL</v>
          </cell>
        </row>
        <row r="42">
          <cell r="A42" t="str">
            <v>AS201638</v>
          </cell>
          <cell r="B42">
            <v>38</v>
          </cell>
          <cell r="C42" t="str">
            <v>SIMO PIERRE</v>
          </cell>
          <cell r="D42" t="str">
            <v>TECHNICIEN DE SANTE RETRAITE</v>
          </cell>
          <cell r="E42">
            <v>677546060</v>
          </cell>
          <cell r="F42">
            <v>677546060</v>
          </cell>
          <cell r="G42" t="str">
            <v>OYOMABANG</v>
          </cell>
          <cell r="H42" t="str">
            <v>OYOMABANG</v>
          </cell>
        </row>
        <row r="43">
          <cell r="A43" t="str">
            <v>AS201639</v>
          </cell>
          <cell r="B43">
            <v>39</v>
          </cell>
          <cell r="C43" t="str">
            <v>NANGUEN MARTIN</v>
          </cell>
          <cell r="D43" t="str">
            <v>SECRETAIRE D'ADMINISTRATION</v>
          </cell>
          <cell r="E43">
            <v>677648306</v>
          </cell>
          <cell r="F43">
            <v>677648306</v>
          </cell>
          <cell r="G43" t="str">
            <v>RUE MANGUIERS</v>
          </cell>
          <cell r="H43" t="str">
            <v>RUE MANGUIERS</v>
          </cell>
        </row>
        <row r="44">
          <cell r="A44" t="str">
            <v>AS201640</v>
          </cell>
          <cell r="B44">
            <v>40</v>
          </cell>
          <cell r="C44" t="str">
            <v>TCHOUAMOU JEAN PAUL</v>
          </cell>
          <cell r="D44" t="str">
            <v>CADRE CNPS</v>
          </cell>
          <cell r="E44">
            <v>677780149</v>
          </cell>
          <cell r="F44">
            <v>677780149</v>
          </cell>
          <cell r="G44" t="str">
            <v>MESSASSI</v>
          </cell>
          <cell r="H44" t="str">
            <v>MESSASSI</v>
          </cell>
        </row>
        <row r="45">
          <cell r="A45" t="str">
            <v>AS201641</v>
          </cell>
          <cell r="B45">
            <v>41</v>
          </cell>
          <cell r="C45" t="str">
            <v>TCHOUAMOU MATHIEU</v>
          </cell>
          <cell r="D45" t="str">
            <v>OFFICIER SUPERIEUR</v>
          </cell>
          <cell r="E45">
            <v>699778906</v>
          </cell>
          <cell r="F45">
            <v>699778906</v>
          </cell>
          <cell r="G45" t="str">
            <v>MENDONG</v>
          </cell>
          <cell r="H45" t="str">
            <v>MENDONG</v>
          </cell>
        </row>
        <row r="46">
          <cell r="A46" t="str">
            <v>AS201642</v>
          </cell>
          <cell r="B46">
            <v>42</v>
          </cell>
          <cell r="C46" t="str">
            <v>TCHOUANTE FRANCOIS</v>
          </cell>
          <cell r="D46" t="str">
            <v>ENSEIGNANT</v>
          </cell>
          <cell r="E46">
            <v>678639806</v>
          </cell>
          <cell r="F46">
            <v>678639806</v>
          </cell>
          <cell r="G46" t="str">
            <v>MENDONG</v>
          </cell>
          <cell r="H46" t="str">
            <v>MENDONG</v>
          </cell>
        </row>
        <row r="47">
          <cell r="A47" t="str">
            <v>AS201643</v>
          </cell>
          <cell r="B47">
            <v>43</v>
          </cell>
          <cell r="C47" t="str">
            <v>TCHOUTOU NANA CLAUDE</v>
          </cell>
          <cell r="D47" t="str">
            <v>OPERATEUR ECONOMIQUE</v>
          </cell>
          <cell r="E47">
            <v>677775940</v>
          </cell>
          <cell r="F47">
            <v>677775940</v>
          </cell>
          <cell r="G47" t="str">
            <v>NKOL FOULOU</v>
          </cell>
          <cell r="H47" t="str">
            <v>NKOL FOULOU</v>
          </cell>
        </row>
        <row r="48">
          <cell r="A48" t="str">
            <v>AS201644</v>
          </cell>
          <cell r="B48">
            <v>44</v>
          </cell>
          <cell r="C48" t="str">
            <v>TIEYAM ERNEST</v>
          </cell>
          <cell r="D48" t="str">
            <v>INGENIEUR ELECTRONICIEN</v>
          </cell>
          <cell r="E48">
            <v>677508603</v>
          </cell>
          <cell r="F48">
            <v>677508603</v>
          </cell>
          <cell r="G48" t="str">
            <v>BASTOS</v>
          </cell>
          <cell r="H48" t="str">
            <v>BASTOS</v>
          </cell>
        </row>
        <row r="49">
          <cell r="A49" t="str">
            <v>AS201645</v>
          </cell>
          <cell r="B49">
            <v>45</v>
          </cell>
          <cell r="C49" t="str">
            <v>TUGMA PIERRE LOTI</v>
          </cell>
          <cell r="D49" t="str">
            <v>PROFESSEUR DES LYCEES RETRAITE</v>
          </cell>
          <cell r="E49">
            <v>677726329</v>
          </cell>
          <cell r="F49">
            <v>677726329</v>
          </cell>
          <cell r="G49" t="str">
            <v>BIYEM ASSI LYCEE</v>
          </cell>
          <cell r="H49" t="str">
            <v>BIYEM ASSI LYCEE</v>
          </cell>
        </row>
        <row r="50">
          <cell r="A50" t="str">
            <v>AS201646</v>
          </cell>
          <cell r="B50">
            <v>46</v>
          </cell>
          <cell r="C50" t="str">
            <v>YEPMOU JEAN JACQUES</v>
          </cell>
          <cell r="D50" t="str">
            <v>ADMINISTRATEUR CIVIL</v>
          </cell>
          <cell r="E50">
            <v>699663416</v>
          </cell>
          <cell r="F50">
            <v>699663416</v>
          </cell>
          <cell r="G50" t="str">
            <v>MENDONG (NKOLZIE)</v>
          </cell>
          <cell r="H50" t="str">
            <v>MENDONG (NKOLZIE)</v>
          </cell>
        </row>
        <row r="51">
          <cell r="A51" t="str">
            <v>AS201647</v>
          </cell>
          <cell r="B51">
            <v>47</v>
          </cell>
          <cell r="C51" t="str">
            <v>YOUMBI EMMANUEL</v>
          </cell>
          <cell r="D51" t="str">
            <v>PROFESSEUR DES UNIVERSITES</v>
          </cell>
          <cell r="E51">
            <v>677547311</v>
          </cell>
          <cell r="F51">
            <v>677547311</v>
          </cell>
          <cell r="G51" t="str">
            <v>MENDONG (GUINNESS)</v>
          </cell>
          <cell r="H51" t="str">
            <v>MENDONG (GUINNESS)</v>
          </cell>
        </row>
        <row r="52">
          <cell r="A52" t="str">
            <v>AS201648</v>
          </cell>
          <cell r="B52">
            <v>48</v>
          </cell>
          <cell r="C52" t="str">
            <v>ASELBY</v>
          </cell>
          <cell r="D52" t="str">
            <v>ASSOCIATION DES ELITES BANGOU DE YAOUNDE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A53" t="str">
            <v>AS201649</v>
          </cell>
          <cell r="B53">
            <v>49</v>
          </cell>
          <cell r="C53" t="str">
            <v>MBOGNING TUGMA GUY</v>
          </cell>
          <cell r="D53" t="str">
            <v>TECHNICIEN D'ELEVAGE</v>
          </cell>
          <cell r="E53">
            <v>694452000</v>
          </cell>
          <cell r="F53">
            <v>694452000</v>
          </cell>
          <cell r="G53" t="str">
            <v xml:space="preserve">NSIMEYONG </v>
          </cell>
          <cell r="H53" t="str">
            <v xml:space="preserve">NSIMEYONG </v>
          </cell>
        </row>
        <row r="54">
          <cell r="A54" t="str">
            <v>AS201650</v>
          </cell>
          <cell r="B54">
            <v>50</v>
          </cell>
          <cell r="C54" t="str">
            <v>DJOMO DOMO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 t="str">
            <v>ACTIF</v>
          </cell>
        </row>
        <row r="55">
          <cell r="A55" t="str">
            <v>AS201651</v>
          </cell>
          <cell r="B55">
            <v>51</v>
          </cell>
          <cell r="C55" t="str">
            <v>DOMOU FABIEN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 t="str">
            <v>ACTIF</v>
          </cell>
        </row>
        <row r="56">
          <cell r="A56" t="str">
            <v>AS201652</v>
          </cell>
          <cell r="B56">
            <v>52</v>
          </cell>
          <cell r="C56" t="str">
            <v>NGANHOU JEAN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 t="str">
            <v>ACTIF</v>
          </cell>
        </row>
        <row r="57">
          <cell r="A57" t="str">
            <v>AS201653</v>
          </cell>
          <cell r="B57">
            <v>53</v>
          </cell>
          <cell r="C57" t="str">
            <v>SIME BRICE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 t="str">
            <v>ACTIF</v>
          </cell>
        </row>
        <row r="58">
          <cell r="A58" t="str">
            <v>AS201654</v>
          </cell>
          <cell r="B58">
            <v>54</v>
          </cell>
          <cell r="C58" t="str">
            <v>DJOMOU TCHANDA</v>
          </cell>
        </row>
        <row r="59">
          <cell r="A59" t="str">
            <v>AS201655</v>
          </cell>
          <cell r="B59">
            <v>55</v>
          </cell>
          <cell r="C59" t="str">
            <v>TCHEMHOU EMMANUEL</v>
          </cell>
        </row>
      </sheetData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MODET25000"/>
      <sheetName val="MVTNOV"/>
      <sheetName val="MVTDEC"/>
      <sheetName val="MVTJANV"/>
      <sheetName val="MVTFEV"/>
      <sheetName val="MVTMARS"/>
      <sheetName val="MVTAVRIL"/>
      <sheetName val="MVTMAI"/>
      <sheetName val="MVTJUIN"/>
      <sheetName val="MVTJUIL"/>
      <sheetName val="MVTAOUT"/>
      <sheetName val="MVTSEPT"/>
      <sheetName val="MVTOCT"/>
      <sheetName val="MVTNOV20"/>
      <sheetName val="MVTDEC20"/>
      <sheetName val="MVTRESUME20"/>
      <sheetName val="SITUATION KEPSEU"/>
      <sheetName val="CPTECHINGUE"/>
      <sheetName val="MVTRESUME2019"/>
      <sheetName val="Feuil1"/>
      <sheetName val="MVTRESUMEEDIT2019"/>
      <sheetName val="MVTRESUMETAB"/>
      <sheetName val="MVTRESUME20BACKUP"/>
    </sheetNames>
    <sheetDataSet>
      <sheetData sheetId="0"/>
      <sheetData sheetId="1"/>
      <sheetData sheetId="2">
        <row r="49">
          <cell r="G49">
            <v>0</v>
          </cell>
        </row>
        <row r="50">
          <cell r="G50">
            <v>221000</v>
          </cell>
        </row>
        <row r="51">
          <cell r="G51">
            <v>16000</v>
          </cell>
        </row>
        <row r="52">
          <cell r="G52">
            <v>32000</v>
          </cell>
        </row>
        <row r="53">
          <cell r="G53">
            <v>80000</v>
          </cell>
        </row>
        <row r="55">
          <cell r="G55">
            <v>214500</v>
          </cell>
        </row>
        <row r="56">
          <cell r="G56">
            <v>17780000</v>
          </cell>
        </row>
        <row r="57">
          <cell r="G57">
            <v>1462300</v>
          </cell>
        </row>
        <row r="58">
          <cell r="G58">
            <v>0</v>
          </cell>
        </row>
        <row r="59">
          <cell r="G59">
            <v>0</v>
          </cell>
        </row>
        <row r="60">
          <cell r="G60">
            <v>0</v>
          </cell>
        </row>
      </sheetData>
      <sheetData sheetId="3">
        <row r="49">
          <cell r="E49">
            <v>0</v>
          </cell>
        </row>
        <row r="50">
          <cell r="E50">
            <v>265500</v>
          </cell>
        </row>
        <row r="51">
          <cell r="E51">
            <v>16500</v>
          </cell>
        </row>
        <row r="52">
          <cell r="E52">
            <v>33000</v>
          </cell>
        </row>
        <row r="53">
          <cell r="E53">
            <v>82500</v>
          </cell>
        </row>
        <row r="55">
          <cell r="E55">
            <v>0</v>
          </cell>
        </row>
        <row r="56">
          <cell r="E56">
            <v>2000000</v>
          </cell>
        </row>
        <row r="57">
          <cell r="E57">
            <v>120000</v>
          </cell>
        </row>
        <row r="58">
          <cell r="E58">
            <v>1000000</v>
          </cell>
        </row>
        <row r="59">
          <cell r="E59">
            <v>0</v>
          </cell>
        </row>
        <row r="60">
          <cell r="E60">
            <v>0</v>
          </cell>
        </row>
      </sheetData>
      <sheetData sheetId="4">
        <row r="49">
          <cell r="E49">
            <v>0</v>
          </cell>
        </row>
        <row r="50">
          <cell r="E50">
            <v>362000</v>
          </cell>
        </row>
        <row r="51">
          <cell r="E51">
            <v>16500</v>
          </cell>
        </row>
        <row r="52">
          <cell r="E52">
            <v>33000</v>
          </cell>
        </row>
        <row r="53">
          <cell r="E53">
            <v>82500</v>
          </cell>
        </row>
        <row r="55">
          <cell r="E55">
            <v>0</v>
          </cell>
        </row>
        <row r="56">
          <cell r="E56">
            <v>4200000</v>
          </cell>
        </row>
        <row r="57">
          <cell r="E57">
            <v>244000</v>
          </cell>
        </row>
        <row r="58">
          <cell r="E58">
            <v>3500000</v>
          </cell>
        </row>
        <row r="59">
          <cell r="E59">
            <v>0</v>
          </cell>
        </row>
        <row r="60">
          <cell r="E60">
            <v>0</v>
          </cell>
        </row>
      </sheetData>
      <sheetData sheetId="5">
        <row r="49">
          <cell r="E49">
            <v>0</v>
          </cell>
        </row>
        <row r="50">
          <cell r="E50">
            <v>367000</v>
          </cell>
        </row>
        <row r="51">
          <cell r="E51">
            <v>15500</v>
          </cell>
        </row>
        <row r="52">
          <cell r="E52">
            <v>31000</v>
          </cell>
        </row>
        <row r="53">
          <cell r="E53">
            <v>77500</v>
          </cell>
        </row>
        <row r="55">
          <cell r="E55">
            <v>0</v>
          </cell>
        </row>
        <row r="56">
          <cell r="E56">
            <v>0</v>
          </cell>
        </row>
        <row r="57">
          <cell r="E57">
            <v>0</v>
          </cell>
        </row>
        <row r="58">
          <cell r="E58">
            <v>1480000</v>
          </cell>
        </row>
        <row r="59">
          <cell r="E59">
            <v>0</v>
          </cell>
        </row>
        <row r="60">
          <cell r="E60">
            <v>0</v>
          </cell>
        </row>
      </sheetData>
      <sheetData sheetId="6">
        <row r="49">
          <cell r="E49">
            <v>0</v>
          </cell>
        </row>
        <row r="50">
          <cell r="E50">
            <v>294000</v>
          </cell>
        </row>
        <row r="51">
          <cell r="E51">
            <v>17500</v>
          </cell>
        </row>
        <row r="52">
          <cell r="E52">
            <v>35000</v>
          </cell>
        </row>
        <row r="53">
          <cell r="E53">
            <v>87500</v>
          </cell>
        </row>
        <row r="55">
          <cell r="E55">
            <v>0</v>
          </cell>
        </row>
        <row r="56">
          <cell r="E56">
            <v>0</v>
          </cell>
        </row>
        <row r="57">
          <cell r="E57">
            <v>0</v>
          </cell>
        </row>
        <row r="58">
          <cell r="E58">
            <v>800000</v>
          </cell>
        </row>
        <row r="59">
          <cell r="E59">
            <v>0</v>
          </cell>
        </row>
        <row r="60">
          <cell r="E60">
            <v>0</v>
          </cell>
        </row>
      </sheetData>
      <sheetData sheetId="7">
        <row r="49">
          <cell r="E49">
            <v>0</v>
          </cell>
        </row>
        <row r="50">
          <cell r="E50">
            <v>243500</v>
          </cell>
        </row>
        <row r="51">
          <cell r="E51">
            <v>16000</v>
          </cell>
        </row>
        <row r="52">
          <cell r="E52">
            <v>32000</v>
          </cell>
        </row>
        <row r="53">
          <cell r="E53">
            <v>80000</v>
          </cell>
        </row>
        <row r="55">
          <cell r="E55">
            <v>0</v>
          </cell>
        </row>
        <row r="56">
          <cell r="E56">
            <v>500000</v>
          </cell>
        </row>
        <row r="57">
          <cell r="E57">
            <v>20000</v>
          </cell>
        </row>
        <row r="58">
          <cell r="E58">
            <v>420000</v>
          </cell>
        </row>
        <row r="59">
          <cell r="E59">
            <v>0</v>
          </cell>
        </row>
        <row r="60">
          <cell r="E60">
            <v>0</v>
          </cell>
        </row>
      </sheetData>
      <sheetData sheetId="8">
        <row r="49">
          <cell r="E49">
            <v>0</v>
          </cell>
        </row>
        <row r="50">
          <cell r="E50">
            <v>684000</v>
          </cell>
        </row>
        <row r="51">
          <cell r="E51">
            <v>16000</v>
          </cell>
        </row>
        <row r="52">
          <cell r="E52">
            <v>32000</v>
          </cell>
        </row>
        <row r="53">
          <cell r="E53">
            <v>80000</v>
          </cell>
        </row>
        <row r="55">
          <cell r="E55">
            <v>0</v>
          </cell>
        </row>
        <row r="56">
          <cell r="E56">
            <v>0</v>
          </cell>
        </row>
        <row r="57">
          <cell r="E57">
            <v>0</v>
          </cell>
        </row>
        <row r="58">
          <cell r="E58">
            <v>1670000</v>
          </cell>
        </row>
        <row r="59">
          <cell r="E59">
            <v>0</v>
          </cell>
        </row>
        <row r="60">
          <cell r="E60">
            <v>0</v>
          </cell>
        </row>
      </sheetData>
      <sheetData sheetId="9">
        <row r="49">
          <cell r="E49">
            <v>0</v>
          </cell>
        </row>
        <row r="50">
          <cell r="E50">
            <v>297500</v>
          </cell>
        </row>
        <row r="51">
          <cell r="E51">
            <v>15500</v>
          </cell>
        </row>
        <row r="52">
          <cell r="E52">
            <v>31000</v>
          </cell>
        </row>
        <row r="53">
          <cell r="E53">
            <v>77500</v>
          </cell>
        </row>
        <row r="55">
          <cell r="E55">
            <v>0</v>
          </cell>
        </row>
        <row r="56">
          <cell r="E56">
            <v>1809000</v>
          </cell>
        </row>
        <row r="57">
          <cell r="E57">
            <v>36180</v>
          </cell>
        </row>
        <row r="58">
          <cell r="E58">
            <v>1820000</v>
          </cell>
        </row>
        <row r="59">
          <cell r="E59">
            <v>0</v>
          </cell>
        </row>
        <row r="60">
          <cell r="E60">
            <v>0</v>
          </cell>
        </row>
      </sheetData>
      <sheetData sheetId="10">
        <row r="49">
          <cell r="E49">
            <v>0</v>
          </cell>
        </row>
        <row r="50">
          <cell r="E50">
            <v>258000</v>
          </cell>
        </row>
        <row r="51">
          <cell r="E51">
            <v>16000</v>
          </cell>
        </row>
        <row r="52">
          <cell r="E52">
            <v>32000</v>
          </cell>
        </row>
        <row r="53">
          <cell r="E53">
            <v>80000</v>
          </cell>
        </row>
        <row r="55">
          <cell r="E55">
            <v>0</v>
          </cell>
        </row>
        <row r="56">
          <cell r="E56">
            <v>0</v>
          </cell>
        </row>
        <row r="57">
          <cell r="E57">
            <v>0</v>
          </cell>
        </row>
        <row r="58">
          <cell r="E58">
            <v>2420000</v>
          </cell>
        </row>
        <row r="59">
          <cell r="E59">
            <v>0</v>
          </cell>
        </row>
        <row r="60">
          <cell r="E60">
            <v>0</v>
          </cell>
        </row>
      </sheetData>
      <sheetData sheetId="11">
        <row r="49">
          <cell r="E49">
            <v>0</v>
          </cell>
        </row>
        <row r="50">
          <cell r="E50">
            <v>192000</v>
          </cell>
        </row>
        <row r="51">
          <cell r="E51">
            <v>16000</v>
          </cell>
        </row>
        <row r="52">
          <cell r="E52">
            <v>32000</v>
          </cell>
        </row>
        <row r="53">
          <cell r="E53">
            <v>80000</v>
          </cell>
        </row>
        <row r="55">
          <cell r="E55">
            <v>0</v>
          </cell>
        </row>
        <row r="56">
          <cell r="E56">
            <v>19735000</v>
          </cell>
        </row>
        <row r="57">
          <cell r="E57">
            <v>1586800</v>
          </cell>
        </row>
        <row r="58">
          <cell r="E58">
            <v>13794800</v>
          </cell>
        </row>
        <row r="59">
          <cell r="E59">
            <v>0</v>
          </cell>
        </row>
        <row r="60">
          <cell r="E60">
            <v>0</v>
          </cell>
        </row>
      </sheetData>
      <sheetData sheetId="12">
        <row r="49">
          <cell r="E49">
            <v>0</v>
          </cell>
        </row>
        <row r="50">
          <cell r="E50">
            <v>266000</v>
          </cell>
        </row>
        <row r="51">
          <cell r="E51">
            <v>15500</v>
          </cell>
        </row>
        <row r="52">
          <cell r="E52">
            <v>31000</v>
          </cell>
        </row>
        <row r="53">
          <cell r="E53">
            <v>77500</v>
          </cell>
        </row>
        <row r="55">
          <cell r="E55">
            <v>0</v>
          </cell>
        </row>
        <row r="56">
          <cell r="E56">
            <v>500000</v>
          </cell>
        </row>
        <row r="57">
          <cell r="E57">
            <v>25000</v>
          </cell>
        </row>
        <row r="58">
          <cell r="E58">
            <v>350000</v>
          </cell>
        </row>
        <row r="59">
          <cell r="E59">
            <v>0</v>
          </cell>
        </row>
        <row r="60">
          <cell r="E60">
            <v>0</v>
          </cell>
        </row>
      </sheetData>
      <sheetData sheetId="13">
        <row r="49">
          <cell r="E49">
            <v>0</v>
          </cell>
        </row>
        <row r="50">
          <cell r="E50">
            <v>240500</v>
          </cell>
        </row>
        <row r="51">
          <cell r="E51">
            <v>14500</v>
          </cell>
        </row>
        <row r="52">
          <cell r="E52">
            <v>29000</v>
          </cell>
        </row>
        <row r="53">
          <cell r="E53">
            <v>72500</v>
          </cell>
        </row>
        <row r="55">
          <cell r="E55">
            <v>0</v>
          </cell>
        </row>
        <row r="56">
          <cell r="E56">
            <v>0</v>
          </cell>
        </row>
        <row r="57">
          <cell r="E57">
            <v>0</v>
          </cell>
        </row>
        <row r="58">
          <cell r="E58">
            <v>0</v>
          </cell>
        </row>
        <row r="59">
          <cell r="E59">
            <v>0</v>
          </cell>
        </row>
        <row r="60">
          <cell r="E60">
            <v>0</v>
          </cell>
        </row>
      </sheetData>
      <sheetData sheetId="14">
        <row r="49">
          <cell r="E49">
            <v>0</v>
          </cell>
        </row>
        <row r="50">
          <cell r="E50">
            <v>0</v>
          </cell>
        </row>
        <row r="51">
          <cell r="E51">
            <v>0</v>
          </cell>
        </row>
        <row r="52">
          <cell r="E52">
            <v>0</v>
          </cell>
        </row>
        <row r="53">
          <cell r="E53">
            <v>0</v>
          </cell>
        </row>
        <row r="55">
          <cell r="E55">
            <v>0</v>
          </cell>
        </row>
        <row r="56">
          <cell r="E56">
            <v>0</v>
          </cell>
        </row>
        <row r="57">
          <cell r="E57">
            <v>0</v>
          </cell>
        </row>
        <row r="58">
          <cell r="E58">
            <v>0</v>
          </cell>
        </row>
        <row r="59">
          <cell r="E59">
            <v>0</v>
          </cell>
        </row>
        <row r="60">
          <cell r="E60">
            <v>0</v>
          </cell>
        </row>
      </sheetData>
      <sheetData sheetId="15">
        <row r="49">
          <cell r="E49">
            <v>0</v>
          </cell>
        </row>
        <row r="50">
          <cell r="E50">
            <v>0</v>
          </cell>
        </row>
        <row r="51">
          <cell r="E51">
            <v>0</v>
          </cell>
        </row>
        <row r="52">
          <cell r="E52">
            <v>0</v>
          </cell>
        </row>
        <row r="53">
          <cell r="E53">
            <v>0</v>
          </cell>
        </row>
        <row r="55">
          <cell r="E55">
            <v>0</v>
          </cell>
        </row>
        <row r="56">
          <cell r="E56">
            <v>0</v>
          </cell>
        </row>
        <row r="57">
          <cell r="E57">
            <v>0</v>
          </cell>
        </row>
        <row r="58">
          <cell r="E58">
            <v>0</v>
          </cell>
        </row>
        <row r="59">
          <cell r="E59">
            <v>0</v>
          </cell>
        </row>
        <row r="60">
          <cell r="E60">
            <v>0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I5" sqref="I5"/>
    </sheetView>
  </sheetViews>
  <sheetFormatPr baseColWidth="10" defaultColWidth="11" defaultRowHeight="15" x14ac:dyDescent="0.25"/>
  <sheetData>
    <row r="1" spans="1:1" x14ac:dyDescent="0.25">
      <c r="A1" t="s">
        <v>46</v>
      </c>
    </row>
    <row r="2" spans="1:1" x14ac:dyDescent="0.25">
      <c r="A2" t="s">
        <v>45</v>
      </c>
    </row>
    <row r="3" spans="1:1" x14ac:dyDescent="0.25">
      <c r="A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8"/>
  <sheetViews>
    <sheetView workbookViewId="0">
      <pane xSplit="2" ySplit="5" topLeftCell="C51" activePane="bottomRight" state="frozen"/>
      <selection activeCell="B22" sqref="B22"/>
      <selection pane="topRight" activeCell="B22" sqref="B22"/>
      <selection pane="bottomLeft" activeCell="B22" sqref="B22"/>
      <selection pane="bottomRight" activeCell="J54" sqref="J54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15" bestFit="1" customWidth="1"/>
    <col min="4" max="4" width="21" customWidth="1"/>
    <col min="5" max="6" width="16.7109375" customWidth="1"/>
    <col min="7" max="7" width="15" style="2" bestFit="1" customWidth="1"/>
    <col min="8" max="8" width="15" bestFit="1" customWidth="1"/>
    <col min="9" max="9" width="17.5703125" style="3" bestFit="1" customWidth="1"/>
    <col min="10" max="10" width="17.5703125" style="3" customWidth="1"/>
    <col min="11" max="11" width="16" style="3" customWidth="1"/>
    <col min="12" max="12" width="15.7109375" style="2" customWidth="1"/>
    <col min="13" max="14" width="13" customWidth="1"/>
    <col min="15" max="15" width="15.5703125" style="3" customWidth="1"/>
    <col min="16" max="17" width="18.140625" style="2" bestFit="1" customWidth="1"/>
    <col min="18" max="18" width="12.5703125" bestFit="1" customWidth="1"/>
  </cols>
  <sheetData>
    <row r="1" spans="1:18" x14ac:dyDescent="0.25">
      <c r="A1" s="1" t="s">
        <v>0</v>
      </c>
      <c r="B1" s="1" t="s">
        <v>1</v>
      </c>
      <c r="C1" s="1"/>
      <c r="D1" s="1"/>
      <c r="E1" s="1"/>
      <c r="F1" s="1"/>
      <c r="M1" s="1"/>
      <c r="N1" s="1"/>
    </row>
    <row r="2" spans="1:18" x14ac:dyDescent="0.25">
      <c r="A2" s="1" t="s">
        <v>2</v>
      </c>
      <c r="B2" s="1" t="s">
        <v>80</v>
      </c>
      <c r="C2" s="1"/>
      <c r="D2" s="1"/>
      <c r="E2" s="1"/>
      <c r="F2" s="1"/>
      <c r="M2" s="1"/>
      <c r="N2" s="1"/>
    </row>
    <row r="3" spans="1:18" x14ac:dyDescent="0.25">
      <c r="A3" s="1" t="s">
        <v>3</v>
      </c>
      <c r="B3" s="6">
        <v>30000</v>
      </c>
      <c r="C3" s="1"/>
      <c r="D3" s="1"/>
      <c r="E3" s="1"/>
      <c r="F3" s="1"/>
      <c r="M3" s="1"/>
      <c r="N3" s="1"/>
    </row>
    <row r="4" spans="1:18" ht="18" x14ac:dyDescent="0.25">
      <c r="B4" s="13"/>
      <c r="C4" s="20">
        <v>43793</v>
      </c>
      <c r="D4" s="21"/>
      <c r="E4" s="21"/>
      <c r="F4" s="21"/>
      <c r="G4" s="21"/>
      <c r="H4" s="21"/>
      <c r="I4" s="21"/>
      <c r="J4" s="15"/>
      <c r="K4" s="15"/>
      <c r="L4" s="15"/>
      <c r="M4" s="15"/>
      <c r="O4" s="15"/>
      <c r="P4"/>
      <c r="Q4"/>
    </row>
    <row r="5" spans="1:18" ht="57.75" x14ac:dyDescent="0.25">
      <c r="A5" s="1" t="s">
        <v>4</v>
      </c>
      <c r="B5" s="1" t="s">
        <v>5</v>
      </c>
      <c r="C5" s="1" t="s">
        <v>40</v>
      </c>
      <c r="D5" s="4" t="s">
        <v>6</v>
      </c>
      <c r="E5" s="1" t="s">
        <v>65</v>
      </c>
      <c r="F5" s="5" t="s">
        <v>7</v>
      </c>
      <c r="G5" s="4" t="s">
        <v>8</v>
      </c>
      <c r="H5" s="6" t="s">
        <v>60</v>
      </c>
      <c r="I5" s="4" t="s">
        <v>57</v>
      </c>
      <c r="J5" s="4" t="s">
        <v>61</v>
      </c>
      <c r="K5" s="14" t="s">
        <v>77</v>
      </c>
      <c r="L5" s="4" t="s">
        <v>55</v>
      </c>
      <c r="M5" s="4" t="s">
        <v>54</v>
      </c>
      <c r="N5" s="4" t="s">
        <v>58</v>
      </c>
      <c r="O5" s="4" t="s">
        <v>77</v>
      </c>
      <c r="P5" s="4" t="s">
        <v>56</v>
      </c>
      <c r="Q5" s="6" t="s">
        <v>59</v>
      </c>
      <c r="R5" s="4" t="s">
        <v>81</v>
      </c>
    </row>
    <row r="6" spans="1:18" x14ac:dyDescent="0.25">
      <c r="A6" s="1" t="s">
        <v>69</v>
      </c>
      <c r="B6" s="1" t="str">
        <f>VLOOKUP(A6,[4]LISTADHERENT!A$5:H$60,3,0)</f>
        <v>ASELBY</v>
      </c>
      <c r="C6" s="7">
        <f t="shared" ref="C6" si="0">IF(G6=0,0,G6-D6)</f>
        <v>0</v>
      </c>
      <c r="D6" s="7">
        <f t="shared" ref="D6" si="1">IF(F6="ECHEC",0,IF(F6="",0,20000))</f>
        <v>0</v>
      </c>
      <c r="E6" s="7">
        <f t="shared" ref="E6" si="2">IF(F6="ESPECES",3000,0)</f>
        <v>0</v>
      </c>
      <c r="F6" s="5" t="s">
        <v>9</v>
      </c>
      <c r="G6" s="7">
        <f t="shared" ref="G6" si="3">IF(F6="BANQUE",30000,IF(F6="ESPECES",30000,0))</f>
        <v>0</v>
      </c>
      <c r="H6" s="7"/>
      <c r="I6" s="7"/>
      <c r="J6" s="5"/>
      <c r="K6" s="5"/>
      <c r="L6" s="4"/>
      <c r="M6" s="5"/>
      <c r="N6" s="5"/>
      <c r="O6" s="5"/>
      <c r="P6" s="7">
        <f t="shared" ref="P6:P39" si="4">IF(Q6=0,0,($E$75-Q6))</f>
        <v>0</v>
      </c>
      <c r="Q6" s="7"/>
      <c r="R6" s="7"/>
    </row>
    <row r="7" spans="1:18" x14ac:dyDescent="0.25">
      <c r="A7" s="1" t="s">
        <v>10</v>
      </c>
      <c r="B7" s="1" t="str">
        <f>VLOOKUP(A7,[4]LISTADHERENT!A$5:H$60,3,0)</f>
        <v>BOUTCHOUANG WILLIAM</v>
      </c>
      <c r="C7" s="7">
        <f t="shared" ref="C7:C39" si="5">IF(G7=0,0,G7-D7)</f>
        <v>10000</v>
      </c>
      <c r="D7" s="7">
        <f t="shared" ref="D7:D39" si="6">IF(F7="ECHEC",0,IF(F7="",0,20000))</f>
        <v>20000</v>
      </c>
      <c r="E7" s="7">
        <f t="shared" ref="E7:E39" si="7">IF(F7="ESPECES",3000,0)</f>
        <v>0</v>
      </c>
      <c r="F7" s="5" t="s">
        <v>46</v>
      </c>
      <c r="G7" s="7">
        <f t="shared" ref="G7:G39" si="8">IF(F7="BANQUE",30000,IF(F7="ESPECES",30000,0))</f>
        <v>30000</v>
      </c>
      <c r="H7" s="7"/>
      <c r="I7" s="7"/>
      <c r="J7" s="5"/>
      <c r="K7" s="5"/>
      <c r="L7" s="4"/>
      <c r="M7" s="5"/>
      <c r="N7" s="5"/>
      <c r="O7" s="5"/>
      <c r="P7" s="7">
        <f t="shared" si="4"/>
        <v>0</v>
      </c>
      <c r="Q7" s="7"/>
      <c r="R7" s="7"/>
    </row>
    <row r="8" spans="1:18" x14ac:dyDescent="0.25">
      <c r="A8" s="1" t="s">
        <v>11</v>
      </c>
      <c r="B8" s="1" t="str">
        <f>VLOOKUP(A8,[4]LISTADHERENT!A$5:H$60,3,0)</f>
        <v xml:space="preserve">DJOMO JEAN PAUL </v>
      </c>
      <c r="C8" s="7">
        <f t="shared" si="5"/>
        <v>10000</v>
      </c>
      <c r="D8" s="7">
        <f t="shared" si="6"/>
        <v>20000</v>
      </c>
      <c r="E8" s="7">
        <f t="shared" si="7"/>
        <v>0</v>
      </c>
      <c r="F8" s="5" t="s">
        <v>46</v>
      </c>
      <c r="G8" s="7">
        <f t="shared" si="8"/>
        <v>30000</v>
      </c>
      <c r="H8" s="7"/>
      <c r="I8" s="7"/>
      <c r="J8" s="5"/>
      <c r="K8" s="5"/>
      <c r="L8" s="4"/>
      <c r="M8" s="5"/>
      <c r="N8" s="5"/>
      <c r="O8" s="5"/>
      <c r="P8" s="7">
        <f t="shared" si="4"/>
        <v>268000</v>
      </c>
      <c r="Q8" s="7">
        <v>32000</v>
      </c>
      <c r="R8" s="7"/>
    </row>
    <row r="9" spans="1:18" x14ac:dyDescent="0.25">
      <c r="A9" s="1" t="s">
        <v>83</v>
      </c>
      <c r="B9" s="1" t="str">
        <f>VLOOKUP(A9,[4]LISTADHERENT!A$5:H$60,3,0)</f>
        <v>DJOMOU TCHANDA</v>
      </c>
      <c r="C9" s="7">
        <f t="shared" si="5"/>
        <v>0</v>
      </c>
      <c r="D9" s="7">
        <f t="shared" si="6"/>
        <v>0</v>
      </c>
      <c r="E9" s="7">
        <f t="shared" si="7"/>
        <v>0</v>
      </c>
      <c r="F9" s="5" t="s">
        <v>9</v>
      </c>
      <c r="G9" s="7"/>
      <c r="H9" s="7"/>
      <c r="I9" s="7"/>
      <c r="J9" s="5"/>
      <c r="K9" s="5"/>
      <c r="L9" s="4"/>
      <c r="M9" s="5"/>
      <c r="N9" s="5"/>
      <c r="O9" s="5"/>
      <c r="P9" s="7">
        <f t="shared" si="4"/>
        <v>0</v>
      </c>
      <c r="Q9" s="7"/>
      <c r="R9" s="7"/>
    </row>
    <row r="10" spans="1:18" x14ac:dyDescent="0.25">
      <c r="A10" s="1" t="s">
        <v>12</v>
      </c>
      <c r="B10" s="1" t="str">
        <f>VLOOKUP(A10,[4]LISTADHERENT!A$5:H$60,3,0)</f>
        <v>DJOUKWE NANGUEN GUY BLAISE</v>
      </c>
      <c r="C10" s="7">
        <f t="shared" si="5"/>
        <v>10000</v>
      </c>
      <c r="D10" s="7">
        <f t="shared" si="6"/>
        <v>20000</v>
      </c>
      <c r="E10" s="7">
        <f t="shared" si="7"/>
        <v>3000</v>
      </c>
      <c r="F10" s="5" t="s">
        <v>45</v>
      </c>
      <c r="G10" s="7">
        <f t="shared" si="8"/>
        <v>30000</v>
      </c>
      <c r="H10" s="7"/>
      <c r="I10" s="7"/>
      <c r="J10" s="5"/>
      <c r="K10" s="5"/>
      <c r="L10" s="4"/>
      <c r="M10" s="5"/>
      <c r="N10" s="5"/>
      <c r="O10" s="5"/>
      <c r="P10" s="7">
        <f t="shared" si="4"/>
        <v>0</v>
      </c>
      <c r="Q10" s="7"/>
      <c r="R10" s="7"/>
    </row>
    <row r="11" spans="1:18" x14ac:dyDescent="0.25">
      <c r="A11" s="1" t="s">
        <v>13</v>
      </c>
      <c r="B11" s="1" t="str">
        <f>VLOOKUP(A11,[4]LISTADHERENT!A$5:H$60,3,0)</f>
        <v>DJUOMBESSY ANTOINE</v>
      </c>
      <c r="C11" s="7">
        <f t="shared" si="5"/>
        <v>10000</v>
      </c>
      <c r="D11" s="7">
        <f t="shared" si="6"/>
        <v>20000</v>
      </c>
      <c r="E11" s="7">
        <f t="shared" si="7"/>
        <v>0</v>
      </c>
      <c r="F11" s="5" t="s">
        <v>46</v>
      </c>
      <c r="G11" s="7">
        <f t="shared" si="8"/>
        <v>30000</v>
      </c>
      <c r="H11" s="7">
        <v>25000</v>
      </c>
      <c r="I11" s="7">
        <v>500</v>
      </c>
      <c r="J11" s="5" t="s">
        <v>45</v>
      </c>
      <c r="K11" s="5"/>
      <c r="L11" s="4"/>
      <c r="M11" s="5"/>
      <c r="N11" s="5"/>
      <c r="O11" s="5"/>
      <c r="P11" s="7">
        <f t="shared" si="4"/>
        <v>0</v>
      </c>
      <c r="Q11" s="7"/>
      <c r="R11" s="7"/>
    </row>
    <row r="12" spans="1:18" x14ac:dyDescent="0.25">
      <c r="A12" s="1" t="s">
        <v>71</v>
      </c>
      <c r="B12" s="1" t="str">
        <f>VLOOKUP(A12,[4]LISTADHERENT!A$5:H$60,3,0)</f>
        <v>DOMOU FABIEN</v>
      </c>
      <c r="C12" s="7">
        <f t="shared" si="5"/>
        <v>10000</v>
      </c>
      <c r="D12" s="7">
        <f t="shared" si="6"/>
        <v>20000</v>
      </c>
      <c r="E12" s="7">
        <f t="shared" si="7"/>
        <v>0</v>
      </c>
      <c r="F12" s="5" t="s">
        <v>46</v>
      </c>
      <c r="G12" s="7">
        <f t="shared" si="8"/>
        <v>30000</v>
      </c>
      <c r="H12" s="7"/>
      <c r="I12" s="7"/>
      <c r="J12" s="5"/>
      <c r="K12" s="5"/>
      <c r="L12" s="4"/>
      <c r="M12" s="5"/>
      <c r="N12" s="5"/>
      <c r="O12" s="5"/>
      <c r="P12" s="7">
        <f t="shared" si="4"/>
        <v>0</v>
      </c>
    </row>
    <row r="13" spans="1:18" x14ac:dyDescent="0.25">
      <c r="A13" s="1" t="s">
        <v>14</v>
      </c>
      <c r="B13" s="1" t="str">
        <f>VLOOKUP(A13,[4]LISTADHERENT!A$5:H$60,3,0)</f>
        <v>DONHOU DAVID</v>
      </c>
      <c r="C13" s="7">
        <f t="shared" si="5"/>
        <v>10000</v>
      </c>
      <c r="D13" s="7">
        <f t="shared" si="6"/>
        <v>20000</v>
      </c>
      <c r="E13" s="7">
        <f t="shared" si="7"/>
        <v>0</v>
      </c>
      <c r="F13" s="5" t="s">
        <v>46</v>
      </c>
      <c r="G13" s="7">
        <f t="shared" si="8"/>
        <v>30000</v>
      </c>
      <c r="H13" s="7"/>
      <c r="I13" s="7"/>
      <c r="J13" s="5"/>
      <c r="K13" s="5"/>
      <c r="L13" s="4"/>
      <c r="M13" s="5"/>
      <c r="N13" s="5"/>
      <c r="O13" s="5"/>
      <c r="P13" s="7">
        <f t="shared" si="4"/>
        <v>0</v>
      </c>
      <c r="Q13" s="7"/>
      <c r="R13" s="7"/>
    </row>
    <row r="14" spans="1:18" x14ac:dyDescent="0.25">
      <c r="A14" s="1" t="s">
        <v>15</v>
      </c>
      <c r="B14" s="1" t="str">
        <f>VLOOKUP(A14,[4]LISTADHERENT!A$5:H$60,3,0)</f>
        <v>FOTSO THOMAS</v>
      </c>
      <c r="C14" s="7">
        <f t="shared" si="5"/>
        <v>10000</v>
      </c>
      <c r="D14" s="7">
        <f t="shared" si="6"/>
        <v>20000</v>
      </c>
      <c r="E14" s="7">
        <f t="shared" si="7"/>
        <v>0</v>
      </c>
      <c r="F14" s="5" t="s">
        <v>46</v>
      </c>
      <c r="G14" s="7">
        <f t="shared" si="8"/>
        <v>30000</v>
      </c>
      <c r="H14" s="7">
        <f>25000+25000</f>
        <v>50000</v>
      </c>
      <c r="I14" s="7">
        <v>1000</v>
      </c>
      <c r="J14" s="5" t="s">
        <v>45</v>
      </c>
      <c r="K14" s="5"/>
      <c r="L14" s="4"/>
      <c r="M14" s="5"/>
      <c r="N14" s="5"/>
      <c r="O14" s="5"/>
      <c r="P14" s="7">
        <f t="shared" si="4"/>
        <v>0</v>
      </c>
      <c r="Q14" s="7"/>
      <c r="R14" s="7"/>
    </row>
    <row r="15" spans="1:18" x14ac:dyDescent="0.25">
      <c r="A15" s="1" t="s">
        <v>16</v>
      </c>
      <c r="B15" s="1" t="str">
        <f>VLOOKUP(A15,[4]LISTADHERENT!A$5:H$60,3,0)</f>
        <v>HENGUE PAUL OMER</v>
      </c>
      <c r="C15" s="7">
        <f t="shared" si="5"/>
        <v>10000</v>
      </c>
      <c r="D15" s="7">
        <f t="shared" si="6"/>
        <v>20000</v>
      </c>
      <c r="E15" s="7">
        <f t="shared" si="7"/>
        <v>0</v>
      </c>
      <c r="F15" s="5" t="s">
        <v>46</v>
      </c>
      <c r="G15" s="7">
        <f t="shared" si="8"/>
        <v>30000</v>
      </c>
      <c r="H15" s="7"/>
      <c r="I15" s="7"/>
      <c r="J15" s="5"/>
      <c r="K15" s="5"/>
      <c r="L15" s="4"/>
      <c r="M15" s="5"/>
      <c r="N15" s="5"/>
      <c r="O15" s="5"/>
      <c r="P15" s="7">
        <f t="shared" si="4"/>
        <v>0</v>
      </c>
      <c r="Q15" s="7"/>
      <c r="R15" s="7"/>
    </row>
    <row r="16" spans="1:18" x14ac:dyDescent="0.25">
      <c r="A16" s="1" t="s">
        <v>17</v>
      </c>
      <c r="B16" s="1" t="str">
        <f>VLOOKUP(A16,[4]LISTADHERENT!A$5:H$60,3,0)</f>
        <v>HOTCHO BENJAMIN</v>
      </c>
      <c r="C16" s="7">
        <f t="shared" si="5"/>
        <v>5000</v>
      </c>
      <c r="D16" s="7">
        <f t="shared" si="6"/>
        <v>20000</v>
      </c>
      <c r="E16" s="7">
        <f t="shared" si="7"/>
        <v>0</v>
      </c>
      <c r="F16" s="5" t="s">
        <v>46</v>
      </c>
      <c r="G16" s="7">
        <f>IF(F16="BANQUE",30000,IF(F16="ESPECES",30000,0))-5000</f>
        <v>25000</v>
      </c>
      <c r="H16" s="7"/>
      <c r="I16" s="7"/>
      <c r="J16" s="5"/>
      <c r="K16" s="5"/>
      <c r="L16" s="4"/>
      <c r="M16" s="5"/>
      <c r="N16" s="5"/>
      <c r="O16" s="5"/>
      <c r="P16" s="7">
        <f t="shared" si="4"/>
        <v>0</v>
      </c>
      <c r="Q16" s="7"/>
      <c r="R16" s="7"/>
    </row>
    <row r="17" spans="1:18" x14ac:dyDescent="0.25">
      <c r="A17" s="1" t="s">
        <v>19</v>
      </c>
      <c r="B17" s="1" t="str">
        <f>VLOOKUP(A17,[4]LISTADHERENT!A$5:H$60,3,0)</f>
        <v>KEPSEU FRANCIS</v>
      </c>
      <c r="C17" s="7">
        <f t="shared" si="5"/>
        <v>18000</v>
      </c>
      <c r="D17" s="7">
        <f t="shared" si="6"/>
        <v>20000</v>
      </c>
      <c r="E17" s="7">
        <f t="shared" si="7"/>
        <v>0</v>
      </c>
      <c r="F17" s="5" t="s">
        <v>46</v>
      </c>
      <c r="G17" s="7">
        <f>IF(F17="BANQUE",30000,IF(F17="ESPECES",30000,0))+8000</f>
        <v>38000</v>
      </c>
      <c r="H17" s="7"/>
      <c r="I17" s="7"/>
      <c r="J17" s="5"/>
      <c r="K17" s="5"/>
      <c r="L17" s="4"/>
      <c r="M17" s="5"/>
      <c r="N17" s="5"/>
      <c r="O17" s="5"/>
      <c r="P17" s="7">
        <f t="shared" si="4"/>
        <v>0</v>
      </c>
      <c r="Q17" s="7"/>
      <c r="R17" s="7"/>
    </row>
    <row r="18" spans="1:18" x14ac:dyDescent="0.25">
      <c r="A18" s="1" t="s">
        <v>21</v>
      </c>
      <c r="B18" s="1" t="str">
        <f>VLOOKUP(A18,[4]LISTADHERENT!A$5:H$60,3,0)</f>
        <v>KOUAMO VICTOR PEGUY</v>
      </c>
      <c r="C18" s="7">
        <f t="shared" si="5"/>
        <v>10000</v>
      </c>
      <c r="D18" s="7">
        <f t="shared" si="6"/>
        <v>20000</v>
      </c>
      <c r="E18" s="7">
        <f t="shared" si="7"/>
        <v>0</v>
      </c>
      <c r="F18" s="5" t="s">
        <v>46</v>
      </c>
      <c r="G18" s="7">
        <f t="shared" si="8"/>
        <v>30000</v>
      </c>
      <c r="H18" s="7"/>
      <c r="I18" s="7"/>
      <c r="J18" s="5"/>
      <c r="K18" s="5"/>
      <c r="L18" s="4"/>
      <c r="M18" s="5"/>
      <c r="N18" s="5"/>
      <c r="O18" s="5"/>
      <c r="P18" s="7">
        <f t="shared" si="4"/>
        <v>265000</v>
      </c>
      <c r="Q18" s="7">
        <v>35000</v>
      </c>
      <c r="R18" s="7"/>
    </row>
    <row r="19" spans="1:18" x14ac:dyDescent="0.25">
      <c r="A19" s="1" t="s">
        <v>20</v>
      </c>
      <c r="B19" s="1" t="str">
        <f>VLOOKUP(A19,[4]LISTADHERENT!A$5:H$60,3,0)</f>
        <v>KOUAMOU MOISE</v>
      </c>
      <c r="C19" s="7">
        <f t="shared" si="5"/>
        <v>10000</v>
      </c>
      <c r="D19" s="7">
        <f t="shared" si="6"/>
        <v>20000</v>
      </c>
      <c r="E19" s="7">
        <f t="shared" si="7"/>
        <v>0</v>
      </c>
      <c r="F19" s="5" t="s">
        <v>46</v>
      </c>
      <c r="G19" s="7">
        <f t="shared" si="8"/>
        <v>30000</v>
      </c>
      <c r="H19" s="7"/>
      <c r="I19" s="7"/>
      <c r="J19" s="5"/>
      <c r="K19" s="5"/>
      <c r="L19" s="4"/>
      <c r="M19" s="5"/>
      <c r="N19" s="5"/>
      <c r="O19" s="5"/>
      <c r="P19" s="7">
        <f t="shared" si="4"/>
        <v>0</v>
      </c>
      <c r="Q19" s="7"/>
      <c r="R19" s="7"/>
    </row>
    <row r="20" spans="1:18" x14ac:dyDescent="0.25">
      <c r="A20" s="1" t="s">
        <v>22</v>
      </c>
      <c r="B20" s="1" t="str">
        <f>VLOOKUP(A20,[4]LISTADHERENT!A$5:H$60,3,0)</f>
        <v>KOUATCHO MESSACK</v>
      </c>
      <c r="C20" s="7">
        <f t="shared" si="5"/>
        <v>10000</v>
      </c>
      <c r="D20" s="7">
        <f t="shared" si="6"/>
        <v>20000</v>
      </c>
      <c r="E20" s="7">
        <f t="shared" si="7"/>
        <v>0</v>
      </c>
      <c r="F20" s="5" t="s">
        <v>46</v>
      </c>
      <c r="G20" s="7">
        <f t="shared" si="8"/>
        <v>30000</v>
      </c>
      <c r="H20" s="7"/>
      <c r="I20" s="7"/>
      <c r="J20" s="5"/>
      <c r="K20" s="5"/>
      <c r="L20" s="4"/>
      <c r="M20" s="5"/>
      <c r="N20" s="5"/>
      <c r="O20" s="5"/>
      <c r="P20" s="7">
        <f t="shared" si="4"/>
        <v>0</v>
      </c>
      <c r="Q20" s="7"/>
      <c r="R20" s="7"/>
    </row>
    <row r="21" spans="1:18" x14ac:dyDescent="0.25">
      <c r="A21" s="1" t="s">
        <v>23</v>
      </c>
      <c r="B21" s="1" t="str">
        <f>VLOOKUP(A21,[4]LISTADHERENT!A$5:H$60,3,0)</f>
        <v>LOWE JEAN</v>
      </c>
      <c r="C21" s="7">
        <f t="shared" si="5"/>
        <v>10000</v>
      </c>
      <c r="D21" s="7">
        <f t="shared" si="6"/>
        <v>20000</v>
      </c>
      <c r="E21" s="7">
        <f t="shared" si="7"/>
        <v>0</v>
      </c>
      <c r="F21" s="5" t="s">
        <v>46</v>
      </c>
      <c r="G21" s="7">
        <f t="shared" si="8"/>
        <v>30000</v>
      </c>
      <c r="H21" s="7"/>
      <c r="I21" s="7"/>
      <c r="J21" s="5"/>
      <c r="K21" s="5"/>
      <c r="L21" s="4"/>
      <c r="M21" s="5"/>
      <c r="N21" s="5"/>
      <c r="O21" s="5"/>
      <c r="P21" s="7">
        <f t="shared" si="4"/>
        <v>0</v>
      </c>
      <c r="Q21" s="7"/>
      <c r="R21" s="7"/>
    </row>
    <row r="22" spans="1:18" x14ac:dyDescent="0.25">
      <c r="A22" s="1" t="s">
        <v>70</v>
      </c>
      <c r="B22" s="1" t="str">
        <f>VLOOKUP(A22,[4]LISTADHERENT!A$5:H$60,3,0)</f>
        <v>MBOGNING TUGMA GUY</v>
      </c>
      <c r="C22" s="7">
        <f t="shared" si="5"/>
        <v>10000</v>
      </c>
      <c r="D22" s="7">
        <f t="shared" si="6"/>
        <v>20000</v>
      </c>
      <c r="E22" s="7">
        <f t="shared" si="7"/>
        <v>0</v>
      </c>
      <c r="F22" s="5" t="s">
        <v>46</v>
      </c>
      <c r="G22" s="7">
        <f t="shared" si="8"/>
        <v>30000</v>
      </c>
      <c r="H22" s="7"/>
      <c r="I22" s="7"/>
      <c r="J22" s="5"/>
      <c r="K22" s="5"/>
      <c r="L22" s="4"/>
      <c r="M22" s="5"/>
      <c r="N22" s="5"/>
      <c r="O22" s="5"/>
      <c r="P22" s="7">
        <f t="shared" si="4"/>
        <v>0</v>
      </c>
      <c r="R22" s="7"/>
    </row>
    <row r="23" spans="1:18" x14ac:dyDescent="0.25">
      <c r="A23" s="1" t="s">
        <v>34</v>
      </c>
      <c r="B23" s="1" t="str">
        <f>VLOOKUP(A23,[4]LISTADHERENT!A$5:H$60,3,0)</f>
        <v>NANGUEN MARTIN</v>
      </c>
      <c r="C23" s="7">
        <f t="shared" si="5"/>
        <v>10000</v>
      </c>
      <c r="D23" s="7">
        <f t="shared" si="6"/>
        <v>20000</v>
      </c>
      <c r="E23" s="7">
        <f t="shared" si="7"/>
        <v>0</v>
      </c>
      <c r="F23" s="5" t="s">
        <v>46</v>
      </c>
      <c r="G23" s="7">
        <f t="shared" si="8"/>
        <v>30000</v>
      </c>
      <c r="H23" s="7"/>
      <c r="I23" s="7"/>
      <c r="J23" s="5"/>
      <c r="K23" s="5"/>
      <c r="L23" s="4"/>
      <c r="M23" s="5"/>
      <c r="N23" s="5"/>
      <c r="O23" s="5"/>
      <c r="P23" s="7">
        <f t="shared" si="4"/>
        <v>0</v>
      </c>
      <c r="Q23" s="7"/>
      <c r="R23" s="7"/>
    </row>
    <row r="24" spans="1:18" x14ac:dyDescent="0.25">
      <c r="A24" s="1" t="s">
        <v>24</v>
      </c>
      <c r="B24" s="1" t="str">
        <f>VLOOKUP(A24,[4]LISTADHERENT!A$5:H$60,3,0)</f>
        <v>NANKAM APPOLINAIRE</v>
      </c>
      <c r="C24" s="7">
        <f t="shared" si="5"/>
        <v>10000</v>
      </c>
      <c r="D24" s="7">
        <f t="shared" si="6"/>
        <v>20000</v>
      </c>
      <c r="E24" s="7">
        <f t="shared" si="7"/>
        <v>0</v>
      </c>
      <c r="F24" s="5" t="s">
        <v>46</v>
      </c>
      <c r="G24" s="7">
        <f t="shared" si="8"/>
        <v>30000</v>
      </c>
      <c r="H24" s="7"/>
      <c r="I24" s="7"/>
      <c r="J24" s="5"/>
      <c r="K24" s="5"/>
      <c r="L24" s="4"/>
      <c r="M24" s="5"/>
      <c r="N24" s="5"/>
      <c r="O24" s="5"/>
      <c r="P24" s="7">
        <f t="shared" si="4"/>
        <v>0</v>
      </c>
      <c r="Q24" s="7"/>
      <c r="R24" s="7"/>
    </row>
    <row r="25" spans="1:18" x14ac:dyDescent="0.25">
      <c r="A25" s="1" t="s">
        <v>25</v>
      </c>
      <c r="B25" s="1" t="str">
        <f>VLOOKUP(A25,[4]LISTADHERENT!A$5:H$60,3,0)</f>
        <v>NDJOMO ETIENNE</v>
      </c>
      <c r="C25" s="7">
        <f t="shared" si="5"/>
        <v>14000</v>
      </c>
      <c r="D25" s="7">
        <f t="shared" si="6"/>
        <v>20000</v>
      </c>
      <c r="E25" s="7">
        <f t="shared" si="7"/>
        <v>0</v>
      </c>
      <c r="F25" s="5" t="s">
        <v>46</v>
      </c>
      <c r="G25" s="7">
        <f>IF(F25="BANQUE",30000,IF(F25="ESPECES",30000,0))+4000</f>
        <v>34000</v>
      </c>
      <c r="H25" s="7"/>
      <c r="I25" s="7"/>
      <c r="J25" s="5"/>
      <c r="K25" s="5"/>
      <c r="L25" s="4"/>
      <c r="M25" s="5"/>
      <c r="N25" s="5"/>
      <c r="O25" s="5"/>
      <c r="P25" s="7">
        <f t="shared" si="4"/>
        <v>0</v>
      </c>
      <c r="Q25" s="7"/>
      <c r="R25" s="7"/>
    </row>
    <row r="26" spans="1:18" x14ac:dyDescent="0.25">
      <c r="A26" s="1" t="s">
        <v>26</v>
      </c>
      <c r="B26" s="1" t="str">
        <f>VLOOKUP(A26,[4]LISTADHERENT!A$5:H$60,3,0)</f>
        <v>NGONDIEP CLAUDE</v>
      </c>
      <c r="C26" s="7">
        <f t="shared" si="5"/>
        <v>20000</v>
      </c>
      <c r="D26" s="7">
        <f t="shared" si="6"/>
        <v>20000</v>
      </c>
      <c r="E26" s="7">
        <f t="shared" si="7"/>
        <v>0</v>
      </c>
      <c r="F26" s="5" t="s">
        <v>46</v>
      </c>
      <c r="G26" s="7">
        <f>IF(F26="BANQUE",30000,IF(F26="ESPECES",30000,0))+10000</f>
        <v>40000</v>
      </c>
      <c r="H26" s="7"/>
      <c r="I26" s="7"/>
      <c r="J26" s="5"/>
      <c r="K26" s="5"/>
      <c r="L26" s="4"/>
      <c r="M26" s="5"/>
      <c r="N26" s="5"/>
      <c r="O26" s="5"/>
      <c r="P26" s="7">
        <f t="shared" si="4"/>
        <v>0</v>
      </c>
      <c r="Q26" s="7"/>
      <c r="R26" s="7"/>
    </row>
    <row r="27" spans="1:18" x14ac:dyDescent="0.25">
      <c r="A27" s="1" t="s">
        <v>27</v>
      </c>
      <c r="B27" s="1" t="str">
        <f>VLOOKUP(A27,[4]LISTADHERENT!A$5:H$60,3,0)</f>
        <v>NGUIEMEGNI MATHIEU BLAISE</v>
      </c>
      <c r="C27" s="7">
        <f t="shared" si="5"/>
        <v>10000</v>
      </c>
      <c r="D27" s="7">
        <f t="shared" si="6"/>
        <v>20000</v>
      </c>
      <c r="E27" s="7">
        <f t="shared" si="7"/>
        <v>0</v>
      </c>
      <c r="F27" s="5" t="s">
        <v>46</v>
      </c>
      <c r="G27" s="7">
        <f t="shared" si="8"/>
        <v>30000</v>
      </c>
      <c r="H27" s="7"/>
      <c r="I27" s="7"/>
      <c r="J27" s="5"/>
      <c r="K27" s="5"/>
      <c r="L27" s="4"/>
      <c r="M27" s="5"/>
      <c r="N27" s="5"/>
      <c r="O27" s="5"/>
      <c r="P27" s="7">
        <f t="shared" si="4"/>
        <v>0</v>
      </c>
      <c r="Q27" s="7"/>
      <c r="R27" s="7"/>
    </row>
    <row r="28" spans="1:18" x14ac:dyDescent="0.25">
      <c r="A28" s="1" t="s">
        <v>28</v>
      </c>
      <c r="B28" s="1" t="str">
        <f>VLOOKUP(A28,[4]LISTADHERENT!A$5:H$60,3,0)</f>
        <v>NKAMGANG JUSTIN DEJOLIE</v>
      </c>
      <c r="C28" s="7">
        <f t="shared" si="5"/>
        <v>10000</v>
      </c>
      <c r="D28" s="7">
        <f t="shared" si="6"/>
        <v>20000</v>
      </c>
      <c r="E28" s="7">
        <f t="shared" si="7"/>
        <v>3000</v>
      </c>
      <c r="F28" s="5" t="s">
        <v>45</v>
      </c>
      <c r="G28" s="7">
        <f t="shared" si="8"/>
        <v>30000</v>
      </c>
      <c r="H28" s="7"/>
      <c r="I28" s="7"/>
      <c r="J28" s="5"/>
      <c r="K28" s="5"/>
      <c r="L28" s="4"/>
      <c r="M28" s="5"/>
      <c r="N28" s="5"/>
      <c r="O28" s="5"/>
      <c r="P28" s="7">
        <f t="shared" si="4"/>
        <v>0</v>
      </c>
      <c r="Q28" s="7"/>
      <c r="R28" s="7"/>
    </row>
    <row r="29" spans="1:18" x14ac:dyDescent="0.25">
      <c r="A29" s="1" t="s">
        <v>18</v>
      </c>
      <c r="B29" s="1" t="str">
        <f>VLOOKUP(A29,[4]LISTADHERENT!A$5:H$60,3,0)</f>
        <v>NKEHE DAVID</v>
      </c>
      <c r="C29" s="7">
        <f t="shared" si="5"/>
        <v>10000</v>
      </c>
      <c r="D29" s="7">
        <f t="shared" si="6"/>
        <v>20000</v>
      </c>
      <c r="E29" s="7">
        <f t="shared" si="7"/>
        <v>3000</v>
      </c>
      <c r="F29" s="5" t="s">
        <v>45</v>
      </c>
      <c r="G29" s="7">
        <f t="shared" si="8"/>
        <v>30000</v>
      </c>
      <c r="H29" s="7">
        <v>32000</v>
      </c>
      <c r="I29" s="7">
        <v>500</v>
      </c>
      <c r="J29" s="5" t="s">
        <v>45</v>
      </c>
      <c r="K29" s="5"/>
      <c r="L29" s="4"/>
      <c r="M29" s="5"/>
      <c r="N29" s="5"/>
      <c r="O29" s="5"/>
      <c r="P29" s="7">
        <f t="shared" si="4"/>
        <v>0</v>
      </c>
      <c r="Q29" s="7"/>
      <c r="R29" s="7"/>
    </row>
    <row r="30" spans="1:18" x14ac:dyDescent="0.25">
      <c r="A30" s="1" t="s">
        <v>29</v>
      </c>
      <c r="B30" s="1" t="str">
        <f>VLOOKUP(A30,[4]LISTADHERENT!A$5:H$60,3,0)</f>
        <v>NKEPSEU DIEUDONNE</v>
      </c>
      <c r="C30" s="7">
        <f t="shared" si="5"/>
        <v>10000</v>
      </c>
      <c r="D30" s="7">
        <f t="shared" si="6"/>
        <v>20000</v>
      </c>
      <c r="E30" s="7">
        <f t="shared" si="7"/>
        <v>0</v>
      </c>
      <c r="F30" s="5" t="s">
        <v>46</v>
      </c>
      <c r="G30" s="7">
        <f t="shared" si="8"/>
        <v>30000</v>
      </c>
      <c r="H30" s="7"/>
      <c r="I30" s="7"/>
      <c r="J30" s="5"/>
      <c r="K30" s="5"/>
      <c r="L30" s="4"/>
      <c r="M30" s="5"/>
      <c r="N30" s="5"/>
      <c r="O30" s="5"/>
      <c r="P30" s="7">
        <f t="shared" si="4"/>
        <v>0</v>
      </c>
      <c r="Q30" s="7"/>
      <c r="R30" s="7"/>
    </row>
    <row r="31" spans="1:18" x14ac:dyDescent="0.25">
      <c r="A31" s="1" t="s">
        <v>30</v>
      </c>
      <c r="B31" s="1" t="str">
        <f>VLOOKUP(A31,[4]LISTADHERENT!A$5:H$60,3,0)</f>
        <v>PATEGO NJOSSU GUSTAVE</v>
      </c>
      <c r="C31" s="7">
        <f t="shared" si="5"/>
        <v>10000</v>
      </c>
      <c r="D31" s="7">
        <f t="shared" si="6"/>
        <v>20000</v>
      </c>
      <c r="E31" s="7">
        <f t="shared" si="7"/>
        <v>0</v>
      </c>
      <c r="F31" s="5" t="s">
        <v>46</v>
      </c>
      <c r="G31" s="7">
        <f t="shared" si="8"/>
        <v>30000</v>
      </c>
      <c r="H31" s="7"/>
      <c r="I31" s="7"/>
      <c r="J31" s="5"/>
      <c r="K31" s="5"/>
      <c r="L31" s="4"/>
      <c r="M31" s="5"/>
      <c r="N31" s="5"/>
      <c r="O31" s="5"/>
      <c r="P31" s="7">
        <f t="shared" si="4"/>
        <v>0</v>
      </c>
      <c r="Q31" s="7"/>
      <c r="R31" s="7"/>
    </row>
    <row r="32" spans="1:18" x14ac:dyDescent="0.25">
      <c r="A32" s="1" t="s">
        <v>72</v>
      </c>
      <c r="B32" s="1" t="str">
        <f>VLOOKUP(A32,[4]LISTADHERENT!A$5:H$60,3,0)</f>
        <v>SIME BRICE</v>
      </c>
      <c r="C32" s="7">
        <f t="shared" si="5"/>
        <v>30000</v>
      </c>
      <c r="D32" s="7">
        <f t="shared" si="6"/>
        <v>20000</v>
      </c>
      <c r="E32" s="7">
        <f t="shared" si="7"/>
        <v>0</v>
      </c>
      <c r="F32" s="5" t="s">
        <v>46</v>
      </c>
      <c r="G32" s="7">
        <f>IF(F32="BANQUE",30000,IF(F32="ESPECES",30000,0))+20000</f>
        <v>50000</v>
      </c>
      <c r="H32" s="7"/>
      <c r="I32" s="7"/>
      <c r="J32" s="5"/>
      <c r="K32" s="5"/>
      <c r="L32" s="4"/>
      <c r="M32" s="5"/>
      <c r="N32" s="5"/>
      <c r="O32" s="5"/>
      <c r="P32" s="7">
        <f t="shared" si="4"/>
        <v>0</v>
      </c>
    </row>
    <row r="33" spans="1:18" x14ac:dyDescent="0.25">
      <c r="A33" s="1" t="s">
        <v>31</v>
      </c>
      <c r="B33" s="1" t="str">
        <f>VLOOKUP(A33,[4]LISTADHERENT!A$5:H$60,3,0)</f>
        <v>SIMO FONGANG ERIC</v>
      </c>
      <c r="C33" s="7">
        <f t="shared" si="5"/>
        <v>10000</v>
      </c>
      <c r="D33" s="7">
        <f t="shared" si="6"/>
        <v>20000</v>
      </c>
      <c r="E33" s="7">
        <f t="shared" si="7"/>
        <v>0</v>
      </c>
      <c r="F33" s="5" t="s">
        <v>46</v>
      </c>
      <c r="G33" s="7">
        <f t="shared" si="8"/>
        <v>30000</v>
      </c>
      <c r="H33" s="7"/>
      <c r="I33" s="7"/>
      <c r="J33" s="5"/>
      <c r="K33" s="5"/>
      <c r="L33" s="4"/>
      <c r="M33" s="5"/>
      <c r="N33" s="5"/>
      <c r="O33" s="5"/>
      <c r="P33" s="7">
        <f t="shared" si="4"/>
        <v>0</v>
      </c>
      <c r="Q33" s="7"/>
      <c r="R33" s="7"/>
    </row>
    <row r="34" spans="1:18" x14ac:dyDescent="0.25">
      <c r="A34" s="1" t="s">
        <v>32</v>
      </c>
      <c r="B34" s="1" t="str">
        <f>VLOOKUP(A34,[4]LISTADHERENT!A$5:H$60,3,0)</f>
        <v>SIME MATHIEU</v>
      </c>
      <c r="C34" s="7">
        <f t="shared" si="5"/>
        <v>10000</v>
      </c>
      <c r="D34" s="7">
        <f t="shared" si="6"/>
        <v>20000</v>
      </c>
      <c r="E34" s="7">
        <f t="shared" si="7"/>
        <v>0</v>
      </c>
      <c r="F34" s="5" t="s">
        <v>46</v>
      </c>
      <c r="G34" s="7">
        <f t="shared" si="8"/>
        <v>30000</v>
      </c>
      <c r="H34" s="7"/>
      <c r="I34" s="7"/>
      <c r="J34" s="5"/>
      <c r="K34" s="5"/>
      <c r="L34" s="4"/>
      <c r="M34" s="5"/>
      <c r="N34" s="5"/>
      <c r="O34" s="5"/>
      <c r="P34" s="7">
        <f t="shared" si="4"/>
        <v>0</v>
      </c>
      <c r="Q34" s="7"/>
      <c r="R34" s="7"/>
    </row>
    <row r="35" spans="1:18" x14ac:dyDescent="0.25">
      <c r="A35" s="1" t="s">
        <v>33</v>
      </c>
      <c r="B35" s="1" t="str">
        <f>VLOOKUP(A35,[4]LISTADHERENT!A$5:H$60,3,0)</f>
        <v>SIMO PIERRE</v>
      </c>
      <c r="C35" s="7">
        <f t="shared" si="5"/>
        <v>10000</v>
      </c>
      <c r="D35" s="7">
        <f t="shared" si="6"/>
        <v>20000</v>
      </c>
      <c r="E35" s="7">
        <f t="shared" si="7"/>
        <v>0</v>
      </c>
      <c r="F35" s="5" t="s">
        <v>46</v>
      </c>
      <c r="G35" s="7">
        <f t="shared" si="8"/>
        <v>30000</v>
      </c>
      <c r="H35" s="7"/>
      <c r="I35" s="7"/>
      <c r="J35" s="5"/>
      <c r="K35" s="5"/>
      <c r="L35" s="4"/>
      <c r="M35" s="5"/>
      <c r="N35" s="5"/>
      <c r="O35" s="5"/>
      <c r="P35" s="7">
        <f t="shared" si="4"/>
        <v>0</v>
      </c>
      <c r="Q35" s="7"/>
      <c r="R35" s="7"/>
    </row>
    <row r="36" spans="1:18" x14ac:dyDescent="0.25">
      <c r="A36" s="1" t="s">
        <v>35</v>
      </c>
      <c r="B36" s="1" t="str">
        <f>VLOOKUP(A36,[4]LISTADHERENT!A$5:H$60,3,0)</f>
        <v>TCHOUAMOU MATHIEU</v>
      </c>
      <c r="C36" s="7">
        <f t="shared" si="5"/>
        <v>10000</v>
      </c>
      <c r="D36" s="7">
        <f t="shared" si="6"/>
        <v>20000</v>
      </c>
      <c r="E36" s="7">
        <f t="shared" si="7"/>
        <v>0</v>
      </c>
      <c r="F36" s="5" t="s">
        <v>46</v>
      </c>
      <c r="G36" s="7">
        <f t="shared" si="8"/>
        <v>30000</v>
      </c>
      <c r="H36" s="7"/>
      <c r="I36" s="7"/>
      <c r="J36" s="5"/>
      <c r="K36" s="5"/>
      <c r="L36" s="4"/>
      <c r="M36" s="5"/>
      <c r="N36" s="5"/>
      <c r="O36" s="5"/>
      <c r="P36" s="7">
        <f t="shared" si="4"/>
        <v>0</v>
      </c>
      <c r="Q36" s="7"/>
      <c r="R36" s="7"/>
    </row>
    <row r="37" spans="1:18" x14ac:dyDescent="0.25">
      <c r="A37" s="1" t="s">
        <v>36</v>
      </c>
      <c r="B37" s="1" t="str">
        <f>VLOOKUP(A37,[4]LISTADHERENT!A$5:H$60,3,0)</f>
        <v>TIEYAM ERNEST</v>
      </c>
      <c r="C37" s="7">
        <f t="shared" si="5"/>
        <v>10000</v>
      </c>
      <c r="D37" s="7">
        <f t="shared" si="6"/>
        <v>20000</v>
      </c>
      <c r="E37" s="7">
        <f t="shared" si="7"/>
        <v>0</v>
      </c>
      <c r="F37" s="5" t="s">
        <v>46</v>
      </c>
      <c r="G37" s="7">
        <f t="shared" si="8"/>
        <v>30000</v>
      </c>
      <c r="H37" s="7"/>
      <c r="I37" s="7"/>
      <c r="J37" s="5"/>
      <c r="K37" s="5"/>
      <c r="L37" s="4"/>
      <c r="M37" s="5"/>
      <c r="N37" s="5"/>
      <c r="O37" s="5"/>
      <c r="P37" s="7">
        <f t="shared" si="4"/>
        <v>0</v>
      </c>
      <c r="Q37" s="7"/>
      <c r="R37" s="7"/>
    </row>
    <row r="38" spans="1:18" x14ac:dyDescent="0.25">
      <c r="A38" s="1" t="s">
        <v>37</v>
      </c>
      <c r="B38" s="1" t="str">
        <f>VLOOKUP(A38,[4]LISTADHERENT!A$5:H$60,3,0)</f>
        <v>YEPMOU JEAN JACQUES</v>
      </c>
      <c r="C38" s="7">
        <f t="shared" si="5"/>
        <v>10000</v>
      </c>
      <c r="D38" s="7">
        <f t="shared" si="6"/>
        <v>20000</v>
      </c>
      <c r="E38" s="7">
        <f t="shared" si="7"/>
        <v>3000</v>
      </c>
      <c r="F38" s="5" t="s">
        <v>45</v>
      </c>
      <c r="G38" s="7">
        <f t="shared" si="8"/>
        <v>30000</v>
      </c>
      <c r="H38" s="7"/>
      <c r="I38" s="7"/>
      <c r="J38" s="5"/>
      <c r="K38" s="5"/>
      <c r="L38" s="4"/>
      <c r="M38" s="5"/>
      <c r="N38" s="5"/>
      <c r="O38" s="5"/>
      <c r="P38" s="7">
        <f t="shared" si="4"/>
        <v>0</v>
      </c>
      <c r="Q38" s="7"/>
      <c r="R38" s="7"/>
    </row>
    <row r="39" spans="1:18" x14ac:dyDescent="0.25">
      <c r="A39" s="1" t="s">
        <v>38</v>
      </c>
      <c r="B39" s="1" t="str">
        <f>VLOOKUP(A39,[4]LISTADHERENT!A$5:H$60,3,0)</f>
        <v>YOUMBI EMMANUEL</v>
      </c>
      <c r="C39" s="7">
        <f t="shared" si="5"/>
        <v>10000</v>
      </c>
      <c r="D39" s="7">
        <f t="shared" si="6"/>
        <v>20000</v>
      </c>
      <c r="E39" s="7">
        <f t="shared" si="7"/>
        <v>0</v>
      </c>
      <c r="F39" s="5" t="s">
        <v>46</v>
      </c>
      <c r="G39" s="7">
        <f t="shared" si="8"/>
        <v>30000</v>
      </c>
      <c r="H39" s="7"/>
      <c r="I39" s="7"/>
      <c r="J39" s="5"/>
      <c r="K39" s="5"/>
      <c r="L39" s="4"/>
      <c r="M39" s="5"/>
      <c r="N39" s="5"/>
      <c r="O39" s="5"/>
      <c r="P39" s="7">
        <f t="shared" si="4"/>
        <v>0</v>
      </c>
      <c r="Q39" s="7"/>
      <c r="R39" s="7"/>
    </row>
    <row r="40" spans="1:18" x14ac:dyDescent="0.25">
      <c r="A40" s="1" t="s">
        <v>92</v>
      </c>
      <c r="B40" s="1" t="str">
        <f>VLOOKUP(A40,[4]LISTADHERENT!A$5:H$60,3,0)</f>
        <v>TCHEMHOU EMMANUEL</v>
      </c>
      <c r="C40" s="7"/>
      <c r="D40" s="7"/>
      <c r="E40" s="7"/>
      <c r="F40" s="5"/>
      <c r="G40" s="7"/>
      <c r="H40" s="7"/>
      <c r="I40" s="7"/>
      <c r="J40" s="5"/>
      <c r="K40" s="5"/>
      <c r="L40" s="7"/>
      <c r="M40" s="4"/>
      <c r="N40" s="5"/>
      <c r="O40" s="5"/>
      <c r="P40" s="7"/>
    </row>
    <row r="41" spans="1:18" x14ac:dyDescent="0.25">
      <c r="A41" s="1"/>
      <c r="B41" s="1"/>
      <c r="C41" s="7"/>
      <c r="D41" s="7"/>
      <c r="E41" s="7"/>
      <c r="F41" s="5"/>
      <c r="G41" s="7"/>
      <c r="H41" s="7"/>
      <c r="I41" s="7"/>
      <c r="J41" s="5"/>
      <c r="K41" s="5"/>
      <c r="L41" s="7"/>
      <c r="M41" s="5"/>
      <c r="N41" s="5"/>
      <c r="O41" s="5"/>
      <c r="P41" s="7"/>
    </row>
    <row r="42" spans="1:18" x14ac:dyDescent="0.25">
      <c r="A42" s="1"/>
      <c r="B42" s="1"/>
      <c r="C42" s="7"/>
      <c r="D42" s="7"/>
      <c r="E42" s="7"/>
      <c r="F42" s="5"/>
      <c r="G42" s="7"/>
      <c r="H42" s="7"/>
      <c r="I42" s="7"/>
      <c r="J42" s="5"/>
      <c r="K42" s="5"/>
      <c r="L42" s="7"/>
      <c r="M42" s="5"/>
      <c r="N42" s="5"/>
      <c r="O42" s="5"/>
      <c r="P42" s="7"/>
    </row>
    <row r="43" spans="1:18" x14ac:dyDescent="0.25">
      <c r="A43" s="1"/>
      <c r="B43" s="1"/>
      <c r="C43" s="7"/>
      <c r="D43" s="7"/>
      <c r="E43" s="7"/>
      <c r="F43" s="5"/>
      <c r="G43" s="7"/>
      <c r="H43" s="7"/>
      <c r="I43" s="7"/>
      <c r="J43" s="5"/>
      <c r="K43" s="5"/>
      <c r="L43" s="7"/>
      <c r="M43" s="5"/>
      <c r="N43" s="5"/>
      <c r="O43" s="5"/>
      <c r="P43" s="7"/>
    </row>
    <row r="44" spans="1:18" x14ac:dyDescent="0.25">
      <c r="A44" s="1"/>
      <c r="B44" s="1"/>
      <c r="C44" s="1"/>
      <c r="D44" s="1"/>
      <c r="E44" s="1"/>
      <c r="F44" s="1"/>
      <c r="M44" s="1"/>
      <c r="N44" s="1"/>
    </row>
    <row r="45" spans="1:18" x14ac:dyDescent="0.25">
      <c r="A45" s="1"/>
      <c r="B45" s="1"/>
      <c r="C45" s="1"/>
      <c r="D45" s="1"/>
      <c r="E45" s="1"/>
      <c r="F45" s="1"/>
      <c r="M45" s="1"/>
      <c r="N45" s="1"/>
    </row>
    <row r="46" spans="1:18" ht="18" x14ac:dyDescent="0.25">
      <c r="A46" s="1" t="s">
        <v>39</v>
      </c>
      <c r="B46" s="1"/>
      <c r="C46" s="8">
        <f>SUM(C7:C45)</f>
        <v>357000</v>
      </c>
      <c r="D46" s="8">
        <f t="shared" ref="D46:R46" si="9">SUM(D7:D45)</f>
        <v>640000</v>
      </c>
      <c r="E46" s="8">
        <f t="shared" si="9"/>
        <v>12000</v>
      </c>
      <c r="F46" s="8">
        <f t="shared" si="9"/>
        <v>0</v>
      </c>
      <c r="G46" s="8">
        <f t="shared" si="9"/>
        <v>997000</v>
      </c>
      <c r="H46" s="8">
        <f t="shared" si="9"/>
        <v>107000</v>
      </c>
      <c r="I46" s="8">
        <f t="shared" si="9"/>
        <v>2000</v>
      </c>
      <c r="J46" s="8">
        <f t="shared" si="9"/>
        <v>0</v>
      </c>
      <c r="K46" s="8">
        <f t="shared" si="9"/>
        <v>0</v>
      </c>
      <c r="L46" s="8">
        <f t="shared" si="9"/>
        <v>0</v>
      </c>
      <c r="M46" s="8">
        <f t="shared" si="9"/>
        <v>0</v>
      </c>
      <c r="N46" s="8">
        <f t="shared" si="9"/>
        <v>0</v>
      </c>
      <c r="O46" s="8">
        <f t="shared" si="9"/>
        <v>0</v>
      </c>
      <c r="P46" s="8">
        <f t="shared" si="9"/>
        <v>533000</v>
      </c>
      <c r="Q46" s="8">
        <f t="shared" si="9"/>
        <v>67000</v>
      </c>
      <c r="R46" s="8">
        <f t="shared" si="9"/>
        <v>0</v>
      </c>
    </row>
    <row r="48" spans="1:18" x14ac:dyDescent="0.25">
      <c r="I48" s="9"/>
    </row>
    <row r="49" spans="4:15" ht="18" x14ac:dyDescent="0.25">
      <c r="G49" s="8" t="s">
        <v>75</v>
      </c>
      <c r="H49" s="8">
        <f>D73+H73+Q46</f>
        <v>707000</v>
      </c>
      <c r="I49" s="8"/>
      <c r="J49" s="8"/>
      <c r="K49" s="8"/>
      <c r="O49" s="8"/>
    </row>
    <row r="50" spans="4:15" ht="18" x14ac:dyDescent="0.25">
      <c r="G50" s="8" t="s">
        <v>76</v>
      </c>
      <c r="H50" s="8">
        <f>IF(H49&gt;=900000,300000*3,300000*2)</f>
        <v>600000</v>
      </c>
      <c r="I50" s="9"/>
    </row>
    <row r="51" spans="4:15" ht="18" x14ac:dyDescent="0.25">
      <c r="D51" s="4" t="s">
        <v>47</v>
      </c>
      <c r="E51" s="8">
        <f>+D46</f>
        <v>640000</v>
      </c>
      <c r="I51" s="8"/>
      <c r="J51" s="8"/>
      <c r="K51" s="8"/>
      <c r="O51" s="8"/>
    </row>
    <row r="52" spans="4:15" ht="43.5" x14ac:dyDescent="0.25">
      <c r="D52" s="4" t="s">
        <v>65</v>
      </c>
      <c r="E52" s="8">
        <f>E46</f>
        <v>12000</v>
      </c>
      <c r="F52" s="8"/>
      <c r="G52" s="8" t="s">
        <v>74</v>
      </c>
      <c r="H52" s="8">
        <f>H49-H50</f>
        <v>107000</v>
      </c>
      <c r="L52" s="12"/>
      <c r="M52" s="8"/>
      <c r="N52" s="8"/>
    </row>
    <row r="53" spans="4:15" ht="18" x14ac:dyDescent="0.25">
      <c r="D53" s="4" t="s">
        <v>60</v>
      </c>
      <c r="E53" s="8">
        <f>+H46</f>
        <v>107000</v>
      </c>
    </row>
    <row r="54" spans="4:15" ht="29.25" x14ac:dyDescent="0.25">
      <c r="D54" s="4" t="s">
        <v>79</v>
      </c>
      <c r="E54" s="8">
        <f>+I46</f>
        <v>2000</v>
      </c>
      <c r="G54" s="8" t="s">
        <v>78</v>
      </c>
      <c r="H54" s="8">
        <f>H52-H46</f>
        <v>0</v>
      </c>
      <c r="J54" s="8" t="s">
        <v>94</v>
      </c>
    </row>
    <row r="55" spans="4:15" ht="29.25" x14ac:dyDescent="0.25">
      <c r="D55" s="4" t="s">
        <v>66</v>
      </c>
      <c r="E55" s="8">
        <f>+L46</f>
        <v>0</v>
      </c>
    </row>
    <row r="56" spans="4:15" ht="29.25" x14ac:dyDescent="0.25">
      <c r="D56" s="4" t="s">
        <v>67</v>
      </c>
      <c r="E56" s="8">
        <f>+Q46</f>
        <v>67000</v>
      </c>
    </row>
    <row r="57" spans="4:15" ht="18" x14ac:dyDescent="0.25">
      <c r="D57" s="4" t="s">
        <v>51</v>
      </c>
      <c r="E57" s="8">
        <f>[5]MVTNOV!$G$49</f>
        <v>0</v>
      </c>
    </row>
    <row r="58" spans="4:15" ht="18" x14ac:dyDescent="0.25">
      <c r="D58" s="4" t="s">
        <v>41</v>
      </c>
      <c r="E58" s="8">
        <f>[5]MVTNOV!$G$50</f>
        <v>221000</v>
      </c>
    </row>
    <row r="59" spans="4:15" ht="29.25" x14ac:dyDescent="0.25">
      <c r="D59" s="4" t="s">
        <v>42</v>
      </c>
      <c r="E59" s="8">
        <f>[5]MVTNOV!$G$51</f>
        <v>16000</v>
      </c>
    </row>
    <row r="60" spans="4:15" ht="29.25" x14ac:dyDescent="0.25">
      <c r="D60" s="4" t="s">
        <v>43</v>
      </c>
      <c r="E60" s="8">
        <f>[5]MVTNOV!$G$52</f>
        <v>32000</v>
      </c>
    </row>
    <row r="61" spans="4:15" ht="18" x14ac:dyDescent="0.25">
      <c r="D61" s="4" t="s">
        <v>44</v>
      </c>
      <c r="E61" s="8">
        <f>[5]MVTNOV!$G$53</f>
        <v>80000</v>
      </c>
    </row>
    <row r="62" spans="4:15" ht="18" x14ac:dyDescent="0.25">
      <c r="D62" s="4" t="s">
        <v>52</v>
      </c>
      <c r="E62" s="8">
        <f>[5]MVTNOV!$G$55</f>
        <v>214500</v>
      </c>
    </row>
    <row r="63" spans="4:15" ht="18" x14ac:dyDescent="0.25">
      <c r="D63" s="4" t="s">
        <v>48</v>
      </c>
      <c r="E63" s="8">
        <f>[5]MVTNOV!$G$56</f>
        <v>17780000</v>
      </c>
    </row>
    <row r="64" spans="4:15" ht="18" x14ac:dyDescent="0.25">
      <c r="D64" s="4" t="s">
        <v>49</v>
      </c>
      <c r="E64" s="8">
        <f>[5]MVTNOV!$G$57</f>
        <v>1462300</v>
      </c>
    </row>
    <row r="65" spans="1:18" ht="29.25" x14ac:dyDescent="0.25">
      <c r="D65" s="4" t="s">
        <v>50</v>
      </c>
      <c r="E65" s="8">
        <f>[5]MVTNOV!$G$58</f>
        <v>0</v>
      </c>
    </row>
    <row r="66" spans="1:18" ht="29.25" x14ac:dyDescent="0.25">
      <c r="D66" s="4" t="s">
        <v>87</v>
      </c>
      <c r="E66" s="8">
        <f>[5]MVTNOV!$G$59</f>
        <v>0</v>
      </c>
    </row>
    <row r="67" spans="1:18" s="2" customFormat="1" ht="18" x14ac:dyDescent="0.25">
      <c r="A67"/>
      <c r="B67"/>
      <c r="C67"/>
      <c r="D67" s="4" t="s">
        <v>53</v>
      </c>
      <c r="E67" s="8">
        <f>[5]MVTNOV!$G$60</f>
        <v>0</v>
      </c>
      <c r="F67"/>
      <c r="H67"/>
      <c r="I67" s="3"/>
      <c r="J67" s="3"/>
      <c r="K67" s="3"/>
      <c r="M67"/>
      <c r="N67"/>
      <c r="O67" s="3"/>
      <c r="R67"/>
    </row>
    <row r="68" spans="1:18" s="2" customFormat="1" ht="18" x14ac:dyDescent="0.25">
      <c r="A68"/>
      <c r="B68"/>
      <c r="C68"/>
      <c r="D68" s="4"/>
      <c r="E68" s="8"/>
      <c r="F68"/>
      <c r="H68"/>
      <c r="I68" s="3"/>
      <c r="J68" s="3"/>
      <c r="K68" s="3"/>
      <c r="M68"/>
      <c r="N68"/>
      <c r="O68" s="3"/>
      <c r="R68"/>
    </row>
    <row r="69" spans="1:18" s="2" customFormat="1" ht="43.5" x14ac:dyDescent="0.25">
      <c r="A69"/>
      <c r="B69"/>
      <c r="C69"/>
      <c r="D69" s="4" t="s">
        <v>6</v>
      </c>
      <c r="E69"/>
      <c r="F69" s="4" t="s">
        <v>73</v>
      </c>
      <c r="G69" s="4" t="s">
        <v>68</v>
      </c>
      <c r="H69" s="4" t="s">
        <v>55</v>
      </c>
      <c r="I69" s="4" t="s">
        <v>60</v>
      </c>
      <c r="J69" s="4" t="s">
        <v>62</v>
      </c>
      <c r="K69" s="4"/>
      <c r="L69" s="4" t="s">
        <v>63</v>
      </c>
      <c r="M69" s="4"/>
      <c r="N69"/>
      <c r="O69" s="4"/>
      <c r="R69"/>
    </row>
    <row r="70" spans="1:18" s="2" customFormat="1" ht="18" x14ac:dyDescent="0.25">
      <c r="A70"/>
      <c r="B70"/>
      <c r="C70"/>
      <c r="D70" s="8">
        <f>SUMIFS(D7:D45,F7:F45,"ESPECES")+10000</f>
        <v>90000</v>
      </c>
      <c r="E70" s="8" t="s">
        <v>45</v>
      </c>
      <c r="F70" s="8">
        <f>SUMIFS(G7:G45,F7:F45,"ESPECES")</f>
        <v>120000</v>
      </c>
      <c r="G70" s="8">
        <f>+E46</f>
        <v>12000</v>
      </c>
      <c r="H70" s="8">
        <f>SUMIFS(L7:L45,M7:M45,"ESPECES")</f>
        <v>0</v>
      </c>
      <c r="I70" s="8">
        <f>SUMIFS(H7:H45,J7:J45,"ESPECES")</f>
        <v>107000</v>
      </c>
      <c r="J70" s="8">
        <f>SUMIFS(P7:P45,N7:N45,"ESPECES")</f>
        <v>0</v>
      </c>
      <c r="K70" s="8"/>
      <c r="L70" s="8">
        <f>F70+H70+G70-I70-J70</f>
        <v>25000</v>
      </c>
      <c r="M70" s="8"/>
      <c r="N70" s="4"/>
      <c r="O70" s="8"/>
      <c r="R70"/>
    </row>
    <row r="71" spans="1:18" s="2" customFormat="1" ht="18" x14ac:dyDescent="0.25">
      <c r="A71"/>
      <c r="B71"/>
      <c r="C71"/>
      <c r="D71" s="8">
        <f>SUMIFS(D7:D45,F7:F45,"BANQUE")-10000</f>
        <v>550000</v>
      </c>
      <c r="E71" s="8" t="s">
        <v>46</v>
      </c>
      <c r="F71" s="8">
        <f>SUMIFS(G7:G45,F7:F45,"BANQUE")</f>
        <v>877000</v>
      </c>
      <c r="H71" s="8">
        <f>SUMIFS(L7:L45,M7:M45,"BANQUE")</f>
        <v>0</v>
      </c>
      <c r="I71" s="8">
        <f>SUMIFS(H7:H45,J7:J45,"BANQUE")</f>
        <v>0</v>
      </c>
      <c r="J71" s="8">
        <f>SUMIFS(P7:P45,M7:M45,"BANQUE")</f>
        <v>0</v>
      </c>
      <c r="K71" s="8"/>
      <c r="L71" s="8">
        <f>F71+H71-I71-J71</f>
        <v>877000</v>
      </c>
      <c r="M71" s="8"/>
      <c r="N71" s="8"/>
      <c r="O71" s="8"/>
      <c r="R71"/>
    </row>
    <row r="72" spans="1:18" s="2" customFormat="1" ht="18" x14ac:dyDescent="0.25">
      <c r="A72"/>
      <c r="B72"/>
      <c r="C72"/>
      <c r="D72" s="8"/>
      <c r="E72" s="8"/>
      <c r="F72" s="8"/>
      <c r="H72" s="8"/>
      <c r="I72" s="8"/>
      <c r="J72" s="8"/>
      <c r="K72" s="8"/>
      <c r="L72" s="8"/>
      <c r="M72" s="8"/>
      <c r="N72" s="8"/>
      <c r="O72" s="8"/>
      <c r="R72"/>
    </row>
    <row r="73" spans="1:18" s="2" customFormat="1" ht="18" x14ac:dyDescent="0.25">
      <c r="A73"/>
      <c r="B73"/>
      <c r="C73"/>
      <c r="D73" s="8">
        <f>D70+D71</f>
        <v>640000</v>
      </c>
      <c r="E73" s="8" t="s">
        <v>39</v>
      </c>
      <c r="F73" s="8">
        <f>F70+F71</f>
        <v>997000</v>
      </c>
      <c r="H73" s="8">
        <f>H70+H71</f>
        <v>0</v>
      </c>
      <c r="I73" s="8">
        <f>I70+I71</f>
        <v>107000</v>
      </c>
      <c r="J73" s="8">
        <v>0</v>
      </c>
      <c r="K73" s="8"/>
      <c r="L73" s="8">
        <f>F73+H73-I73-J73</f>
        <v>890000</v>
      </c>
      <c r="M73" s="8"/>
      <c r="N73" s="8"/>
      <c r="O73" s="8"/>
      <c r="R73"/>
    </row>
    <row r="74" spans="1:18" s="2" customFormat="1" ht="18" x14ac:dyDescent="0.25">
      <c r="A74"/>
      <c r="B74"/>
      <c r="C74"/>
      <c r="D74" s="8">
        <f>D73+R46</f>
        <v>640000</v>
      </c>
      <c r="E74" s="8" t="s">
        <v>82</v>
      </c>
      <c r="F74"/>
      <c r="H74"/>
      <c r="I74" s="3"/>
      <c r="J74" s="3"/>
      <c r="K74" s="3"/>
      <c r="M74"/>
      <c r="N74" s="8"/>
      <c r="O74" s="3"/>
      <c r="R74"/>
    </row>
    <row r="75" spans="1:18" s="2" customFormat="1" ht="18" x14ac:dyDescent="0.25">
      <c r="A75"/>
      <c r="B75"/>
      <c r="C75"/>
      <c r="D75" s="4" t="s">
        <v>6</v>
      </c>
      <c r="E75" s="8">
        <v>300000</v>
      </c>
      <c r="F75"/>
      <c r="H75"/>
      <c r="I75" s="3"/>
      <c r="J75" s="3"/>
      <c r="K75" s="3"/>
      <c r="M75"/>
      <c r="N75"/>
      <c r="O75" s="3"/>
      <c r="R75"/>
    </row>
    <row r="76" spans="1:18" s="2" customFormat="1" ht="29.25" x14ac:dyDescent="0.25">
      <c r="A76"/>
      <c r="B76"/>
      <c r="C76"/>
      <c r="D76" s="10" t="s">
        <v>64</v>
      </c>
      <c r="E76" s="11">
        <f>L46+Q46</f>
        <v>67000</v>
      </c>
      <c r="F76"/>
      <c r="H76"/>
      <c r="I76" s="3"/>
      <c r="J76" s="3"/>
      <c r="K76" s="3"/>
      <c r="M76"/>
      <c r="N76"/>
      <c r="O76" s="3"/>
      <c r="R76"/>
    </row>
    <row r="78" spans="1:18" x14ac:dyDescent="0.25">
      <c r="E78" s="2"/>
    </row>
  </sheetData>
  <autoFilter ref="A5:R39">
    <sortState ref="A5:L48">
      <sortCondition ref="B5:B48"/>
    </sortState>
  </autoFilter>
  <mergeCells count="1">
    <mergeCell ref="C4:I4"/>
  </mergeCells>
  <dataValidations count="1">
    <dataValidation type="list" allowBlank="1" showInputMessage="1" showErrorMessage="1" sqref="M41:M43 F6:F43 J6:K43 M6:N39 O6:O43 N40:N43">
      <formula1>MODEVERSEMENTS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8"/>
  <sheetViews>
    <sheetView workbookViewId="0">
      <pane xSplit="2" ySplit="5" topLeftCell="C51" activePane="bottomRight" state="frozen"/>
      <selection activeCell="J54" sqref="J54"/>
      <selection pane="topRight" activeCell="J54" sqref="J54"/>
      <selection pane="bottomLeft" activeCell="J54" sqref="J54"/>
      <selection pane="bottomRight" activeCell="I54" sqref="I54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15" bestFit="1" customWidth="1"/>
    <col min="4" max="4" width="21" customWidth="1"/>
    <col min="5" max="6" width="16.7109375" customWidth="1"/>
    <col min="7" max="7" width="15" style="2" bestFit="1" customWidth="1"/>
    <col min="8" max="8" width="15" bestFit="1" customWidth="1"/>
    <col min="9" max="9" width="17.5703125" style="3" bestFit="1" customWidth="1"/>
    <col min="10" max="10" width="17.5703125" style="3" customWidth="1"/>
    <col min="11" max="11" width="16" style="3" customWidth="1"/>
    <col min="12" max="12" width="15.7109375" style="2" customWidth="1"/>
    <col min="13" max="14" width="13" customWidth="1"/>
    <col min="15" max="15" width="15.5703125" style="3" customWidth="1"/>
    <col min="16" max="17" width="18.140625" style="2" bestFit="1" customWidth="1"/>
    <col min="18" max="18" width="12.5703125" bestFit="1" customWidth="1"/>
  </cols>
  <sheetData>
    <row r="1" spans="1:18" x14ac:dyDescent="0.25">
      <c r="A1" s="1" t="s">
        <v>0</v>
      </c>
      <c r="B1" s="1" t="s">
        <v>1</v>
      </c>
      <c r="C1" s="1"/>
      <c r="D1" s="1"/>
      <c r="E1" s="1"/>
      <c r="F1" s="1"/>
      <c r="M1" s="1"/>
      <c r="N1" s="1"/>
    </row>
    <row r="2" spans="1:18" x14ac:dyDescent="0.25">
      <c r="A2" s="1" t="s">
        <v>2</v>
      </c>
      <c r="B2" s="1" t="s">
        <v>80</v>
      </c>
      <c r="C2" s="1"/>
      <c r="D2" s="1"/>
      <c r="E2" s="1"/>
      <c r="F2" s="1"/>
      <c r="M2" s="1"/>
      <c r="N2" s="1"/>
    </row>
    <row r="3" spans="1:18" x14ac:dyDescent="0.25">
      <c r="A3" s="1" t="s">
        <v>3</v>
      </c>
      <c r="B3" s="6">
        <v>30000</v>
      </c>
      <c r="C3" s="1"/>
      <c r="D3" s="1"/>
      <c r="E3" s="1"/>
      <c r="F3" s="1"/>
      <c r="M3" s="1"/>
      <c r="N3" s="1"/>
    </row>
    <row r="4" spans="1:18" ht="18" x14ac:dyDescent="0.25">
      <c r="B4" s="13"/>
      <c r="C4" s="20">
        <v>43814</v>
      </c>
      <c r="D4" s="21"/>
      <c r="E4" s="21"/>
      <c r="F4" s="21"/>
      <c r="G4" s="21"/>
      <c r="H4" s="21"/>
      <c r="I4" s="21"/>
      <c r="J4" s="16"/>
      <c r="K4" s="16"/>
      <c r="L4" s="16"/>
      <c r="M4" s="16"/>
      <c r="O4" s="16"/>
      <c r="P4"/>
      <c r="Q4"/>
    </row>
    <row r="5" spans="1:18" ht="57.75" x14ac:dyDescent="0.25">
      <c r="A5" s="1" t="s">
        <v>4</v>
      </c>
      <c r="B5" s="1" t="s">
        <v>5</v>
      </c>
      <c r="C5" s="1" t="s">
        <v>40</v>
      </c>
      <c r="D5" s="4" t="s">
        <v>6</v>
      </c>
      <c r="E5" s="1" t="s">
        <v>65</v>
      </c>
      <c r="F5" s="5" t="s">
        <v>7</v>
      </c>
      <c r="G5" s="4" t="s">
        <v>8</v>
      </c>
      <c r="H5" s="6" t="s">
        <v>60</v>
      </c>
      <c r="I5" s="4" t="s">
        <v>57</v>
      </c>
      <c r="J5" s="4" t="s">
        <v>61</v>
      </c>
      <c r="K5" s="14" t="s">
        <v>77</v>
      </c>
      <c r="L5" s="4" t="s">
        <v>55</v>
      </c>
      <c r="M5" s="4" t="s">
        <v>54</v>
      </c>
      <c r="N5" s="4" t="s">
        <v>58</v>
      </c>
      <c r="O5" s="4" t="s">
        <v>77</v>
      </c>
      <c r="P5" s="4" t="s">
        <v>56</v>
      </c>
      <c r="Q5" s="6" t="s">
        <v>59</v>
      </c>
      <c r="R5" s="4" t="s">
        <v>81</v>
      </c>
    </row>
    <row r="6" spans="1:18" x14ac:dyDescent="0.25">
      <c r="A6" s="1" t="s">
        <v>69</v>
      </c>
      <c r="B6" s="1" t="str">
        <f>VLOOKUP(A6,[4]LISTADHERENT!A$5:H$60,3,0)</f>
        <v>ASELBY</v>
      </c>
      <c r="C6" s="7">
        <f t="shared" ref="C6" si="0">IF(G6=0,0,G6-D6)</f>
        <v>0</v>
      </c>
      <c r="D6" s="7">
        <f t="shared" ref="D6" si="1">IF(F6="ECHEC",0,IF(F6="",0,20000))</f>
        <v>0</v>
      </c>
      <c r="E6" s="7">
        <f t="shared" ref="E6" si="2">IF(F6="ESPECES",3000,0)</f>
        <v>0</v>
      </c>
      <c r="F6" s="5" t="s">
        <v>9</v>
      </c>
      <c r="G6" s="7">
        <f t="shared" ref="G6" si="3">IF(F6="BANQUE",30000,IF(F6="ESPECES",30000,0))</f>
        <v>0</v>
      </c>
      <c r="H6" s="7"/>
      <c r="I6" s="7"/>
      <c r="J6" s="5"/>
      <c r="K6" s="5"/>
      <c r="L6" s="4">
        <f>TONTNOV!H6+TONTNOV!I6</f>
        <v>0</v>
      </c>
      <c r="M6" s="5"/>
      <c r="N6" s="5"/>
      <c r="O6" s="5"/>
      <c r="P6" s="7">
        <f>IF(Q6=0,0,($E$76-Q6))</f>
        <v>0</v>
      </c>
      <c r="Q6" s="7"/>
      <c r="R6" s="7"/>
    </row>
    <row r="7" spans="1:18" x14ac:dyDescent="0.25">
      <c r="A7" s="1" t="s">
        <v>10</v>
      </c>
      <c r="B7" s="1" t="str">
        <f>VLOOKUP(A7,[4]LISTADHERENT!A$5:H$60,3,0)</f>
        <v>BOUTCHOUANG WILLIAM</v>
      </c>
      <c r="C7" s="7">
        <f t="shared" ref="C7:C39" si="4">IF(G7=0,0,G7-D7)</f>
        <v>10000</v>
      </c>
      <c r="D7" s="7">
        <f t="shared" ref="D7:D39" si="5">IF(F7="ECHEC",0,IF(F7="",0,20000))</f>
        <v>20000</v>
      </c>
      <c r="E7" s="7">
        <f t="shared" ref="E7:E39" si="6">IF(F7="ESPECES",3000,0)</f>
        <v>0</v>
      </c>
      <c r="F7" s="5" t="s">
        <v>46</v>
      </c>
      <c r="G7" s="7">
        <f t="shared" ref="G7:G39" si="7">IF(F7="BANQUE",30000,IF(F7="ESPECES",30000,0))</f>
        <v>30000</v>
      </c>
      <c r="H7" s="7"/>
      <c r="I7" s="7"/>
      <c r="J7" s="5"/>
      <c r="K7" s="5"/>
      <c r="L7" s="4">
        <f>TONTNOV!H7+TONTNOV!I7</f>
        <v>0</v>
      </c>
      <c r="M7" s="5"/>
      <c r="N7" s="5"/>
      <c r="O7" s="5"/>
      <c r="P7" s="7">
        <f t="shared" ref="P7:P39" si="8">IF(Q7=0,0,($E$75-Q7))</f>
        <v>0</v>
      </c>
      <c r="Q7" s="7"/>
      <c r="R7" s="7"/>
    </row>
    <row r="8" spans="1:18" x14ac:dyDescent="0.25">
      <c r="A8" s="1" t="s">
        <v>11</v>
      </c>
      <c r="B8" s="1" t="str">
        <f>VLOOKUP(A8,[4]LISTADHERENT!A$5:H$60,3,0)</f>
        <v xml:space="preserve">DJOMO JEAN PAUL </v>
      </c>
      <c r="C8" s="7">
        <f t="shared" si="4"/>
        <v>15000</v>
      </c>
      <c r="D8" s="7">
        <f t="shared" si="5"/>
        <v>20000</v>
      </c>
      <c r="E8" s="7">
        <f t="shared" si="6"/>
        <v>0</v>
      </c>
      <c r="F8" s="5" t="s">
        <v>46</v>
      </c>
      <c r="G8" s="7">
        <v>35000</v>
      </c>
      <c r="H8" s="7"/>
      <c r="I8" s="7"/>
      <c r="J8" s="5"/>
      <c r="K8" s="5"/>
      <c r="L8" s="4">
        <f>TONTNOV!H8+TONTNOV!I8</f>
        <v>0</v>
      </c>
      <c r="M8" s="5"/>
      <c r="N8" s="5"/>
      <c r="O8" s="5"/>
      <c r="P8" s="7">
        <f t="shared" si="8"/>
        <v>0</v>
      </c>
      <c r="Q8" s="7"/>
      <c r="R8" s="7"/>
    </row>
    <row r="9" spans="1:18" x14ac:dyDescent="0.25">
      <c r="A9" s="1" t="s">
        <v>83</v>
      </c>
      <c r="B9" s="1" t="str">
        <f>VLOOKUP(A9,[4]LISTADHERENT!A$5:H$60,3,0)</f>
        <v>DJOMOU TCHANDA</v>
      </c>
      <c r="C9" s="7">
        <f t="shared" si="4"/>
        <v>22000</v>
      </c>
      <c r="D9" s="7">
        <v>40000</v>
      </c>
      <c r="E9" s="7">
        <f t="shared" si="6"/>
        <v>3000</v>
      </c>
      <c r="F9" s="5" t="s">
        <v>45</v>
      </c>
      <c r="G9" s="7">
        <v>62000</v>
      </c>
      <c r="H9" s="7"/>
      <c r="I9" s="7"/>
      <c r="J9" s="5"/>
      <c r="K9" s="5"/>
      <c r="L9" s="4">
        <f>TONTNOV!H9+TONTNOV!I9</f>
        <v>0</v>
      </c>
      <c r="M9" s="5"/>
      <c r="N9" s="5"/>
      <c r="O9" s="5"/>
      <c r="P9" s="7">
        <f t="shared" si="8"/>
        <v>0</v>
      </c>
      <c r="Q9" s="7"/>
      <c r="R9" s="7"/>
    </row>
    <row r="10" spans="1:18" x14ac:dyDescent="0.25">
      <c r="A10" s="1" t="s">
        <v>12</v>
      </c>
      <c r="B10" s="1" t="str">
        <f>VLOOKUP(A10,[4]LISTADHERENT!A$5:H$60,3,0)</f>
        <v>DJOUKWE NANGUEN GUY BLAISE</v>
      </c>
      <c r="C10" s="7">
        <f t="shared" si="4"/>
        <v>10000</v>
      </c>
      <c r="D10" s="7">
        <f t="shared" si="5"/>
        <v>20000</v>
      </c>
      <c r="E10" s="7">
        <f t="shared" si="6"/>
        <v>0</v>
      </c>
      <c r="F10" s="5" t="s">
        <v>46</v>
      </c>
      <c r="G10" s="7">
        <f t="shared" si="7"/>
        <v>30000</v>
      </c>
      <c r="H10" s="7"/>
      <c r="I10" s="7"/>
      <c r="J10" s="5"/>
      <c r="K10" s="5"/>
      <c r="L10" s="4">
        <f>TONTNOV!H10+TONTNOV!I10</f>
        <v>0</v>
      </c>
      <c r="M10" s="5"/>
      <c r="N10" s="5"/>
      <c r="O10" s="5"/>
      <c r="P10" s="7">
        <f t="shared" si="8"/>
        <v>0</v>
      </c>
      <c r="Q10" s="7"/>
      <c r="R10" s="7"/>
    </row>
    <row r="11" spans="1:18" x14ac:dyDescent="0.25">
      <c r="A11" s="1" t="s">
        <v>13</v>
      </c>
      <c r="B11" s="1" t="str">
        <f>VLOOKUP(A11,[4]LISTADHERENT!A$5:H$60,3,0)</f>
        <v>DJUOMBESSY ANTOINE</v>
      </c>
      <c r="C11" s="7">
        <f t="shared" si="4"/>
        <v>14500</v>
      </c>
      <c r="D11" s="7">
        <f t="shared" si="5"/>
        <v>20000</v>
      </c>
      <c r="E11" s="7">
        <f t="shared" si="6"/>
        <v>0</v>
      </c>
      <c r="F11" s="5" t="s">
        <v>46</v>
      </c>
      <c r="G11" s="7">
        <v>34500</v>
      </c>
      <c r="H11" s="7"/>
      <c r="I11" s="7"/>
      <c r="J11" s="5"/>
      <c r="K11" s="5"/>
      <c r="L11" s="4">
        <f>TONTNOV!H11+TONTNOV!I11</f>
        <v>25500</v>
      </c>
      <c r="M11" s="5" t="s">
        <v>46</v>
      </c>
      <c r="N11" s="5"/>
      <c r="O11" s="5"/>
      <c r="P11" s="7">
        <f t="shared" si="8"/>
        <v>0</v>
      </c>
      <c r="Q11" s="7"/>
      <c r="R11" s="7"/>
    </row>
    <row r="12" spans="1:18" x14ac:dyDescent="0.25">
      <c r="A12" s="1" t="s">
        <v>71</v>
      </c>
      <c r="B12" s="1" t="str">
        <f>VLOOKUP(A12,[4]LISTADHERENT!A$5:H$60,3,0)</f>
        <v>DOMOU FABIEN</v>
      </c>
      <c r="C12" s="7">
        <f t="shared" si="4"/>
        <v>10000</v>
      </c>
      <c r="D12" s="7">
        <f t="shared" si="5"/>
        <v>20000</v>
      </c>
      <c r="E12" s="7">
        <f t="shared" si="6"/>
        <v>0</v>
      </c>
      <c r="F12" s="5" t="s">
        <v>46</v>
      </c>
      <c r="G12" s="7">
        <f t="shared" si="7"/>
        <v>30000</v>
      </c>
      <c r="H12" s="7"/>
      <c r="I12" s="7"/>
      <c r="J12" s="5"/>
      <c r="K12" s="5"/>
      <c r="L12" s="4">
        <f>TONTNOV!H12+TONTNOV!I12</f>
        <v>0</v>
      </c>
      <c r="M12" s="5"/>
      <c r="N12" s="5"/>
      <c r="O12" s="5"/>
      <c r="P12" s="7">
        <f t="shared" si="8"/>
        <v>0</v>
      </c>
    </row>
    <row r="13" spans="1:18" x14ac:dyDescent="0.25">
      <c r="A13" s="1" t="s">
        <v>14</v>
      </c>
      <c r="B13" s="1" t="str">
        <f>VLOOKUP(A13,[4]LISTADHERENT!A$5:H$60,3,0)</f>
        <v>DONHOU DAVID</v>
      </c>
      <c r="C13" s="7">
        <f t="shared" si="4"/>
        <v>10000</v>
      </c>
      <c r="D13" s="7">
        <f t="shared" si="5"/>
        <v>20000</v>
      </c>
      <c r="E13" s="7">
        <f t="shared" si="6"/>
        <v>0</v>
      </c>
      <c r="F13" s="5" t="s">
        <v>46</v>
      </c>
      <c r="G13" s="7">
        <f t="shared" si="7"/>
        <v>30000</v>
      </c>
      <c r="H13" s="7"/>
      <c r="I13" s="7"/>
      <c r="J13" s="5"/>
      <c r="K13" s="5"/>
      <c r="L13" s="4">
        <f>TONTNOV!H13+TONTNOV!I13</f>
        <v>0</v>
      </c>
      <c r="M13" s="5"/>
      <c r="N13" s="5"/>
      <c r="O13" s="5"/>
      <c r="P13" s="7">
        <f t="shared" si="8"/>
        <v>0</v>
      </c>
      <c r="Q13" s="7"/>
      <c r="R13" s="7"/>
    </row>
    <row r="14" spans="1:18" x14ac:dyDescent="0.25">
      <c r="A14" s="1" t="s">
        <v>15</v>
      </c>
      <c r="B14" s="1" t="str">
        <f>VLOOKUP(A14,[4]LISTADHERENT!A$5:H$60,3,0)</f>
        <v>FOTSO THOMAS</v>
      </c>
      <c r="C14" s="7">
        <f t="shared" si="4"/>
        <v>10000</v>
      </c>
      <c r="D14" s="7">
        <f t="shared" si="5"/>
        <v>20000</v>
      </c>
      <c r="E14" s="7">
        <f t="shared" si="6"/>
        <v>3000</v>
      </c>
      <c r="F14" s="5" t="s">
        <v>45</v>
      </c>
      <c r="G14" s="7">
        <f t="shared" si="7"/>
        <v>30000</v>
      </c>
      <c r="H14" s="7">
        <v>50000</v>
      </c>
      <c r="I14" s="7">
        <v>1500</v>
      </c>
      <c r="J14" s="5"/>
      <c r="K14" s="5"/>
      <c r="L14" s="4">
        <f>TONTNOV!H14+TONTNOV!I14</f>
        <v>51000</v>
      </c>
      <c r="M14" s="5" t="s">
        <v>45</v>
      </c>
      <c r="N14" s="5"/>
      <c r="O14" s="5"/>
      <c r="P14" s="7">
        <f t="shared" si="8"/>
        <v>0</v>
      </c>
      <c r="Q14" s="7"/>
      <c r="R14" s="7"/>
    </row>
    <row r="15" spans="1:18" x14ac:dyDescent="0.25">
      <c r="A15" s="1" t="s">
        <v>16</v>
      </c>
      <c r="B15" s="1" t="str">
        <f>VLOOKUP(A15,[4]LISTADHERENT!A$5:H$60,3,0)</f>
        <v>HENGUE PAUL OMER</v>
      </c>
      <c r="C15" s="7">
        <v>5000</v>
      </c>
      <c r="D15" s="7">
        <f t="shared" si="5"/>
        <v>0</v>
      </c>
      <c r="E15" s="7">
        <f t="shared" si="6"/>
        <v>0</v>
      </c>
      <c r="F15" s="5" t="s">
        <v>9</v>
      </c>
      <c r="G15" s="7">
        <f t="shared" si="7"/>
        <v>0</v>
      </c>
      <c r="H15" s="7"/>
      <c r="I15" s="7"/>
      <c r="J15" s="5"/>
      <c r="K15" s="5"/>
      <c r="L15" s="4">
        <f>TONTNOV!H15+TONTNOV!I15</f>
        <v>0</v>
      </c>
      <c r="M15" s="5"/>
      <c r="N15" s="5"/>
      <c r="O15" s="5"/>
      <c r="P15" s="7">
        <f t="shared" si="8"/>
        <v>0</v>
      </c>
      <c r="Q15" s="7"/>
      <c r="R15" s="7"/>
    </row>
    <row r="16" spans="1:18" x14ac:dyDescent="0.25">
      <c r="A16" s="1" t="s">
        <v>17</v>
      </c>
      <c r="B16" s="1" t="str">
        <f>VLOOKUP(A16,[4]LISTADHERENT!A$5:H$60,3,0)</f>
        <v>HOTCHO BENJAMIN</v>
      </c>
      <c r="C16" s="7">
        <f t="shared" si="4"/>
        <v>10000</v>
      </c>
      <c r="D16" s="7">
        <f t="shared" si="5"/>
        <v>20000</v>
      </c>
      <c r="E16" s="7">
        <f t="shared" si="6"/>
        <v>0</v>
      </c>
      <c r="F16" s="5" t="s">
        <v>46</v>
      </c>
      <c r="G16" s="7">
        <f t="shared" si="7"/>
        <v>30000</v>
      </c>
      <c r="H16" s="7"/>
      <c r="I16" s="7"/>
      <c r="J16" s="5"/>
      <c r="K16" s="5"/>
      <c r="L16" s="4">
        <f>TONTNOV!H16+TONTNOV!I16</f>
        <v>0</v>
      </c>
      <c r="M16" s="5"/>
      <c r="N16" s="5"/>
      <c r="O16" s="5"/>
      <c r="P16" s="7">
        <f t="shared" si="8"/>
        <v>0</v>
      </c>
      <c r="Q16" s="7"/>
      <c r="R16" s="7"/>
    </row>
    <row r="17" spans="1:18" x14ac:dyDescent="0.25">
      <c r="A17" s="1" t="s">
        <v>19</v>
      </c>
      <c r="B17" s="1" t="str">
        <f>VLOOKUP(A17,[4]LISTADHERENT!A$5:H$60,3,0)</f>
        <v>KEPSEU FRANCIS</v>
      </c>
      <c r="C17" s="7">
        <f t="shared" si="4"/>
        <v>40000</v>
      </c>
      <c r="D17" s="7">
        <f t="shared" si="5"/>
        <v>20000</v>
      </c>
      <c r="E17" s="7">
        <f t="shared" si="6"/>
        <v>0</v>
      </c>
      <c r="F17" s="5" t="s">
        <v>46</v>
      </c>
      <c r="G17" s="7">
        <v>60000</v>
      </c>
      <c r="H17" s="7"/>
      <c r="I17" s="7"/>
      <c r="J17" s="5"/>
      <c r="K17" s="5"/>
      <c r="L17" s="4">
        <f>TONTNOV!H17+TONTNOV!I17</f>
        <v>0</v>
      </c>
      <c r="M17" s="5"/>
      <c r="N17" s="5"/>
      <c r="O17" s="5"/>
      <c r="P17" s="7">
        <f t="shared" si="8"/>
        <v>0</v>
      </c>
      <c r="Q17" s="7"/>
      <c r="R17" s="7"/>
    </row>
    <row r="18" spans="1:18" x14ac:dyDescent="0.25">
      <c r="A18" s="1" t="s">
        <v>21</v>
      </c>
      <c r="B18" s="1" t="str">
        <f>VLOOKUP(A18,[4]LISTADHERENT!A$5:H$60,3,0)</f>
        <v>KOUAMO VICTOR PEGUY</v>
      </c>
      <c r="C18" s="7">
        <f t="shared" si="4"/>
        <v>7000</v>
      </c>
      <c r="D18" s="7">
        <f t="shared" si="5"/>
        <v>20000</v>
      </c>
      <c r="E18" s="7">
        <f t="shared" si="6"/>
        <v>3000</v>
      </c>
      <c r="F18" s="5" t="s">
        <v>45</v>
      </c>
      <c r="G18" s="7">
        <v>27000</v>
      </c>
      <c r="H18" s="7"/>
      <c r="I18" s="7"/>
      <c r="J18" s="5"/>
      <c r="K18" s="5"/>
      <c r="L18" s="4">
        <f>TONTNOV!H18+TONTNOV!I18</f>
        <v>0</v>
      </c>
      <c r="M18" s="5"/>
      <c r="N18" s="5"/>
      <c r="O18" s="5"/>
      <c r="P18" s="7">
        <f t="shared" si="8"/>
        <v>0</v>
      </c>
      <c r="Q18" s="7"/>
      <c r="R18" s="7"/>
    </row>
    <row r="19" spans="1:18" x14ac:dyDescent="0.25">
      <c r="A19" s="1" t="s">
        <v>20</v>
      </c>
      <c r="B19" s="1" t="str">
        <f>VLOOKUP(A19,[4]LISTADHERENT!A$5:H$60,3,0)</f>
        <v>KOUAMOU MOISE</v>
      </c>
      <c r="C19" s="7">
        <f t="shared" si="4"/>
        <v>10000</v>
      </c>
      <c r="D19" s="7">
        <f t="shared" si="5"/>
        <v>20000</v>
      </c>
      <c r="E19" s="7">
        <f t="shared" si="6"/>
        <v>0</v>
      </c>
      <c r="F19" s="5" t="s">
        <v>46</v>
      </c>
      <c r="G19" s="7">
        <f t="shared" si="7"/>
        <v>30000</v>
      </c>
      <c r="H19" s="7"/>
      <c r="I19" s="7"/>
      <c r="J19" s="5"/>
      <c r="K19" s="5"/>
      <c r="L19" s="4">
        <f>TONTNOV!H19+TONTNOV!I19</f>
        <v>0</v>
      </c>
      <c r="M19" s="5"/>
      <c r="N19" s="5"/>
      <c r="O19" s="5"/>
      <c r="P19" s="7">
        <f t="shared" si="8"/>
        <v>0</v>
      </c>
      <c r="Q19" s="7"/>
      <c r="R19" s="7"/>
    </row>
    <row r="20" spans="1:18" x14ac:dyDescent="0.25">
      <c r="A20" s="1" t="s">
        <v>22</v>
      </c>
      <c r="B20" s="1" t="str">
        <f>VLOOKUP(A20,[4]LISTADHERENT!A$5:H$60,3,0)</f>
        <v>KOUATCHO MESSACK</v>
      </c>
      <c r="C20" s="7">
        <f t="shared" si="4"/>
        <v>10000</v>
      </c>
      <c r="D20" s="7">
        <f t="shared" si="5"/>
        <v>20000</v>
      </c>
      <c r="E20" s="7">
        <f t="shared" si="6"/>
        <v>0</v>
      </c>
      <c r="F20" s="5" t="s">
        <v>46</v>
      </c>
      <c r="G20" s="7">
        <f t="shared" si="7"/>
        <v>30000</v>
      </c>
      <c r="H20" s="7"/>
      <c r="I20" s="7"/>
      <c r="J20" s="5"/>
      <c r="K20" s="5"/>
      <c r="L20" s="4">
        <f>TONTNOV!H20+TONTNOV!I20</f>
        <v>0</v>
      </c>
      <c r="M20" s="5"/>
      <c r="N20" s="5"/>
      <c r="O20" s="5"/>
      <c r="P20" s="7">
        <f t="shared" si="8"/>
        <v>0</v>
      </c>
      <c r="Q20" s="7"/>
      <c r="R20" s="7"/>
    </row>
    <row r="21" spans="1:18" x14ac:dyDescent="0.25">
      <c r="A21" s="1" t="s">
        <v>23</v>
      </c>
      <c r="B21" s="1" t="str">
        <f>VLOOKUP(A21,[4]LISTADHERENT!A$5:H$60,3,0)</f>
        <v>LOWE JEAN</v>
      </c>
      <c r="C21" s="7">
        <f t="shared" si="4"/>
        <v>10000</v>
      </c>
      <c r="D21" s="7">
        <f t="shared" si="5"/>
        <v>20000</v>
      </c>
      <c r="E21" s="7">
        <f t="shared" si="6"/>
        <v>0</v>
      </c>
      <c r="F21" s="5" t="s">
        <v>46</v>
      </c>
      <c r="G21" s="7">
        <f t="shared" si="7"/>
        <v>30000</v>
      </c>
      <c r="H21" s="7"/>
      <c r="I21" s="7"/>
      <c r="J21" s="5"/>
      <c r="K21" s="5"/>
      <c r="L21" s="4">
        <f>TONTNOV!H21+TONTNOV!I21</f>
        <v>0</v>
      </c>
      <c r="M21" s="5"/>
      <c r="N21" s="5"/>
      <c r="O21" s="5"/>
      <c r="P21" s="7">
        <f t="shared" si="8"/>
        <v>0</v>
      </c>
      <c r="Q21" s="7"/>
      <c r="R21" s="7"/>
    </row>
    <row r="22" spans="1:18" x14ac:dyDescent="0.25">
      <c r="A22" s="1" t="s">
        <v>70</v>
      </c>
      <c r="B22" s="1" t="str">
        <f>VLOOKUP(A22,[4]LISTADHERENT!A$5:H$60,3,0)</f>
        <v>MBOGNING TUGMA GUY</v>
      </c>
      <c r="C22" s="7">
        <f t="shared" si="4"/>
        <v>10000</v>
      </c>
      <c r="D22" s="7">
        <f t="shared" si="5"/>
        <v>20000</v>
      </c>
      <c r="E22" s="7">
        <f t="shared" si="6"/>
        <v>0</v>
      </c>
      <c r="F22" s="5" t="s">
        <v>46</v>
      </c>
      <c r="G22" s="7">
        <f t="shared" si="7"/>
        <v>30000</v>
      </c>
      <c r="H22" s="7"/>
      <c r="I22" s="7"/>
      <c r="J22" s="5"/>
      <c r="K22" s="5"/>
      <c r="L22" s="4">
        <f>TONTNOV!H22+TONTNOV!I22</f>
        <v>0</v>
      </c>
      <c r="M22" s="5"/>
      <c r="N22" s="5"/>
      <c r="O22" s="5"/>
      <c r="P22" s="7">
        <f t="shared" si="8"/>
        <v>0</v>
      </c>
      <c r="R22" s="7"/>
    </row>
    <row r="23" spans="1:18" x14ac:dyDescent="0.25">
      <c r="A23" s="1" t="s">
        <v>34</v>
      </c>
      <c r="B23" s="1" t="str">
        <f>VLOOKUP(A23,[4]LISTADHERENT!A$5:H$60,3,0)</f>
        <v>NANGUEN MARTIN</v>
      </c>
      <c r="C23" s="7">
        <f t="shared" si="4"/>
        <v>10000</v>
      </c>
      <c r="D23" s="7">
        <f t="shared" si="5"/>
        <v>20000</v>
      </c>
      <c r="E23" s="7">
        <f t="shared" si="6"/>
        <v>0</v>
      </c>
      <c r="F23" s="5" t="s">
        <v>46</v>
      </c>
      <c r="G23" s="7">
        <f t="shared" si="7"/>
        <v>30000</v>
      </c>
      <c r="H23" s="7"/>
      <c r="I23" s="7"/>
      <c r="J23" s="5"/>
      <c r="K23" s="5"/>
      <c r="L23" s="4">
        <f>TONTNOV!H23+TONTNOV!I23</f>
        <v>0</v>
      </c>
      <c r="M23" s="5"/>
      <c r="N23" s="5"/>
      <c r="O23" s="5"/>
      <c r="P23" s="7">
        <f t="shared" si="8"/>
        <v>0</v>
      </c>
      <c r="Q23" s="7"/>
      <c r="R23" s="7"/>
    </row>
    <row r="24" spans="1:18" x14ac:dyDescent="0.25">
      <c r="A24" s="1" t="s">
        <v>24</v>
      </c>
      <c r="B24" s="1" t="str">
        <f>VLOOKUP(A24,[4]LISTADHERENT!A$5:H$60,3,0)</f>
        <v>NANKAM APPOLINAIRE</v>
      </c>
      <c r="C24" s="7">
        <f t="shared" si="4"/>
        <v>10000</v>
      </c>
      <c r="D24" s="7">
        <f t="shared" si="5"/>
        <v>20000</v>
      </c>
      <c r="E24" s="7">
        <f t="shared" si="6"/>
        <v>0</v>
      </c>
      <c r="F24" s="5" t="s">
        <v>46</v>
      </c>
      <c r="G24" s="7">
        <f t="shared" si="7"/>
        <v>30000</v>
      </c>
      <c r="H24" s="7"/>
      <c r="I24" s="7"/>
      <c r="J24" s="5"/>
      <c r="K24" s="5"/>
      <c r="L24" s="4">
        <f>TONTNOV!H24+TONTNOV!I24</f>
        <v>0</v>
      </c>
      <c r="M24" s="5"/>
      <c r="N24" s="5"/>
      <c r="O24" s="5"/>
      <c r="P24" s="7">
        <f t="shared" si="8"/>
        <v>0</v>
      </c>
      <c r="Q24" s="7"/>
      <c r="R24" s="7"/>
    </row>
    <row r="25" spans="1:18" x14ac:dyDescent="0.25">
      <c r="A25" s="1" t="s">
        <v>25</v>
      </c>
      <c r="B25" s="1" t="str">
        <f>VLOOKUP(A25,[4]LISTADHERENT!A$5:H$60,3,0)</f>
        <v>NDJOMO ETIENNE</v>
      </c>
      <c r="C25" s="7">
        <f t="shared" si="4"/>
        <v>14000</v>
      </c>
      <c r="D25" s="7">
        <f t="shared" si="5"/>
        <v>20000</v>
      </c>
      <c r="E25" s="7">
        <f t="shared" si="6"/>
        <v>0</v>
      </c>
      <c r="F25" s="5" t="s">
        <v>46</v>
      </c>
      <c r="G25" s="7">
        <v>34000</v>
      </c>
      <c r="H25" s="7"/>
      <c r="I25" s="7"/>
      <c r="J25" s="5"/>
      <c r="K25" s="5"/>
      <c r="L25" s="4">
        <f>TONTNOV!H25+TONTNOV!I25</f>
        <v>0</v>
      </c>
      <c r="M25" s="5"/>
      <c r="N25" s="5"/>
      <c r="O25" s="5"/>
      <c r="P25" s="7">
        <f t="shared" si="8"/>
        <v>0</v>
      </c>
      <c r="Q25" s="7"/>
      <c r="R25" s="7"/>
    </row>
    <row r="26" spans="1:18" x14ac:dyDescent="0.25">
      <c r="A26" s="1" t="s">
        <v>26</v>
      </c>
      <c r="B26" s="1" t="str">
        <f>VLOOKUP(A26,[4]LISTADHERENT!A$5:H$60,3,0)</f>
        <v>NGONDIEP CLAUDE</v>
      </c>
      <c r="C26" s="7">
        <f t="shared" si="4"/>
        <v>20000</v>
      </c>
      <c r="D26" s="7">
        <f t="shared" si="5"/>
        <v>20000</v>
      </c>
      <c r="E26" s="7">
        <f t="shared" si="6"/>
        <v>0</v>
      </c>
      <c r="F26" s="5" t="s">
        <v>46</v>
      </c>
      <c r="G26" s="7">
        <v>40000</v>
      </c>
      <c r="H26" s="7"/>
      <c r="I26" s="7"/>
      <c r="J26" s="5"/>
      <c r="K26" s="5"/>
      <c r="L26" s="4">
        <f>TONTNOV!H26+TONTNOV!I26</f>
        <v>0</v>
      </c>
      <c r="M26" s="5"/>
      <c r="N26" s="5"/>
      <c r="O26" s="5"/>
      <c r="P26" s="7">
        <f t="shared" si="8"/>
        <v>0</v>
      </c>
      <c r="Q26" s="7"/>
      <c r="R26" s="7"/>
    </row>
    <row r="27" spans="1:18" x14ac:dyDescent="0.25">
      <c r="A27" s="1" t="s">
        <v>27</v>
      </c>
      <c r="B27" s="1" t="str">
        <f>VLOOKUP(A27,[4]LISTADHERENT!A$5:H$60,3,0)</f>
        <v>NGUIEMEGNI MATHIEU BLAISE</v>
      </c>
      <c r="C27" s="7">
        <f t="shared" si="4"/>
        <v>10000</v>
      </c>
      <c r="D27" s="7">
        <f t="shared" si="5"/>
        <v>20000</v>
      </c>
      <c r="E27" s="7">
        <f t="shared" si="6"/>
        <v>0</v>
      </c>
      <c r="F27" s="5" t="s">
        <v>46</v>
      </c>
      <c r="G27" s="7">
        <f t="shared" si="7"/>
        <v>30000</v>
      </c>
      <c r="H27" s="7"/>
      <c r="I27" s="7"/>
      <c r="J27" s="5"/>
      <c r="K27" s="5"/>
      <c r="L27" s="4">
        <f>TONTNOV!H27+TONTNOV!I27</f>
        <v>0</v>
      </c>
      <c r="M27" s="5"/>
      <c r="N27" s="5"/>
      <c r="O27" s="5"/>
      <c r="P27" s="7">
        <f t="shared" si="8"/>
        <v>255000</v>
      </c>
      <c r="Q27" s="7">
        <v>45000</v>
      </c>
      <c r="R27" s="7"/>
    </row>
    <row r="28" spans="1:18" x14ac:dyDescent="0.25">
      <c r="A28" s="1" t="s">
        <v>28</v>
      </c>
      <c r="B28" s="1" t="str">
        <f>VLOOKUP(A28,[4]LISTADHERENT!A$5:H$60,3,0)</f>
        <v>NKAMGANG JUSTIN DEJOLIE</v>
      </c>
      <c r="C28" s="7">
        <f t="shared" si="4"/>
        <v>10000</v>
      </c>
      <c r="D28" s="7">
        <f t="shared" si="5"/>
        <v>20000</v>
      </c>
      <c r="E28" s="7">
        <f t="shared" si="6"/>
        <v>3000</v>
      </c>
      <c r="F28" s="5" t="s">
        <v>45</v>
      </c>
      <c r="G28" s="7">
        <f t="shared" si="7"/>
        <v>30000</v>
      </c>
      <c r="H28" s="7">
        <v>50000</v>
      </c>
      <c r="I28" s="7">
        <v>2000</v>
      </c>
      <c r="J28" s="5"/>
      <c r="K28" s="5"/>
      <c r="L28" s="4">
        <f>TONTNOV!H28+TONTNOV!I28</f>
        <v>0</v>
      </c>
      <c r="M28" s="5"/>
      <c r="N28" s="5"/>
      <c r="O28" s="5"/>
      <c r="P28" s="7">
        <f t="shared" si="8"/>
        <v>0</v>
      </c>
      <c r="Q28" s="7"/>
      <c r="R28" s="7"/>
    </row>
    <row r="29" spans="1:18" x14ac:dyDescent="0.25">
      <c r="A29" s="1" t="s">
        <v>18</v>
      </c>
      <c r="B29" s="1" t="str">
        <f>VLOOKUP(A29,[4]LISTADHERENT!A$5:H$60,3,0)</f>
        <v>NKEHE DAVID</v>
      </c>
      <c r="C29" s="7">
        <f t="shared" si="4"/>
        <v>10000</v>
      </c>
      <c r="D29" s="7">
        <f t="shared" si="5"/>
        <v>20000</v>
      </c>
      <c r="E29" s="7">
        <f t="shared" si="6"/>
        <v>0</v>
      </c>
      <c r="F29" s="5" t="s">
        <v>46</v>
      </c>
      <c r="G29" s="7">
        <f t="shared" si="7"/>
        <v>30000</v>
      </c>
      <c r="H29" s="7">
        <v>50000</v>
      </c>
      <c r="I29" s="7">
        <v>3000</v>
      </c>
      <c r="J29" s="5"/>
      <c r="K29" s="5"/>
      <c r="L29" s="4">
        <f>TONTNOV!H29+TONTNOV!I29</f>
        <v>32500</v>
      </c>
      <c r="M29" s="5" t="s">
        <v>45</v>
      </c>
      <c r="N29" s="5"/>
      <c r="O29" s="5"/>
      <c r="P29" s="7">
        <f t="shared" si="8"/>
        <v>0</v>
      </c>
      <c r="Q29" s="7"/>
      <c r="R29" s="7"/>
    </row>
    <row r="30" spans="1:18" x14ac:dyDescent="0.25">
      <c r="A30" s="1" t="s">
        <v>29</v>
      </c>
      <c r="B30" s="1" t="str">
        <f>VLOOKUP(A30,[4]LISTADHERENT!A$5:H$60,3,0)</f>
        <v>NKEPSEU DIEUDONNE</v>
      </c>
      <c r="C30" s="7">
        <f t="shared" si="4"/>
        <v>10000</v>
      </c>
      <c r="D30" s="7">
        <f t="shared" si="5"/>
        <v>20000</v>
      </c>
      <c r="E30" s="7">
        <f t="shared" si="6"/>
        <v>3000</v>
      </c>
      <c r="F30" s="5" t="s">
        <v>45</v>
      </c>
      <c r="G30" s="7">
        <f t="shared" si="7"/>
        <v>30000</v>
      </c>
      <c r="H30" s="7">
        <v>39000</v>
      </c>
      <c r="I30" s="7">
        <v>1000</v>
      </c>
      <c r="J30" s="5"/>
      <c r="K30" s="5"/>
      <c r="L30" s="4">
        <f>TONTNOV!H30+TONTNOV!I30</f>
        <v>0</v>
      </c>
      <c r="M30" s="5"/>
      <c r="N30" s="5"/>
      <c r="O30" s="5"/>
      <c r="P30" s="7">
        <f t="shared" si="8"/>
        <v>0</v>
      </c>
      <c r="Q30" s="7"/>
      <c r="R30" s="7"/>
    </row>
    <row r="31" spans="1:18" x14ac:dyDescent="0.25">
      <c r="A31" s="1" t="s">
        <v>30</v>
      </c>
      <c r="B31" s="1" t="str">
        <f>VLOOKUP(A31,[4]LISTADHERENT!A$5:H$60,3,0)</f>
        <v>PATEGO NJOSSU GUSTAVE</v>
      </c>
      <c r="C31" s="7">
        <f t="shared" si="4"/>
        <v>10000</v>
      </c>
      <c r="D31" s="7">
        <f t="shared" si="5"/>
        <v>20000</v>
      </c>
      <c r="E31" s="7">
        <f t="shared" si="6"/>
        <v>0</v>
      </c>
      <c r="F31" s="5" t="s">
        <v>46</v>
      </c>
      <c r="G31" s="7">
        <f t="shared" si="7"/>
        <v>30000</v>
      </c>
      <c r="H31" s="7"/>
      <c r="I31" s="7"/>
      <c r="J31" s="5"/>
      <c r="K31" s="5"/>
      <c r="L31" s="4">
        <f>TONTNOV!H31+TONTNOV!I31</f>
        <v>0</v>
      </c>
      <c r="M31" s="5"/>
      <c r="N31" s="5"/>
      <c r="O31" s="5"/>
      <c r="P31" s="7">
        <f t="shared" si="8"/>
        <v>0</v>
      </c>
      <c r="Q31" s="7"/>
      <c r="R31" s="7"/>
    </row>
    <row r="32" spans="1:18" x14ac:dyDescent="0.25">
      <c r="A32" s="1" t="s">
        <v>72</v>
      </c>
      <c r="B32" s="1" t="str">
        <f>VLOOKUP(A32,[4]LISTADHERENT!A$5:H$60,3,0)</f>
        <v>SIME BRICE</v>
      </c>
      <c r="C32" s="7">
        <f t="shared" si="4"/>
        <v>50000</v>
      </c>
      <c r="D32" s="7">
        <f t="shared" si="5"/>
        <v>20000</v>
      </c>
      <c r="E32" s="7">
        <f t="shared" si="6"/>
        <v>3000</v>
      </c>
      <c r="F32" s="5" t="s">
        <v>45</v>
      </c>
      <c r="G32" s="7">
        <v>70000</v>
      </c>
      <c r="H32" s="7"/>
      <c r="I32" s="7"/>
      <c r="J32" s="5"/>
      <c r="K32" s="5"/>
      <c r="L32" s="4">
        <f>TONTNOV!H32+TONTNOV!I32</f>
        <v>0</v>
      </c>
      <c r="M32" s="5"/>
      <c r="N32" s="5"/>
      <c r="O32" s="5"/>
      <c r="P32" s="7">
        <f t="shared" si="8"/>
        <v>0</v>
      </c>
    </row>
    <row r="33" spans="1:18" x14ac:dyDescent="0.25">
      <c r="A33" s="1" t="s">
        <v>31</v>
      </c>
      <c r="B33" s="1" t="str">
        <f>VLOOKUP(A33,[4]LISTADHERENT!A$5:H$60,3,0)</f>
        <v>SIMO FONGANG ERIC</v>
      </c>
      <c r="C33" s="7">
        <f t="shared" si="4"/>
        <v>10000</v>
      </c>
      <c r="D33" s="7">
        <f t="shared" si="5"/>
        <v>20000</v>
      </c>
      <c r="E33" s="7">
        <f t="shared" si="6"/>
        <v>3000</v>
      </c>
      <c r="F33" s="5" t="s">
        <v>45</v>
      </c>
      <c r="G33" s="7">
        <f t="shared" si="7"/>
        <v>30000</v>
      </c>
      <c r="H33" s="7"/>
      <c r="I33" s="7"/>
      <c r="J33" s="5"/>
      <c r="K33" s="5"/>
      <c r="L33" s="4">
        <f>TONTNOV!H33+TONTNOV!I33</f>
        <v>0</v>
      </c>
      <c r="M33" s="5"/>
      <c r="N33" s="5"/>
      <c r="O33" s="5"/>
      <c r="P33" s="7">
        <f t="shared" si="8"/>
        <v>255000</v>
      </c>
      <c r="Q33" s="7">
        <v>45000</v>
      </c>
      <c r="R33" s="7"/>
    </row>
    <row r="34" spans="1:18" x14ac:dyDescent="0.25">
      <c r="A34" s="1" t="s">
        <v>32</v>
      </c>
      <c r="B34" s="1" t="str">
        <f>VLOOKUP(A34,[4]LISTADHERENT!A$5:H$60,3,0)</f>
        <v>SIME MATHIEU</v>
      </c>
      <c r="C34" s="7">
        <f t="shared" si="4"/>
        <v>10000</v>
      </c>
      <c r="D34" s="7">
        <f t="shared" si="5"/>
        <v>20000</v>
      </c>
      <c r="E34" s="7">
        <f t="shared" si="6"/>
        <v>0</v>
      </c>
      <c r="F34" s="5" t="s">
        <v>46</v>
      </c>
      <c r="G34" s="7">
        <f t="shared" si="7"/>
        <v>30000</v>
      </c>
      <c r="H34" s="7"/>
      <c r="I34" s="7"/>
      <c r="J34" s="5"/>
      <c r="K34" s="5"/>
      <c r="L34" s="4">
        <f>TONTNOV!H34+TONTNOV!I34</f>
        <v>0</v>
      </c>
      <c r="M34" s="5"/>
      <c r="N34" s="5"/>
      <c r="O34" s="5"/>
      <c r="P34" s="7">
        <f t="shared" si="8"/>
        <v>0</v>
      </c>
      <c r="Q34" s="7"/>
      <c r="R34" s="7"/>
    </row>
    <row r="35" spans="1:18" x14ac:dyDescent="0.25">
      <c r="A35" s="1" t="s">
        <v>33</v>
      </c>
      <c r="B35" s="1" t="str">
        <f>VLOOKUP(A35,[4]LISTADHERENT!A$5:H$60,3,0)</f>
        <v>SIMO PIERRE</v>
      </c>
      <c r="C35" s="7">
        <f t="shared" si="4"/>
        <v>10000</v>
      </c>
      <c r="D35" s="7">
        <f t="shared" si="5"/>
        <v>20000</v>
      </c>
      <c r="E35" s="7">
        <f t="shared" si="6"/>
        <v>0</v>
      </c>
      <c r="F35" s="5" t="s">
        <v>46</v>
      </c>
      <c r="G35" s="7">
        <f t="shared" si="7"/>
        <v>30000</v>
      </c>
      <c r="H35" s="7"/>
      <c r="I35" s="7"/>
      <c r="J35" s="5"/>
      <c r="K35" s="5"/>
      <c r="L35" s="4">
        <f>TONTNOV!H35+TONTNOV!I35</f>
        <v>0</v>
      </c>
      <c r="M35" s="5"/>
      <c r="N35" s="5"/>
      <c r="O35" s="5"/>
      <c r="P35" s="7">
        <f t="shared" si="8"/>
        <v>0</v>
      </c>
      <c r="Q35" s="7"/>
      <c r="R35" s="7"/>
    </row>
    <row r="36" spans="1:18" x14ac:dyDescent="0.25">
      <c r="A36" s="1" t="s">
        <v>35</v>
      </c>
      <c r="B36" s="1" t="str">
        <f>VLOOKUP(A36,[4]LISTADHERENT!A$5:H$60,3,0)</f>
        <v>TCHOUAMOU MATHIEU</v>
      </c>
      <c r="C36" s="7">
        <f t="shared" si="4"/>
        <v>10000</v>
      </c>
      <c r="D36" s="7">
        <f t="shared" si="5"/>
        <v>20000</v>
      </c>
      <c r="E36" s="7">
        <f t="shared" si="6"/>
        <v>0</v>
      </c>
      <c r="F36" s="5" t="s">
        <v>46</v>
      </c>
      <c r="G36" s="7">
        <f t="shared" si="7"/>
        <v>30000</v>
      </c>
      <c r="H36" s="7"/>
      <c r="I36" s="7"/>
      <c r="J36" s="5"/>
      <c r="K36" s="5"/>
      <c r="L36" s="4">
        <f>TONTNOV!H36+TONTNOV!I36</f>
        <v>0</v>
      </c>
      <c r="M36" s="5"/>
      <c r="N36" s="5"/>
      <c r="O36" s="5"/>
      <c r="P36" s="7">
        <f t="shared" si="8"/>
        <v>0</v>
      </c>
      <c r="Q36" s="7"/>
      <c r="R36" s="7"/>
    </row>
    <row r="37" spans="1:18" x14ac:dyDescent="0.25">
      <c r="A37" s="1" t="s">
        <v>36</v>
      </c>
      <c r="B37" s="1" t="str">
        <f>VLOOKUP(A37,[4]LISTADHERENT!A$5:H$60,3,0)</f>
        <v>TIEYAM ERNEST</v>
      </c>
      <c r="C37" s="7">
        <f t="shared" si="4"/>
        <v>0</v>
      </c>
      <c r="D37" s="7">
        <f t="shared" si="5"/>
        <v>0</v>
      </c>
      <c r="E37" s="7">
        <f t="shared" si="6"/>
        <v>0</v>
      </c>
      <c r="F37" s="5" t="s">
        <v>9</v>
      </c>
      <c r="G37" s="7">
        <f t="shared" si="7"/>
        <v>0</v>
      </c>
      <c r="H37" s="7">
        <v>50000</v>
      </c>
      <c r="I37" s="7">
        <v>3000</v>
      </c>
      <c r="J37" s="5"/>
      <c r="K37" s="5"/>
      <c r="L37" s="4">
        <f>TONTNOV!H37+TONTNOV!I37</f>
        <v>0</v>
      </c>
      <c r="M37" s="5"/>
      <c r="N37" s="5"/>
      <c r="O37" s="5"/>
      <c r="P37" s="7">
        <f t="shared" si="8"/>
        <v>0</v>
      </c>
      <c r="Q37" s="7"/>
      <c r="R37" s="7"/>
    </row>
    <row r="38" spans="1:18" x14ac:dyDescent="0.25">
      <c r="A38" s="1" t="s">
        <v>37</v>
      </c>
      <c r="B38" s="1" t="str">
        <f>VLOOKUP(A38,[4]LISTADHERENT!A$5:H$60,3,0)</f>
        <v>YEPMOU JEAN JACQUES</v>
      </c>
      <c r="C38" s="7">
        <f t="shared" si="4"/>
        <v>10000</v>
      </c>
      <c r="D38" s="7">
        <f t="shared" si="5"/>
        <v>20000</v>
      </c>
      <c r="E38" s="7">
        <f t="shared" si="6"/>
        <v>3000</v>
      </c>
      <c r="F38" s="5" t="s">
        <v>45</v>
      </c>
      <c r="G38" s="7">
        <f t="shared" si="7"/>
        <v>30000</v>
      </c>
      <c r="H38" s="7"/>
      <c r="I38" s="7"/>
      <c r="J38" s="5"/>
      <c r="K38" s="5"/>
      <c r="L38" s="4">
        <f>TONTNOV!H38+TONTNOV!I38</f>
        <v>0</v>
      </c>
      <c r="M38" s="5"/>
      <c r="N38" s="5"/>
      <c r="O38" s="5"/>
      <c r="P38" s="7">
        <f t="shared" si="8"/>
        <v>0</v>
      </c>
      <c r="Q38" s="7"/>
      <c r="R38" s="7"/>
    </row>
    <row r="39" spans="1:18" x14ac:dyDescent="0.25">
      <c r="A39" s="1" t="s">
        <v>38</v>
      </c>
      <c r="B39" s="1" t="str">
        <f>VLOOKUP(A39,[4]LISTADHERENT!A$5:H$60,3,0)</f>
        <v>YOUMBI EMMANUEL</v>
      </c>
      <c r="C39" s="7">
        <f t="shared" si="4"/>
        <v>10000</v>
      </c>
      <c r="D39" s="7">
        <f t="shared" si="5"/>
        <v>20000</v>
      </c>
      <c r="E39" s="7">
        <f t="shared" si="6"/>
        <v>0</v>
      </c>
      <c r="F39" s="5" t="s">
        <v>46</v>
      </c>
      <c r="G39" s="7">
        <f t="shared" si="7"/>
        <v>30000</v>
      </c>
      <c r="H39" s="7"/>
      <c r="I39" s="7"/>
      <c r="J39" s="5"/>
      <c r="K39" s="5"/>
      <c r="L39" s="4">
        <f>TONTNOV!H39+TONTNOV!I39</f>
        <v>0</v>
      </c>
      <c r="M39" s="5"/>
      <c r="N39" s="5"/>
      <c r="O39" s="5"/>
      <c r="P39" s="7">
        <f t="shared" si="8"/>
        <v>0</v>
      </c>
      <c r="Q39" s="7"/>
      <c r="R39" s="7"/>
    </row>
    <row r="40" spans="1:18" x14ac:dyDescent="0.25">
      <c r="A40" s="1" t="s">
        <v>92</v>
      </c>
      <c r="B40" s="1" t="str">
        <f>VLOOKUP(A40,[4]LISTADHERENT!A$5:H$60,3,0)</f>
        <v>TCHEMHOU EMMANUEL</v>
      </c>
      <c r="C40" s="7"/>
      <c r="D40" s="7"/>
      <c r="E40" s="7"/>
      <c r="F40" s="5"/>
      <c r="G40" s="7"/>
      <c r="H40" s="7"/>
      <c r="I40" s="7"/>
      <c r="J40" s="5"/>
      <c r="K40" s="5"/>
      <c r="L40" s="7"/>
      <c r="M40" s="4"/>
      <c r="N40" s="5"/>
      <c r="O40" s="5"/>
      <c r="P40" s="7"/>
    </row>
    <row r="41" spans="1:18" x14ac:dyDescent="0.25">
      <c r="A41" s="1"/>
      <c r="B41" s="1"/>
      <c r="C41" s="7"/>
      <c r="D41" s="7"/>
      <c r="E41" s="7"/>
      <c r="F41" s="5"/>
      <c r="G41" s="7"/>
      <c r="H41" s="7"/>
      <c r="I41" s="7"/>
      <c r="J41" s="5"/>
      <c r="K41" s="5"/>
      <c r="L41" s="7"/>
      <c r="M41" s="5"/>
      <c r="N41" s="5"/>
      <c r="O41" s="5"/>
      <c r="P41" s="7"/>
    </row>
    <row r="42" spans="1:18" x14ac:dyDescent="0.25">
      <c r="A42" s="1"/>
      <c r="B42" s="1"/>
      <c r="C42" s="7"/>
      <c r="D42" s="7"/>
      <c r="E42" s="7"/>
      <c r="F42" s="5"/>
      <c r="G42" s="7"/>
      <c r="H42" s="7"/>
      <c r="I42" s="7"/>
      <c r="J42" s="5"/>
      <c r="K42" s="5"/>
      <c r="L42" s="7"/>
      <c r="M42" s="5"/>
      <c r="N42" s="5"/>
      <c r="O42" s="5"/>
      <c r="P42" s="7"/>
    </row>
    <row r="43" spans="1:18" x14ac:dyDescent="0.25">
      <c r="A43" s="1"/>
      <c r="B43" s="1"/>
      <c r="C43" s="7"/>
      <c r="D43" s="7"/>
      <c r="E43" s="7"/>
      <c r="F43" s="5"/>
      <c r="G43" s="7"/>
      <c r="H43" s="7"/>
      <c r="I43" s="7"/>
      <c r="J43" s="5"/>
      <c r="K43" s="5"/>
      <c r="L43" s="7"/>
      <c r="M43" s="5"/>
      <c r="N43" s="5"/>
      <c r="O43" s="5"/>
      <c r="P43" s="7"/>
    </row>
    <row r="44" spans="1:18" x14ac:dyDescent="0.25">
      <c r="A44" s="1"/>
      <c r="B44" s="1"/>
      <c r="C44" s="1"/>
      <c r="D44" s="1"/>
      <c r="E44" s="1"/>
      <c r="F44" s="1"/>
      <c r="M44" s="1"/>
      <c r="N44" s="1"/>
    </row>
    <row r="45" spans="1:18" x14ac:dyDescent="0.25">
      <c r="A45" s="1"/>
      <c r="B45" s="1"/>
      <c r="C45" s="1"/>
      <c r="D45" s="1"/>
      <c r="E45" s="1"/>
      <c r="F45" s="1"/>
      <c r="M45" s="1"/>
      <c r="N45" s="1"/>
    </row>
    <row r="46" spans="1:18" ht="18" x14ac:dyDescent="0.25">
      <c r="A46" s="1" t="s">
        <v>39</v>
      </c>
      <c r="B46" s="1"/>
      <c r="C46" s="8">
        <f>SUM(C7:C45)</f>
        <v>417500</v>
      </c>
      <c r="D46" s="8">
        <f t="shared" ref="D46:R46" si="9">SUM(D7:D45)</f>
        <v>640000</v>
      </c>
      <c r="E46" s="8">
        <f t="shared" si="9"/>
        <v>24000</v>
      </c>
      <c r="F46" s="8">
        <f t="shared" si="9"/>
        <v>0</v>
      </c>
      <c r="G46" s="8">
        <f t="shared" si="9"/>
        <v>1052500</v>
      </c>
      <c r="H46" s="8">
        <f t="shared" si="9"/>
        <v>239000</v>
      </c>
      <c r="I46" s="8">
        <f t="shared" si="9"/>
        <v>10500</v>
      </c>
      <c r="J46" s="8">
        <f t="shared" si="9"/>
        <v>0</v>
      </c>
      <c r="K46" s="8">
        <f t="shared" si="9"/>
        <v>0</v>
      </c>
      <c r="L46" s="8">
        <f t="shared" si="9"/>
        <v>109000</v>
      </c>
      <c r="M46" s="8">
        <f t="shared" si="9"/>
        <v>0</v>
      </c>
      <c r="N46" s="8">
        <f t="shared" si="9"/>
        <v>0</v>
      </c>
      <c r="O46" s="8">
        <f t="shared" si="9"/>
        <v>0</v>
      </c>
      <c r="P46" s="8">
        <f t="shared" si="9"/>
        <v>510000</v>
      </c>
      <c r="Q46" s="8">
        <f t="shared" si="9"/>
        <v>90000</v>
      </c>
      <c r="R46" s="8">
        <f t="shared" si="9"/>
        <v>0</v>
      </c>
    </row>
    <row r="48" spans="1:18" x14ac:dyDescent="0.25">
      <c r="I48" s="9"/>
    </row>
    <row r="49" spans="4:15" ht="18" x14ac:dyDescent="0.25">
      <c r="G49" s="8" t="s">
        <v>75</v>
      </c>
      <c r="H49" s="8">
        <f>D73+H73+Q46</f>
        <v>839000</v>
      </c>
      <c r="I49" s="8"/>
      <c r="J49" s="8"/>
      <c r="K49" s="8"/>
      <c r="O49" s="8"/>
    </row>
    <row r="50" spans="4:15" ht="18" x14ac:dyDescent="0.25">
      <c r="G50" s="8" t="s">
        <v>76</v>
      </c>
      <c r="H50" s="8">
        <f>IF(H49&gt;=900000,300000*3,300000*2)</f>
        <v>600000</v>
      </c>
      <c r="I50" s="9"/>
    </row>
    <row r="51" spans="4:15" ht="18" x14ac:dyDescent="0.25">
      <c r="D51" s="4" t="s">
        <v>47</v>
      </c>
      <c r="E51" s="8">
        <f>+D46</f>
        <v>640000</v>
      </c>
      <c r="I51" s="8"/>
      <c r="J51" s="8"/>
      <c r="K51" s="8"/>
      <c r="O51" s="8"/>
    </row>
    <row r="52" spans="4:15" ht="43.5" x14ac:dyDescent="0.25">
      <c r="D52" s="4" t="s">
        <v>65</v>
      </c>
      <c r="E52" s="8">
        <f>E46</f>
        <v>24000</v>
      </c>
      <c r="F52" s="8"/>
      <c r="G52" s="8" t="s">
        <v>74</v>
      </c>
      <c r="H52" s="8">
        <f>H49-H50</f>
        <v>239000</v>
      </c>
      <c r="L52" s="12"/>
      <c r="M52" s="8"/>
      <c r="N52" s="8"/>
    </row>
    <row r="53" spans="4:15" ht="18" x14ac:dyDescent="0.25">
      <c r="D53" s="4" t="s">
        <v>60</v>
      </c>
      <c r="E53" s="8">
        <f>+H46</f>
        <v>239000</v>
      </c>
    </row>
    <row r="54" spans="4:15" ht="29.25" x14ac:dyDescent="0.25">
      <c r="D54" s="4" t="s">
        <v>79</v>
      </c>
      <c r="E54" s="8">
        <f>+I46</f>
        <v>10500</v>
      </c>
      <c r="G54" s="8" t="s">
        <v>78</v>
      </c>
      <c r="H54" s="8">
        <f>H52-H46</f>
        <v>0</v>
      </c>
      <c r="I54" s="8" t="s">
        <v>94</v>
      </c>
    </row>
    <row r="55" spans="4:15" ht="29.25" x14ac:dyDescent="0.25">
      <c r="D55" s="4" t="s">
        <v>66</v>
      </c>
      <c r="E55" s="8">
        <f>+L46</f>
        <v>109000</v>
      </c>
    </row>
    <row r="56" spans="4:15" ht="29.25" x14ac:dyDescent="0.25">
      <c r="D56" s="4" t="s">
        <v>67</v>
      </c>
      <c r="E56" s="8">
        <f>+Q46</f>
        <v>90000</v>
      </c>
    </row>
    <row r="57" spans="4:15" ht="18" x14ac:dyDescent="0.25">
      <c r="D57" s="4" t="s">
        <v>51</v>
      </c>
      <c r="E57" s="8">
        <f>[5]MVTDEC!$E$49</f>
        <v>0</v>
      </c>
    </row>
    <row r="58" spans="4:15" ht="18" x14ac:dyDescent="0.25">
      <c r="D58" s="4" t="s">
        <v>41</v>
      </c>
      <c r="E58" s="8">
        <f>[5]MVTDEC!$E$50</f>
        <v>265500</v>
      </c>
    </row>
    <row r="59" spans="4:15" ht="29.25" x14ac:dyDescent="0.25">
      <c r="D59" s="4" t="s">
        <v>42</v>
      </c>
      <c r="E59" s="8">
        <f>[5]MVTDEC!$E$51</f>
        <v>16500</v>
      </c>
    </row>
    <row r="60" spans="4:15" ht="29.25" x14ac:dyDescent="0.25">
      <c r="D60" s="4" t="s">
        <v>43</v>
      </c>
      <c r="E60" s="8">
        <f>[5]MVTDEC!$E$52</f>
        <v>33000</v>
      </c>
    </row>
    <row r="61" spans="4:15" ht="18" x14ac:dyDescent="0.25">
      <c r="D61" s="4" t="s">
        <v>44</v>
      </c>
      <c r="E61" s="8">
        <f>[5]MVTDEC!$E$53</f>
        <v>82500</v>
      </c>
    </row>
    <row r="62" spans="4:15" ht="18" x14ac:dyDescent="0.25">
      <c r="D62" s="4" t="s">
        <v>52</v>
      </c>
      <c r="E62" s="8">
        <f>[5]MVTDEC!$E$55</f>
        <v>0</v>
      </c>
    </row>
    <row r="63" spans="4:15" ht="18" x14ac:dyDescent="0.25">
      <c r="D63" s="4" t="s">
        <v>48</v>
      </c>
      <c r="E63" s="8">
        <f>[5]MVTDEC!$E$56</f>
        <v>2000000</v>
      </c>
    </row>
    <row r="64" spans="4:15" ht="18" x14ac:dyDescent="0.25">
      <c r="D64" s="4" t="s">
        <v>49</v>
      </c>
      <c r="E64" s="8">
        <f>[5]MVTDEC!$E$57</f>
        <v>120000</v>
      </c>
    </row>
    <row r="65" spans="1:18" ht="29.25" x14ac:dyDescent="0.25">
      <c r="D65" s="4" t="s">
        <v>50</v>
      </c>
      <c r="E65" s="8">
        <f>[5]MVTDEC!$E$58</f>
        <v>1000000</v>
      </c>
    </row>
    <row r="66" spans="1:18" s="2" customFormat="1" ht="29.25" x14ac:dyDescent="0.25">
      <c r="A66"/>
      <c r="B66"/>
      <c r="C66"/>
      <c r="D66" s="4" t="s">
        <v>87</v>
      </c>
      <c r="E66" s="8">
        <f>[5]MVTDEC!$E$59</f>
        <v>0</v>
      </c>
      <c r="F66"/>
      <c r="H66"/>
      <c r="I66" s="3"/>
      <c r="J66" s="3"/>
      <c r="K66" s="3"/>
      <c r="M66"/>
      <c r="N66"/>
      <c r="O66" s="3"/>
      <c r="R66"/>
    </row>
    <row r="67" spans="1:18" s="2" customFormat="1" ht="18" x14ac:dyDescent="0.25">
      <c r="A67"/>
      <c r="B67"/>
      <c r="C67"/>
      <c r="D67" s="4" t="s">
        <v>53</v>
      </c>
      <c r="E67" s="8">
        <f>[5]MVTDEC!$E$60</f>
        <v>0</v>
      </c>
      <c r="F67"/>
      <c r="H67"/>
      <c r="I67" s="3"/>
      <c r="J67" s="3"/>
      <c r="K67" s="3"/>
      <c r="M67"/>
      <c r="N67"/>
      <c r="O67" s="3"/>
      <c r="R67"/>
    </row>
    <row r="68" spans="1:18" s="2" customFormat="1" ht="18" x14ac:dyDescent="0.25">
      <c r="A68"/>
      <c r="B68"/>
      <c r="C68"/>
      <c r="D68" s="4"/>
      <c r="E68" s="8"/>
      <c r="F68"/>
      <c r="H68"/>
      <c r="I68" s="3"/>
      <c r="J68" s="3"/>
      <c r="K68" s="3"/>
      <c r="M68"/>
      <c r="N68"/>
      <c r="O68" s="3"/>
      <c r="R68"/>
    </row>
    <row r="69" spans="1:18" s="2" customFormat="1" ht="43.5" x14ac:dyDescent="0.25">
      <c r="A69"/>
      <c r="B69"/>
      <c r="C69"/>
      <c r="D69" s="4" t="s">
        <v>6</v>
      </c>
      <c r="E69"/>
      <c r="F69" s="4" t="s">
        <v>73</v>
      </c>
      <c r="G69" s="4" t="s">
        <v>68</v>
      </c>
      <c r="H69" s="4" t="s">
        <v>55</v>
      </c>
      <c r="I69" s="4" t="s">
        <v>60</v>
      </c>
      <c r="J69" s="4" t="s">
        <v>62</v>
      </c>
      <c r="K69" s="4"/>
      <c r="L69" s="4" t="s">
        <v>63</v>
      </c>
      <c r="M69" s="4"/>
      <c r="N69"/>
      <c r="O69" s="4"/>
      <c r="R69"/>
    </row>
    <row r="70" spans="1:18" s="2" customFormat="1" ht="18" x14ac:dyDescent="0.25">
      <c r="A70"/>
      <c r="B70"/>
      <c r="C70"/>
      <c r="D70" s="8">
        <f>SUMIFS(D7:D45,F7:F45,"ESPECES")</f>
        <v>180000</v>
      </c>
      <c r="E70" s="8" t="s">
        <v>45</v>
      </c>
      <c r="F70" s="8">
        <f>SUMIFS(G7:G45,F7:F45,"ESPECES")</f>
        <v>309000</v>
      </c>
      <c r="G70" s="8">
        <f>+E46</f>
        <v>24000</v>
      </c>
      <c r="H70" s="8">
        <f>SUMIFS(L7:L45,M7:M45,"ESPECES")</f>
        <v>83500</v>
      </c>
      <c r="I70" s="8">
        <f>SUMIFS(H7:H45,J7:J45,"ESPECES")</f>
        <v>0</v>
      </c>
      <c r="J70" s="8">
        <f>SUMIFS(P7:P45,N7:N45,"ESPECES")</f>
        <v>0</v>
      </c>
      <c r="K70" s="8"/>
      <c r="L70" s="8">
        <f>F70+H70+G70-I70-J70</f>
        <v>416500</v>
      </c>
      <c r="M70" s="8"/>
      <c r="N70" s="4"/>
      <c r="O70" s="8"/>
      <c r="R70"/>
    </row>
    <row r="71" spans="1:18" s="2" customFormat="1" ht="18" x14ac:dyDescent="0.25">
      <c r="A71"/>
      <c r="B71"/>
      <c r="C71"/>
      <c r="D71" s="8">
        <f>SUMIFS(D7:D45,F7:F45,"BANQUE")</f>
        <v>460000</v>
      </c>
      <c r="E71" s="8" t="s">
        <v>46</v>
      </c>
      <c r="F71" s="8">
        <f>SUMIFS(G7:G45,F7:F45,"BANQUE")</f>
        <v>743500</v>
      </c>
      <c r="H71" s="8">
        <f>SUMIFS(L7:L45,M7:M45,"BANQUE")</f>
        <v>25500</v>
      </c>
      <c r="I71" s="8">
        <f>SUMIFS(H7:H45,J7:J45,"BANQUE")</f>
        <v>0</v>
      </c>
      <c r="J71" s="8">
        <f>SUMIFS(P7:P45,M7:M45,"BANQUE")</f>
        <v>0</v>
      </c>
      <c r="K71" s="8"/>
      <c r="L71" s="8">
        <f>F71+H71-I71-J71</f>
        <v>769000</v>
      </c>
      <c r="M71" s="8"/>
      <c r="N71" s="8"/>
      <c r="O71" s="8"/>
      <c r="R71"/>
    </row>
    <row r="72" spans="1:18" s="2" customFormat="1" ht="18" x14ac:dyDescent="0.25">
      <c r="A72"/>
      <c r="B72"/>
      <c r="C72"/>
      <c r="D72" s="8"/>
      <c r="E72" s="8"/>
      <c r="F72" s="8"/>
      <c r="H72" s="8"/>
      <c r="I72" s="8"/>
      <c r="J72" s="8"/>
      <c r="K72" s="8"/>
      <c r="L72" s="8"/>
      <c r="M72" s="8"/>
      <c r="N72" s="8"/>
      <c r="O72" s="8"/>
      <c r="R72"/>
    </row>
    <row r="73" spans="1:18" s="2" customFormat="1" ht="18" x14ac:dyDescent="0.25">
      <c r="A73"/>
      <c r="B73"/>
      <c r="C73"/>
      <c r="D73" s="8">
        <f>D70+D71</f>
        <v>640000</v>
      </c>
      <c r="E73" s="8" t="s">
        <v>39</v>
      </c>
      <c r="F73" s="8">
        <f>F70+F71</f>
        <v>1052500</v>
      </c>
      <c r="H73" s="8">
        <f>H70+H71</f>
        <v>109000</v>
      </c>
      <c r="I73" s="8">
        <f>I70+I71</f>
        <v>0</v>
      </c>
      <c r="J73" s="8">
        <v>0</v>
      </c>
      <c r="K73" s="8"/>
      <c r="L73" s="8">
        <f>F73+H73-I73-J73</f>
        <v>1161500</v>
      </c>
      <c r="M73" s="8"/>
      <c r="N73" s="8"/>
      <c r="O73" s="8"/>
      <c r="R73"/>
    </row>
    <row r="74" spans="1:18" s="2" customFormat="1" ht="18" x14ac:dyDescent="0.25">
      <c r="A74"/>
      <c r="B74"/>
      <c r="C74"/>
      <c r="D74" s="8">
        <f>D73+R46</f>
        <v>640000</v>
      </c>
      <c r="E74" s="8" t="s">
        <v>82</v>
      </c>
      <c r="F74"/>
      <c r="H74"/>
      <c r="I74" s="3"/>
      <c r="J74" s="3"/>
      <c r="K74" s="3"/>
      <c r="M74"/>
      <c r="N74" s="8"/>
      <c r="O74" s="3"/>
      <c r="R74"/>
    </row>
    <row r="75" spans="1:18" s="2" customFormat="1" ht="18" x14ac:dyDescent="0.25">
      <c r="A75"/>
      <c r="B75"/>
      <c r="C75"/>
      <c r="D75" s="4" t="s">
        <v>6</v>
      </c>
      <c r="E75" s="8">
        <v>300000</v>
      </c>
      <c r="F75"/>
      <c r="H75"/>
      <c r="I75" s="3"/>
      <c r="J75" s="3"/>
      <c r="K75" s="3"/>
      <c r="M75"/>
      <c r="N75"/>
      <c r="O75" s="3"/>
      <c r="R75"/>
    </row>
    <row r="76" spans="1:18" s="2" customFormat="1" ht="29.25" x14ac:dyDescent="0.25">
      <c r="A76"/>
      <c r="B76"/>
      <c r="C76"/>
      <c r="D76" s="10" t="s">
        <v>64</v>
      </c>
      <c r="E76" s="11">
        <f>L46+Q46</f>
        <v>199000</v>
      </c>
      <c r="F76"/>
      <c r="H76"/>
      <c r="I76" s="3"/>
      <c r="J76" s="3"/>
      <c r="K76" s="3"/>
      <c r="M76"/>
      <c r="N76"/>
      <c r="O76" s="3"/>
      <c r="R76"/>
    </row>
    <row r="78" spans="1:18" x14ac:dyDescent="0.25">
      <c r="E78" s="2"/>
    </row>
  </sheetData>
  <autoFilter ref="A5:R39">
    <sortState ref="A5:L48">
      <sortCondition ref="B5:B48"/>
    </sortState>
  </autoFilter>
  <mergeCells count="1">
    <mergeCell ref="C4:I4"/>
  </mergeCells>
  <dataValidations count="1">
    <dataValidation type="list" allowBlank="1" showInputMessage="1" showErrorMessage="1" sqref="F6:F43 J6:K43 O6:O43 M6:N39 M41:M43 N40:N43">
      <formula1>MODEVERSEMENTS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78"/>
  <sheetViews>
    <sheetView workbookViewId="0">
      <pane xSplit="2" ySplit="5" topLeftCell="C54" activePane="bottomRight" state="frozen"/>
      <selection activeCell="I54" sqref="I54"/>
      <selection pane="topRight" activeCell="I54" sqref="I54"/>
      <selection pane="bottomLeft" activeCell="I54" sqref="I54"/>
      <selection pane="bottomRight" activeCell="A37" sqref="A37:XFD37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15" bestFit="1" customWidth="1"/>
    <col min="4" max="4" width="21" customWidth="1"/>
    <col min="5" max="6" width="16.7109375" customWidth="1"/>
    <col min="7" max="7" width="15" style="2" bestFit="1" customWidth="1"/>
    <col min="8" max="8" width="15" bestFit="1" customWidth="1"/>
    <col min="9" max="9" width="17.5703125" style="3" bestFit="1" customWidth="1"/>
    <col min="10" max="10" width="17.5703125" style="3" customWidth="1"/>
    <col min="11" max="11" width="16" style="3" customWidth="1"/>
    <col min="12" max="12" width="15.7109375" style="2" customWidth="1"/>
    <col min="13" max="14" width="13" customWidth="1"/>
    <col min="15" max="15" width="15.5703125" style="3" customWidth="1"/>
    <col min="16" max="17" width="18.140625" style="2" bestFit="1" customWidth="1"/>
    <col min="18" max="18" width="12.5703125" bestFit="1" customWidth="1"/>
  </cols>
  <sheetData>
    <row r="1" spans="1:18" x14ac:dyDescent="0.25">
      <c r="A1" s="1" t="s">
        <v>0</v>
      </c>
      <c r="B1" s="1" t="s">
        <v>1</v>
      </c>
      <c r="C1" s="1"/>
      <c r="D1" s="1"/>
      <c r="E1" s="1"/>
      <c r="F1" s="1"/>
      <c r="M1" s="1"/>
      <c r="N1" s="1"/>
    </row>
    <row r="2" spans="1:18" x14ac:dyDescent="0.25">
      <c r="A2" s="1" t="s">
        <v>2</v>
      </c>
      <c r="B2" s="1" t="s">
        <v>80</v>
      </c>
      <c r="C2" s="1"/>
      <c r="D2" s="1"/>
      <c r="E2" s="1"/>
      <c r="F2" s="1"/>
      <c r="M2" s="1"/>
      <c r="N2" s="1"/>
    </row>
    <row r="3" spans="1:18" x14ac:dyDescent="0.25">
      <c r="A3" s="1" t="s">
        <v>3</v>
      </c>
      <c r="B3" s="6">
        <v>30000</v>
      </c>
      <c r="C3" s="1"/>
      <c r="D3" s="1"/>
      <c r="E3" s="1"/>
      <c r="F3" s="1"/>
      <c r="M3" s="1"/>
      <c r="N3" s="1"/>
    </row>
    <row r="4" spans="1:18" ht="18" x14ac:dyDescent="0.25">
      <c r="B4" s="13"/>
      <c r="C4" s="20">
        <v>43849</v>
      </c>
      <c r="D4" s="21"/>
      <c r="E4" s="21"/>
      <c r="F4" s="21"/>
      <c r="G4" s="21"/>
      <c r="H4" s="21"/>
      <c r="I4" s="21"/>
      <c r="J4" s="16"/>
      <c r="K4" s="16"/>
      <c r="L4" s="16"/>
      <c r="M4" s="16"/>
      <c r="O4" s="16"/>
      <c r="P4"/>
      <c r="Q4"/>
    </row>
    <row r="5" spans="1:18" ht="57.75" x14ac:dyDescent="0.25">
      <c r="A5" s="1" t="s">
        <v>4</v>
      </c>
      <c r="B5" s="1" t="s">
        <v>5</v>
      </c>
      <c r="C5" s="1" t="s">
        <v>40</v>
      </c>
      <c r="D5" s="4" t="s">
        <v>6</v>
      </c>
      <c r="E5" s="1" t="s">
        <v>65</v>
      </c>
      <c r="F5" s="5" t="s">
        <v>7</v>
      </c>
      <c r="G5" s="4" t="s">
        <v>8</v>
      </c>
      <c r="H5" s="6" t="s">
        <v>60</v>
      </c>
      <c r="I5" s="4" t="s">
        <v>57</v>
      </c>
      <c r="J5" s="4" t="s">
        <v>61</v>
      </c>
      <c r="K5" s="14" t="s">
        <v>77</v>
      </c>
      <c r="L5" s="4" t="s">
        <v>55</v>
      </c>
      <c r="M5" s="4" t="s">
        <v>54</v>
      </c>
      <c r="N5" s="4" t="s">
        <v>58</v>
      </c>
      <c r="O5" s="4" t="s">
        <v>77</v>
      </c>
      <c r="P5" s="4" t="s">
        <v>56</v>
      </c>
      <c r="Q5" s="6" t="s">
        <v>59</v>
      </c>
      <c r="R5" s="4" t="s">
        <v>81</v>
      </c>
    </row>
    <row r="6" spans="1:18" x14ac:dyDescent="0.25">
      <c r="A6" s="1" t="s">
        <v>69</v>
      </c>
      <c r="B6" s="1" t="str">
        <f>VLOOKUP(A6,[4]LISTADHERENT!A$5:H$60,3,0)</f>
        <v>ASELBY</v>
      </c>
      <c r="C6" s="7">
        <f t="shared" ref="C6:C39" si="0">IF(G6=0,0,G6-D6)</f>
        <v>0</v>
      </c>
      <c r="D6" s="7">
        <f t="shared" ref="D6:D39" si="1">IF(F6="ECHEC",0,IF(F6="",0,20000))</f>
        <v>0</v>
      </c>
      <c r="E6" s="7">
        <f t="shared" ref="E6:E39" si="2">IF(F6="ESPECES",3000,0)</f>
        <v>0</v>
      </c>
      <c r="F6" s="5"/>
      <c r="G6" s="7">
        <f t="shared" ref="G6:G39" si="3">IF(F6="BANQUE",30000,IF(F6="ESPECES",30000,0))</f>
        <v>0</v>
      </c>
      <c r="H6" s="7"/>
      <c r="I6" s="7"/>
      <c r="J6" s="5"/>
      <c r="K6" s="5"/>
      <c r="L6" s="4">
        <f>TONTDEC!H6+TONTDEC!I6</f>
        <v>0</v>
      </c>
      <c r="M6" s="5"/>
      <c r="N6" s="5"/>
      <c r="O6" s="5"/>
      <c r="P6" s="7">
        <f>IF(Q6=0,0,($E$76-Q6))</f>
        <v>0</v>
      </c>
      <c r="Q6" s="7"/>
      <c r="R6" s="7"/>
    </row>
    <row r="7" spans="1:18" x14ac:dyDescent="0.25">
      <c r="A7" s="1" t="s">
        <v>10</v>
      </c>
      <c r="B7" s="1" t="str">
        <f>VLOOKUP(A7,[4]LISTADHERENT!A$5:H$60,3,0)</f>
        <v>BOUTCHOUANG WILLIAM</v>
      </c>
      <c r="C7" s="7">
        <f t="shared" si="0"/>
        <v>10000</v>
      </c>
      <c r="D7" s="7">
        <f t="shared" si="1"/>
        <v>20000</v>
      </c>
      <c r="E7" s="7">
        <f t="shared" si="2"/>
        <v>0</v>
      </c>
      <c r="F7" s="5" t="s">
        <v>46</v>
      </c>
      <c r="G7" s="7">
        <f>IF(F7="BANQUE",30000,IF(F7="ESPECES",30000,0))</f>
        <v>30000</v>
      </c>
      <c r="H7" s="7"/>
      <c r="I7" s="7"/>
      <c r="J7" s="5"/>
      <c r="K7" s="5"/>
      <c r="L7" s="4">
        <f>TONTDEC!H7+TONTDEC!I7</f>
        <v>0</v>
      </c>
      <c r="M7" s="5"/>
      <c r="N7" s="5"/>
      <c r="O7" s="5"/>
      <c r="P7" s="7">
        <f t="shared" ref="P7:P39" si="4">IF(Q7=0,0,($E$75-Q7))</f>
        <v>0</v>
      </c>
      <c r="Q7" s="7"/>
      <c r="R7" s="7"/>
    </row>
    <row r="8" spans="1:18" x14ac:dyDescent="0.25">
      <c r="A8" s="1" t="s">
        <v>11</v>
      </c>
      <c r="B8" s="1" t="str">
        <f>VLOOKUP(A8,[4]LISTADHERENT!A$5:H$60,3,0)</f>
        <v xml:space="preserve">DJOMO JEAN PAUL </v>
      </c>
      <c r="C8" s="7">
        <f t="shared" si="0"/>
        <v>10000</v>
      </c>
      <c r="D8" s="7">
        <f t="shared" si="1"/>
        <v>20000</v>
      </c>
      <c r="E8" s="7">
        <f t="shared" si="2"/>
        <v>0</v>
      </c>
      <c r="F8" s="5" t="s">
        <v>46</v>
      </c>
      <c r="G8" s="7">
        <f t="shared" si="3"/>
        <v>30000</v>
      </c>
      <c r="H8" s="7"/>
      <c r="I8" s="7"/>
      <c r="J8" s="5"/>
      <c r="K8" s="5"/>
      <c r="L8" s="4">
        <f>TONTDEC!H8+TONTDEC!I8</f>
        <v>0</v>
      </c>
      <c r="M8" s="5"/>
      <c r="N8" s="5"/>
      <c r="O8" s="5"/>
      <c r="P8" s="7">
        <f t="shared" si="4"/>
        <v>0</v>
      </c>
      <c r="Q8" s="7"/>
      <c r="R8" s="7"/>
    </row>
    <row r="9" spans="1:18" x14ac:dyDescent="0.25">
      <c r="A9" s="1" t="s">
        <v>83</v>
      </c>
      <c r="B9" s="1" t="str">
        <f>VLOOKUP(A9,[4]LISTADHERENT!A$5:H$60,3,0)</f>
        <v>DJOMOU TCHANDA</v>
      </c>
      <c r="C9" s="7">
        <f t="shared" si="0"/>
        <v>110000</v>
      </c>
      <c r="D9" s="7">
        <f t="shared" si="1"/>
        <v>20000</v>
      </c>
      <c r="E9" s="7">
        <f t="shared" si="2"/>
        <v>0</v>
      </c>
      <c r="F9" s="5" t="s">
        <v>46</v>
      </c>
      <c r="G9" s="7">
        <f>IF(F9="BANQUE",30000,IF(F9="ESPECES",30000,0))+100000</f>
        <v>130000</v>
      </c>
      <c r="H9" s="7"/>
      <c r="I9" s="7"/>
      <c r="J9" s="5"/>
      <c r="K9" s="5"/>
      <c r="L9" s="4">
        <f>TONTDEC!H9+TONTDEC!I9</f>
        <v>0</v>
      </c>
      <c r="M9" s="5"/>
      <c r="N9" s="5"/>
      <c r="O9" s="5"/>
      <c r="P9" s="7">
        <f t="shared" si="4"/>
        <v>0</v>
      </c>
      <c r="Q9" s="7"/>
      <c r="R9" s="7"/>
    </row>
    <row r="10" spans="1:18" x14ac:dyDescent="0.25">
      <c r="A10" s="1" t="s">
        <v>12</v>
      </c>
      <c r="B10" s="1" t="str">
        <f>VLOOKUP(A10,[4]LISTADHERENT!A$5:H$60,3,0)</f>
        <v>DJOUKWE NANGUEN GUY BLAISE</v>
      </c>
      <c r="C10" s="7">
        <f t="shared" si="0"/>
        <v>10000</v>
      </c>
      <c r="D10" s="7">
        <f t="shared" si="1"/>
        <v>20000</v>
      </c>
      <c r="E10" s="7">
        <f t="shared" si="2"/>
        <v>0</v>
      </c>
      <c r="F10" s="5" t="s">
        <v>46</v>
      </c>
      <c r="G10" s="7">
        <f t="shared" si="3"/>
        <v>30000</v>
      </c>
      <c r="H10" s="7"/>
      <c r="I10" s="7"/>
      <c r="J10" s="5"/>
      <c r="K10" s="5"/>
      <c r="L10" s="4">
        <f>TONTDEC!H10+TONTDEC!I10</f>
        <v>0</v>
      </c>
      <c r="M10" s="5"/>
      <c r="N10" s="5"/>
      <c r="O10" s="5"/>
      <c r="P10" s="7">
        <f t="shared" si="4"/>
        <v>0</v>
      </c>
      <c r="Q10" s="7"/>
      <c r="R10" s="7"/>
    </row>
    <row r="11" spans="1:18" x14ac:dyDescent="0.25">
      <c r="A11" s="1" t="s">
        <v>13</v>
      </c>
      <c r="B11" s="1" t="str">
        <f>VLOOKUP(A11,[4]LISTADHERENT!A$5:H$60,3,0)</f>
        <v>DJUOMBESSY ANTOINE</v>
      </c>
      <c r="C11" s="7">
        <f t="shared" si="0"/>
        <v>10000</v>
      </c>
      <c r="D11" s="7">
        <f t="shared" si="1"/>
        <v>20000</v>
      </c>
      <c r="E11" s="7">
        <f t="shared" si="2"/>
        <v>0</v>
      </c>
      <c r="F11" s="5" t="s">
        <v>46</v>
      </c>
      <c r="G11" s="7">
        <f t="shared" si="3"/>
        <v>30000</v>
      </c>
      <c r="H11" s="7"/>
      <c r="I11" s="7"/>
      <c r="J11" s="5"/>
      <c r="K11" s="5"/>
      <c r="L11" s="4">
        <f>TONTDEC!H11+TONTDEC!I11</f>
        <v>0</v>
      </c>
      <c r="M11" s="5"/>
      <c r="N11" s="5"/>
      <c r="O11" s="5"/>
      <c r="P11" s="7">
        <f t="shared" si="4"/>
        <v>0</v>
      </c>
      <c r="Q11" s="7"/>
      <c r="R11" s="7"/>
    </row>
    <row r="12" spans="1:18" x14ac:dyDescent="0.25">
      <c r="A12" s="1" t="s">
        <v>71</v>
      </c>
      <c r="B12" s="1" t="str">
        <f>VLOOKUP(A12,[4]LISTADHERENT!A$5:H$60,3,0)</f>
        <v>DOMOU FABIEN</v>
      </c>
      <c r="C12" s="7">
        <f t="shared" si="0"/>
        <v>10000</v>
      </c>
      <c r="D12" s="7">
        <f t="shared" si="1"/>
        <v>20000</v>
      </c>
      <c r="E12" s="7">
        <f t="shared" si="2"/>
        <v>0</v>
      </c>
      <c r="F12" s="5" t="s">
        <v>46</v>
      </c>
      <c r="G12" s="7">
        <f t="shared" si="3"/>
        <v>30000</v>
      </c>
      <c r="H12" s="7"/>
      <c r="I12" s="7"/>
      <c r="J12" s="5"/>
      <c r="K12" s="5"/>
      <c r="L12" s="4">
        <f>TONTDEC!H12+TONTDEC!I12</f>
        <v>0</v>
      </c>
      <c r="M12" s="5"/>
      <c r="N12" s="5"/>
      <c r="O12" s="5"/>
      <c r="P12" s="7">
        <f t="shared" si="4"/>
        <v>0</v>
      </c>
    </row>
    <row r="13" spans="1:18" x14ac:dyDescent="0.25">
      <c r="A13" s="1" t="s">
        <v>14</v>
      </c>
      <c r="B13" s="1" t="str">
        <f>VLOOKUP(A13,[4]LISTADHERENT!A$5:H$60,3,0)</f>
        <v>DONHOU DAVID</v>
      </c>
      <c r="C13" s="7">
        <f t="shared" si="0"/>
        <v>10000</v>
      </c>
      <c r="D13" s="7">
        <f t="shared" si="1"/>
        <v>20000</v>
      </c>
      <c r="E13" s="7">
        <f t="shared" si="2"/>
        <v>0</v>
      </c>
      <c r="F13" s="5" t="s">
        <v>46</v>
      </c>
      <c r="G13" s="7">
        <f t="shared" si="3"/>
        <v>30000</v>
      </c>
      <c r="H13" s="7"/>
      <c r="I13" s="7"/>
      <c r="J13" s="5"/>
      <c r="K13" s="5"/>
      <c r="L13" s="4">
        <f>TONTDEC!H13+TONTDEC!I13</f>
        <v>0</v>
      </c>
      <c r="M13" s="5"/>
      <c r="N13" s="5"/>
      <c r="O13" s="5"/>
      <c r="P13" s="7">
        <f t="shared" si="4"/>
        <v>0</v>
      </c>
      <c r="Q13" s="7"/>
      <c r="R13" s="7"/>
    </row>
    <row r="14" spans="1:18" x14ac:dyDescent="0.25">
      <c r="A14" s="1" t="s">
        <v>15</v>
      </c>
      <c r="B14" s="1" t="str">
        <f>VLOOKUP(A14,[4]LISTADHERENT!A$5:H$60,3,0)</f>
        <v>FOTSO THOMAS</v>
      </c>
      <c r="C14" s="7">
        <f t="shared" si="0"/>
        <v>10000</v>
      </c>
      <c r="D14" s="7">
        <f t="shared" si="1"/>
        <v>20000</v>
      </c>
      <c r="E14" s="7">
        <f t="shared" si="2"/>
        <v>0</v>
      </c>
      <c r="F14" s="5" t="s">
        <v>46</v>
      </c>
      <c r="G14" s="7">
        <f t="shared" si="3"/>
        <v>30000</v>
      </c>
      <c r="H14" s="7">
        <v>51500</v>
      </c>
      <c r="I14" s="7">
        <v>3000</v>
      </c>
      <c r="J14" s="5"/>
      <c r="K14" s="5"/>
      <c r="L14" s="4">
        <f>TONTDEC!H14+TONTDEC!I14</f>
        <v>51500</v>
      </c>
      <c r="M14" s="5" t="s">
        <v>9</v>
      </c>
      <c r="N14" s="5"/>
      <c r="O14" s="5"/>
      <c r="P14" s="7">
        <f t="shared" si="4"/>
        <v>0</v>
      </c>
      <c r="Q14" s="7"/>
      <c r="R14" s="7"/>
    </row>
    <row r="15" spans="1:18" x14ac:dyDescent="0.25">
      <c r="A15" s="1" t="s">
        <v>16</v>
      </c>
      <c r="B15" s="1" t="str">
        <f>VLOOKUP(A15,[4]LISTADHERENT!A$5:H$60,3,0)</f>
        <v>HENGUE PAUL OMER</v>
      </c>
      <c r="C15" s="7">
        <f t="shared" si="0"/>
        <v>15000</v>
      </c>
      <c r="D15" s="7">
        <v>40000</v>
      </c>
      <c r="E15" s="7">
        <v>3000</v>
      </c>
      <c r="F15" s="5" t="s">
        <v>46</v>
      </c>
      <c r="G15" s="7">
        <f>IF(F15="BANQUE",30000,IF(F15="ESPECES",30000,0))+25000</f>
        <v>55000</v>
      </c>
      <c r="H15" s="7"/>
      <c r="I15" s="7"/>
      <c r="J15" s="5"/>
      <c r="K15" s="5"/>
      <c r="L15" s="4">
        <f>TONTDEC!H15+TONTDEC!I15</f>
        <v>0</v>
      </c>
      <c r="M15" s="5"/>
      <c r="N15" s="5"/>
      <c r="O15" s="5"/>
      <c r="P15" s="7">
        <f t="shared" si="4"/>
        <v>0</v>
      </c>
      <c r="Q15" s="7"/>
      <c r="R15" s="7"/>
    </row>
    <row r="16" spans="1:18" x14ac:dyDescent="0.25">
      <c r="A16" s="1" t="s">
        <v>17</v>
      </c>
      <c r="B16" s="1" t="str">
        <f>VLOOKUP(A16,[4]LISTADHERENT!A$5:H$60,3,0)</f>
        <v>HOTCHO BENJAMIN</v>
      </c>
      <c r="C16" s="7">
        <f t="shared" si="0"/>
        <v>5000</v>
      </c>
      <c r="D16" s="7">
        <f t="shared" si="1"/>
        <v>20000</v>
      </c>
      <c r="E16" s="7">
        <f t="shared" si="2"/>
        <v>0</v>
      </c>
      <c r="F16" s="5" t="s">
        <v>46</v>
      </c>
      <c r="G16" s="7">
        <f>IF(F16="BANQUE",30000,IF(F16="ESPECES",30000,0))-5000</f>
        <v>25000</v>
      </c>
      <c r="H16" s="7"/>
      <c r="I16" s="7"/>
      <c r="J16" s="5"/>
      <c r="K16" s="5"/>
      <c r="L16" s="4">
        <f>TONTDEC!H16+TONTDEC!I16</f>
        <v>0</v>
      </c>
      <c r="M16" s="5"/>
      <c r="N16" s="5"/>
      <c r="O16" s="5"/>
      <c r="P16" s="7">
        <f t="shared" si="4"/>
        <v>0</v>
      </c>
      <c r="Q16" s="7"/>
      <c r="R16" s="7"/>
    </row>
    <row r="17" spans="1:18" x14ac:dyDescent="0.25">
      <c r="A17" s="1" t="s">
        <v>19</v>
      </c>
      <c r="B17" s="1" t="str">
        <f>VLOOKUP(A17,[4]LISTADHERENT!A$5:H$60,3,0)</f>
        <v>KEPSEU FRANCIS</v>
      </c>
      <c r="C17" s="7">
        <f t="shared" si="0"/>
        <v>10000</v>
      </c>
      <c r="D17" s="7">
        <f t="shared" si="1"/>
        <v>20000</v>
      </c>
      <c r="E17" s="7">
        <f t="shared" si="2"/>
        <v>0</v>
      </c>
      <c r="F17" s="5" t="s">
        <v>46</v>
      </c>
      <c r="G17" s="7">
        <f t="shared" si="3"/>
        <v>30000</v>
      </c>
      <c r="H17" s="7"/>
      <c r="I17" s="7"/>
      <c r="J17" s="5"/>
      <c r="K17" s="5"/>
      <c r="L17" s="4">
        <f>TONTDEC!H17+TONTDEC!I17</f>
        <v>0</v>
      </c>
      <c r="M17" s="5"/>
      <c r="N17" s="5"/>
      <c r="O17" s="5"/>
      <c r="P17" s="7">
        <f t="shared" si="4"/>
        <v>0</v>
      </c>
      <c r="Q17" s="7"/>
      <c r="R17" s="7"/>
    </row>
    <row r="18" spans="1:18" x14ac:dyDescent="0.25">
      <c r="A18" s="1" t="s">
        <v>21</v>
      </c>
      <c r="B18" s="1" t="str">
        <f>VLOOKUP(A18,[4]LISTADHERENT!A$5:H$60,3,0)</f>
        <v>KOUAMO VICTOR PEGUY</v>
      </c>
      <c r="C18" s="7">
        <f t="shared" si="0"/>
        <v>10000</v>
      </c>
      <c r="D18" s="7">
        <f t="shared" si="1"/>
        <v>20000</v>
      </c>
      <c r="E18" s="7">
        <v>0</v>
      </c>
      <c r="F18" s="5" t="s">
        <v>45</v>
      </c>
      <c r="G18" s="7">
        <f t="shared" si="3"/>
        <v>30000</v>
      </c>
      <c r="H18" s="7"/>
      <c r="I18" s="7"/>
      <c r="J18" s="5"/>
      <c r="K18" s="5"/>
      <c r="L18" s="4">
        <f>TONTDEC!H18+TONTDEC!I18</f>
        <v>0</v>
      </c>
      <c r="M18" s="5"/>
      <c r="N18" s="5"/>
      <c r="O18" s="5"/>
      <c r="P18" s="7">
        <f t="shared" si="4"/>
        <v>0</v>
      </c>
      <c r="Q18" s="7"/>
      <c r="R18" s="7"/>
    </row>
    <row r="19" spans="1:18" x14ac:dyDescent="0.25">
      <c r="A19" s="1" t="s">
        <v>20</v>
      </c>
      <c r="B19" s="1" t="str">
        <f>VLOOKUP(A19,[4]LISTADHERENT!A$5:H$60,3,0)</f>
        <v>KOUAMOU MOISE</v>
      </c>
      <c r="C19" s="7">
        <f t="shared" si="0"/>
        <v>10000</v>
      </c>
      <c r="D19" s="7">
        <f t="shared" si="1"/>
        <v>20000</v>
      </c>
      <c r="E19" s="7">
        <f t="shared" si="2"/>
        <v>0</v>
      </c>
      <c r="F19" s="5" t="s">
        <v>46</v>
      </c>
      <c r="G19" s="7">
        <f t="shared" si="3"/>
        <v>30000</v>
      </c>
      <c r="H19" s="7">
        <v>30000</v>
      </c>
      <c r="I19" s="7">
        <v>2500</v>
      </c>
      <c r="J19" s="5"/>
      <c r="K19" s="5"/>
      <c r="L19" s="4">
        <f>TONTDEC!H19+TONTDEC!I19</f>
        <v>0</v>
      </c>
      <c r="M19" s="5"/>
      <c r="N19" s="5"/>
      <c r="O19" s="5"/>
      <c r="P19" s="7">
        <f t="shared" si="4"/>
        <v>0</v>
      </c>
      <c r="Q19" s="7"/>
      <c r="R19" s="7"/>
    </row>
    <row r="20" spans="1:18" x14ac:dyDescent="0.25">
      <c r="A20" s="1" t="s">
        <v>22</v>
      </c>
      <c r="B20" s="1" t="str">
        <f>VLOOKUP(A20,[4]LISTADHERENT!A$5:H$60,3,0)</f>
        <v>KOUATCHO MESSACK</v>
      </c>
      <c r="C20" s="7">
        <f t="shared" si="0"/>
        <v>10000</v>
      </c>
      <c r="D20" s="7">
        <f t="shared" si="1"/>
        <v>20000</v>
      </c>
      <c r="E20" s="7">
        <f t="shared" si="2"/>
        <v>3000</v>
      </c>
      <c r="F20" s="5" t="s">
        <v>45</v>
      </c>
      <c r="G20" s="7">
        <f t="shared" si="3"/>
        <v>30000</v>
      </c>
      <c r="H20" s="7"/>
      <c r="I20" s="7"/>
      <c r="J20" s="5"/>
      <c r="K20" s="5"/>
      <c r="L20" s="4">
        <f>TONTDEC!H20+TONTDEC!I20</f>
        <v>0</v>
      </c>
      <c r="M20" s="5"/>
      <c r="N20" s="5"/>
      <c r="O20" s="5"/>
      <c r="P20" s="7">
        <f t="shared" si="4"/>
        <v>277000</v>
      </c>
      <c r="Q20" s="7">
        <v>23000</v>
      </c>
      <c r="R20" s="7"/>
    </row>
    <row r="21" spans="1:18" x14ac:dyDescent="0.25">
      <c r="A21" s="1" t="s">
        <v>23</v>
      </c>
      <c r="B21" s="1" t="str">
        <f>VLOOKUP(A21,[4]LISTADHERENT!A$5:H$60,3,0)</f>
        <v>LOWE JEAN</v>
      </c>
      <c r="C21" s="7">
        <f t="shared" si="0"/>
        <v>10000</v>
      </c>
      <c r="D21" s="7">
        <f t="shared" si="1"/>
        <v>20000</v>
      </c>
      <c r="E21" s="7">
        <f t="shared" si="2"/>
        <v>0</v>
      </c>
      <c r="F21" s="5" t="s">
        <v>46</v>
      </c>
      <c r="G21" s="7">
        <f t="shared" si="3"/>
        <v>30000</v>
      </c>
      <c r="H21" s="7"/>
      <c r="I21" s="7"/>
      <c r="J21" s="5"/>
      <c r="K21" s="5"/>
      <c r="L21" s="4">
        <f>TONTDEC!H21+TONTDEC!I21</f>
        <v>0</v>
      </c>
      <c r="M21" s="5"/>
      <c r="N21" s="5"/>
      <c r="O21" s="5"/>
      <c r="P21" s="7">
        <f t="shared" si="4"/>
        <v>0</v>
      </c>
      <c r="Q21" s="7"/>
      <c r="R21" s="7"/>
    </row>
    <row r="22" spans="1:18" x14ac:dyDescent="0.25">
      <c r="A22" s="1" t="s">
        <v>70</v>
      </c>
      <c r="B22" s="1" t="str">
        <f>VLOOKUP(A22,[4]LISTADHERENT!A$5:H$60,3,0)</f>
        <v>MBOGNING TUGMA GUY</v>
      </c>
      <c r="C22" s="7">
        <f t="shared" si="0"/>
        <v>10000</v>
      </c>
      <c r="D22" s="7">
        <f t="shared" si="1"/>
        <v>20000</v>
      </c>
      <c r="E22" s="7">
        <f t="shared" si="2"/>
        <v>0</v>
      </c>
      <c r="F22" s="5" t="s">
        <v>46</v>
      </c>
      <c r="G22" s="7">
        <f t="shared" si="3"/>
        <v>30000</v>
      </c>
      <c r="H22" s="7"/>
      <c r="I22" s="7"/>
      <c r="J22" s="5"/>
      <c r="K22" s="5"/>
      <c r="L22" s="4">
        <f>TONTDEC!H22+TONTDEC!I22</f>
        <v>0</v>
      </c>
      <c r="M22" s="5"/>
      <c r="N22" s="5"/>
      <c r="O22" s="5"/>
      <c r="P22" s="7">
        <f t="shared" si="4"/>
        <v>0</v>
      </c>
      <c r="R22" s="7"/>
    </row>
    <row r="23" spans="1:18" x14ac:dyDescent="0.25">
      <c r="A23" s="1" t="s">
        <v>34</v>
      </c>
      <c r="B23" s="1" t="str">
        <f>VLOOKUP(A23,[4]LISTADHERENT!A$5:H$60,3,0)</f>
        <v>NANGUEN MARTIN</v>
      </c>
      <c r="C23" s="7">
        <f t="shared" si="0"/>
        <v>10000</v>
      </c>
      <c r="D23" s="7">
        <f t="shared" si="1"/>
        <v>20000</v>
      </c>
      <c r="E23" s="7">
        <f t="shared" si="2"/>
        <v>0</v>
      </c>
      <c r="F23" s="5" t="s">
        <v>46</v>
      </c>
      <c r="G23" s="7">
        <f t="shared" si="3"/>
        <v>30000</v>
      </c>
      <c r="H23" s="7"/>
      <c r="I23" s="7"/>
      <c r="J23" s="5"/>
      <c r="K23" s="5"/>
      <c r="L23" s="4">
        <f>TONTDEC!H23+TONTDEC!I23</f>
        <v>0</v>
      </c>
      <c r="M23" s="5"/>
      <c r="N23" s="5"/>
      <c r="O23" s="5"/>
      <c r="P23" s="7">
        <f t="shared" si="4"/>
        <v>0</v>
      </c>
      <c r="Q23" s="7"/>
      <c r="R23" s="7"/>
    </row>
    <row r="24" spans="1:18" x14ac:dyDescent="0.25">
      <c r="A24" s="1" t="s">
        <v>24</v>
      </c>
      <c r="B24" s="1" t="str">
        <f>VLOOKUP(A24,[4]LISTADHERENT!A$5:H$60,3,0)</f>
        <v>NANKAM APPOLINAIRE</v>
      </c>
      <c r="C24" s="7">
        <f t="shared" si="0"/>
        <v>10000</v>
      </c>
      <c r="D24" s="7">
        <f t="shared" si="1"/>
        <v>20000</v>
      </c>
      <c r="E24" s="7">
        <f t="shared" si="2"/>
        <v>0</v>
      </c>
      <c r="F24" s="5" t="s">
        <v>46</v>
      </c>
      <c r="G24" s="7">
        <f t="shared" si="3"/>
        <v>30000</v>
      </c>
      <c r="H24" s="7"/>
      <c r="I24" s="7"/>
      <c r="J24" s="5"/>
      <c r="K24" s="5"/>
      <c r="L24" s="4">
        <f>TONTDEC!H24+TONTDEC!I24</f>
        <v>0</v>
      </c>
      <c r="M24" s="5"/>
      <c r="N24" s="5"/>
      <c r="O24" s="5"/>
      <c r="P24" s="7">
        <f t="shared" si="4"/>
        <v>0</v>
      </c>
      <c r="Q24" s="7"/>
      <c r="R24" s="7"/>
    </row>
    <row r="25" spans="1:18" x14ac:dyDescent="0.25">
      <c r="A25" s="1" t="s">
        <v>25</v>
      </c>
      <c r="B25" s="1" t="str">
        <f>VLOOKUP(A25,[4]LISTADHERENT!A$5:H$60,3,0)</f>
        <v>NDJOMO ETIENNE</v>
      </c>
      <c r="C25" s="7">
        <f t="shared" si="0"/>
        <v>14000</v>
      </c>
      <c r="D25" s="7">
        <f t="shared" si="1"/>
        <v>20000</v>
      </c>
      <c r="E25" s="7">
        <f t="shared" si="2"/>
        <v>0</v>
      </c>
      <c r="F25" s="5" t="s">
        <v>46</v>
      </c>
      <c r="G25" s="7">
        <f>IF(F25="BANQUE",30000,IF(F25="ESPECES",30000,0))+4000</f>
        <v>34000</v>
      </c>
      <c r="H25" s="7"/>
      <c r="I25" s="7"/>
      <c r="J25" s="5"/>
      <c r="K25" s="5"/>
      <c r="L25" s="4">
        <f>TONTDEC!H25+TONTDEC!I25</f>
        <v>0</v>
      </c>
      <c r="M25" s="5"/>
      <c r="N25" s="5"/>
      <c r="O25" s="5"/>
      <c r="P25" s="7">
        <f t="shared" si="4"/>
        <v>0</v>
      </c>
      <c r="Q25" s="7"/>
      <c r="R25" s="7"/>
    </row>
    <row r="26" spans="1:18" x14ac:dyDescent="0.25">
      <c r="A26" s="1" t="s">
        <v>26</v>
      </c>
      <c r="B26" s="1" t="str">
        <f>VLOOKUP(A26,[4]LISTADHERENT!A$5:H$60,3,0)</f>
        <v>NGONDIEP CLAUDE</v>
      </c>
      <c r="C26" s="7">
        <f t="shared" si="0"/>
        <v>20000</v>
      </c>
      <c r="D26" s="7">
        <f t="shared" si="1"/>
        <v>20000</v>
      </c>
      <c r="E26" s="7">
        <f t="shared" si="2"/>
        <v>0</v>
      </c>
      <c r="F26" s="5" t="s">
        <v>46</v>
      </c>
      <c r="G26" s="7">
        <f>IF(F26="BANQUE",30000,IF(F26="ESPECES",30000,0))+10000</f>
        <v>40000</v>
      </c>
      <c r="H26" s="7"/>
      <c r="I26" s="7"/>
      <c r="J26" s="5"/>
      <c r="K26" s="5"/>
      <c r="L26" s="4">
        <f>TONTDEC!H26+TONTDEC!I26</f>
        <v>0</v>
      </c>
      <c r="M26" s="5"/>
      <c r="N26" s="5"/>
      <c r="O26" s="5"/>
      <c r="P26" s="7">
        <f t="shared" si="4"/>
        <v>0</v>
      </c>
      <c r="Q26" s="7"/>
      <c r="R26" s="7"/>
    </row>
    <row r="27" spans="1:18" x14ac:dyDescent="0.25">
      <c r="A27" s="1" t="s">
        <v>27</v>
      </c>
      <c r="B27" s="1" t="str">
        <f>VLOOKUP(A27,[4]LISTADHERENT!A$5:H$60,3,0)</f>
        <v>NGUIEMEGNI MATHIEU BLAISE</v>
      </c>
      <c r="C27" s="7">
        <f t="shared" si="0"/>
        <v>10000</v>
      </c>
      <c r="D27" s="7">
        <f t="shared" si="1"/>
        <v>20000</v>
      </c>
      <c r="E27" s="7">
        <f t="shared" si="2"/>
        <v>0</v>
      </c>
      <c r="F27" s="5" t="s">
        <v>46</v>
      </c>
      <c r="G27" s="7">
        <f t="shared" si="3"/>
        <v>30000</v>
      </c>
      <c r="H27" s="7"/>
      <c r="I27" s="7"/>
      <c r="J27" s="5"/>
      <c r="K27" s="5"/>
      <c r="L27" s="4">
        <f>TONTDEC!H27+TONTDEC!I27</f>
        <v>0</v>
      </c>
      <c r="M27" s="5"/>
      <c r="N27" s="5"/>
      <c r="O27" s="5"/>
      <c r="P27" s="7">
        <f t="shared" si="4"/>
        <v>0</v>
      </c>
      <c r="Q27" s="7"/>
      <c r="R27" s="7"/>
    </row>
    <row r="28" spans="1:18" x14ac:dyDescent="0.25">
      <c r="A28" s="1" t="s">
        <v>28</v>
      </c>
      <c r="B28" s="1" t="str">
        <f>VLOOKUP(A28,[4]LISTADHERENT!A$5:H$60,3,0)</f>
        <v>NKAMGANG JUSTIN DEJOLIE</v>
      </c>
      <c r="C28" s="7">
        <f t="shared" si="0"/>
        <v>10000</v>
      </c>
      <c r="D28" s="7">
        <f t="shared" si="1"/>
        <v>20000</v>
      </c>
      <c r="E28" s="7">
        <f t="shared" si="2"/>
        <v>3000</v>
      </c>
      <c r="F28" s="5" t="s">
        <v>45</v>
      </c>
      <c r="G28" s="7">
        <f t="shared" si="3"/>
        <v>30000</v>
      </c>
      <c r="H28" s="7"/>
      <c r="I28" s="7"/>
      <c r="J28" s="5"/>
      <c r="K28" s="5"/>
      <c r="L28" s="4">
        <f>TONTDEC!H28+TONTDEC!I28</f>
        <v>52000</v>
      </c>
      <c r="M28" s="5" t="s">
        <v>45</v>
      </c>
      <c r="N28" s="5"/>
      <c r="O28" s="5"/>
      <c r="P28" s="7">
        <f t="shared" si="4"/>
        <v>263000</v>
      </c>
      <c r="Q28" s="7">
        <v>37000</v>
      </c>
      <c r="R28" s="7"/>
    </row>
    <row r="29" spans="1:18" x14ac:dyDescent="0.25">
      <c r="A29" s="1" t="s">
        <v>18</v>
      </c>
      <c r="B29" s="1" t="str">
        <f>VLOOKUP(A29,[4]LISTADHERENT!A$5:H$60,3,0)</f>
        <v>NKEHE DAVID</v>
      </c>
      <c r="C29" s="7">
        <f t="shared" si="0"/>
        <v>10000</v>
      </c>
      <c r="D29" s="7">
        <f t="shared" si="1"/>
        <v>20000</v>
      </c>
      <c r="E29" s="7">
        <f t="shared" si="2"/>
        <v>0</v>
      </c>
      <c r="F29" s="5" t="s">
        <v>46</v>
      </c>
      <c r="G29" s="7">
        <f t="shared" si="3"/>
        <v>30000</v>
      </c>
      <c r="H29" s="7"/>
      <c r="I29" s="7"/>
      <c r="J29" s="5"/>
      <c r="K29" s="5"/>
      <c r="L29" s="4">
        <f>TONTDEC!H29+TONTDEC!I29</f>
        <v>53000</v>
      </c>
      <c r="M29" s="5" t="s">
        <v>46</v>
      </c>
      <c r="N29" s="5"/>
      <c r="O29" s="5"/>
      <c r="P29" s="7">
        <f t="shared" si="4"/>
        <v>275000</v>
      </c>
      <c r="Q29" s="7">
        <v>25000</v>
      </c>
      <c r="R29" s="7"/>
    </row>
    <row r="30" spans="1:18" x14ac:dyDescent="0.25">
      <c r="A30" s="1" t="s">
        <v>29</v>
      </c>
      <c r="B30" s="1" t="str">
        <f>VLOOKUP(A30,[4]LISTADHERENT!A$5:H$60,3,0)</f>
        <v>NKEPSEU DIEUDONNE</v>
      </c>
      <c r="C30" s="7">
        <f t="shared" si="0"/>
        <v>20000</v>
      </c>
      <c r="D30" s="7">
        <f t="shared" si="1"/>
        <v>20000</v>
      </c>
      <c r="E30" s="7">
        <f t="shared" si="2"/>
        <v>0</v>
      </c>
      <c r="F30" s="5" t="s">
        <v>46</v>
      </c>
      <c r="G30" s="7">
        <f>IF(F30="BANQUE",30000,IF(F30="ESPECES",30000,0))+10000</f>
        <v>40000</v>
      </c>
      <c r="H30" s="7"/>
      <c r="I30" s="7"/>
      <c r="J30" s="5"/>
      <c r="K30" s="5"/>
      <c r="L30" s="4">
        <f>TONTDEC!H30+TONTDEC!I30</f>
        <v>40000</v>
      </c>
      <c r="M30" s="5" t="s">
        <v>46</v>
      </c>
      <c r="N30" s="5"/>
      <c r="O30" s="5"/>
      <c r="P30" s="7">
        <f t="shared" si="4"/>
        <v>0</v>
      </c>
      <c r="Q30" s="7"/>
      <c r="R30" s="7"/>
    </row>
    <row r="31" spans="1:18" x14ac:dyDescent="0.25">
      <c r="A31" s="1" t="s">
        <v>30</v>
      </c>
      <c r="B31" s="1" t="str">
        <f>VLOOKUP(A31,[4]LISTADHERENT!A$5:H$60,3,0)</f>
        <v>PATEGO NJOSSU GUSTAVE</v>
      </c>
      <c r="C31" s="7">
        <f t="shared" si="0"/>
        <v>10000</v>
      </c>
      <c r="D31" s="7">
        <f t="shared" si="1"/>
        <v>20000</v>
      </c>
      <c r="E31" s="7">
        <f t="shared" si="2"/>
        <v>0</v>
      </c>
      <c r="F31" s="5" t="s">
        <v>46</v>
      </c>
      <c r="G31" s="7">
        <f t="shared" si="3"/>
        <v>30000</v>
      </c>
      <c r="H31" s="7"/>
      <c r="I31" s="7"/>
      <c r="J31" s="5"/>
      <c r="K31" s="5"/>
      <c r="L31" s="4">
        <f>TONTDEC!H31+TONTDEC!I31</f>
        <v>0</v>
      </c>
      <c r="M31" s="5"/>
      <c r="N31" s="5"/>
      <c r="O31" s="5"/>
      <c r="P31" s="7">
        <f t="shared" si="4"/>
        <v>0</v>
      </c>
      <c r="Q31" s="7"/>
      <c r="R31" s="7"/>
    </row>
    <row r="32" spans="1:18" x14ac:dyDescent="0.25">
      <c r="A32" s="1" t="s">
        <v>72</v>
      </c>
      <c r="B32" s="1" t="str">
        <f>VLOOKUP(A32,[4]LISTADHERENT!A$5:H$60,3,0)</f>
        <v>SIME BRICE</v>
      </c>
      <c r="C32" s="7">
        <f t="shared" si="0"/>
        <v>50000</v>
      </c>
      <c r="D32" s="7">
        <f t="shared" si="1"/>
        <v>20000</v>
      </c>
      <c r="E32" s="7">
        <f t="shared" si="2"/>
        <v>0</v>
      </c>
      <c r="F32" s="5" t="s">
        <v>46</v>
      </c>
      <c r="G32" s="7">
        <v>70000</v>
      </c>
      <c r="H32" s="7"/>
      <c r="I32" s="7"/>
      <c r="J32" s="5"/>
      <c r="K32" s="5"/>
      <c r="L32" s="4">
        <f>TONTDEC!H32+TONTDEC!I32</f>
        <v>0</v>
      </c>
      <c r="M32" s="5"/>
      <c r="N32" s="5"/>
      <c r="O32" s="5"/>
      <c r="P32" s="7">
        <f t="shared" si="4"/>
        <v>0</v>
      </c>
    </row>
    <row r="33" spans="1:18" x14ac:dyDescent="0.25">
      <c r="A33" s="1" t="s">
        <v>31</v>
      </c>
      <c r="B33" s="1" t="str">
        <f>VLOOKUP(A33,[4]LISTADHERENT!A$5:H$60,3,0)</f>
        <v>SIMO FONGANG ERIC</v>
      </c>
      <c r="C33" s="7">
        <f t="shared" si="0"/>
        <v>10000</v>
      </c>
      <c r="D33" s="7">
        <f t="shared" si="1"/>
        <v>20000</v>
      </c>
      <c r="E33" s="7">
        <f t="shared" si="2"/>
        <v>0</v>
      </c>
      <c r="F33" s="5" t="s">
        <v>46</v>
      </c>
      <c r="G33" s="7">
        <f t="shared" si="3"/>
        <v>30000</v>
      </c>
      <c r="H33" s="7"/>
      <c r="I33" s="7"/>
      <c r="J33" s="5"/>
      <c r="K33" s="5"/>
      <c r="L33" s="4">
        <f>TONTDEC!H33+TONTDEC!I33</f>
        <v>0</v>
      </c>
      <c r="M33" s="5"/>
      <c r="N33" s="5"/>
      <c r="O33" s="5"/>
      <c r="P33" s="7">
        <f t="shared" si="4"/>
        <v>0</v>
      </c>
      <c r="Q33" s="7"/>
      <c r="R33" s="7"/>
    </row>
    <row r="34" spans="1:18" x14ac:dyDescent="0.25">
      <c r="A34" s="1" t="s">
        <v>32</v>
      </c>
      <c r="B34" s="1" t="str">
        <f>VLOOKUP(A34,[4]LISTADHERENT!A$5:H$60,3,0)</f>
        <v>SIME MATHIEU</v>
      </c>
      <c r="C34" s="7">
        <f t="shared" si="0"/>
        <v>10000</v>
      </c>
      <c r="D34" s="7">
        <f t="shared" si="1"/>
        <v>20000</v>
      </c>
      <c r="E34" s="7">
        <f t="shared" si="2"/>
        <v>0</v>
      </c>
      <c r="F34" s="5" t="s">
        <v>46</v>
      </c>
      <c r="G34" s="7">
        <f t="shared" si="3"/>
        <v>30000</v>
      </c>
      <c r="H34" s="7"/>
      <c r="I34" s="7"/>
      <c r="J34" s="5"/>
      <c r="K34" s="5"/>
      <c r="L34" s="4">
        <f>TONTDEC!H34+TONTDEC!I34</f>
        <v>0</v>
      </c>
      <c r="M34" s="5"/>
      <c r="N34" s="5"/>
      <c r="O34" s="5"/>
      <c r="P34" s="7">
        <f t="shared" si="4"/>
        <v>0</v>
      </c>
      <c r="Q34" s="7"/>
      <c r="R34" s="7"/>
    </row>
    <row r="35" spans="1:18" x14ac:dyDescent="0.25">
      <c r="A35" s="1" t="s">
        <v>33</v>
      </c>
      <c r="B35" s="1" t="str">
        <f>VLOOKUP(A35,[4]LISTADHERENT!A$5:H$60,3,0)</f>
        <v>SIMO PIERRE</v>
      </c>
      <c r="C35" s="7">
        <f t="shared" si="0"/>
        <v>10000</v>
      </c>
      <c r="D35" s="7">
        <f t="shared" si="1"/>
        <v>20000</v>
      </c>
      <c r="E35" s="7">
        <f t="shared" si="2"/>
        <v>0</v>
      </c>
      <c r="F35" s="5" t="s">
        <v>46</v>
      </c>
      <c r="G35" s="7">
        <f t="shared" si="3"/>
        <v>30000</v>
      </c>
      <c r="H35" s="7"/>
      <c r="I35" s="7"/>
      <c r="J35" s="5"/>
      <c r="K35" s="5"/>
      <c r="L35" s="4">
        <f>TONTDEC!H35+TONTDEC!I35</f>
        <v>0</v>
      </c>
      <c r="M35" s="5"/>
      <c r="N35" s="5"/>
      <c r="O35" s="5"/>
      <c r="P35" s="7">
        <f t="shared" si="4"/>
        <v>0</v>
      </c>
      <c r="Q35" s="7"/>
      <c r="R35" s="7"/>
    </row>
    <row r="36" spans="1:18" x14ac:dyDescent="0.25">
      <c r="A36" s="1" t="s">
        <v>35</v>
      </c>
      <c r="B36" s="1" t="str">
        <f>VLOOKUP(A36,[4]LISTADHERENT!A$5:H$60,3,0)</f>
        <v>TCHOUAMOU MATHIEU</v>
      </c>
      <c r="C36" s="7">
        <f t="shared" si="0"/>
        <v>10000</v>
      </c>
      <c r="D36" s="7">
        <f t="shared" si="1"/>
        <v>20000</v>
      </c>
      <c r="E36" s="7">
        <f t="shared" si="2"/>
        <v>0</v>
      </c>
      <c r="F36" s="5" t="s">
        <v>46</v>
      </c>
      <c r="G36" s="7">
        <f t="shared" si="3"/>
        <v>30000</v>
      </c>
      <c r="H36" s="7"/>
      <c r="I36" s="7"/>
      <c r="J36" s="5"/>
      <c r="K36" s="5"/>
      <c r="L36" s="4">
        <f>TONTDEC!H36+TONTDEC!I36</f>
        <v>0</v>
      </c>
      <c r="M36" s="5"/>
      <c r="N36" s="5"/>
      <c r="O36" s="5"/>
      <c r="P36" s="7">
        <f t="shared" si="4"/>
        <v>0</v>
      </c>
      <c r="Q36" s="7"/>
      <c r="R36" s="7"/>
    </row>
    <row r="37" spans="1:18" x14ac:dyDescent="0.25">
      <c r="A37" s="1" t="s">
        <v>36</v>
      </c>
      <c r="B37" s="1" t="str">
        <f>VLOOKUP(A37,[4]LISTADHERENT!A$5:H$60,3,0)</f>
        <v>TIEYAM ERNEST</v>
      </c>
      <c r="C37" s="7">
        <f t="shared" si="0"/>
        <v>10000</v>
      </c>
      <c r="D37" s="7">
        <f t="shared" si="1"/>
        <v>20000</v>
      </c>
      <c r="E37" s="7">
        <f t="shared" si="2"/>
        <v>0</v>
      </c>
      <c r="F37" s="5" t="s">
        <v>46</v>
      </c>
      <c r="G37" s="7">
        <f t="shared" si="3"/>
        <v>30000</v>
      </c>
      <c r="H37" s="7">
        <v>33000</v>
      </c>
      <c r="I37" s="7">
        <v>3000</v>
      </c>
      <c r="J37" s="5"/>
      <c r="K37" s="5"/>
      <c r="L37" s="4">
        <f>TONTDEC!H37+TONTDEC!I37</f>
        <v>53000</v>
      </c>
      <c r="M37" s="5" t="s">
        <v>45</v>
      </c>
      <c r="N37" s="5"/>
      <c r="O37" s="5"/>
      <c r="P37" s="7">
        <f t="shared" si="4"/>
        <v>0</v>
      </c>
      <c r="Q37" s="7"/>
      <c r="R37" s="7"/>
    </row>
    <row r="38" spans="1:18" x14ac:dyDescent="0.25">
      <c r="A38" s="1" t="s">
        <v>37</v>
      </c>
      <c r="B38" s="1" t="str">
        <f>VLOOKUP(A38,[4]LISTADHERENT!A$5:H$60,3,0)</f>
        <v>YEPMOU JEAN JACQUES</v>
      </c>
      <c r="C38" s="7">
        <f t="shared" si="0"/>
        <v>10000</v>
      </c>
      <c r="D38" s="7">
        <f t="shared" si="1"/>
        <v>20000</v>
      </c>
      <c r="E38" s="7">
        <f t="shared" si="2"/>
        <v>3000</v>
      </c>
      <c r="F38" s="5" t="s">
        <v>45</v>
      </c>
      <c r="G38" s="7">
        <f t="shared" si="3"/>
        <v>30000</v>
      </c>
      <c r="H38" s="7"/>
      <c r="I38" s="7"/>
      <c r="J38" s="5"/>
      <c r="K38" s="5"/>
      <c r="L38" s="4">
        <f>TONTDEC!H38+TONTDEC!I38</f>
        <v>0</v>
      </c>
      <c r="M38" s="5"/>
      <c r="N38" s="5"/>
      <c r="O38" s="5"/>
      <c r="P38" s="7">
        <f t="shared" si="4"/>
        <v>0</v>
      </c>
      <c r="Q38" s="7"/>
      <c r="R38" s="7"/>
    </row>
    <row r="39" spans="1:18" x14ac:dyDescent="0.25">
      <c r="A39" s="1" t="s">
        <v>38</v>
      </c>
      <c r="B39" s="1" t="str">
        <f>VLOOKUP(A39,[4]LISTADHERENT!A$5:H$60,3,0)</f>
        <v>YOUMBI EMMANUEL</v>
      </c>
      <c r="C39" s="7">
        <f t="shared" si="0"/>
        <v>10000</v>
      </c>
      <c r="D39" s="7">
        <f t="shared" si="1"/>
        <v>20000</v>
      </c>
      <c r="E39" s="7">
        <f t="shared" si="2"/>
        <v>0</v>
      </c>
      <c r="F39" s="5" t="s">
        <v>46</v>
      </c>
      <c r="G39" s="7">
        <f t="shared" si="3"/>
        <v>30000</v>
      </c>
      <c r="H39" s="7"/>
      <c r="I39" s="7"/>
      <c r="J39" s="5"/>
      <c r="K39" s="5"/>
      <c r="L39" s="4">
        <f>TONTDEC!H39+TONTDEC!I39</f>
        <v>0</v>
      </c>
      <c r="M39" s="5"/>
      <c r="N39" s="5"/>
      <c r="O39" s="5"/>
      <c r="P39" s="7">
        <f t="shared" si="4"/>
        <v>0</v>
      </c>
      <c r="Q39" s="7"/>
      <c r="R39" s="7"/>
    </row>
    <row r="40" spans="1:18" x14ac:dyDescent="0.25">
      <c r="A40" s="1" t="s">
        <v>92</v>
      </c>
      <c r="B40" s="1" t="str">
        <f>VLOOKUP(A40,[4]LISTADHERENT!A$5:H$60,3,0)</f>
        <v>TCHEMHOU EMMANUEL</v>
      </c>
      <c r="C40" s="7"/>
      <c r="D40" s="7"/>
      <c r="E40" s="7"/>
      <c r="F40" s="5"/>
      <c r="G40" s="7"/>
      <c r="H40" s="7"/>
      <c r="I40" s="7"/>
      <c r="J40" s="5"/>
      <c r="K40" s="5"/>
      <c r="L40" s="7"/>
      <c r="M40" s="4"/>
      <c r="N40" s="5"/>
      <c r="O40" s="5"/>
      <c r="P40" s="7"/>
    </row>
    <row r="41" spans="1:18" x14ac:dyDescent="0.25">
      <c r="A41" s="1"/>
      <c r="B41" s="1"/>
      <c r="C41" s="7"/>
      <c r="D41" s="7"/>
      <c r="E41" s="7"/>
      <c r="F41" s="5"/>
      <c r="G41" s="7"/>
      <c r="H41" s="7"/>
      <c r="I41" s="7"/>
      <c r="J41" s="5"/>
      <c r="K41" s="5"/>
      <c r="L41" s="7"/>
      <c r="M41" s="5"/>
      <c r="N41" s="5"/>
      <c r="O41" s="5"/>
      <c r="P41" s="7"/>
    </row>
    <row r="42" spans="1:18" x14ac:dyDescent="0.25">
      <c r="A42" s="1"/>
      <c r="B42" s="1"/>
      <c r="C42" s="7"/>
      <c r="D42" s="7"/>
      <c r="E42" s="7"/>
      <c r="F42" s="5"/>
      <c r="G42" s="7"/>
      <c r="H42" s="7"/>
      <c r="I42" s="7"/>
      <c r="J42" s="5"/>
      <c r="K42" s="5"/>
      <c r="L42" s="7"/>
      <c r="M42" s="5"/>
      <c r="N42" s="5"/>
      <c r="O42" s="5"/>
      <c r="P42" s="7"/>
    </row>
    <row r="43" spans="1:18" x14ac:dyDescent="0.25">
      <c r="A43" s="1"/>
      <c r="B43" s="1"/>
      <c r="C43" s="7"/>
      <c r="D43" s="7"/>
      <c r="E43" s="7"/>
      <c r="F43" s="5"/>
      <c r="G43" s="7"/>
      <c r="H43" s="7"/>
      <c r="I43" s="7"/>
      <c r="J43" s="5"/>
      <c r="K43" s="5"/>
      <c r="L43" s="7"/>
      <c r="M43" s="5"/>
      <c r="N43" s="5"/>
      <c r="O43" s="5"/>
      <c r="P43" s="7"/>
    </row>
    <row r="44" spans="1:18" x14ac:dyDescent="0.25">
      <c r="A44" s="1"/>
      <c r="B44" s="1"/>
      <c r="C44" s="1"/>
      <c r="D44" s="1"/>
      <c r="E44" s="1"/>
      <c r="F44" s="1"/>
      <c r="M44" s="1"/>
      <c r="N44" s="1"/>
    </row>
    <row r="45" spans="1:18" x14ac:dyDescent="0.25">
      <c r="A45" s="1"/>
      <c r="B45" s="1"/>
      <c r="C45" s="1"/>
      <c r="D45" s="1"/>
      <c r="E45" s="1"/>
      <c r="F45" s="1"/>
      <c r="M45" s="1"/>
      <c r="N45" s="1"/>
    </row>
    <row r="46" spans="1:18" ht="18" x14ac:dyDescent="0.25">
      <c r="A46" s="1" t="s">
        <v>39</v>
      </c>
      <c r="B46" s="1"/>
      <c r="C46" s="8">
        <f>SUM(C7:C45)</f>
        <v>494000</v>
      </c>
      <c r="D46" s="8">
        <f t="shared" ref="D46:R46" si="5">SUM(D7:D45)</f>
        <v>680000</v>
      </c>
      <c r="E46" s="8">
        <f t="shared" si="5"/>
        <v>12000</v>
      </c>
      <c r="F46" s="8">
        <f t="shared" si="5"/>
        <v>0</v>
      </c>
      <c r="G46" s="8">
        <f t="shared" si="5"/>
        <v>1174000</v>
      </c>
      <c r="H46" s="8">
        <f t="shared" si="5"/>
        <v>114500</v>
      </c>
      <c r="I46" s="8">
        <f t="shared" si="5"/>
        <v>8500</v>
      </c>
      <c r="J46" s="8">
        <f t="shared" si="5"/>
        <v>0</v>
      </c>
      <c r="K46" s="8">
        <f t="shared" si="5"/>
        <v>0</v>
      </c>
      <c r="L46" s="8">
        <f t="shared" si="5"/>
        <v>249500</v>
      </c>
      <c r="M46" s="8">
        <f t="shared" si="5"/>
        <v>0</v>
      </c>
      <c r="N46" s="8">
        <f t="shared" si="5"/>
        <v>0</v>
      </c>
      <c r="O46" s="8">
        <f t="shared" si="5"/>
        <v>0</v>
      </c>
      <c r="P46" s="8">
        <f t="shared" si="5"/>
        <v>815000</v>
      </c>
      <c r="Q46" s="8">
        <f t="shared" si="5"/>
        <v>85000</v>
      </c>
      <c r="R46" s="8">
        <f t="shared" si="5"/>
        <v>0</v>
      </c>
    </row>
    <row r="48" spans="1:18" x14ac:dyDescent="0.25">
      <c r="I48" s="9"/>
    </row>
    <row r="49" spans="4:15" ht="18" x14ac:dyDescent="0.25">
      <c r="G49" s="8" t="s">
        <v>75</v>
      </c>
      <c r="H49" s="8">
        <f>D73+H73+Q46</f>
        <v>963000</v>
      </c>
      <c r="I49" s="8"/>
      <c r="J49" s="8"/>
      <c r="K49" s="8"/>
      <c r="O49" s="8"/>
    </row>
    <row r="50" spans="4:15" ht="18" x14ac:dyDescent="0.25">
      <c r="G50" s="8" t="s">
        <v>76</v>
      </c>
      <c r="H50" s="8">
        <f>IF(H49&gt;=900000,300000*3,300000*2)</f>
        <v>900000</v>
      </c>
      <c r="I50" s="9"/>
    </row>
    <row r="51" spans="4:15" ht="18" x14ac:dyDescent="0.25">
      <c r="D51" s="4" t="s">
        <v>47</v>
      </c>
      <c r="E51" s="8">
        <f>+D46</f>
        <v>680000</v>
      </c>
      <c r="I51" s="8"/>
      <c r="J51" s="8"/>
      <c r="K51" s="8"/>
      <c r="O51" s="8"/>
    </row>
    <row r="52" spans="4:15" ht="43.5" x14ac:dyDescent="0.25">
      <c r="D52" s="4" t="s">
        <v>65</v>
      </c>
      <c r="E52" s="8">
        <f>E46</f>
        <v>12000</v>
      </c>
      <c r="F52" s="8"/>
      <c r="G52" s="8" t="s">
        <v>74</v>
      </c>
      <c r="H52" s="8">
        <f>H49-H50</f>
        <v>63000</v>
      </c>
      <c r="L52" s="12"/>
      <c r="M52" s="8"/>
      <c r="N52" s="8"/>
    </row>
    <row r="53" spans="4:15" ht="18" x14ac:dyDescent="0.25">
      <c r="D53" s="4" t="s">
        <v>60</v>
      </c>
      <c r="E53" s="8">
        <f>+H46</f>
        <v>114500</v>
      </c>
    </row>
    <row r="54" spans="4:15" ht="29.25" x14ac:dyDescent="0.25">
      <c r="D54" s="4" t="s">
        <v>79</v>
      </c>
      <c r="E54" s="8">
        <f>+I46</f>
        <v>8500</v>
      </c>
      <c r="G54" s="8" t="s">
        <v>78</v>
      </c>
      <c r="H54" s="8">
        <f>H52-H46</f>
        <v>-51500</v>
      </c>
    </row>
    <row r="55" spans="4:15" ht="29.25" x14ac:dyDescent="0.25">
      <c r="D55" s="4" t="s">
        <v>66</v>
      </c>
      <c r="E55" s="8">
        <f>H73</f>
        <v>198000</v>
      </c>
      <c r="G55" s="8" t="s">
        <v>85</v>
      </c>
      <c r="H55" s="8">
        <v>20000</v>
      </c>
    </row>
    <row r="56" spans="4:15" ht="29.25" x14ac:dyDescent="0.25">
      <c r="D56" s="4" t="s">
        <v>67</v>
      </c>
      <c r="E56" s="8">
        <f>+Q46</f>
        <v>85000</v>
      </c>
    </row>
    <row r="57" spans="4:15" ht="18" x14ac:dyDescent="0.25">
      <c r="D57" s="4" t="s">
        <v>51</v>
      </c>
      <c r="E57" s="8">
        <f>[5]MVTJANV!$E$49</f>
        <v>0</v>
      </c>
      <c r="H57" s="8">
        <f>H54+H55</f>
        <v>-31500</v>
      </c>
    </row>
    <row r="58" spans="4:15" ht="18" x14ac:dyDescent="0.25">
      <c r="D58" s="4" t="s">
        <v>41</v>
      </c>
      <c r="E58" s="8">
        <f>[5]MVTJANV!$E$50</f>
        <v>362000</v>
      </c>
    </row>
    <row r="59" spans="4:15" ht="29.25" x14ac:dyDescent="0.25">
      <c r="D59" s="4" t="s">
        <v>42</v>
      </c>
      <c r="E59" s="8">
        <f>[5]MVTJANV!$E$51</f>
        <v>16500</v>
      </c>
    </row>
    <row r="60" spans="4:15" ht="29.25" x14ac:dyDescent="0.25">
      <c r="D60" s="4" t="s">
        <v>43</v>
      </c>
      <c r="E60" s="8">
        <f>[5]MVTJANV!$E$52</f>
        <v>33000</v>
      </c>
    </row>
    <row r="61" spans="4:15" ht="18" x14ac:dyDescent="0.25">
      <c r="D61" s="4" t="s">
        <v>44</v>
      </c>
      <c r="E61" s="8">
        <f>[5]MVTJANV!$E$53</f>
        <v>82500</v>
      </c>
    </row>
    <row r="62" spans="4:15" ht="18" x14ac:dyDescent="0.25">
      <c r="D62" s="4" t="s">
        <v>52</v>
      </c>
      <c r="E62" s="8">
        <f>[5]MVTJANV!$E$55</f>
        <v>0</v>
      </c>
    </row>
    <row r="63" spans="4:15" ht="18" x14ac:dyDescent="0.25">
      <c r="D63" s="4" t="s">
        <v>48</v>
      </c>
      <c r="E63" s="8">
        <f>[5]MVTJANV!$E$56</f>
        <v>4200000</v>
      </c>
    </row>
    <row r="64" spans="4:15" ht="18" x14ac:dyDescent="0.25">
      <c r="D64" s="4" t="s">
        <v>49</v>
      </c>
      <c r="E64" s="8">
        <f>[5]MVTJANV!$E$57</f>
        <v>244000</v>
      </c>
    </row>
    <row r="65" spans="1:18" ht="29.25" x14ac:dyDescent="0.25">
      <c r="D65" s="4" t="s">
        <v>50</v>
      </c>
      <c r="E65" s="8">
        <f>[5]MVTJANV!$E$58</f>
        <v>3500000</v>
      </c>
    </row>
    <row r="66" spans="1:18" s="2" customFormat="1" ht="29.25" x14ac:dyDescent="0.25">
      <c r="A66"/>
      <c r="B66"/>
      <c r="C66"/>
      <c r="D66" s="4" t="s">
        <v>87</v>
      </c>
      <c r="E66" s="8">
        <f>[5]MVTJANV!$E$59</f>
        <v>0</v>
      </c>
      <c r="F66"/>
      <c r="H66"/>
      <c r="I66" s="3"/>
      <c r="J66" s="3"/>
      <c r="K66" s="3"/>
      <c r="M66"/>
      <c r="N66"/>
      <c r="O66" s="3"/>
      <c r="R66"/>
    </row>
    <row r="67" spans="1:18" s="2" customFormat="1" ht="18" x14ac:dyDescent="0.25">
      <c r="A67"/>
      <c r="B67"/>
      <c r="C67"/>
      <c r="D67" s="4" t="s">
        <v>53</v>
      </c>
      <c r="E67" s="8">
        <f>[5]MVTJANV!$E$60</f>
        <v>0</v>
      </c>
      <c r="F67"/>
      <c r="H67"/>
      <c r="I67" s="3"/>
      <c r="J67" s="3"/>
      <c r="K67" s="3"/>
      <c r="M67"/>
      <c r="N67"/>
      <c r="O67" s="3"/>
      <c r="R67"/>
    </row>
    <row r="68" spans="1:18" s="2" customFormat="1" ht="18" x14ac:dyDescent="0.25">
      <c r="A68"/>
      <c r="B68"/>
      <c r="C68"/>
      <c r="D68" s="4"/>
      <c r="E68" s="8"/>
      <c r="F68"/>
      <c r="H68"/>
      <c r="I68" s="3"/>
      <c r="J68" s="3"/>
      <c r="K68" s="3"/>
      <c r="M68"/>
      <c r="N68"/>
      <c r="O68" s="3"/>
      <c r="R68"/>
    </row>
    <row r="69" spans="1:18" s="2" customFormat="1" ht="43.5" x14ac:dyDescent="0.25">
      <c r="A69"/>
      <c r="B69"/>
      <c r="C69"/>
      <c r="D69" s="4" t="s">
        <v>6</v>
      </c>
      <c r="E69"/>
      <c r="F69" s="4" t="s">
        <v>73</v>
      </c>
      <c r="G69" s="4" t="s">
        <v>68</v>
      </c>
      <c r="H69" s="4" t="s">
        <v>55</v>
      </c>
      <c r="I69" s="4" t="s">
        <v>60</v>
      </c>
      <c r="J69" s="4" t="s">
        <v>62</v>
      </c>
      <c r="K69" s="4"/>
      <c r="L69" s="4" t="s">
        <v>63</v>
      </c>
      <c r="M69" s="4"/>
      <c r="N69"/>
      <c r="O69" s="4"/>
      <c r="R69"/>
    </row>
    <row r="70" spans="1:18" s="2" customFormat="1" ht="18" x14ac:dyDescent="0.25">
      <c r="A70"/>
      <c r="B70"/>
      <c r="C70"/>
      <c r="D70" s="8">
        <f>SUMIFS(D7:D45,F7:F45,"ESPECES")</f>
        <v>80000</v>
      </c>
      <c r="E70" s="8" t="s">
        <v>45</v>
      </c>
      <c r="F70" s="8">
        <f>SUMIFS(G7:G45,F7:F45,"ESPECES")</f>
        <v>120000</v>
      </c>
      <c r="G70" s="8">
        <f>+E46</f>
        <v>12000</v>
      </c>
      <c r="H70" s="8">
        <f>SUMIFS(L7:L45,M7:M45,"ESPECES")</f>
        <v>105000</v>
      </c>
      <c r="I70" s="8">
        <f>SUMIFS(H7:H45,J7:J45,"ESPECES")</f>
        <v>0</v>
      </c>
      <c r="J70" s="8">
        <f>SUMIFS(P7:P45,N7:N45,"ESPECES")</f>
        <v>0</v>
      </c>
      <c r="K70" s="8"/>
      <c r="L70" s="8">
        <f>F70+H70+G70-I70-J70</f>
        <v>237000</v>
      </c>
      <c r="M70" s="8"/>
      <c r="N70" s="4"/>
      <c r="O70" s="8"/>
      <c r="R70"/>
    </row>
    <row r="71" spans="1:18" s="2" customFormat="1" ht="18" x14ac:dyDescent="0.25">
      <c r="A71"/>
      <c r="B71"/>
      <c r="C71"/>
      <c r="D71" s="8">
        <f>SUMIFS(D7:D45,F7:F45,"BANQUE")</f>
        <v>600000</v>
      </c>
      <c r="E71" s="8" t="s">
        <v>46</v>
      </c>
      <c r="F71" s="8">
        <f>SUMIFS(G7:G45,F7:F45,"BANQUE")</f>
        <v>1054000</v>
      </c>
      <c r="H71" s="8">
        <f>SUMIFS(L7:L45,M7:M45,"BANQUE")</f>
        <v>93000</v>
      </c>
      <c r="I71" s="8">
        <f>SUMIFS(H7:H45,J7:J45,"BANQUE")</f>
        <v>0</v>
      </c>
      <c r="J71" s="8">
        <f>SUMIFS(P7:P45,M7:M45,"BANQUE")</f>
        <v>275000</v>
      </c>
      <c r="K71" s="8"/>
      <c r="L71" s="8">
        <f>F71+H71-I71-J71</f>
        <v>872000</v>
      </c>
      <c r="M71" s="8"/>
      <c r="N71" s="8"/>
      <c r="O71" s="8"/>
      <c r="R71"/>
    </row>
    <row r="72" spans="1:18" s="2" customFormat="1" ht="18" x14ac:dyDescent="0.25">
      <c r="A72"/>
      <c r="B72"/>
      <c r="C72"/>
      <c r="D72" s="8"/>
      <c r="E72" s="8"/>
      <c r="F72" s="8"/>
      <c r="H72" s="8"/>
      <c r="I72" s="8"/>
      <c r="J72" s="8"/>
      <c r="K72" s="8"/>
      <c r="L72" s="8"/>
      <c r="M72" s="8"/>
      <c r="N72" s="8"/>
      <c r="O72" s="8"/>
      <c r="R72"/>
    </row>
    <row r="73" spans="1:18" s="2" customFormat="1" ht="18" x14ac:dyDescent="0.25">
      <c r="A73"/>
      <c r="B73"/>
      <c r="C73"/>
      <c r="D73" s="8">
        <f>D70+D71</f>
        <v>680000</v>
      </c>
      <c r="E73" s="8" t="s">
        <v>39</v>
      </c>
      <c r="F73" s="8">
        <f>F70+F71</f>
        <v>1174000</v>
      </c>
      <c r="H73" s="8">
        <f>H70+H71</f>
        <v>198000</v>
      </c>
      <c r="I73" s="8">
        <f>I70+I71</f>
        <v>0</v>
      </c>
      <c r="J73" s="8">
        <v>0</v>
      </c>
      <c r="K73" s="8"/>
      <c r="L73" s="8">
        <f>F73+H73-I73-J73</f>
        <v>1372000</v>
      </c>
      <c r="M73" s="8"/>
      <c r="N73" s="8"/>
      <c r="O73" s="8"/>
      <c r="R73"/>
    </row>
    <row r="74" spans="1:18" s="2" customFormat="1" ht="18" x14ac:dyDescent="0.25">
      <c r="A74"/>
      <c r="B74"/>
      <c r="C74"/>
      <c r="D74" s="8">
        <f>D73+R46</f>
        <v>680000</v>
      </c>
      <c r="E74" s="8" t="s">
        <v>82</v>
      </c>
      <c r="F74"/>
      <c r="H74"/>
      <c r="I74" s="3"/>
      <c r="J74" s="3"/>
      <c r="K74" s="3"/>
      <c r="M74"/>
      <c r="N74" s="8"/>
      <c r="O74" s="3"/>
      <c r="R74"/>
    </row>
    <row r="75" spans="1:18" s="2" customFormat="1" ht="18" x14ac:dyDescent="0.25">
      <c r="A75"/>
      <c r="B75"/>
      <c r="C75"/>
      <c r="D75" s="4" t="s">
        <v>6</v>
      </c>
      <c r="E75" s="8">
        <v>300000</v>
      </c>
      <c r="F75"/>
      <c r="H75"/>
      <c r="I75" s="3"/>
      <c r="J75" s="3"/>
      <c r="K75" s="3"/>
      <c r="M75"/>
      <c r="N75"/>
      <c r="O75" s="3"/>
      <c r="R75"/>
    </row>
    <row r="76" spans="1:18" s="2" customFormat="1" ht="29.25" x14ac:dyDescent="0.25">
      <c r="A76"/>
      <c r="B76"/>
      <c r="C76"/>
      <c r="D76" s="10" t="s">
        <v>64</v>
      </c>
      <c r="E76" s="11">
        <f>L46+Q46</f>
        <v>334500</v>
      </c>
      <c r="F76"/>
      <c r="H76"/>
      <c r="I76" s="3"/>
      <c r="J76" s="3"/>
      <c r="K76" s="3"/>
      <c r="M76"/>
      <c r="N76"/>
      <c r="O76" s="3"/>
      <c r="R76"/>
    </row>
    <row r="78" spans="1:18" x14ac:dyDescent="0.25">
      <c r="E78" s="2"/>
    </row>
  </sheetData>
  <autoFilter ref="A5:R39">
    <sortState ref="A5:L48">
      <sortCondition ref="B5:B48"/>
    </sortState>
  </autoFilter>
  <mergeCells count="1">
    <mergeCell ref="C4:I4"/>
  </mergeCells>
  <dataValidations count="1">
    <dataValidation type="list" allowBlank="1" showInputMessage="1" showErrorMessage="1" sqref="J6:K43 M6:N39 F6:F43 O6:O43 M41:M43 N40:N43">
      <formula1>MODEVERSEMENTS</formula1>
    </dataValidation>
  </dataValidations>
  <pageMargins left="0.7" right="0.7" top="0.75" bottom="0.75" header="0.3" footer="0.3"/>
  <pageSetup orientation="portrait" horizontalDpi="4294967295" verticalDpi="4294967295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8"/>
  <sheetViews>
    <sheetView tabSelected="1" workbookViewId="0">
      <pane xSplit="2" ySplit="5" topLeftCell="C54" activePane="bottomRight" state="frozen"/>
      <selection activeCell="I54" sqref="I54"/>
      <selection pane="topRight" activeCell="I54" sqref="I54"/>
      <selection pane="bottomLeft" activeCell="I54" sqref="I54"/>
      <selection pane="bottomRight" activeCell="H57" sqref="H57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15" bestFit="1" customWidth="1"/>
    <col min="4" max="4" width="21" customWidth="1"/>
    <col min="5" max="6" width="16.7109375" customWidth="1"/>
    <col min="7" max="7" width="19.7109375" style="2" customWidth="1"/>
    <col min="8" max="8" width="15" bestFit="1" customWidth="1"/>
    <col min="9" max="9" width="17.5703125" style="3" bestFit="1" customWidth="1"/>
    <col min="10" max="10" width="17.5703125" style="3" customWidth="1"/>
    <col min="11" max="11" width="16" style="3" customWidth="1"/>
    <col min="12" max="12" width="15.7109375" style="2" customWidth="1"/>
    <col min="13" max="14" width="13" customWidth="1"/>
    <col min="15" max="15" width="15.5703125" style="3" customWidth="1"/>
    <col min="16" max="17" width="18.140625" style="2" bestFit="1" customWidth="1"/>
    <col min="18" max="18" width="12.5703125" bestFit="1" customWidth="1"/>
  </cols>
  <sheetData>
    <row r="1" spans="1:18" x14ac:dyDescent="0.25">
      <c r="A1" s="1" t="s">
        <v>0</v>
      </c>
      <c r="B1" s="1" t="s">
        <v>1</v>
      </c>
      <c r="C1" s="1"/>
      <c r="D1" s="1"/>
      <c r="E1" s="1"/>
      <c r="F1" s="1"/>
      <c r="M1" s="1"/>
      <c r="N1" s="1"/>
    </row>
    <row r="2" spans="1:18" x14ac:dyDescent="0.25">
      <c r="A2" s="1" t="s">
        <v>2</v>
      </c>
      <c r="B2" s="1" t="s">
        <v>80</v>
      </c>
      <c r="C2" s="1"/>
      <c r="D2" s="1"/>
      <c r="E2" s="1"/>
      <c r="F2" s="1"/>
      <c r="M2" s="1"/>
      <c r="N2" s="1"/>
    </row>
    <row r="3" spans="1:18" x14ac:dyDescent="0.25">
      <c r="A3" s="1" t="s">
        <v>3</v>
      </c>
      <c r="B3" s="6">
        <v>30000</v>
      </c>
      <c r="C3" s="1"/>
      <c r="D3" s="1"/>
      <c r="E3" s="1"/>
      <c r="F3" s="1"/>
      <c r="M3" s="1"/>
      <c r="N3" s="1"/>
    </row>
    <row r="4" spans="1:18" ht="18" x14ac:dyDescent="0.25">
      <c r="B4" s="13"/>
      <c r="C4" s="20">
        <v>43877</v>
      </c>
      <c r="D4" s="21"/>
      <c r="E4" s="21"/>
      <c r="F4" s="21"/>
      <c r="G4" s="21"/>
      <c r="H4" s="21"/>
      <c r="I4" s="21"/>
      <c r="J4" s="16"/>
      <c r="K4" s="16"/>
      <c r="L4" s="16"/>
      <c r="M4" s="16"/>
      <c r="O4" s="16"/>
      <c r="P4"/>
      <c r="Q4"/>
    </row>
    <row r="5" spans="1:18" ht="57.75" x14ac:dyDescent="0.25">
      <c r="A5" s="1" t="s">
        <v>4</v>
      </c>
      <c r="B5" s="1" t="s">
        <v>5</v>
      </c>
      <c r="C5" s="1" t="s">
        <v>40</v>
      </c>
      <c r="D5" s="4" t="s">
        <v>6</v>
      </c>
      <c r="E5" s="1" t="s">
        <v>65</v>
      </c>
      <c r="F5" s="5" t="s">
        <v>7</v>
      </c>
      <c r="G5" s="4" t="s">
        <v>8</v>
      </c>
      <c r="H5" s="6" t="s">
        <v>60</v>
      </c>
      <c r="I5" s="4" t="s">
        <v>57</v>
      </c>
      <c r="J5" s="4" t="s">
        <v>61</v>
      </c>
      <c r="K5" s="14" t="s">
        <v>77</v>
      </c>
      <c r="L5" s="4" t="s">
        <v>55</v>
      </c>
      <c r="M5" s="4" t="s">
        <v>54</v>
      </c>
      <c r="N5" s="4" t="s">
        <v>58</v>
      </c>
      <c r="O5" s="4" t="s">
        <v>77</v>
      </c>
      <c r="P5" s="4" t="s">
        <v>56</v>
      </c>
      <c r="Q5" s="6" t="s">
        <v>59</v>
      </c>
      <c r="R5" s="4" t="s">
        <v>81</v>
      </c>
    </row>
    <row r="6" spans="1:18" x14ac:dyDescent="0.25">
      <c r="A6" s="1" t="s">
        <v>69</v>
      </c>
      <c r="B6" s="1" t="str">
        <f>VLOOKUP(A6,[4]LISTADHERENT!A$5:H$60,3,0)</f>
        <v>ASELBY</v>
      </c>
      <c r="C6" s="7">
        <f t="shared" ref="C6:C39" si="0">IF(G6=0,0,G6-D6)</f>
        <v>0</v>
      </c>
      <c r="D6" s="7">
        <f t="shared" ref="D6:D39" si="1">IF(F6="ECHEC",0,IF(F6="",0,20000))</f>
        <v>0</v>
      </c>
      <c r="E6" s="7">
        <f t="shared" ref="E6:E39" si="2">IF(F6="ESPECES",3000,0)</f>
        <v>0</v>
      </c>
      <c r="F6" s="5" t="s">
        <v>9</v>
      </c>
      <c r="G6" s="7">
        <f t="shared" ref="G6:G39" si="3">IF(F6="BANQUE",30000,IF(F6="ESPECES",30000,0))</f>
        <v>0</v>
      </c>
      <c r="H6" s="7"/>
      <c r="I6" s="7"/>
      <c r="J6" s="5"/>
      <c r="K6" s="5"/>
      <c r="L6" s="4">
        <f>TONTJANV!H6+TONTJANV!I6</f>
        <v>0</v>
      </c>
      <c r="M6" s="4"/>
      <c r="N6" s="5"/>
      <c r="O6" s="5"/>
      <c r="P6" s="7">
        <f>IF(Q6=0,0,($E$76-Q6))</f>
        <v>0</v>
      </c>
      <c r="Q6" s="7"/>
      <c r="R6" s="7"/>
    </row>
    <row r="7" spans="1:18" x14ac:dyDescent="0.25">
      <c r="A7" s="1" t="s">
        <v>10</v>
      </c>
      <c r="B7" s="1" t="str">
        <f>VLOOKUP(A7,[4]LISTADHERENT!A$5:H$60,3,0)</f>
        <v>BOUTCHOUANG WILLIAM</v>
      </c>
      <c r="C7" s="7">
        <f t="shared" si="0"/>
        <v>10000</v>
      </c>
      <c r="D7" s="7">
        <f t="shared" si="1"/>
        <v>20000</v>
      </c>
      <c r="E7" s="7">
        <f t="shared" si="2"/>
        <v>0</v>
      </c>
      <c r="F7" s="5" t="s">
        <v>46</v>
      </c>
      <c r="G7" s="7">
        <f t="shared" si="3"/>
        <v>30000</v>
      </c>
      <c r="H7" s="7"/>
      <c r="I7" s="7"/>
      <c r="J7" s="5"/>
      <c r="K7" s="5"/>
      <c r="L7" s="4">
        <f>TONTJANV!H7+TONTJANV!I7</f>
        <v>0</v>
      </c>
      <c r="M7" s="4"/>
      <c r="N7" s="5"/>
      <c r="O7" s="5"/>
      <c r="P7" s="7">
        <f t="shared" ref="P7:P39" si="4">IF(Q7=0,0,($E$75-Q7))</f>
        <v>0</v>
      </c>
      <c r="Q7" s="7"/>
      <c r="R7" s="7"/>
    </row>
    <row r="8" spans="1:18" x14ac:dyDescent="0.25">
      <c r="A8" s="1" t="s">
        <v>11</v>
      </c>
      <c r="B8" s="1" t="str">
        <f>VLOOKUP(A8,[4]LISTADHERENT!A$5:H$60,3,0)</f>
        <v xml:space="preserve">DJOMO JEAN PAUL </v>
      </c>
      <c r="C8" s="7">
        <f t="shared" si="0"/>
        <v>10000</v>
      </c>
      <c r="D8" s="7">
        <f t="shared" si="1"/>
        <v>20000</v>
      </c>
      <c r="E8" s="7">
        <f t="shared" si="2"/>
        <v>0</v>
      </c>
      <c r="F8" s="5" t="s">
        <v>46</v>
      </c>
      <c r="G8" s="7">
        <f t="shared" si="3"/>
        <v>30000</v>
      </c>
      <c r="H8" s="7">
        <f>30000+24500</f>
        <v>54500</v>
      </c>
      <c r="I8" s="7">
        <f>500+2500</f>
        <v>3000</v>
      </c>
      <c r="J8" s="5"/>
      <c r="K8" s="5"/>
      <c r="L8" s="4">
        <f>TONTJANV!H8+TONTJANV!I8</f>
        <v>0</v>
      </c>
      <c r="M8" s="4"/>
      <c r="N8" s="5"/>
      <c r="O8" s="5"/>
      <c r="P8" s="7">
        <f t="shared" si="4"/>
        <v>0</v>
      </c>
      <c r="Q8" s="7"/>
      <c r="R8" s="7"/>
    </row>
    <row r="9" spans="1:18" x14ac:dyDescent="0.25">
      <c r="A9" s="1" t="s">
        <v>83</v>
      </c>
      <c r="B9" s="1" t="str">
        <f>VLOOKUP(A9,[4]LISTADHERENT!A$5:H$60,3,0)</f>
        <v>DJOMOU TCHANDA</v>
      </c>
      <c r="C9" s="7">
        <f t="shared" si="0"/>
        <v>110000</v>
      </c>
      <c r="D9" s="7">
        <f t="shared" si="1"/>
        <v>20000</v>
      </c>
      <c r="E9" s="7">
        <f t="shared" si="2"/>
        <v>0</v>
      </c>
      <c r="F9" s="5" t="s">
        <v>46</v>
      </c>
      <c r="G9" s="7">
        <f>IF(F9="BANQUE",30000,IF(F9="ESPECES",30000,0))+100000</f>
        <v>130000</v>
      </c>
      <c r="H9" s="7"/>
      <c r="I9" s="7"/>
      <c r="J9" s="5"/>
      <c r="K9" s="5"/>
      <c r="L9" s="4">
        <f>TONTJANV!H9+TONTJANV!I9</f>
        <v>0</v>
      </c>
      <c r="M9" s="4"/>
      <c r="N9" s="5"/>
      <c r="O9" s="5"/>
      <c r="P9" s="7">
        <f t="shared" si="4"/>
        <v>0</v>
      </c>
      <c r="Q9" s="7"/>
      <c r="R9" s="7"/>
    </row>
    <row r="10" spans="1:18" x14ac:dyDescent="0.25">
      <c r="A10" s="1" t="s">
        <v>12</v>
      </c>
      <c r="B10" s="1" t="str">
        <f>VLOOKUP(A10,[4]LISTADHERENT!A$5:H$60,3,0)</f>
        <v>DJOUKWE NANGUEN GUY BLAISE</v>
      </c>
      <c r="C10" s="7">
        <f t="shared" si="0"/>
        <v>20000</v>
      </c>
      <c r="D10" s="7">
        <f t="shared" si="1"/>
        <v>20000</v>
      </c>
      <c r="E10" s="7">
        <f t="shared" si="2"/>
        <v>0</v>
      </c>
      <c r="F10" s="5" t="s">
        <v>46</v>
      </c>
      <c r="G10" s="7">
        <f>IF(F10="BANQUE",30000,IF(F10="ESPECES",30000,0))+10000</f>
        <v>40000</v>
      </c>
      <c r="H10" s="7"/>
      <c r="I10" s="7"/>
      <c r="J10" s="5"/>
      <c r="K10" s="5"/>
      <c r="L10" s="4">
        <f>TONTJANV!H10+TONTJANV!I10</f>
        <v>0</v>
      </c>
      <c r="M10" s="4"/>
      <c r="N10" s="5"/>
      <c r="O10" s="5"/>
      <c r="P10" s="7">
        <f t="shared" si="4"/>
        <v>0</v>
      </c>
      <c r="Q10" s="7"/>
      <c r="R10" s="7"/>
    </row>
    <row r="11" spans="1:18" x14ac:dyDescent="0.25">
      <c r="A11" s="1" t="s">
        <v>13</v>
      </c>
      <c r="B11" s="1" t="str">
        <f>VLOOKUP(A11,[4]LISTADHERENT!A$5:H$60,3,0)</f>
        <v>DJUOMBESSY ANTOINE</v>
      </c>
      <c r="C11" s="7">
        <f t="shared" si="0"/>
        <v>10000</v>
      </c>
      <c r="D11" s="7">
        <f t="shared" si="1"/>
        <v>20000</v>
      </c>
      <c r="E11" s="7">
        <f t="shared" si="2"/>
        <v>0</v>
      </c>
      <c r="F11" s="5" t="s">
        <v>46</v>
      </c>
      <c r="G11" s="7">
        <f t="shared" si="3"/>
        <v>30000</v>
      </c>
      <c r="H11" s="7"/>
      <c r="I11" s="7"/>
      <c r="J11" s="5"/>
      <c r="K11" s="5"/>
      <c r="L11" s="4">
        <f>TONTJANV!H11+TONTJANV!I11</f>
        <v>0</v>
      </c>
      <c r="M11" s="4"/>
      <c r="N11" s="5"/>
      <c r="O11" s="5"/>
      <c r="P11" s="7">
        <f t="shared" si="4"/>
        <v>0</v>
      </c>
      <c r="Q11" s="7"/>
      <c r="R11" s="7"/>
    </row>
    <row r="12" spans="1:18" x14ac:dyDescent="0.25">
      <c r="A12" s="1" t="s">
        <v>71</v>
      </c>
      <c r="B12" s="1" t="str">
        <f>VLOOKUP(A12,[4]LISTADHERENT!A$5:H$60,3,0)</f>
        <v>DOMOU FABIEN</v>
      </c>
      <c r="C12" s="7">
        <f t="shared" si="0"/>
        <v>10000</v>
      </c>
      <c r="D12" s="7">
        <f t="shared" si="1"/>
        <v>20000</v>
      </c>
      <c r="E12" s="7">
        <f t="shared" si="2"/>
        <v>0</v>
      </c>
      <c r="F12" s="5" t="s">
        <v>46</v>
      </c>
      <c r="G12" s="7">
        <f t="shared" si="3"/>
        <v>30000</v>
      </c>
      <c r="H12" s="7"/>
      <c r="I12" s="7"/>
      <c r="J12" s="5"/>
      <c r="K12" s="5"/>
      <c r="L12" s="4">
        <f>TONTJANV!H12+TONTJANV!I12</f>
        <v>0</v>
      </c>
      <c r="M12" s="4"/>
      <c r="N12" s="5"/>
      <c r="O12" s="5"/>
      <c r="P12" s="7">
        <f t="shared" si="4"/>
        <v>0</v>
      </c>
    </row>
    <row r="13" spans="1:18" x14ac:dyDescent="0.25">
      <c r="A13" s="1" t="s">
        <v>14</v>
      </c>
      <c r="B13" s="1" t="str">
        <f>VLOOKUP(A13,[4]LISTADHERENT!A$5:H$60,3,0)</f>
        <v>DONHOU DAVID</v>
      </c>
      <c r="C13" s="7">
        <f t="shared" si="0"/>
        <v>10000</v>
      </c>
      <c r="D13" s="7">
        <f t="shared" si="1"/>
        <v>20000</v>
      </c>
      <c r="E13" s="7">
        <f t="shared" si="2"/>
        <v>0</v>
      </c>
      <c r="F13" s="5" t="s">
        <v>46</v>
      </c>
      <c r="G13" s="7">
        <f t="shared" si="3"/>
        <v>30000</v>
      </c>
      <c r="H13" s="7"/>
      <c r="I13" s="7"/>
      <c r="J13" s="5"/>
      <c r="K13" s="5"/>
      <c r="L13" s="4">
        <f>TONTJANV!H13+TONTJANV!I13</f>
        <v>0</v>
      </c>
      <c r="M13" s="4"/>
      <c r="N13" s="5"/>
      <c r="O13" s="5"/>
      <c r="P13" s="7">
        <f t="shared" si="4"/>
        <v>0</v>
      </c>
      <c r="Q13" s="7"/>
      <c r="R13" s="7"/>
    </row>
    <row r="14" spans="1:18" x14ac:dyDescent="0.25">
      <c r="A14" s="1" t="s">
        <v>15</v>
      </c>
      <c r="B14" s="1" t="str">
        <f>VLOOKUP(A14,[4]LISTADHERENT!A$5:H$60,3,0)</f>
        <v>FOTSO THOMAS</v>
      </c>
      <c r="C14" s="7">
        <f t="shared" si="0"/>
        <v>7000</v>
      </c>
      <c r="D14" s="7">
        <f t="shared" si="1"/>
        <v>20000</v>
      </c>
      <c r="E14" s="7">
        <f t="shared" si="2"/>
        <v>3000</v>
      </c>
      <c r="F14" s="5" t="s">
        <v>45</v>
      </c>
      <c r="G14" s="7">
        <f>IF(F14="BANQUE",30000,IF(F14="ESPECES",30000,0))-3000</f>
        <v>27000</v>
      </c>
      <c r="H14" s="7">
        <v>54500</v>
      </c>
      <c r="I14" s="7">
        <v>0</v>
      </c>
      <c r="J14" s="5"/>
      <c r="K14" s="5"/>
      <c r="L14" s="4">
        <f>TONTJANV!H14+TONTJANV!I14</f>
        <v>54500</v>
      </c>
      <c r="M14" s="4" t="s">
        <v>9</v>
      </c>
      <c r="N14" s="5"/>
      <c r="O14" s="5"/>
      <c r="P14" s="7">
        <f t="shared" si="4"/>
        <v>0</v>
      </c>
      <c r="Q14" s="7"/>
      <c r="R14" s="7"/>
    </row>
    <row r="15" spans="1:18" x14ac:dyDescent="0.25">
      <c r="A15" s="1" t="s">
        <v>16</v>
      </c>
      <c r="B15" s="1" t="str">
        <f>VLOOKUP(A15,[4]LISTADHERENT!A$5:H$60,3,0)</f>
        <v>HENGUE PAUL OMER</v>
      </c>
      <c r="C15" s="7">
        <f t="shared" si="0"/>
        <v>10000</v>
      </c>
      <c r="D15" s="7">
        <f t="shared" si="1"/>
        <v>20000</v>
      </c>
      <c r="E15" s="7">
        <f t="shared" si="2"/>
        <v>0</v>
      </c>
      <c r="F15" s="5" t="s">
        <v>46</v>
      </c>
      <c r="G15" s="7">
        <f t="shared" si="3"/>
        <v>30000</v>
      </c>
      <c r="H15" s="7"/>
      <c r="I15" s="7"/>
      <c r="J15" s="5"/>
      <c r="K15" s="5"/>
      <c r="L15" s="4">
        <f>TONTJANV!H15+TONTJANV!I15</f>
        <v>0</v>
      </c>
      <c r="M15" s="4"/>
      <c r="N15" s="5"/>
      <c r="O15" s="5"/>
      <c r="P15" s="7">
        <f t="shared" si="4"/>
        <v>0</v>
      </c>
      <c r="Q15" s="7"/>
      <c r="R15" s="7"/>
    </row>
    <row r="16" spans="1:18" x14ac:dyDescent="0.25">
      <c r="A16" s="1" t="s">
        <v>17</v>
      </c>
      <c r="B16" s="1" t="str">
        <f>VLOOKUP(A16,[4]LISTADHERENT!A$5:H$60,3,0)</f>
        <v>HOTCHO BENJAMIN</v>
      </c>
      <c r="C16" s="7">
        <f t="shared" si="0"/>
        <v>25000</v>
      </c>
      <c r="D16" s="7">
        <f t="shared" si="1"/>
        <v>20000</v>
      </c>
      <c r="E16" s="7">
        <f t="shared" si="2"/>
        <v>0</v>
      </c>
      <c r="F16" s="5" t="s">
        <v>46</v>
      </c>
      <c r="G16" s="7">
        <f>IF(F16="BANQUE",30000,IF(F16="ESPECES",30000,0))+15000</f>
        <v>45000</v>
      </c>
      <c r="H16" s="7"/>
      <c r="I16" s="7"/>
      <c r="J16" s="5"/>
      <c r="K16" s="5"/>
      <c r="L16" s="4">
        <f>TONTJANV!H16+TONTJANV!I16</f>
        <v>0</v>
      </c>
      <c r="M16" s="4"/>
      <c r="N16" s="5"/>
      <c r="O16" s="5"/>
      <c r="P16" s="7">
        <f t="shared" si="4"/>
        <v>0</v>
      </c>
      <c r="Q16" s="7"/>
      <c r="R16" s="7"/>
    </row>
    <row r="17" spans="1:18" x14ac:dyDescent="0.25">
      <c r="A17" s="1" t="s">
        <v>19</v>
      </c>
      <c r="B17" s="1" t="str">
        <f>VLOOKUP(A17,[4]LISTADHERENT!A$5:H$60,3,0)</f>
        <v>KEPSEU FRANCIS</v>
      </c>
      <c r="C17" s="7">
        <f t="shared" si="0"/>
        <v>10000</v>
      </c>
      <c r="D17" s="7">
        <f t="shared" si="1"/>
        <v>20000</v>
      </c>
      <c r="E17" s="7">
        <f t="shared" si="2"/>
        <v>0</v>
      </c>
      <c r="F17" s="5" t="s">
        <v>46</v>
      </c>
      <c r="G17" s="7">
        <f t="shared" si="3"/>
        <v>30000</v>
      </c>
      <c r="H17" s="7"/>
      <c r="I17" s="7"/>
      <c r="J17" s="5"/>
      <c r="K17" s="5"/>
      <c r="L17" s="4">
        <f>TONTJANV!H17+TONTJANV!I17</f>
        <v>0</v>
      </c>
      <c r="M17" s="4"/>
      <c r="N17" s="5"/>
      <c r="O17" s="5"/>
      <c r="P17" s="7">
        <f t="shared" si="4"/>
        <v>0</v>
      </c>
      <c r="Q17" s="7"/>
      <c r="R17" s="7"/>
    </row>
    <row r="18" spans="1:18" x14ac:dyDescent="0.25">
      <c r="A18" s="1" t="s">
        <v>21</v>
      </c>
      <c r="B18" s="1" t="str">
        <f>VLOOKUP(A18,[4]LISTADHERENT!A$5:H$60,3,0)</f>
        <v>KOUAMO VICTOR PEGUY</v>
      </c>
      <c r="C18" s="7">
        <f t="shared" si="0"/>
        <v>0</v>
      </c>
      <c r="D18" s="7">
        <f t="shared" si="1"/>
        <v>0</v>
      </c>
      <c r="E18" s="7">
        <f t="shared" si="2"/>
        <v>0</v>
      </c>
      <c r="F18" s="5" t="s">
        <v>9</v>
      </c>
      <c r="G18" s="7">
        <f t="shared" si="3"/>
        <v>0</v>
      </c>
      <c r="H18" s="7"/>
      <c r="I18" s="7"/>
      <c r="J18" s="5"/>
      <c r="K18" s="5"/>
      <c r="L18" s="4">
        <f>TONTJANV!H18+TONTJANV!I18</f>
        <v>0</v>
      </c>
      <c r="M18" s="4"/>
      <c r="N18" s="5"/>
      <c r="O18" s="5"/>
      <c r="P18" s="7">
        <f t="shared" si="4"/>
        <v>0</v>
      </c>
      <c r="Q18" s="7"/>
      <c r="R18" s="7"/>
    </row>
    <row r="19" spans="1:18" x14ac:dyDescent="0.25">
      <c r="A19" s="1" t="s">
        <v>20</v>
      </c>
      <c r="B19" s="1" t="str">
        <f>VLOOKUP(A19,[4]LISTADHERENT!A$5:H$60,3,0)</f>
        <v>KOUAMOU MOISE</v>
      </c>
      <c r="C19" s="7">
        <f t="shared" si="0"/>
        <v>10000</v>
      </c>
      <c r="D19" s="7">
        <f t="shared" si="1"/>
        <v>20000</v>
      </c>
      <c r="E19" s="7">
        <f t="shared" si="2"/>
        <v>0</v>
      </c>
      <c r="F19" s="5" t="s">
        <v>46</v>
      </c>
      <c r="G19" s="7">
        <f t="shared" si="3"/>
        <v>30000</v>
      </c>
      <c r="H19" s="7">
        <v>1000</v>
      </c>
      <c r="I19" s="7">
        <v>0</v>
      </c>
      <c r="J19" s="5"/>
      <c r="K19" s="5"/>
      <c r="L19" s="4">
        <f>TONTJANV!H19+TONTJANV!I19-1000</f>
        <v>31500</v>
      </c>
      <c r="M19" s="4" t="s">
        <v>46</v>
      </c>
      <c r="N19" s="5"/>
      <c r="O19" s="5"/>
      <c r="P19" s="7">
        <f t="shared" si="4"/>
        <v>279000</v>
      </c>
      <c r="Q19" s="7">
        <v>21000</v>
      </c>
      <c r="R19" s="7"/>
    </row>
    <row r="20" spans="1:18" x14ac:dyDescent="0.25">
      <c r="A20" s="1" t="s">
        <v>22</v>
      </c>
      <c r="B20" s="1" t="str">
        <f>VLOOKUP(A20,[4]LISTADHERENT!A$5:H$60,3,0)</f>
        <v>KOUATCHO MESSACK</v>
      </c>
      <c r="C20" s="7">
        <f t="shared" si="0"/>
        <v>10000</v>
      </c>
      <c r="D20" s="7">
        <f t="shared" si="1"/>
        <v>20000</v>
      </c>
      <c r="E20" s="7">
        <f t="shared" si="2"/>
        <v>0</v>
      </c>
      <c r="F20" s="5" t="s">
        <v>46</v>
      </c>
      <c r="G20" s="7">
        <f t="shared" si="3"/>
        <v>30000</v>
      </c>
      <c r="H20" s="7"/>
      <c r="I20" s="7"/>
      <c r="J20" s="5"/>
      <c r="K20" s="5"/>
      <c r="L20" s="4">
        <f>TONTJANV!H20+TONTJANV!I20</f>
        <v>0</v>
      </c>
      <c r="M20" s="4"/>
      <c r="N20" s="5"/>
      <c r="O20" s="5"/>
      <c r="P20" s="7">
        <f t="shared" si="4"/>
        <v>0</v>
      </c>
      <c r="Q20" s="7"/>
      <c r="R20" s="7"/>
    </row>
    <row r="21" spans="1:18" x14ac:dyDescent="0.25">
      <c r="A21" s="1" t="s">
        <v>23</v>
      </c>
      <c r="B21" s="1" t="str">
        <f>VLOOKUP(A21,[4]LISTADHERENT!A$5:H$60,3,0)</f>
        <v>LOWE JEAN</v>
      </c>
      <c r="C21" s="7">
        <f t="shared" si="0"/>
        <v>10000</v>
      </c>
      <c r="D21" s="7">
        <f t="shared" si="1"/>
        <v>20000</v>
      </c>
      <c r="E21" s="7">
        <f t="shared" si="2"/>
        <v>0</v>
      </c>
      <c r="F21" s="5" t="s">
        <v>46</v>
      </c>
      <c r="G21" s="7">
        <f t="shared" si="3"/>
        <v>30000</v>
      </c>
      <c r="H21" s="7"/>
      <c r="I21" s="7"/>
      <c r="J21" s="5"/>
      <c r="K21" s="5"/>
      <c r="L21" s="4">
        <f>TONTJANV!H21+TONTJANV!I21</f>
        <v>0</v>
      </c>
      <c r="M21" s="4"/>
      <c r="N21" s="5"/>
      <c r="O21" s="5"/>
      <c r="P21" s="7">
        <f t="shared" si="4"/>
        <v>0</v>
      </c>
      <c r="Q21" s="7"/>
      <c r="R21" s="7"/>
    </row>
    <row r="22" spans="1:18" x14ac:dyDescent="0.25">
      <c r="A22" s="1" t="s">
        <v>70</v>
      </c>
      <c r="B22" s="1" t="str">
        <f>VLOOKUP(A22,[4]LISTADHERENT!A$5:H$60,3,0)</f>
        <v>MBOGNING TUGMA GUY</v>
      </c>
      <c r="C22" s="7">
        <f t="shared" si="0"/>
        <v>10000</v>
      </c>
      <c r="D22" s="7">
        <f t="shared" si="1"/>
        <v>20000</v>
      </c>
      <c r="E22" s="7">
        <f t="shared" si="2"/>
        <v>0</v>
      </c>
      <c r="F22" s="5" t="s">
        <v>46</v>
      </c>
      <c r="G22" s="7">
        <f t="shared" si="3"/>
        <v>30000</v>
      </c>
      <c r="H22" s="7"/>
      <c r="I22" s="7"/>
      <c r="J22" s="5"/>
      <c r="K22" s="5"/>
      <c r="L22" s="4">
        <f>TONTJANV!H22+TONTJANV!I22</f>
        <v>0</v>
      </c>
      <c r="M22" s="4"/>
      <c r="N22" s="5"/>
      <c r="O22" s="5"/>
      <c r="P22" s="7">
        <f t="shared" si="4"/>
        <v>278000</v>
      </c>
      <c r="Q22" s="7">
        <v>22000</v>
      </c>
      <c r="R22" s="7"/>
    </row>
    <row r="23" spans="1:18" x14ac:dyDescent="0.25">
      <c r="A23" s="1" t="s">
        <v>34</v>
      </c>
      <c r="B23" s="1" t="str">
        <f>VLOOKUP(A23,[4]LISTADHERENT!A$5:H$60,3,0)</f>
        <v>NANGUEN MARTIN</v>
      </c>
      <c r="C23" s="7">
        <f t="shared" si="0"/>
        <v>10000</v>
      </c>
      <c r="D23" s="7">
        <f t="shared" si="1"/>
        <v>20000</v>
      </c>
      <c r="E23" s="7">
        <f t="shared" si="2"/>
        <v>0</v>
      </c>
      <c r="F23" s="5" t="s">
        <v>46</v>
      </c>
      <c r="G23" s="7">
        <f t="shared" si="3"/>
        <v>30000</v>
      </c>
      <c r="H23" s="7"/>
      <c r="I23" s="7"/>
      <c r="J23" s="5"/>
      <c r="K23" s="5"/>
      <c r="L23" s="4">
        <f>TONTJANV!H23+TONTJANV!I23</f>
        <v>0</v>
      </c>
      <c r="M23" s="4"/>
      <c r="N23" s="5"/>
      <c r="O23" s="5"/>
      <c r="P23" s="7">
        <f t="shared" si="4"/>
        <v>0</v>
      </c>
      <c r="Q23" s="7"/>
      <c r="R23" s="7"/>
    </row>
    <row r="24" spans="1:18" x14ac:dyDescent="0.25">
      <c r="A24" s="1" t="s">
        <v>24</v>
      </c>
      <c r="B24" s="1" t="str">
        <f>VLOOKUP(A24,[4]LISTADHERENT!A$5:H$60,3,0)</f>
        <v>NANKAM APPOLINAIRE</v>
      </c>
      <c r="C24" s="7">
        <f t="shared" si="0"/>
        <v>10000</v>
      </c>
      <c r="D24" s="7">
        <f t="shared" si="1"/>
        <v>20000</v>
      </c>
      <c r="E24" s="7">
        <f t="shared" si="2"/>
        <v>0</v>
      </c>
      <c r="F24" s="5" t="s">
        <v>46</v>
      </c>
      <c r="G24" s="7">
        <f t="shared" si="3"/>
        <v>30000</v>
      </c>
      <c r="H24" s="7"/>
      <c r="I24" s="7"/>
      <c r="J24" s="5"/>
      <c r="K24" s="5"/>
      <c r="L24" s="4">
        <f>TONTJANV!H24+TONTJANV!I24</f>
        <v>0</v>
      </c>
      <c r="M24" s="4"/>
      <c r="N24" s="5"/>
      <c r="O24" s="5"/>
      <c r="P24" s="7">
        <f t="shared" si="4"/>
        <v>0</v>
      </c>
      <c r="Q24" s="7"/>
      <c r="R24" s="7"/>
    </row>
    <row r="25" spans="1:18" x14ac:dyDescent="0.25">
      <c r="A25" s="1" t="s">
        <v>25</v>
      </c>
      <c r="B25" s="1" t="str">
        <f>VLOOKUP(A25,[4]LISTADHERENT!A$5:H$60,3,0)</f>
        <v>NDJOMO ETIENNE</v>
      </c>
      <c r="C25" s="7">
        <f t="shared" si="0"/>
        <v>14000</v>
      </c>
      <c r="D25" s="7">
        <f t="shared" si="1"/>
        <v>20000</v>
      </c>
      <c r="E25" s="7">
        <f t="shared" si="2"/>
        <v>0</v>
      </c>
      <c r="F25" s="5" t="s">
        <v>46</v>
      </c>
      <c r="G25" s="7">
        <f>IF(F25="BANQUE",30000,IF(F25="ESPECES",30000,0))+4000</f>
        <v>34000</v>
      </c>
      <c r="H25" s="7"/>
      <c r="I25" s="7"/>
      <c r="J25" s="5"/>
      <c r="K25" s="5"/>
      <c r="L25" s="4">
        <f>TONTJANV!H25+TONTJANV!I25</f>
        <v>0</v>
      </c>
      <c r="M25" s="4"/>
      <c r="N25" s="5"/>
      <c r="O25" s="5"/>
      <c r="P25" s="7">
        <f t="shared" si="4"/>
        <v>0</v>
      </c>
      <c r="Q25" s="7"/>
      <c r="R25" s="7"/>
    </row>
    <row r="26" spans="1:18" x14ac:dyDescent="0.25">
      <c r="A26" s="1" t="s">
        <v>26</v>
      </c>
      <c r="B26" s="1" t="str">
        <f>VLOOKUP(A26,[4]LISTADHERENT!A$5:H$60,3,0)</f>
        <v>NGONDIEP CLAUDE</v>
      </c>
      <c r="C26" s="7">
        <f t="shared" si="0"/>
        <v>20000</v>
      </c>
      <c r="D26" s="7">
        <f t="shared" si="1"/>
        <v>20000</v>
      </c>
      <c r="E26" s="7">
        <f t="shared" si="2"/>
        <v>0</v>
      </c>
      <c r="F26" s="5" t="s">
        <v>46</v>
      </c>
      <c r="G26" s="7">
        <f>IF(F26="BANQUE",30000,IF(F26="ESPECES",30000,0))+10000</f>
        <v>40000</v>
      </c>
      <c r="H26" s="7"/>
      <c r="I26" s="7"/>
      <c r="J26" s="5"/>
      <c r="K26" s="5"/>
      <c r="L26" s="4">
        <f>TONTJANV!H26+TONTJANV!I26</f>
        <v>0</v>
      </c>
      <c r="M26" s="4"/>
      <c r="N26" s="5"/>
      <c r="O26" s="5"/>
      <c r="P26" s="7">
        <f t="shared" si="4"/>
        <v>0</v>
      </c>
      <c r="Q26" s="7"/>
      <c r="R26" s="7"/>
    </row>
    <row r="27" spans="1:18" x14ac:dyDescent="0.25">
      <c r="A27" s="1" t="s">
        <v>27</v>
      </c>
      <c r="B27" s="1" t="str">
        <f>VLOOKUP(A27,[4]LISTADHERENT!A$5:H$60,3,0)</f>
        <v>NGUIEMEGNI MATHIEU BLAISE</v>
      </c>
      <c r="C27" s="7">
        <f t="shared" si="0"/>
        <v>10000</v>
      </c>
      <c r="D27" s="7">
        <f t="shared" si="1"/>
        <v>20000</v>
      </c>
      <c r="E27" s="7">
        <f t="shared" si="2"/>
        <v>0</v>
      </c>
      <c r="F27" s="5" t="s">
        <v>46</v>
      </c>
      <c r="G27" s="7">
        <f t="shared" si="3"/>
        <v>30000</v>
      </c>
      <c r="H27" s="7"/>
      <c r="I27" s="7"/>
      <c r="J27" s="5"/>
      <c r="K27" s="5"/>
      <c r="L27" s="4">
        <f>TONTJANV!H27+TONTJANV!I27</f>
        <v>0</v>
      </c>
      <c r="M27" s="4"/>
      <c r="N27" s="5"/>
      <c r="O27" s="5"/>
      <c r="P27" s="7">
        <f t="shared" si="4"/>
        <v>0</v>
      </c>
      <c r="Q27" s="7"/>
      <c r="R27" s="7"/>
    </row>
    <row r="28" spans="1:18" x14ac:dyDescent="0.25">
      <c r="A28" s="1" t="s">
        <v>28</v>
      </c>
      <c r="B28" s="1" t="str">
        <f>VLOOKUP(A28,[4]LISTADHERENT!A$5:H$60,3,0)</f>
        <v>NKAMGANG JUSTIN DEJOLIE</v>
      </c>
      <c r="C28" s="7">
        <f t="shared" si="0"/>
        <v>10000</v>
      </c>
      <c r="D28" s="7">
        <f t="shared" si="1"/>
        <v>20000</v>
      </c>
      <c r="E28" s="7">
        <f t="shared" si="2"/>
        <v>3000</v>
      </c>
      <c r="F28" s="5" t="s">
        <v>45</v>
      </c>
      <c r="G28" s="7">
        <f t="shared" si="3"/>
        <v>30000</v>
      </c>
      <c r="H28" s="7">
        <v>30000</v>
      </c>
      <c r="I28" s="7">
        <v>1000</v>
      </c>
      <c r="J28" s="5"/>
      <c r="K28" s="5"/>
      <c r="L28" s="4">
        <f>TONTJANV!H28+TONTJANV!I28</f>
        <v>0</v>
      </c>
      <c r="M28" s="4"/>
      <c r="N28" s="5"/>
      <c r="O28" s="5"/>
      <c r="P28" s="7">
        <f t="shared" si="4"/>
        <v>0</v>
      </c>
      <c r="Q28" s="7"/>
      <c r="R28" s="7"/>
    </row>
    <row r="29" spans="1:18" x14ac:dyDescent="0.25">
      <c r="A29" s="1" t="s">
        <v>18</v>
      </c>
      <c r="B29" s="1" t="str">
        <f>VLOOKUP(A29,[4]LISTADHERENT!A$5:H$60,3,0)</f>
        <v>NKEHE DAVID</v>
      </c>
      <c r="C29" s="7">
        <f t="shared" si="0"/>
        <v>10000</v>
      </c>
      <c r="D29" s="7">
        <f t="shared" si="1"/>
        <v>20000</v>
      </c>
      <c r="E29" s="7">
        <f t="shared" si="2"/>
        <v>3000</v>
      </c>
      <c r="F29" s="5" t="s">
        <v>45</v>
      </c>
      <c r="G29" s="7">
        <f t="shared" si="3"/>
        <v>30000</v>
      </c>
      <c r="H29" s="7"/>
      <c r="I29" s="7"/>
      <c r="J29" s="5"/>
      <c r="K29" s="5"/>
      <c r="L29" s="4">
        <f>TONTJANV!H29+TONTJANV!I29</f>
        <v>0</v>
      </c>
      <c r="M29" s="4"/>
      <c r="N29" s="5"/>
      <c r="O29" s="5"/>
      <c r="P29" s="7">
        <f t="shared" si="4"/>
        <v>0</v>
      </c>
      <c r="Q29" s="7"/>
      <c r="R29" s="7"/>
    </row>
    <row r="30" spans="1:18" x14ac:dyDescent="0.25">
      <c r="A30" s="1" t="s">
        <v>29</v>
      </c>
      <c r="B30" s="1" t="str">
        <f>VLOOKUP(A30,[4]LISTADHERENT!A$5:H$60,3,0)</f>
        <v>NKEPSEU DIEUDONNE</v>
      </c>
      <c r="C30" s="7">
        <f t="shared" si="0"/>
        <v>10000</v>
      </c>
      <c r="D30" s="7">
        <f t="shared" si="1"/>
        <v>20000</v>
      </c>
      <c r="E30" s="7">
        <f t="shared" si="2"/>
        <v>0</v>
      </c>
      <c r="F30" s="5" t="s">
        <v>46</v>
      </c>
      <c r="G30" s="7">
        <f t="shared" si="3"/>
        <v>30000</v>
      </c>
      <c r="H30" s="7">
        <v>30000</v>
      </c>
      <c r="I30" s="7">
        <v>2000</v>
      </c>
      <c r="J30" s="5"/>
      <c r="K30" s="5"/>
      <c r="L30" s="4">
        <f>TONTJANV!H30+TONTJANV!I30</f>
        <v>0</v>
      </c>
      <c r="M30" s="4"/>
      <c r="N30" s="5"/>
      <c r="O30" s="5"/>
      <c r="P30" s="7">
        <f t="shared" si="4"/>
        <v>0</v>
      </c>
      <c r="Q30" s="7"/>
      <c r="R30" s="7"/>
    </row>
    <row r="31" spans="1:18" x14ac:dyDescent="0.25">
      <c r="A31" s="1" t="s">
        <v>30</v>
      </c>
      <c r="B31" s="1" t="str">
        <f>VLOOKUP(A31,[4]LISTADHERENT!A$5:H$60,3,0)</f>
        <v>PATEGO NJOSSU GUSTAVE</v>
      </c>
      <c r="C31" s="7">
        <f t="shared" si="0"/>
        <v>10000</v>
      </c>
      <c r="D31" s="7">
        <f t="shared" si="1"/>
        <v>20000</v>
      </c>
      <c r="E31" s="7">
        <f t="shared" si="2"/>
        <v>0</v>
      </c>
      <c r="F31" s="5" t="s">
        <v>46</v>
      </c>
      <c r="G31" s="7">
        <f t="shared" si="3"/>
        <v>30000</v>
      </c>
      <c r="H31" s="7"/>
      <c r="I31" s="7"/>
      <c r="J31" s="5"/>
      <c r="K31" s="5"/>
      <c r="L31" s="4">
        <f>TONTJANV!H31+TONTJANV!I31</f>
        <v>0</v>
      </c>
      <c r="M31" s="4"/>
      <c r="N31" s="5"/>
      <c r="O31" s="5"/>
      <c r="P31" s="7">
        <f t="shared" si="4"/>
        <v>0</v>
      </c>
      <c r="Q31" s="7"/>
      <c r="R31" s="7"/>
    </row>
    <row r="32" spans="1:18" x14ac:dyDescent="0.25">
      <c r="A32" s="1" t="s">
        <v>72</v>
      </c>
      <c r="B32" s="1" t="str">
        <f>VLOOKUP(A32,[4]LISTADHERENT!A$5:H$60,3,0)</f>
        <v>SIME BRICE</v>
      </c>
      <c r="C32" s="7">
        <f t="shared" si="0"/>
        <v>50000</v>
      </c>
      <c r="D32" s="7">
        <f t="shared" si="1"/>
        <v>20000</v>
      </c>
      <c r="E32" s="7">
        <f t="shared" si="2"/>
        <v>0</v>
      </c>
      <c r="F32" s="5" t="s">
        <v>46</v>
      </c>
      <c r="G32" s="7">
        <f>IF(F32="BANQUE",30000,IF(F32="ESPECES",30000,0))+40000</f>
        <v>70000</v>
      </c>
      <c r="H32" s="7"/>
      <c r="I32" s="7"/>
      <c r="J32" s="5"/>
      <c r="K32" s="5"/>
      <c r="L32" s="4">
        <f>TONTJANV!H32+TONTJANV!I32</f>
        <v>0</v>
      </c>
      <c r="M32" s="4"/>
      <c r="N32" s="5"/>
      <c r="O32" s="5"/>
      <c r="P32" s="7">
        <f t="shared" si="4"/>
        <v>0</v>
      </c>
    </row>
    <row r="33" spans="1:18" x14ac:dyDescent="0.25">
      <c r="A33" s="1" t="s">
        <v>31</v>
      </c>
      <c r="B33" s="1" t="str">
        <f>VLOOKUP(A33,[4]LISTADHERENT!A$5:H$60,3,0)</f>
        <v>SIMO FONGANG ERIC</v>
      </c>
      <c r="C33" s="7">
        <f t="shared" si="0"/>
        <v>10000</v>
      </c>
      <c r="D33" s="7">
        <f t="shared" si="1"/>
        <v>20000</v>
      </c>
      <c r="E33" s="7">
        <f t="shared" si="2"/>
        <v>3000</v>
      </c>
      <c r="F33" s="5" t="s">
        <v>45</v>
      </c>
      <c r="G33" s="7">
        <f t="shared" si="3"/>
        <v>30000</v>
      </c>
      <c r="H33" s="7"/>
      <c r="I33" s="7"/>
      <c r="J33" s="5"/>
      <c r="K33" s="5"/>
      <c r="L33" s="4">
        <f>TONTJANV!H33+TONTJANV!I33</f>
        <v>0</v>
      </c>
      <c r="M33" s="4"/>
      <c r="N33" s="5"/>
      <c r="O33" s="5"/>
      <c r="P33" s="7">
        <f t="shared" si="4"/>
        <v>0</v>
      </c>
      <c r="Q33" s="7"/>
      <c r="R33" s="7"/>
    </row>
    <row r="34" spans="1:18" x14ac:dyDescent="0.25">
      <c r="A34" s="1" t="s">
        <v>32</v>
      </c>
      <c r="B34" s="1" t="str">
        <f>VLOOKUP(A34,[4]LISTADHERENT!A$5:H$60,3,0)</f>
        <v>SIME MATHIEU</v>
      </c>
      <c r="C34" s="7">
        <f t="shared" si="0"/>
        <v>10000</v>
      </c>
      <c r="D34" s="7">
        <f t="shared" si="1"/>
        <v>20000</v>
      </c>
      <c r="E34" s="7">
        <f t="shared" si="2"/>
        <v>0</v>
      </c>
      <c r="F34" s="5" t="s">
        <v>46</v>
      </c>
      <c r="G34" s="7">
        <f t="shared" si="3"/>
        <v>30000</v>
      </c>
      <c r="H34" s="7"/>
      <c r="I34" s="7"/>
      <c r="J34" s="5"/>
      <c r="K34" s="5"/>
      <c r="L34" s="4">
        <f>TONTJANV!H34+TONTJANV!I34</f>
        <v>0</v>
      </c>
      <c r="M34" s="4"/>
      <c r="N34" s="5"/>
      <c r="O34" s="5"/>
      <c r="P34" s="7">
        <f t="shared" si="4"/>
        <v>0</v>
      </c>
      <c r="Q34" s="7"/>
      <c r="R34" s="7"/>
    </row>
    <row r="35" spans="1:18" x14ac:dyDescent="0.25">
      <c r="A35" s="1" t="s">
        <v>33</v>
      </c>
      <c r="B35" s="1" t="str">
        <f>VLOOKUP(A35,[4]LISTADHERENT!A$5:H$60,3,0)</f>
        <v>SIMO PIERRE</v>
      </c>
      <c r="C35" s="7">
        <f t="shared" si="0"/>
        <v>15000</v>
      </c>
      <c r="D35" s="7">
        <f t="shared" si="1"/>
        <v>20000</v>
      </c>
      <c r="E35" s="7">
        <f t="shared" si="2"/>
        <v>0</v>
      </c>
      <c r="F35" s="5" t="s">
        <v>46</v>
      </c>
      <c r="G35" s="7">
        <f>IF(F35="BANQUE",30000,IF(F35="ESPECES",30000,0))+5000</f>
        <v>35000</v>
      </c>
      <c r="H35" s="7"/>
      <c r="I35" s="7"/>
      <c r="J35" s="5"/>
      <c r="K35" s="5"/>
      <c r="L35" s="4">
        <f>TONTJANV!H35+TONTJANV!I35</f>
        <v>0</v>
      </c>
      <c r="M35" s="4"/>
      <c r="N35" s="5"/>
      <c r="O35" s="5"/>
      <c r="P35" s="7">
        <f t="shared" si="4"/>
        <v>0</v>
      </c>
      <c r="Q35" s="7"/>
      <c r="R35" s="7"/>
    </row>
    <row r="36" spans="1:18" x14ac:dyDescent="0.25">
      <c r="A36" s="1" t="s">
        <v>35</v>
      </c>
      <c r="B36" s="1" t="str">
        <f>VLOOKUP(A36,[4]LISTADHERENT!A$5:H$60,3,0)</f>
        <v>TCHOUAMOU MATHIEU</v>
      </c>
      <c r="C36" s="7">
        <f t="shared" si="0"/>
        <v>10000</v>
      </c>
      <c r="D36" s="7">
        <f t="shared" si="1"/>
        <v>20000</v>
      </c>
      <c r="E36" s="7">
        <f t="shared" si="2"/>
        <v>0</v>
      </c>
      <c r="F36" s="5" t="s">
        <v>46</v>
      </c>
      <c r="G36" s="7">
        <f t="shared" si="3"/>
        <v>30000</v>
      </c>
      <c r="H36" s="7"/>
      <c r="I36" s="7"/>
      <c r="J36" s="5"/>
      <c r="K36" s="5"/>
      <c r="L36" s="4">
        <f>TONTJANV!H36+TONTJANV!I36</f>
        <v>0</v>
      </c>
      <c r="M36" s="4"/>
      <c r="N36" s="5"/>
      <c r="O36" s="5"/>
      <c r="P36" s="7">
        <f t="shared" si="4"/>
        <v>0</v>
      </c>
      <c r="Q36" s="7"/>
      <c r="R36" s="7"/>
    </row>
    <row r="37" spans="1:18" x14ac:dyDescent="0.25">
      <c r="A37" s="1" t="s">
        <v>36</v>
      </c>
      <c r="B37" s="1" t="str">
        <f>VLOOKUP(A37,[4]LISTADHERENT!A$5:H$60,3,0)</f>
        <v>TIEYAM ERNEST</v>
      </c>
      <c r="C37" s="7">
        <f t="shared" si="0"/>
        <v>0</v>
      </c>
      <c r="D37" s="7">
        <f t="shared" si="1"/>
        <v>0</v>
      </c>
      <c r="E37" s="7">
        <f t="shared" si="2"/>
        <v>0</v>
      </c>
      <c r="F37" s="5" t="s">
        <v>9</v>
      </c>
      <c r="G37" s="7">
        <f t="shared" si="3"/>
        <v>0</v>
      </c>
      <c r="H37" s="7">
        <v>36000</v>
      </c>
      <c r="I37" s="7">
        <v>6000</v>
      </c>
      <c r="J37" s="5"/>
      <c r="K37" s="5"/>
      <c r="L37" s="4">
        <f>TONTJANV!H37+TONTJANV!I37</f>
        <v>36000</v>
      </c>
      <c r="M37" s="4" t="s">
        <v>9</v>
      </c>
      <c r="N37" s="5"/>
      <c r="O37" s="5"/>
      <c r="P37" s="7">
        <f t="shared" si="4"/>
        <v>0</v>
      </c>
      <c r="Q37" s="7"/>
      <c r="R37" s="7"/>
    </row>
    <row r="38" spans="1:18" x14ac:dyDescent="0.25">
      <c r="A38" s="1" t="s">
        <v>37</v>
      </c>
      <c r="B38" s="1" t="str">
        <f>VLOOKUP(A38,[4]LISTADHERENT!A$5:H$60,3,0)</f>
        <v>YEPMOU JEAN JACQUES</v>
      </c>
      <c r="C38" s="7">
        <f t="shared" si="0"/>
        <v>10000</v>
      </c>
      <c r="D38" s="7">
        <f t="shared" si="1"/>
        <v>20000</v>
      </c>
      <c r="E38" s="7">
        <f t="shared" si="2"/>
        <v>0</v>
      </c>
      <c r="F38" s="5" t="s">
        <v>46</v>
      </c>
      <c r="G38" s="7">
        <f t="shared" si="3"/>
        <v>30000</v>
      </c>
      <c r="H38" s="7"/>
      <c r="I38" s="7"/>
      <c r="J38" s="5"/>
      <c r="K38" s="5"/>
      <c r="L38" s="4">
        <f>TONTJANV!H38+TONTJANV!I38</f>
        <v>0</v>
      </c>
      <c r="M38" s="4"/>
      <c r="N38" s="5"/>
      <c r="O38" s="5"/>
      <c r="P38" s="7">
        <f t="shared" si="4"/>
        <v>0</v>
      </c>
      <c r="Q38" s="7"/>
      <c r="R38" s="7"/>
    </row>
    <row r="39" spans="1:18" x14ac:dyDescent="0.25">
      <c r="A39" s="1" t="s">
        <v>38</v>
      </c>
      <c r="B39" s="1" t="str">
        <f>VLOOKUP(A39,[4]LISTADHERENT!A$5:H$60,3,0)</f>
        <v>YOUMBI EMMANUEL</v>
      </c>
      <c r="C39" s="7">
        <f t="shared" si="0"/>
        <v>10000</v>
      </c>
      <c r="D39" s="7">
        <f t="shared" si="1"/>
        <v>20000</v>
      </c>
      <c r="E39" s="7">
        <f t="shared" si="2"/>
        <v>0</v>
      </c>
      <c r="F39" s="5" t="s">
        <v>46</v>
      </c>
      <c r="G39" s="7">
        <f t="shared" si="3"/>
        <v>30000</v>
      </c>
      <c r="H39" s="7"/>
      <c r="I39" s="7"/>
      <c r="J39" s="5"/>
      <c r="K39" s="5"/>
      <c r="L39" s="4">
        <f>TONTJANV!H39+TONTJANV!I39</f>
        <v>0</v>
      </c>
      <c r="M39" s="4"/>
      <c r="N39" s="5"/>
      <c r="O39" s="5"/>
      <c r="P39" s="7">
        <f t="shared" si="4"/>
        <v>0</v>
      </c>
      <c r="Q39" s="7"/>
      <c r="R39" s="7"/>
    </row>
    <row r="40" spans="1:18" x14ac:dyDescent="0.25">
      <c r="A40" s="1" t="s">
        <v>92</v>
      </c>
      <c r="B40" s="1" t="str">
        <f>VLOOKUP(A40,[4]LISTADHERENT!A$5:H$60,3,0)</f>
        <v>TCHEMHOU EMMANUEL</v>
      </c>
      <c r="C40" s="7"/>
      <c r="D40" s="7"/>
      <c r="E40" s="7"/>
      <c r="F40" s="5"/>
      <c r="G40" s="7"/>
      <c r="H40" s="7"/>
      <c r="I40" s="7"/>
      <c r="J40" s="5"/>
      <c r="K40" s="5"/>
      <c r="L40" s="7"/>
      <c r="M40" s="4"/>
      <c r="N40" s="5"/>
      <c r="O40" s="5"/>
      <c r="P40" s="7"/>
    </row>
    <row r="41" spans="1:18" x14ac:dyDescent="0.25">
      <c r="A41" s="1"/>
      <c r="B41" s="1"/>
      <c r="C41" s="7"/>
      <c r="D41" s="7"/>
      <c r="E41" s="7"/>
      <c r="F41" s="5"/>
      <c r="G41" s="7"/>
      <c r="H41" s="7"/>
      <c r="I41" s="7"/>
      <c r="J41" s="5"/>
      <c r="K41" s="5"/>
      <c r="L41" s="7"/>
      <c r="M41" s="5"/>
      <c r="N41" s="5"/>
      <c r="O41" s="5"/>
      <c r="P41" s="7"/>
    </row>
    <row r="42" spans="1:18" x14ac:dyDescent="0.25">
      <c r="A42" s="1"/>
      <c r="B42" s="1"/>
      <c r="C42" s="7"/>
      <c r="D42" s="7"/>
      <c r="E42" s="7"/>
      <c r="F42" s="5"/>
      <c r="G42" s="7"/>
      <c r="H42" s="7"/>
      <c r="I42" s="7"/>
      <c r="J42" s="5"/>
      <c r="K42" s="5"/>
      <c r="L42" s="7"/>
      <c r="M42" s="5"/>
      <c r="N42" s="5"/>
      <c r="O42" s="5"/>
      <c r="P42" s="7"/>
    </row>
    <row r="43" spans="1:18" x14ac:dyDescent="0.25">
      <c r="A43" s="1"/>
      <c r="B43" s="1"/>
      <c r="C43" s="7"/>
      <c r="D43" s="7"/>
      <c r="E43" s="7"/>
      <c r="F43" s="5"/>
      <c r="G43" s="7"/>
      <c r="H43" s="7"/>
      <c r="I43" s="7"/>
      <c r="J43" s="5"/>
      <c r="K43" s="5"/>
      <c r="L43" s="7"/>
      <c r="M43" s="5"/>
      <c r="N43" s="5"/>
      <c r="O43" s="5"/>
      <c r="P43" s="7"/>
    </row>
    <row r="44" spans="1:18" x14ac:dyDescent="0.25">
      <c r="A44" s="1"/>
      <c r="B44" s="1"/>
      <c r="C44" s="1"/>
      <c r="D44" s="1"/>
      <c r="E44" s="1"/>
      <c r="F44" s="1"/>
      <c r="M44" s="1"/>
      <c r="N44" s="1"/>
    </row>
    <row r="45" spans="1:18" x14ac:dyDescent="0.25">
      <c r="A45" s="1"/>
      <c r="B45" s="1"/>
      <c r="C45" s="1"/>
      <c r="D45" s="1"/>
      <c r="E45" s="1"/>
      <c r="F45" s="1"/>
      <c r="M45" s="1"/>
      <c r="N45" s="1"/>
    </row>
    <row r="46" spans="1:18" ht="18" x14ac:dyDescent="0.25">
      <c r="A46" s="1" t="s">
        <v>39</v>
      </c>
      <c r="B46" s="1"/>
      <c r="C46" s="8">
        <f>SUM(C7:C45)</f>
        <v>491000</v>
      </c>
      <c r="D46" s="8">
        <f t="shared" ref="D46:R46" si="5">SUM(D7:D45)</f>
        <v>620000</v>
      </c>
      <c r="E46" s="8">
        <f t="shared" si="5"/>
        <v>12000</v>
      </c>
      <c r="F46" s="8">
        <f t="shared" si="5"/>
        <v>0</v>
      </c>
      <c r="G46" s="8">
        <f t="shared" si="5"/>
        <v>1111000</v>
      </c>
      <c r="H46" s="8">
        <f t="shared" si="5"/>
        <v>206000</v>
      </c>
      <c r="I46" s="8">
        <f t="shared" si="5"/>
        <v>12000</v>
      </c>
      <c r="J46" s="8">
        <f t="shared" si="5"/>
        <v>0</v>
      </c>
      <c r="K46" s="8">
        <f t="shared" si="5"/>
        <v>0</v>
      </c>
      <c r="L46" s="8">
        <f t="shared" si="5"/>
        <v>122000</v>
      </c>
      <c r="M46" s="8">
        <f t="shared" si="5"/>
        <v>0</v>
      </c>
      <c r="N46" s="8">
        <f t="shared" si="5"/>
        <v>0</v>
      </c>
      <c r="O46" s="8">
        <f t="shared" si="5"/>
        <v>0</v>
      </c>
      <c r="P46" s="8">
        <f t="shared" si="5"/>
        <v>557000</v>
      </c>
      <c r="Q46" s="8">
        <f t="shared" si="5"/>
        <v>43000</v>
      </c>
      <c r="R46" s="8">
        <f t="shared" si="5"/>
        <v>0</v>
      </c>
    </row>
    <row r="48" spans="1:18" x14ac:dyDescent="0.25">
      <c r="I48" s="9"/>
    </row>
    <row r="49" spans="4:15" ht="18" x14ac:dyDescent="0.25">
      <c r="G49" s="8" t="s">
        <v>75</v>
      </c>
      <c r="H49" s="8">
        <f>D73+H73+Q46+20000</f>
        <v>714500</v>
      </c>
      <c r="I49" s="8"/>
      <c r="J49" s="8"/>
      <c r="K49" s="8"/>
      <c r="O49" s="8"/>
    </row>
    <row r="50" spans="4:15" ht="18" x14ac:dyDescent="0.25">
      <c r="G50" s="8" t="s">
        <v>76</v>
      </c>
      <c r="H50" s="8">
        <f>IF(H49&gt;=900000,300000*3,300000*2)</f>
        <v>600000</v>
      </c>
      <c r="I50" s="9"/>
    </row>
    <row r="51" spans="4:15" ht="18" x14ac:dyDescent="0.25">
      <c r="D51" s="4" t="s">
        <v>47</v>
      </c>
      <c r="E51" s="8">
        <f>+D46</f>
        <v>620000</v>
      </c>
      <c r="I51" s="8"/>
      <c r="J51" s="8"/>
      <c r="K51" s="8"/>
      <c r="O51" s="8"/>
    </row>
    <row r="52" spans="4:15" ht="43.5" x14ac:dyDescent="0.25">
      <c r="D52" s="4" t="s">
        <v>65</v>
      </c>
      <c r="E52" s="8">
        <f>E46</f>
        <v>12000</v>
      </c>
      <c r="F52" s="8"/>
      <c r="G52" s="8" t="s">
        <v>74</v>
      </c>
      <c r="H52" s="8">
        <f>H49-H50</f>
        <v>114500</v>
      </c>
      <c r="L52" s="12"/>
      <c r="M52" s="8"/>
      <c r="N52" s="8"/>
    </row>
    <row r="53" spans="4:15" ht="18" x14ac:dyDescent="0.25">
      <c r="D53" s="4" t="s">
        <v>60</v>
      </c>
      <c r="E53" s="8">
        <f>+H46</f>
        <v>206000</v>
      </c>
    </row>
    <row r="54" spans="4:15" ht="29.25" x14ac:dyDescent="0.25">
      <c r="D54" s="4" t="s">
        <v>79</v>
      </c>
      <c r="E54" s="8">
        <f>+I46</f>
        <v>12000</v>
      </c>
      <c r="G54" s="8" t="s">
        <v>78</v>
      </c>
      <c r="H54" s="8">
        <f>H52-H46</f>
        <v>-91500</v>
      </c>
    </row>
    <row r="55" spans="4:15" ht="29.25" x14ac:dyDescent="0.25">
      <c r="D55" s="4" t="s">
        <v>66</v>
      </c>
      <c r="E55" s="8">
        <f>+L46</f>
        <v>122000</v>
      </c>
    </row>
    <row r="56" spans="4:15" ht="29.25" x14ac:dyDescent="0.25">
      <c r="D56" s="4" t="s">
        <v>67</v>
      </c>
      <c r="E56" s="8">
        <f>+Q46</f>
        <v>43000</v>
      </c>
      <c r="G56" s="8" t="s">
        <v>95</v>
      </c>
      <c r="H56" s="8">
        <v>30000</v>
      </c>
    </row>
    <row r="57" spans="4:15" ht="18" x14ac:dyDescent="0.25">
      <c r="D57" s="4" t="s">
        <v>51</v>
      </c>
      <c r="E57" s="8">
        <f>[5]MVTFEV!$E$49</f>
        <v>0</v>
      </c>
      <c r="G57" s="8" t="s">
        <v>96</v>
      </c>
      <c r="H57" s="8">
        <f>36000+54500+1000</f>
        <v>91500</v>
      </c>
    </row>
    <row r="58" spans="4:15" ht="18" x14ac:dyDescent="0.25">
      <c r="D58" s="4" t="s">
        <v>41</v>
      </c>
      <c r="E58" s="8">
        <f>[5]MVTFEV!$E$50</f>
        <v>367000</v>
      </c>
    </row>
    <row r="59" spans="4:15" ht="29.25" x14ac:dyDescent="0.25">
      <c r="D59" s="4" t="s">
        <v>42</v>
      </c>
      <c r="E59" s="8">
        <f>[5]MVTFEV!$E$51</f>
        <v>15500</v>
      </c>
    </row>
    <row r="60" spans="4:15" ht="29.25" x14ac:dyDescent="0.25">
      <c r="D60" s="4" t="s">
        <v>43</v>
      </c>
      <c r="E60" s="8">
        <f>[5]MVTFEV!$E$52</f>
        <v>31000</v>
      </c>
    </row>
    <row r="61" spans="4:15" ht="18" x14ac:dyDescent="0.25">
      <c r="D61" s="4" t="s">
        <v>44</v>
      </c>
      <c r="E61" s="8">
        <f>[5]MVTFEV!$E$53</f>
        <v>77500</v>
      </c>
    </row>
    <row r="62" spans="4:15" ht="18" x14ac:dyDescent="0.25">
      <c r="D62" s="4" t="s">
        <v>52</v>
      </c>
      <c r="E62" s="8">
        <f>[5]MVTFEV!$E$55</f>
        <v>0</v>
      </c>
    </row>
    <row r="63" spans="4:15" ht="18" x14ac:dyDescent="0.25">
      <c r="D63" s="4" t="s">
        <v>48</v>
      </c>
      <c r="E63" s="8">
        <f>[5]MVTFEV!$E$56</f>
        <v>0</v>
      </c>
    </row>
    <row r="64" spans="4:15" ht="18" x14ac:dyDescent="0.25">
      <c r="D64" s="4" t="s">
        <v>49</v>
      </c>
      <c r="E64" s="8">
        <f>[5]MVTFEV!$E$57</f>
        <v>0</v>
      </c>
    </row>
    <row r="65" spans="1:18" ht="29.25" x14ac:dyDescent="0.25">
      <c r="D65" s="4" t="s">
        <v>50</v>
      </c>
      <c r="E65" s="8">
        <f>[5]MVTFEV!$E$58</f>
        <v>1480000</v>
      </c>
    </row>
    <row r="66" spans="1:18" s="2" customFormat="1" ht="29.25" x14ac:dyDescent="0.25">
      <c r="A66"/>
      <c r="B66"/>
      <c r="C66"/>
      <c r="D66" s="4" t="s">
        <v>87</v>
      </c>
      <c r="E66" s="8">
        <f>[5]MVTFEV!$E$59</f>
        <v>0</v>
      </c>
      <c r="F66"/>
      <c r="H66"/>
      <c r="I66" s="3"/>
      <c r="J66" s="3"/>
      <c r="K66" s="3"/>
      <c r="M66"/>
      <c r="N66"/>
      <c r="O66" s="3"/>
      <c r="R66"/>
    </row>
    <row r="67" spans="1:18" s="2" customFormat="1" ht="18" x14ac:dyDescent="0.25">
      <c r="A67"/>
      <c r="B67"/>
      <c r="C67"/>
      <c r="D67" s="4" t="s">
        <v>53</v>
      </c>
      <c r="E67" s="8">
        <f>[5]MVTFEV!$E$60</f>
        <v>0</v>
      </c>
      <c r="F67"/>
      <c r="H67"/>
      <c r="I67" s="3"/>
      <c r="J67" s="3"/>
      <c r="K67" s="3"/>
      <c r="M67"/>
      <c r="N67"/>
      <c r="O67" s="3"/>
      <c r="R67"/>
    </row>
    <row r="68" spans="1:18" s="2" customFormat="1" ht="18" x14ac:dyDescent="0.25">
      <c r="A68"/>
      <c r="B68"/>
      <c r="C68"/>
      <c r="D68" s="4"/>
      <c r="E68" s="8"/>
      <c r="F68"/>
      <c r="H68"/>
      <c r="I68" s="3"/>
      <c r="J68" s="3"/>
      <c r="K68" s="3"/>
      <c r="M68"/>
      <c r="N68"/>
      <c r="O68" s="3"/>
      <c r="R68"/>
    </row>
    <row r="69" spans="1:18" s="2" customFormat="1" ht="43.5" x14ac:dyDescent="0.25">
      <c r="A69"/>
      <c r="B69"/>
      <c r="C69"/>
      <c r="D69" s="4" t="s">
        <v>6</v>
      </c>
      <c r="E69"/>
      <c r="F69" s="4" t="s">
        <v>73</v>
      </c>
      <c r="G69" s="4" t="s">
        <v>68</v>
      </c>
      <c r="H69" s="4" t="s">
        <v>55</v>
      </c>
      <c r="I69" s="4" t="s">
        <v>60</v>
      </c>
      <c r="J69" s="4" t="s">
        <v>62</v>
      </c>
      <c r="K69" s="4"/>
      <c r="L69" s="4" t="s">
        <v>63</v>
      </c>
      <c r="M69" s="4"/>
      <c r="N69"/>
      <c r="O69" s="4"/>
      <c r="R69"/>
    </row>
    <row r="70" spans="1:18" s="2" customFormat="1" ht="18" x14ac:dyDescent="0.25">
      <c r="A70"/>
      <c r="B70"/>
      <c r="C70"/>
      <c r="D70" s="8">
        <f>SUMIFS(D7:D45,F7:F45,"ESPECES")</f>
        <v>80000</v>
      </c>
      <c r="E70" s="8" t="s">
        <v>45</v>
      </c>
      <c r="F70" s="8">
        <f>SUMIFS(G7:G45,F7:F45,"ESPECES")</f>
        <v>117000</v>
      </c>
      <c r="G70" s="8">
        <f>+E46</f>
        <v>12000</v>
      </c>
      <c r="H70" s="8">
        <f>SUMIFS(L7:L45,M7:M45,"ESPECES")</f>
        <v>0</v>
      </c>
      <c r="I70" s="8">
        <f>SUMIFS(H7:H45,J7:J45,"ESPECES")</f>
        <v>0</v>
      </c>
      <c r="J70" s="8">
        <f>SUMIFS(P7:P45,N7:N45,"ESPECES")</f>
        <v>0</v>
      </c>
      <c r="K70" s="8"/>
      <c r="L70" s="8">
        <f>F70+H70+G70-I70-J70</f>
        <v>129000</v>
      </c>
      <c r="M70" s="8"/>
      <c r="N70" s="4"/>
      <c r="O70" s="8"/>
      <c r="R70"/>
    </row>
    <row r="71" spans="1:18" s="2" customFormat="1" ht="18" x14ac:dyDescent="0.25">
      <c r="A71"/>
      <c r="B71"/>
      <c r="C71"/>
      <c r="D71" s="8">
        <f>SUMIFS(D7:D45,F7:F45,"BANQUE")</f>
        <v>540000</v>
      </c>
      <c r="E71" s="8" t="s">
        <v>46</v>
      </c>
      <c r="F71" s="8">
        <f>SUMIFS(G7:G45,F7:F45,"BANQUE")</f>
        <v>994000</v>
      </c>
      <c r="H71" s="8">
        <f>SUMIFS(L7:L45,M7:M45,"BANQUE")</f>
        <v>31500</v>
      </c>
      <c r="I71" s="8">
        <f>SUMIFS(H7:H45,J7:J45,"BANQUE")</f>
        <v>0</v>
      </c>
      <c r="J71" s="8">
        <f>SUMIFS(P7:P45,M7:M45,"BANQUE")</f>
        <v>279000</v>
      </c>
      <c r="K71" s="8"/>
      <c r="L71" s="8">
        <f>F71+H71-I71-J71</f>
        <v>746500</v>
      </c>
      <c r="M71" s="8"/>
      <c r="N71" s="8"/>
      <c r="O71" s="8"/>
      <c r="R71"/>
    </row>
    <row r="72" spans="1:18" s="2" customFormat="1" ht="18" x14ac:dyDescent="0.25">
      <c r="A72"/>
      <c r="B72"/>
      <c r="C72"/>
      <c r="D72" s="8"/>
      <c r="E72" s="8"/>
      <c r="F72" s="8"/>
      <c r="H72" s="8"/>
      <c r="I72" s="8"/>
      <c r="J72" s="8"/>
      <c r="K72" s="8"/>
      <c r="L72" s="8"/>
      <c r="M72" s="8"/>
      <c r="N72" s="8"/>
      <c r="O72" s="8"/>
      <c r="R72"/>
    </row>
    <row r="73" spans="1:18" s="2" customFormat="1" ht="18" x14ac:dyDescent="0.25">
      <c r="A73"/>
      <c r="B73"/>
      <c r="C73"/>
      <c r="D73" s="8">
        <f>D70+D71</f>
        <v>620000</v>
      </c>
      <c r="E73" s="8" t="s">
        <v>39</v>
      </c>
      <c r="F73" s="8">
        <f>F70+F71</f>
        <v>1111000</v>
      </c>
      <c r="H73" s="8">
        <f>H70+H71</f>
        <v>31500</v>
      </c>
      <c r="I73" s="8">
        <f>I70+I71</f>
        <v>0</v>
      </c>
      <c r="J73" s="8">
        <v>0</v>
      </c>
      <c r="K73" s="8"/>
      <c r="L73" s="8">
        <f>F73+H73-I73-J73</f>
        <v>1142500</v>
      </c>
      <c r="M73" s="8"/>
      <c r="N73" s="8"/>
      <c r="O73" s="8"/>
      <c r="R73"/>
    </row>
    <row r="74" spans="1:18" s="2" customFormat="1" ht="18" x14ac:dyDescent="0.25">
      <c r="A74"/>
      <c r="B74"/>
      <c r="C74"/>
      <c r="D74" s="8">
        <f>D73+R46</f>
        <v>620000</v>
      </c>
      <c r="E74" s="8" t="s">
        <v>82</v>
      </c>
      <c r="F74"/>
      <c r="H74"/>
      <c r="I74" s="3"/>
      <c r="J74" s="3"/>
      <c r="K74" s="3"/>
      <c r="M74"/>
      <c r="N74" s="8"/>
      <c r="O74" s="3"/>
      <c r="R74"/>
    </row>
    <row r="75" spans="1:18" s="2" customFormat="1" ht="18" x14ac:dyDescent="0.25">
      <c r="A75"/>
      <c r="B75"/>
      <c r="C75"/>
      <c r="D75" s="4" t="s">
        <v>6</v>
      </c>
      <c r="E75" s="8">
        <v>300000</v>
      </c>
      <c r="F75"/>
      <c r="H75"/>
      <c r="I75" s="3"/>
      <c r="J75" s="3"/>
      <c r="K75" s="3"/>
      <c r="M75"/>
      <c r="N75"/>
      <c r="O75" s="3"/>
      <c r="R75"/>
    </row>
    <row r="76" spans="1:18" s="2" customFormat="1" ht="29.25" x14ac:dyDescent="0.25">
      <c r="A76"/>
      <c r="B76"/>
      <c r="C76"/>
      <c r="D76" s="10" t="s">
        <v>64</v>
      </c>
      <c r="E76" s="11">
        <f>L46+Q46</f>
        <v>165000</v>
      </c>
      <c r="F76"/>
      <c r="H76"/>
      <c r="I76" s="3"/>
      <c r="J76" s="3"/>
      <c r="K76" s="3"/>
      <c r="M76"/>
      <c r="N76"/>
      <c r="O76" s="3"/>
      <c r="R76"/>
    </row>
    <row r="78" spans="1:18" x14ac:dyDescent="0.25">
      <c r="E78" s="2"/>
    </row>
  </sheetData>
  <autoFilter ref="A5:R39">
    <sortState ref="A5:L48">
      <sortCondition ref="B5:B48"/>
    </sortState>
  </autoFilter>
  <mergeCells count="1">
    <mergeCell ref="C4:I4"/>
  </mergeCells>
  <dataValidations count="1">
    <dataValidation type="list" allowBlank="1" showInputMessage="1" showErrorMessage="1" sqref="J6:K43 F6:F43 M41:M43 N6:O43">
      <formula1>MODEVERSEMENTS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8"/>
  <sheetViews>
    <sheetView workbookViewId="0">
      <pane xSplit="2" ySplit="5" topLeftCell="C36" activePane="bottomRight" state="frozen"/>
      <selection activeCell="I54" sqref="I54"/>
      <selection pane="topRight" activeCell="I54" sqref="I54"/>
      <selection pane="bottomLeft" activeCell="I54" sqref="I54"/>
      <selection pane="bottomRight" activeCell="I54" sqref="I54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15" bestFit="1" customWidth="1"/>
    <col min="4" max="4" width="21" customWidth="1"/>
    <col min="5" max="6" width="16.7109375" customWidth="1"/>
    <col min="7" max="7" width="15" style="2" bestFit="1" customWidth="1"/>
    <col min="8" max="8" width="15" bestFit="1" customWidth="1"/>
    <col min="9" max="9" width="17.5703125" style="3" bestFit="1" customWidth="1"/>
    <col min="10" max="10" width="17.5703125" style="3" customWidth="1"/>
    <col min="11" max="11" width="16" style="3" customWidth="1"/>
    <col min="12" max="12" width="15.7109375" style="2" customWidth="1"/>
    <col min="13" max="14" width="13" customWidth="1"/>
    <col min="15" max="15" width="15.5703125" style="3" customWidth="1"/>
    <col min="16" max="17" width="18.140625" style="2" bestFit="1" customWidth="1"/>
    <col min="18" max="18" width="12.5703125" bestFit="1" customWidth="1"/>
  </cols>
  <sheetData>
    <row r="1" spans="1:18" x14ac:dyDescent="0.25">
      <c r="A1" s="1" t="s">
        <v>0</v>
      </c>
      <c r="B1" s="1" t="s">
        <v>1</v>
      </c>
      <c r="C1" s="1"/>
      <c r="D1" s="1"/>
      <c r="E1" s="1"/>
      <c r="F1" s="1"/>
      <c r="M1" s="1"/>
      <c r="N1" s="1"/>
    </row>
    <row r="2" spans="1:18" x14ac:dyDescent="0.25">
      <c r="A2" s="1" t="s">
        <v>2</v>
      </c>
      <c r="B2" s="1" t="s">
        <v>80</v>
      </c>
      <c r="C2" s="1"/>
      <c r="D2" s="1"/>
      <c r="E2" s="1"/>
      <c r="F2" s="1"/>
      <c r="M2" s="1"/>
      <c r="N2" s="1"/>
    </row>
    <row r="3" spans="1:18" x14ac:dyDescent="0.25">
      <c r="A3" s="1" t="s">
        <v>3</v>
      </c>
      <c r="B3" s="6">
        <v>30000</v>
      </c>
      <c r="C3" s="1"/>
      <c r="D3" s="1"/>
      <c r="E3" s="1"/>
      <c r="F3" s="1"/>
      <c r="M3" s="1"/>
      <c r="N3" s="1"/>
    </row>
    <row r="4" spans="1:18" ht="18" x14ac:dyDescent="0.25">
      <c r="B4" s="13"/>
      <c r="C4" s="20">
        <v>43912</v>
      </c>
      <c r="D4" s="21"/>
      <c r="E4" s="21"/>
      <c r="F4" s="21"/>
      <c r="G4" s="21"/>
      <c r="H4" s="21"/>
      <c r="I4" s="21"/>
      <c r="J4" s="16"/>
      <c r="K4" s="16"/>
      <c r="L4" s="16"/>
      <c r="M4" s="16"/>
      <c r="O4" s="16"/>
      <c r="P4"/>
      <c r="Q4"/>
    </row>
    <row r="5" spans="1:18" ht="57.75" x14ac:dyDescent="0.25">
      <c r="A5" s="1" t="s">
        <v>4</v>
      </c>
      <c r="B5" s="1" t="s">
        <v>5</v>
      </c>
      <c r="C5" s="1" t="s">
        <v>40</v>
      </c>
      <c r="D5" s="4" t="s">
        <v>6</v>
      </c>
      <c r="E5" s="1" t="s">
        <v>65</v>
      </c>
      <c r="F5" s="5" t="s">
        <v>7</v>
      </c>
      <c r="G5" s="4" t="s">
        <v>8</v>
      </c>
      <c r="H5" s="6" t="s">
        <v>60</v>
      </c>
      <c r="I5" s="4" t="s">
        <v>57</v>
      </c>
      <c r="J5" s="4" t="s">
        <v>61</v>
      </c>
      <c r="K5" s="14" t="s">
        <v>77</v>
      </c>
      <c r="L5" s="4" t="s">
        <v>55</v>
      </c>
      <c r="M5" s="4" t="s">
        <v>54</v>
      </c>
      <c r="N5" s="4" t="s">
        <v>58</v>
      </c>
      <c r="O5" s="4" t="s">
        <v>77</v>
      </c>
      <c r="P5" s="4" t="s">
        <v>56</v>
      </c>
      <c r="Q5" s="6" t="s">
        <v>59</v>
      </c>
      <c r="R5" s="4" t="s">
        <v>81</v>
      </c>
    </row>
    <row r="6" spans="1:18" x14ac:dyDescent="0.25">
      <c r="A6" s="1" t="s">
        <v>69</v>
      </c>
      <c r="B6" s="1" t="str">
        <f>VLOOKUP(A6,[4]LISTADHERENT!A$5:H$60,3,0)</f>
        <v>ASELBY</v>
      </c>
      <c r="C6" s="7">
        <f t="shared" ref="C6:C39" si="0">IF(G6=0,0,G6-D6)</f>
        <v>0</v>
      </c>
      <c r="D6" s="7">
        <f t="shared" ref="D6:D39" si="1">IF(F6="ECHEC",0,IF(F6="",0,20000))</f>
        <v>0</v>
      </c>
      <c r="E6" s="7">
        <f t="shared" ref="E6:E39" si="2">IF(F6="ESPECES",3000,0)</f>
        <v>0</v>
      </c>
      <c r="F6" s="5" t="s">
        <v>9</v>
      </c>
      <c r="G6" s="7">
        <f t="shared" ref="G6:G39" si="3">IF(F6="BANQUE",30000,IF(F6="ESPECES",30000,0))</f>
        <v>0</v>
      </c>
      <c r="H6" s="7"/>
      <c r="I6" s="7"/>
      <c r="J6" s="5"/>
      <c r="K6" s="5"/>
      <c r="L6" s="4">
        <f>TONTFEV!H6+TONTFEV!I6</f>
        <v>0</v>
      </c>
      <c r="M6" s="4"/>
      <c r="N6" s="5"/>
      <c r="O6" s="5"/>
      <c r="P6" s="7">
        <f>IF(Q6=0,0,($E$76-Q6))</f>
        <v>0</v>
      </c>
      <c r="Q6" s="7"/>
      <c r="R6" s="7"/>
    </row>
    <row r="7" spans="1:18" x14ac:dyDescent="0.25">
      <c r="A7" s="1" t="s">
        <v>10</v>
      </c>
      <c r="B7" s="1" t="str">
        <f>VLOOKUP(A7,[4]LISTADHERENT!A$5:H$60,3,0)</f>
        <v>BOUTCHOUANG WILLIAM</v>
      </c>
      <c r="C7" s="7">
        <f t="shared" si="0"/>
        <v>10000</v>
      </c>
      <c r="D7" s="7">
        <f t="shared" si="1"/>
        <v>20000</v>
      </c>
      <c r="E7" s="7">
        <f t="shared" si="2"/>
        <v>0</v>
      </c>
      <c r="F7" s="5" t="s">
        <v>46</v>
      </c>
      <c r="G7" s="7">
        <f t="shared" si="3"/>
        <v>30000</v>
      </c>
      <c r="H7" s="7"/>
      <c r="I7" s="7"/>
      <c r="J7" s="5"/>
      <c r="K7" s="5"/>
      <c r="L7" s="4">
        <f>TONTFEV!H7+TONTFEV!I7</f>
        <v>0</v>
      </c>
      <c r="M7" s="4"/>
      <c r="N7" s="5"/>
      <c r="O7" s="5"/>
      <c r="P7" s="7">
        <f t="shared" ref="P7:P39" si="4">IF(Q7=0,0,($E$75-Q7))</f>
        <v>0</v>
      </c>
      <c r="Q7" s="7"/>
      <c r="R7" s="7"/>
    </row>
    <row r="8" spans="1:18" x14ac:dyDescent="0.25">
      <c r="A8" s="1" t="s">
        <v>11</v>
      </c>
      <c r="B8" s="1" t="str">
        <f>VLOOKUP(A8,[4]LISTADHERENT!A$5:H$60,3,0)</f>
        <v xml:space="preserve">DJOMO JEAN PAUL </v>
      </c>
      <c r="C8" s="7">
        <f t="shared" si="0"/>
        <v>10000</v>
      </c>
      <c r="D8" s="7">
        <f t="shared" si="1"/>
        <v>20000</v>
      </c>
      <c r="E8" s="7">
        <f t="shared" si="2"/>
        <v>0</v>
      </c>
      <c r="F8" s="5" t="s">
        <v>46</v>
      </c>
      <c r="G8" s="7">
        <f t="shared" si="3"/>
        <v>30000</v>
      </c>
      <c r="H8" s="7"/>
      <c r="I8" s="7"/>
      <c r="J8" s="5"/>
      <c r="K8" s="5"/>
      <c r="L8" s="4">
        <f>TONTFEV!H8+TONTFEV!I8</f>
        <v>57500</v>
      </c>
      <c r="M8" s="4" t="s">
        <v>46</v>
      </c>
      <c r="N8" s="5"/>
      <c r="O8" s="5"/>
      <c r="P8" s="7">
        <f t="shared" si="4"/>
        <v>0</v>
      </c>
      <c r="Q8" s="7"/>
      <c r="R8" s="7"/>
    </row>
    <row r="9" spans="1:18" x14ac:dyDescent="0.25">
      <c r="A9" s="1" t="s">
        <v>83</v>
      </c>
      <c r="B9" s="1" t="str">
        <f>VLOOKUP(A9,[4]LISTADHERENT!A$5:H$60,3,0)</f>
        <v>DJOMOU TCHANDA</v>
      </c>
      <c r="C9" s="7">
        <f t="shared" si="0"/>
        <v>40000</v>
      </c>
      <c r="D9" s="7">
        <f>IF(F9="ECHEC",0,IF(F9="",0,20000))</f>
        <v>20000</v>
      </c>
      <c r="E9" s="7">
        <f t="shared" si="2"/>
        <v>0</v>
      </c>
      <c r="F9" s="5" t="s">
        <v>46</v>
      </c>
      <c r="G9" s="7">
        <f>IF(F9="BANQUE",30000,IF(F9="ESPECES",30000,0))+30000</f>
        <v>60000</v>
      </c>
      <c r="H9" s="7"/>
      <c r="I9" s="7"/>
      <c r="J9" s="5"/>
      <c r="K9" s="5"/>
      <c r="L9" s="4">
        <f>TONTFEV!H9+TONTFEV!I9</f>
        <v>0</v>
      </c>
      <c r="M9" s="4"/>
      <c r="N9" s="5"/>
      <c r="O9" s="5"/>
      <c r="P9" s="7">
        <f t="shared" si="4"/>
        <v>0</v>
      </c>
      <c r="Q9" s="7"/>
      <c r="R9" s="7"/>
    </row>
    <row r="10" spans="1:18" x14ac:dyDescent="0.25">
      <c r="A10" s="1" t="s">
        <v>12</v>
      </c>
      <c r="B10" s="1" t="str">
        <f>VLOOKUP(A10,[4]LISTADHERENT!A$5:H$60,3,0)</f>
        <v>DJOUKWE NANGUEN GUY BLAISE</v>
      </c>
      <c r="C10" s="7">
        <f t="shared" si="0"/>
        <v>10000</v>
      </c>
      <c r="D10" s="7">
        <f t="shared" si="1"/>
        <v>20000</v>
      </c>
      <c r="E10" s="7">
        <f t="shared" si="2"/>
        <v>0</v>
      </c>
      <c r="F10" s="5" t="s">
        <v>46</v>
      </c>
      <c r="G10" s="7">
        <f t="shared" si="3"/>
        <v>30000</v>
      </c>
      <c r="H10" s="7"/>
      <c r="I10" s="7"/>
      <c r="J10" s="5"/>
      <c r="K10" s="5"/>
      <c r="L10" s="4">
        <f>TONTFEV!H10+TONTFEV!I10</f>
        <v>0</v>
      </c>
      <c r="M10" s="4"/>
      <c r="N10" s="5"/>
      <c r="O10" s="5"/>
      <c r="P10" s="7">
        <f t="shared" si="4"/>
        <v>0</v>
      </c>
      <c r="Q10" s="7"/>
      <c r="R10" s="7"/>
    </row>
    <row r="11" spans="1:18" x14ac:dyDescent="0.25">
      <c r="A11" s="1" t="s">
        <v>13</v>
      </c>
      <c r="B11" s="1" t="str">
        <f>VLOOKUP(A11,[4]LISTADHERENT!A$5:H$60,3,0)</f>
        <v>DJUOMBESSY ANTOINE</v>
      </c>
      <c r="C11" s="7">
        <f t="shared" si="0"/>
        <v>10000</v>
      </c>
      <c r="D11" s="7">
        <f t="shared" si="1"/>
        <v>20000</v>
      </c>
      <c r="E11" s="7">
        <f t="shared" si="2"/>
        <v>0</v>
      </c>
      <c r="F11" s="5" t="s">
        <v>46</v>
      </c>
      <c r="G11" s="7">
        <f t="shared" si="3"/>
        <v>30000</v>
      </c>
      <c r="H11" s="7"/>
      <c r="I11" s="7"/>
      <c r="J11" s="5"/>
      <c r="K11" s="5"/>
      <c r="L11" s="4">
        <f>TONTFEV!H11+TONTFEV!I11</f>
        <v>0</v>
      </c>
      <c r="M11" s="4"/>
      <c r="N11" s="5"/>
      <c r="O11" s="5"/>
      <c r="P11" s="7">
        <f t="shared" si="4"/>
        <v>0</v>
      </c>
      <c r="Q11" s="7"/>
      <c r="R11" s="7"/>
    </row>
    <row r="12" spans="1:18" x14ac:dyDescent="0.25">
      <c r="A12" s="1" t="s">
        <v>71</v>
      </c>
      <c r="B12" s="1" t="str">
        <f>VLOOKUP(A12,[4]LISTADHERENT!A$5:H$60,3,0)</f>
        <v>DOMOU FABIEN</v>
      </c>
      <c r="C12" s="7">
        <f t="shared" si="0"/>
        <v>10000</v>
      </c>
      <c r="D12" s="7">
        <f t="shared" si="1"/>
        <v>20000</v>
      </c>
      <c r="E12" s="7">
        <f t="shared" si="2"/>
        <v>0</v>
      </c>
      <c r="F12" s="5" t="s">
        <v>46</v>
      </c>
      <c r="G12" s="7">
        <f t="shared" si="3"/>
        <v>30000</v>
      </c>
      <c r="H12" s="7"/>
      <c r="I12" s="7"/>
      <c r="J12" s="5"/>
      <c r="K12" s="5"/>
      <c r="L12" s="4">
        <f>TONTFEV!H12+TONTFEV!I12</f>
        <v>0</v>
      </c>
      <c r="M12" s="4"/>
      <c r="N12" s="5"/>
      <c r="O12" s="5"/>
      <c r="P12" s="7">
        <f t="shared" si="4"/>
        <v>0</v>
      </c>
    </row>
    <row r="13" spans="1:18" x14ac:dyDescent="0.25">
      <c r="A13" s="1" t="s">
        <v>14</v>
      </c>
      <c r="B13" s="1" t="str">
        <f>VLOOKUP(A13,[4]LISTADHERENT!A$5:H$60,3,0)</f>
        <v>DONHOU DAVID</v>
      </c>
      <c r="C13" s="7">
        <f t="shared" si="0"/>
        <v>10000</v>
      </c>
      <c r="D13" s="7">
        <f t="shared" si="1"/>
        <v>20000</v>
      </c>
      <c r="E13" s="7">
        <f t="shared" si="2"/>
        <v>3000</v>
      </c>
      <c r="F13" s="5" t="s">
        <v>45</v>
      </c>
      <c r="G13" s="7">
        <f t="shared" si="3"/>
        <v>30000</v>
      </c>
      <c r="H13" s="7"/>
      <c r="I13" s="7"/>
      <c r="J13" s="5"/>
      <c r="K13" s="5"/>
      <c r="L13" s="4">
        <f>TONTFEV!H13+TONTFEV!I13</f>
        <v>0</v>
      </c>
      <c r="M13" s="4"/>
      <c r="N13" s="5"/>
      <c r="O13" s="5"/>
      <c r="P13" s="7">
        <f t="shared" si="4"/>
        <v>0</v>
      </c>
      <c r="Q13" s="7"/>
      <c r="R13" s="7"/>
    </row>
    <row r="14" spans="1:18" x14ac:dyDescent="0.25">
      <c r="A14" s="1" t="s">
        <v>15</v>
      </c>
      <c r="B14" s="1" t="str">
        <f>VLOOKUP(A14,[4]LISTADHERENT!A$5:H$60,3,0)</f>
        <v>FOTSO THOMAS</v>
      </c>
      <c r="C14" s="7">
        <f t="shared" si="0"/>
        <v>10000</v>
      </c>
      <c r="D14" s="7">
        <f t="shared" si="1"/>
        <v>20000</v>
      </c>
      <c r="E14" s="7">
        <f t="shared" si="2"/>
        <v>0</v>
      </c>
      <c r="F14" s="5" t="s">
        <v>46</v>
      </c>
      <c r="G14" s="7">
        <f t="shared" si="3"/>
        <v>30000</v>
      </c>
      <c r="H14" s="7">
        <v>54500</v>
      </c>
      <c r="I14" s="7">
        <v>0</v>
      </c>
      <c r="J14" s="5"/>
      <c r="K14" s="5"/>
      <c r="L14" s="4">
        <f>TONTFEV!H14+TONTFEV!I14</f>
        <v>54500</v>
      </c>
      <c r="M14" s="4" t="s">
        <v>9</v>
      </c>
      <c r="N14" s="5"/>
      <c r="O14" s="5"/>
      <c r="P14" s="7">
        <f t="shared" si="4"/>
        <v>0</v>
      </c>
      <c r="Q14" s="7"/>
      <c r="R14" s="7"/>
    </row>
    <row r="15" spans="1:18" x14ac:dyDescent="0.25">
      <c r="A15" s="1" t="s">
        <v>16</v>
      </c>
      <c r="B15" s="1" t="str">
        <f>VLOOKUP(A15,[4]LISTADHERENT!A$5:H$60,3,0)</f>
        <v>HENGUE PAUL OMER</v>
      </c>
      <c r="C15" s="7">
        <f t="shared" si="0"/>
        <v>10000</v>
      </c>
      <c r="D15" s="7">
        <f t="shared" si="1"/>
        <v>20000</v>
      </c>
      <c r="E15" s="7">
        <f t="shared" si="2"/>
        <v>0</v>
      </c>
      <c r="F15" s="5" t="s">
        <v>46</v>
      </c>
      <c r="G15" s="7">
        <f t="shared" si="3"/>
        <v>30000</v>
      </c>
      <c r="H15" s="7"/>
      <c r="I15" s="7"/>
      <c r="J15" s="5"/>
      <c r="K15" s="5"/>
      <c r="L15" s="4">
        <f>TONTFEV!H15+TONTFEV!I15</f>
        <v>0</v>
      </c>
      <c r="M15" s="4"/>
      <c r="N15" s="5"/>
      <c r="O15" s="5"/>
      <c r="P15" s="7">
        <f t="shared" si="4"/>
        <v>0</v>
      </c>
      <c r="Q15" s="7"/>
      <c r="R15" s="7"/>
    </row>
    <row r="16" spans="1:18" x14ac:dyDescent="0.25">
      <c r="A16" s="1" t="s">
        <v>17</v>
      </c>
      <c r="B16" s="1" t="str">
        <f>VLOOKUP(A16,[4]LISTADHERENT!A$5:H$60,3,0)</f>
        <v>HOTCHO BENJAMIN</v>
      </c>
      <c r="C16" s="7">
        <f t="shared" si="0"/>
        <v>10000</v>
      </c>
      <c r="D16" s="7">
        <f t="shared" si="1"/>
        <v>20000</v>
      </c>
      <c r="E16" s="7">
        <f t="shared" si="2"/>
        <v>0</v>
      </c>
      <c r="F16" s="5" t="s">
        <v>46</v>
      </c>
      <c r="G16" s="7">
        <f t="shared" si="3"/>
        <v>30000</v>
      </c>
      <c r="H16" s="7"/>
      <c r="I16" s="7"/>
      <c r="J16" s="5"/>
      <c r="K16" s="5"/>
      <c r="L16" s="4">
        <f>TONTFEV!H16+TONTFEV!I16</f>
        <v>0</v>
      </c>
      <c r="M16" s="4"/>
      <c r="N16" s="5"/>
      <c r="O16" s="5"/>
      <c r="P16" s="7">
        <f t="shared" si="4"/>
        <v>0</v>
      </c>
      <c r="Q16" s="7"/>
      <c r="R16" s="7"/>
    </row>
    <row r="17" spans="1:18" x14ac:dyDescent="0.25">
      <c r="A17" s="1" t="s">
        <v>19</v>
      </c>
      <c r="B17" s="1" t="str">
        <f>VLOOKUP(A17,[4]LISTADHERENT!A$5:H$60,3,0)</f>
        <v>KEPSEU FRANCIS</v>
      </c>
      <c r="C17" s="7">
        <f t="shared" si="0"/>
        <v>10000</v>
      </c>
      <c r="D17" s="7">
        <f t="shared" si="1"/>
        <v>20000</v>
      </c>
      <c r="E17" s="7">
        <f t="shared" si="2"/>
        <v>0</v>
      </c>
      <c r="F17" s="5" t="s">
        <v>46</v>
      </c>
      <c r="G17" s="7">
        <f t="shared" si="3"/>
        <v>30000</v>
      </c>
      <c r="H17" s="7"/>
      <c r="I17" s="7"/>
      <c r="J17" s="5"/>
      <c r="K17" s="5"/>
      <c r="L17" s="4">
        <f>TONTFEV!H17+TONTFEV!I17</f>
        <v>0</v>
      </c>
      <c r="M17" s="4"/>
      <c r="N17" s="5"/>
      <c r="O17" s="5"/>
      <c r="P17" s="7">
        <f t="shared" si="4"/>
        <v>0</v>
      </c>
      <c r="Q17" s="7"/>
      <c r="R17" s="7"/>
    </row>
    <row r="18" spans="1:18" x14ac:dyDescent="0.25">
      <c r="A18" s="1" t="s">
        <v>21</v>
      </c>
      <c r="B18" s="1" t="str">
        <f>VLOOKUP(A18,[4]LISTADHERENT!A$5:H$60,3,0)</f>
        <v>KOUAMO VICTOR PEGUY</v>
      </c>
      <c r="C18" s="7">
        <f t="shared" si="0"/>
        <v>0</v>
      </c>
      <c r="D18" s="7">
        <f t="shared" si="1"/>
        <v>0</v>
      </c>
      <c r="E18" s="7">
        <f t="shared" si="2"/>
        <v>0</v>
      </c>
      <c r="F18" s="5" t="s">
        <v>9</v>
      </c>
      <c r="G18" s="7">
        <f t="shared" si="3"/>
        <v>0</v>
      </c>
      <c r="H18" s="7"/>
      <c r="I18" s="7"/>
      <c r="J18" s="5"/>
      <c r="K18" s="5"/>
      <c r="L18" s="4">
        <f>TONTFEV!H18+TONTFEV!I18</f>
        <v>0</v>
      </c>
      <c r="M18" s="4"/>
      <c r="N18" s="5"/>
      <c r="O18" s="5"/>
      <c r="P18" s="7">
        <f t="shared" si="4"/>
        <v>0</v>
      </c>
      <c r="Q18" s="7"/>
      <c r="R18" s="7"/>
    </row>
    <row r="19" spans="1:18" x14ac:dyDescent="0.25">
      <c r="A19" s="1" t="s">
        <v>20</v>
      </c>
      <c r="B19" s="1" t="str">
        <f>VLOOKUP(A19,[4]LISTADHERENT!A$5:H$60,3,0)</f>
        <v>KOUAMOU MOISE</v>
      </c>
      <c r="C19" s="7">
        <f t="shared" si="0"/>
        <v>10000</v>
      </c>
      <c r="D19" s="7">
        <f t="shared" si="1"/>
        <v>20000</v>
      </c>
      <c r="E19" s="7">
        <f t="shared" si="2"/>
        <v>0</v>
      </c>
      <c r="F19" s="5" t="s">
        <v>46</v>
      </c>
      <c r="G19" s="7">
        <f t="shared" si="3"/>
        <v>30000</v>
      </c>
      <c r="H19" s="7">
        <v>1000</v>
      </c>
      <c r="I19" s="7">
        <v>0</v>
      </c>
      <c r="J19" s="5"/>
      <c r="K19" s="5"/>
      <c r="L19" s="4">
        <f>TONTFEV!H19+TONTFEV!I19</f>
        <v>1000</v>
      </c>
      <c r="M19" s="4" t="s">
        <v>89</v>
      </c>
      <c r="N19" s="5"/>
      <c r="O19" s="5"/>
      <c r="P19" s="7">
        <f t="shared" si="4"/>
        <v>0</v>
      </c>
      <c r="Q19" s="7"/>
      <c r="R19" s="7"/>
    </row>
    <row r="20" spans="1:18" x14ac:dyDescent="0.25">
      <c r="A20" s="1" t="s">
        <v>22</v>
      </c>
      <c r="B20" s="1" t="str">
        <f>VLOOKUP(A20,[4]LISTADHERENT!A$5:H$60,3,0)</f>
        <v>KOUATCHO MESSACK</v>
      </c>
      <c r="C20" s="7">
        <f t="shared" si="0"/>
        <v>10000</v>
      </c>
      <c r="D20" s="7">
        <f t="shared" si="1"/>
        <v>20000</v>
      </c>
      <c r="E20" s="7">
        <f t="shared" si="2"/>
        <v>0</v>
      </c>
      <c r="F20" s="5" t="s">
        <v>46</v>
      </c>
      <c r="G20" s="7">
        <f t="shared" si="3"/>
        <v>30000</v>
      </c>
      <c r="H20" s="7"/>
      <c r="I20" s="7"/>
      <c r="J20" s="5"/>
      <c r="K20" s="5"/>
      <c r="L20" s="4">
        <f>TONTFEV!H20+TONTFEV!I20</f>
        <v>0</v>
      </c>
      <c r="M20" s="4"/>
      <c r="N20" s="5"/>
      <c r="O20" s="5"/>
      <c r="P20" s="7">
        <f t="shared" si="4"/>
        <v>0</v>
      </c>
      <c r="Q20" s="7"/>
      <c r="R20" s="7"/>
    </row>
    <row r="21" spans="1:18" x14ac:dyDescent="0.25">
      <c r="A21" s="1" t="s">
        <v>23</v>
      </c>
      <c r="B21" s="1" t="str">
        <f>VLOOKUP(A21,[4]LISTADHERENT!A$5:H$60,3,0)</f>
        <v>LOWE JEAN</v>
      </c>
      <c r="C21" s="7">
        <f t="shared" si="0"/>
        <v>10000</v>
      </c>
      <c r="D21" s="7">
        <f t="shared" si="1"/>
        <v>20000</v>
      </c>
      <c r="E21" s="7">
        <f t="shared" si="2"/>
        <v>3000</v>
      </c>
      <c r="F21" s="5" t="s">
        <v>45</v>
      </c>
      <c r="G21" s="7">
        <f t="shared" si="3"/>
        <v>30000</v>
      </c>
      <c r="H21" s="7"/>
      <c r="I21" s="7"/>
      <c r="J21" s="5"/>
      <c r="K21" s="5"/>
      <c r="L21" s="4">
        <f>TONTFEV!H21+TONTFEV!I21</f>
        <v>0</v>
      </c>
      <c r="M21" s="4"/>
      <c r="N21" s="5"/>
      <c r="O21" s="5"/>
      <c r="P21" s="7">
        <f t="shared" si="4"/>
        <v>269000</v>
      </c>
      <c r="Q21" s="7">
        <v>31000</v>
      </c>
      <c r="R21" s="7"/>
    </row>
    <row r="22" spans="1:18" x14ac:dyDescent="0.25">
      <c r="A22" s="1" t="s">
        <v>70</v>
      </c>
      <c r="B22" s="1" t="str">
        <f>VLOOKUP(A22,[4]LISTADHERENT!A$5:H$60,3,0)</f>
        <v>MBOGNING TUGMA GUY</v>
      </c>
      <c r="C22" s="7">
        <f t="shared" si="0"/>
        <v>10000</v>
      </c>
      <c r="D22" s="7">
        <f t="shared" si="1"/>
        <v>20000</v>
      </c>
      <c r="E22" s="7">
        <f t="shared" si="2"/>
        <v>0</v>
      </c>
      <c r="F22" s="5" t="s">
        <v>46</v>
      </c>
      <c r="G22" s="7">
        <f t="shared" si="3"/>
        <v>30000</v>
      </c>
      <c r="H22" s="7"/>
      <c r="I22" s="7"/>
      <c r="J22" s="5"/>
      <c r="K22" s="5"/>
      <c r="L22" s="4">
        <f>TONTFEV!H22+TONTFEV!I22</f>
        <v>0</v>
      </c>
      <c r="M22" s="4"/>
      <c r="N22" s="5"/>
      <c r="O22" s="5"/>
      <c r="P22" s="7">
        <f t="shared" si="4"/>
        <v>0</v>
      </c>
      <c r="R22" s="7"/>
    </row>
    <row r="23" spans="1:18" x14ac:dyDescent="0.25">
      <c r="A23" s="1" t="s">
        <v>34</v>
      </c>
      <c r="B23" s="1" t="str">
        <f>VLOOKUP(A23,[4]LISTADHERENT!A$5:H$60,3,0)</f>
        <v>NANGUEN MARTIN</v>
      </c>
      <c r="C23" s="7">
        <f t="shared" si="0"/>
        <v>10000</v>
      </c>
      <c r="D23" s="7">
        <f t="shared" si="1"/>
        <v>20000</v>
      </c>
      <c r="E23" s="7">
        <f t="shared" si="2"/>
        <v>3000</v>
      </c>
      <c r="F23" s="5" t="s">
        <v>45</v>
      </c>
      <c r="G23" s="7">
        <f t="shared" si="3"/>
        <v>30000</v>
      </c>
      <c r="H23" s="7"/>
      <c r="I23" s="7"/>
      <c r="J23" s="5"/>
      <c r="K23" s="5"/>
      <c r="L23" s="4">
        <f>TONTFEV!H23+TONTFEV!I23</f>
        <v>0</v>
      </c>
      <c r="M23" s="4"/>
      <c r="N23" s="5"/>
      <c r="O23" s="5"/>
      <c r="P23" s="7">
        <f t="shared" si="4"/>
        <v>0</v>
      </c>
      <c r="Q23" s="7"/>
      <c r="R23" s="7"/>
    </row>
    <row r="24" spans="1:18" x14ac:dyDescent="0.25">
      <c r="A24" s="1" t="s">
        <v>24</v>
      </c>
      <c r="B24" s="1" t="str">
        <f>VLOOKUP(A24,[4]LISTADHERENT!A$5:H$60,3,0)</f>
        <v>NANKAM APPOLINAIRE</v>
      </c>
      <c r="C24" s="7">
        <f t="shared" si="0"/>
        <v>10000</v>
      </c>
      <c r="D24" s="7">
        <f t="shared" si="1"/>
        <v>20000</v>
      </c>
      <c r="E24" s="7">
        <f t="shared" si="2"/>
        <v>0</v>
      </c>
      <c r="F24" s="5" t="s">
        <v>46</v>
      </c>
      <c r="G24" s="7">
        <f t="shared" si="3"/>
        <v>30000</v>
      </c>
      <c r="H24" s="7"/>
      <c r="I24" s="7"/>
      <c r="J24" s="5"/>
      <c r="K24" s="5"/>
      <c r="L24" s="4">
        <f>TONTFEV!H24+TONTFEV!I24</f>
        <v>0</v>
      </c>
      <c r="M24" s="4"/>
      <c r="N24" s="5"/>
      <c r="O24" s="5"/>
      <c r="P24" s="7">
        <f t="shared" si="4"/>
        <v>0</v>
      </c>
      <c r="Q24" s="7"/>
      <c r="R24" s="7"/>
    </row>
    <row r="25" spans="1:18" x14ac:dyDescent="0.25">
      <c r="A25" s="1" t="s">
        <v>25</v>
      </c>
      <c r="B25" s="1" t="str">
        <f>VLOOKUP(A25,[4]LISTADHERENT!A$5:H$60,3,0)</f>
        <v>NDJOMO ETIENNE</v>
      </c>
      <c r="C25" s="7">
        <f t="shared" si="0"/>
        <v>14000</v>
      </c>
      <c r="D25" s="7">
        <f t="shared" si="1"/>
        <v>20000</v>
      </c>
      <c r="E25" s="7">
        <f t="shared" si="2"/>
        <v>0</v>
      </c>
      <c r="F25" s="5" t="s">
        <v>46</v>
      </c>
      <c r="G25" s="7">
        <f>IF(F25="BANQUE",30000,IF(F25="ESPECES",30000,0))+4000</f>
        <v>34000</v>
      </c>
      <c r="H25" s="7"/>
      <c r="I25" s="7"/>
      <c r="J25" s="5"/>
      <c r="K25" s="5"/>
      <c r="L25" s="4">
        <f>TONTFEV!H25+TONTFEV!I25</f>
        <v>0</v>
      </c>
      <c r="M25" s="4"/>
      <c r="N25" s="5"/>
      <c r="O25" s="5"/>
      <c r="P25" s="7">
        <f t="shared" si="4"/>
        <v>0</v>
      </c>
      <c r="Q25" s="7"/>
      <c r="R25" s="7"/>
    </row>
    <row r="26" spans="1:18" x14ac:dyDescent="0.25">
      <c r="A26" s="1" t="s">
        <v>26</v>
      </c>
      <c r="B26" s="1" t="str">
        <f>VLOOKUP(A26,[4]LISTADHERENT!A$5:H$60,3,0)</f>
        <v>NGONDIEP CLAUDE</v>
      </c>
      <c r="C26" s="7">
        <f t="shared" si="0"/>
        <v>20000</v>
      </c>
      <c r="D26" s="7">
        <f t="shared" si="1"/>
        <v>20000</v>
      </c>
      <c r="E26" s="7">
        <f t="shared" si="2"/>
        <v>0</v>
      </c>
      <c r="F26" s="5" t="s">
        <v>46</v>
      </c>
      <c r="G26" s="7">
        <f>IF(F26="BANQUE",30000,IF(F26="ESPECES",30000,0))+10000</f>
        <v>40000</v>
      </c>
      <c r="H26" s="7"/>
      <c r="I26" s="7"/>
      <c r="J26" s="5"/>
      <c r="K26" s="5"/>
      <c r="L26" s="4">
        <f>TONTFEV!H26+TONTFEV!I26</f>
        <v>0</v>
      </c>
      <c r="M26" s="4"/>
      <c r="N26" s="5"/>
      <c r="O26" s="5"/>
      <c r="P26" s="7">
        <f t="shared" si="4"/>
        <v>0</v>
      </c>
      <c r="Q26" s="7"/>
      <c r="R26" s="7"/>
    </row>
    <row r="27" spans="1:18" x14ac:dyDescent="0.25">
      <c r="A27" s="1" t="s">
        <v>27</v>
      </c>
      <c r="B27" s="1" t="str">
        <f>VLOOKUP(A27,[4]LISTADHERENT!A$5:H$60,3,0)</f>
        <v>NGUIEMEGNI MATHIEU BLAISE</v>
      </c>
      <c r="C27" s="7">
        <f t="shared" si="0"/>
        <v>10000</v>
      </c>
      <c r="D27" s="7">
        <f t="shared" si="1"/>
        <v>20000</v>
      </c>
      <c r="E27" s="7">
        <f t="shared" si="2"/>
        <v>0</v>
      </c>
      <c r="F27" s="5" t="s">
        <v>46</v>
      </c>
      <c r="G27" s="7">
        <f t="shared" si="3"/>
        <v>30000</v>
      </c>
      <c r="H27" s="7"/>
      <c r="I27" s="7"/>
      <c r="J27" s="5"/>
      <c r="K27" s="5"/>
      <c r="L27" s="4">
        <f>TONTFEV!H27+TONTFEV!I27</f>
        <v>0</v>
      </c>
      <c r="M27" s="4"/>
      <c r="N27" s="5"/>
      <c r="O27" s="5"/>
      <c r="P27" s="7">
        <f t="shared" si="4"/>
        <v>0</v>
      </c>
      <c r="Q27" s="7"/>
      <c r="R27" s="7"/>
    </row>
    <row r="28" spans="1:18" x14ac:dyDescent="0.25">
      <c r="A28" s="1" t="s">
        <v>28</v>
      </c>
      <c r="B28" s="1" t="str">
        <f>VLOOKUP(A28,[4]LISTADHERENT!A$5:H$60,3,0)</f>
        <v>NKAMGANG JUSTIN DEJOLIE</v>
      </c>
      <c r="C28" s="7">
        <f t="shared" si="0"/>
        <v>10000</v>
      </c>
      <c r="D28" s="7">
        <f t="shared" si="1"/>
        <v>20000</v>
      </c>
      <c r="E28" s="7">
        <f t="shared" si="2"/>
        <v>0</v>
      </c>
      <c r="F28" s="5" t="s">
        <v>46</v>
      </c>
      <c r="G28" s="7">
        <f t="shared" si="3"/>
        <v>30000</v>
      </c>
      <c r="H28" s="7"/>
      <c r="I28" s="7"/>
      <c r="J28" s="5"/>
      <c r="K28" s="5"/>
      <c r="L28" s="4">
        <f>TONTFEV!H28+TONTFEV!I28</f>
        <v>31000</v>
      </c>
      <c r="M28" s="4" t="s">
        <v>45</v>
      </c>
      <c r="N28" s="5"/>
      <c r="O28" s="5"/>
      <c r="P28" s="7">
        <f t="shared" si="4"/>
        <v>0</v>
      </c>
      <c r="Q28" s="7"/>
      <c r="R28" s="7"/>
    </row>
    <row r="29" spans="1:18" x14ac:dyDescent="0.25">
      <c r="A29" s="1" t="s">
        <v>18</v>
      </c>
      <c r="B29" s="1" t="str">
        <f>VLOOKUP(A29,[4]LISTADHERENT!A$5:H$60,3,0)</f>
        <v>NKEHE DAVID</v>
      </c>
      <c r="C29" s="7">
        <f t="shared" si="0"/>
        <v>10000</v>
      </c>
      <c r="D29" s="7">
        <f t="shared" si="1"/>
        <v>20000</v>
      </c>
      <c r="E29" s="7">
        <f t="shared" si="2"/>
        <v>0</v>
      </c>
      <c r="F29" s="5" t="s">
        <v>46</v>
      </c>
      <c r="G29" s="7">
        <f t="shared" si="3"/>
        <v>30000</v>
      </c>
      <c r="H29" s="7"/>
      <c r="I29" s="7"/>
      <c r="J29" s="5"/>
      <c r="K29" s="5"/>
      <c r="L29" s="4">
        <f>TONTFEV!H29+TONTFEV!I29</f>
        <v>0</v>
      </c>
      <c r="M29" s="4"/>
      <c r="N29" s="5"/>
      <c r="O29" s="5"/>
      <c r="P29" s="7">
        <f t="shared" si="4"/>
        <v>0</v>
      </c>
      <c r="Q29" s="7"/>
      <c r="R29" s="7"/>
    </row>
    <row r="30" spans="1:18" x14ac:dyDescent="0.25">
      <c r="A30" s="1" t="s">
        <v>29</v>
      </c>
      <c r="B30" s="1" t="str">
        <f>VLOOKUP(A30,[4]LISTADHERENT!A$5:H$60,3,0)</f>
        <v>NKEPSEU DIEUDONNE</v>
      </c>
      <c r="C30" s="7">
        <f t="shared" si="0"/>
        <v>10000</v>
      </c>
      <c r="D30" s="7">
        <f t="shared" si="1"/>
        <v>20000</v>
      </c>
      <c r="E30" s="7">
        <f t="shared" si="2"/>
        <v>0</v>
      </c>
      <c r="F30" s="5" t="s">
        <v>46</v>
      </c>
      <c r="G30" s="7">
        <f t="shared" si="3"/>
        <v>30000</v>
      </c>
      <c r="H30" s="7"/>
      <c r="I30" s="7"/>
      <c r="J30" s="5"/>
      <c r="K30" s="5"/>
      <c r="L30" s="4">
        <f>TONTFEV!H30+TONTFEV!I30</f>
        <v>32000</v>
      </c>
      <c r="M30" s="4" t="s">
        <v>46</v>
      </c>
      <c r="N30" s="5"/>
      <c r="O30" s="5"/>
      <c r="P30" s="7">
        <f t="shared" si="4"/>
        <v>270000</v>
      </c>
      <c r="Q30" s="7">
        <v>30000</v>
      </c>
      <c r="R30" s="7"/>
    </row>
    <row r="31" spans="1:18" x14ac:dyDescent="0.25">
      <c r="A31" s="1" t="s">
        <v>30</v>
      </c>
      <c r="B31" s="1" t="str">
        <f>VLOOKUP(A31,[4]LISTADHERENT!A$5:H$60,3,0)</f>
        <v>PATEGO NJOSSU GUSTAVE</v>
      </c>
      <c r="C31" s="7">
        <f t="shared" si="0"/>
        <v>10000</v>
      </c>
      <c r="D31" s="7">
        <f t="shared" si="1"/>
        <v>20000</v>
      </c>
      <c r="E31" s="7">
        <f t="shared" si="2"/>
        <v>0</v>
      </c>
      <c r="F31" s="5" t="s">
        <v>46</v>
      </c>
      <c r="G31" s="7">
        <f t="shared" si="3"/>
        <v>30000</v>
      </c>
      <c r="H31" s="7"/>
      <c r="I31" s="7"/>
      <c r="J31" s="5"/>
      <c r="K31" s="5"/>
      <c r="L31" s="4">
        <f>TONTFEV!H31+TONTFEV!I31</f>
        <v>0</v>
      </c>
      <c r="M31" s="4"/>
      <c r="N31" s="5"/>
      <c r="O31" s="5"/>
      <c r="P31" s="7">
        <f t="shared" si="4"/>
        <v>0</v>
      </c>
      <c r="Q31" s="7"/>
      <c r="R31" s="7"/>
    </row>
    <row r="32" spans="1:18" x14ac:dyDescent="0.25">
      <c r="A32" s="1" t="s">
        <v>72</v>
      </c>
      <c r="B32" s="1" t="str">
        <f>VLOOKUP(A32,[4]LISTADHERENT!A$5:H$60,3,0)</f>
        <v>SIME BRICE</v>
      </c>
      <c r="C32" s="7">
        <f t="shared" si="0"/>
        <v>50000</v>
      </c>
      <c r="D32" s="7">
        <f t="shared" si="1"/>
        <v>20000</v>
      </c>
      <c r="E32" s="7">
        <f t="shared" si="2"/>
        <v>0</v>
      </c>
      <c r="F32" s="5" t="s">
        <v>46</v>
      </c>
      <c r="G32" s="7">
        <f>IF(F32="BANQUE",30000,IF(F32="ESPECES",30000,0))+40000</f>
        <v>70000</v>
      </c>
      <c r="H32" s="7"/>
      <c r="I32" s="7"/>
      <c r="J32" s="5"/>
      <c r="K32" s="5"/>
      <c r="L32" s="4">
        <f>TONTFEV!H32+TONTFEV!I32</f>
        <v>0</v>
      </c>
      <c r="M32" s="4"/>
      <c r="N32" s="5"/>
      <c r="O32" s="5"/>
      <c r="P32" s="7">
        <f t="shared" si="4"/>
        <v>0</v>
      </c>
    </row>
    <row r="33" spans="1:18" x14ac:dyDescent="0.25">
      <c r="A33" s="1" t="s">
        <v>31</v>
      </c>
      <c r="B33" s="1" t="str">
        <f>VLOOKUP(A33,[4]LISTADHERENT!A$5:H$60,3,0)</f>
        <v>SIMO FONGANG ERIC</v>
      </c>
      <c r="C33" s="7">
        <f t="shared" si="0"/>
        <v>10000</v>
      </c>
      <c r="D33" s="7">
        <f t="shared" si="1"/>
        <v>20000</v>
      </c>
      <c r="E33" s="7">
        <f t="shared" si="2"/>
        <v>0</v>
      </c>
      <c r="F33" s="5" t="s">
        <v>46</v>
      </c>
      <c r="G33" s="7">
        <f t="shared" si="3"/>
        <v>30000</v>
      </c>
      <c r="H33" s="7"/>
      <c r="I33" s="7"/>
      <c r="J33" s="5"/>
      <c r="K33" s="5"/>
      <c r="L33" s="4">
        <f>TONTFEV!H33+TONTFEV!I33</f>
        <v>0</v>
      </c>
      <c r="M33" s="4"/>
      <c r="N33" s="5"/>
      <c r="O33" s="5"/>
      <c r="P33" s="7">
        <f t="shared" si="4"/>
        <v>0</v>
      </c>
      <c r="Q33" s="7"/>
      <c r="R33" s="7"/>
    </row>
    <row r="34" spans="1:18" x14ac:dyDescent="0.25">
      <c r="A34" s="1" t="s">
        <v>32</v>
      </c>
      <c r="B34" s="1" t="str">
        <f>VLOOKUP(A34,[4]LISTADHERENT!A$5:H$60,3,0)</f>
        <v>SIME MATHIEU</v>
      </c>
      <c r="C34" s="7">
        <f t="shared" si="0"/>
        <v>10000</v>
      </c>
      <c r="D34" s="7">
        <f t="shared" si="1"/>
        <v>20000</v>
      </c>
      <c r="E34" s="7">
        <f t="shared" si="2"/>
        <v>0</v>
      </c>
      <c r="F34" s="5" t="s">
        <v>46</v>
      </c>
      <c r="G34" s="7">
        <f t="shared" si="3"/>
        <v>30000</v>
      </c>
      <c r="H34" s="7"/>
      <c r="I34" s="7"/>
      <c r="J34" s="5"/>
      <c r="K34" s="5"/>
      <c r="L34" s="4">
        <f>TONTFEV!H34+TONTFEV!I34</f>
        <v>0</v>
      </c>
      <c r="M34" s="4"/>
      <c r="N34" s="5"/>
      <c r="O34" s="5"/>
      <c r="P34" s="7">
        <f t="shared" si="4"/>
        <v>0</v>
      </c>
      <c r="Q34" s="7"/>
      <c r="R34" s="7"/>
    </row>
    <row r="35" spans="1:18" x14ac:dyDescent="0.25">
      <c r="A35" s="1" t="s">
        <v>33</v>
      </c>
      <c r="B35" s="1" t="str">
        <f>VLOOKUP(A35,[4]LISTADHERENT!A$5:H$60,3,0)</f>
        <v>SIMO PIERRE</v>
      </c>
      <c r="C35" s="7">
        <f t="shared" si="0"/>
        <v>10000</v>
      </c>
      <c r="D35" s="7">
        <f t="shared" si="1"/>
        <v>20000</v>
      </c>
      <c r="E35" s="7">
        <f t="shared" si="2"/>
        <v>0</v>
      </c>
      <c r="F35" s="5" t="s">
        <v>46</v>
      </c>
      <c r="G35" s="7">
        <f t="shared" si="3"/>
        <v>30000</v>
      </c>
      <c r="H35" s="7"/>
      <c r="I35" s="7"/>
      <c r="J35" s="5"/>
      <c r="K35" s="5"/>
      <c r="L35" s="4">
        <f>TONTFEV!H35+TONTFEV!I35</f>
        <v>0</v>
      </c>
      <c r="M35" s="4"/>
      <c r="N35" s="5"/>
      <c r="O35" s="5"/>
      <c r="P35" s="7">
        <f t="shared" si="4"/>
        <v>0</v>
      </c>
      <c r="Q35" s="7"/>
      <c r="R35" s="7"/>
    </row>
    <row r="36" spans="1:18" x14ac:dyDescent="0.25">
      <c r="A36" s="1" t="s">
        <v>35</v>
      </c>
      <c r="B36" s="1" t="str">
        <f>VLOOKUP(A36,[4]LISTADHERENT!A$5:H$60,3,0)</f>
        <v>TCHOUAMOU MATHIEU</v>
      </c>
      <c r="C36" s="7">
        <f t="shared" si="0"/>
        <v>10000</v>
      </c>
      <c r="D36" s="7">
        <f t="shared" si="1"/>
        <v>20000</v>
      </c>
      <c r="E36" s="7">
        <f t="shared" si="2"/>
        <v>0</v>
      </c>
      <c r="F36" s="5" t="s">
        <v>46</v>
      </c>
      <c r="G36" s="7">
        <f t="shared" si="3"/>
        <v>30000</v>
      </c>
      <c r="H36" s="7"/>
      <c r="I36" s="7"/>
      <c r="J36" s="5"/>
      <c r="K36" s="5"/>
      <c r="L36" s="4">
        <f>TONTFEV!H36+TONTFEV!I36</f>
        <v>0</v>
      </c>
      <c r="M36" s="4"/>
      <c r="N36" s="5"/>
      <c r="O36" s="5"/>
      <c r="P36" s="7">
        <f t="shared" si="4"/>
        <v>268000</v>
      </c>
      <c r="Q36" s="7">
        <v>32000</v>
      </c>
      <c r="R36" s="7"/>
    </row>
    <row r="37" spans="1:18" x14ac:dyDescent="0.25">
      <c r="A37" s="1" t="s">
        <v>36</v>
      </c>
      <c r="B37" s="1" t="str">
        <f>VLOOKUP(A37,[4]LISTADHERENT!A$5:H$60,3,0)</f>
        <v>TIEYAM ERNEST</v>
      </c>
      <c r="C37" s="7">
        <f t="shared" si="0"/>
        <v>40000</v>
      </c>
      <c r="D37" s="7">
        <v>80000</v>
      </c>
      <c r="E37" s="7">
        <f t="shared" si="2"/>
        <v>0</v>
      </c>
      <c r="F37" s="5" t="s">
        <v>46</v>
      </c>
      <c r="G37" s="7">
        <v>120000</v>
      </c>
      <c r="H37" s="7">
        <v>42000</v>
      </c>
      <c r="I37" s="7">
        <v>0</v>
      </c>
      <c r="J37" s="5"/>
      <c r="K37" s="5"/>
      <c r="L37" s="4">
        <f>TONTFEV!H37+TONTFEV!I37</f>
        <v>42000</v>
      </c>
      <c r="M37" s="4" t="s">
        <v>9</v>
      </c>
      <c r="N37" s="5"/>
      <c r="O37" s="5"/>
      <c r="P37" s="7">
        <f t="shared" si="4"/>
        <v>0</v>
      </c>
      <c r="Q37" s="7"/>
      <c r="R37" s="7"/>
    </row>
    <row r="38" spans="1:18" x14ac:dyDescent="0.25">
      <c r="A38" s="1" t="s">
        <v>37</v>
      </c>
      <c r="B38" s="1" t="str">
        <f>VLOOKUP(A38,[4]LISTADHERENT!A$5:H$60,3,0)</f>
        <v>YEPMOU JEAN JACQUES</v>
      </c>
      <c r="C38" s="7">
        <f t="shared" si="0"/>
        <v>10000</v>
      </c>
      <c r="D38" s="7">
        <f t="shared" si="1"/>
        <v>20000</v>
      </c>
      <c r="E38" s="7">
        <f t="shared" si="2"/>
        <v>3000</v>
      </c>
      <c r="F38" s="5" t="s">
        <v>45</v>
      </c>
      <c r="G38" s="7">
        <f t="shared" si="3"/>
        <v>30000</v>
      </c>
      <c r="H38" s="7"/>
      <c r="I38" s="7"/>
      <c r="J38" s="5"/>
      <c r="K38" s="5"/>
      <c r="L38" s="4">
        <f>TONTFEV!H38+TONTFEV!I38</f>
        <v>0</v>
      </c>
      <c r="M38" s="4"/>
      <c r="N38" s="5"/>
      <c r="O38" s="5"/>
      <c r="P38" s="7">
        <f t="shared" si="4"/>
        <v>0</v>
      </c>
      <c r="Q38" s="7"/>
      <c r="R38" s="7"/>
    </row>
    <row r="39" spans="1:18" x14ac:dyDescent="0.25">
      <c r="A39" s="1" t="s">
        <v>38</v>
      </c>
      <c r="B39" s="1" t="str">
        <f>VLOOKUP(A39,[4]LISTADHERENT!A$5:H$60,3,0)</f>
        <v>YOUMBI EMMANUEL</v>
      </c>
      <c r="C39" s="7">
        <f t="shared" si="0"/>
        <v>10000</v>
      </c>
      <c r="D39" s="7">
        <f t="shared" si="1"/>
        <v>20000</v>
      </c>
      <c r="E39" s="7">
        <f t="shared" si="2"/>
        <v>0</v>
      </c>
      <c r="F39" s="5" t="s">
        <v>46</v>
      </c>
      <c r="G39" s="7">
        <f t="shared" si="3"/>
        <v>30000</v>
      </c>
      <c r="H39" s="7"/>
      <c r="I39" s="7"/>
      <c r="J39" s="5"/>
      <c r="K39" s="5"/>
      <c r="L39" s="4">
        <f>TONTFEV!H39+TONTFEV!I39</f>
        <v>0</v>
      </c>
      <c r="M39" s="4"/>
      <c r="N39" s="5"/>
      <c r="O39" s="5"/>
      <c r="P39" s="7">
        <f t="shared" si="4"/>
        <v>0</v>
      </c>
      <c r="Q39" s="7"/>
      <c r="R39" s="7"/>
    </row>
    <row r="40" spans="1:18" x14ac:dyDescent="0.25">
      <c r="A40" s="1" t="s">
        <v>92</v>
      </c>
      <c r="B40" s="1" t="str">
        <f>VLOOKUP(A40,[4]LISTADHERENT!A$5:H$60,3,0)</f>
        <v>TCHEMHOU EMMANUEL</v>
      </c>
      <c r="C40" s="7"/>
      <c r="D40" s="7"/>
      <c r="E40" s="7"/>
      <c r="F40" s="5"/>
      <c r="G40" s="7"/>
      <c r="H40" s="7"/>
      <c r="I40" s="7"/>
      <c r="J40" s="5"/>
      <c r="K40" s="5"/>
      <c r="L40" s="7"/>
      <c r="M40" s="4"/>
      <c r="N40" s="5"/>
      <c r="O40" s="5"/>
      <c r="P40" s="7"/>
    </row>
    <row r="41" spans="1:18" x14ac:dyDescent="0.25">
      <c r="A41" s="1"/>
      <c r="B41" s="1"/>
      <c r="C41" s="7"/>
      <c r="D41" s="7"/>
      <c r="E41" s="7"/>
      <c r="F41" s="5"/>
      <c r="G41" s="7"/>
      <c r="H41" s="7"/>
      <c r="I41" s="7"/>
      <c r="J41" s="5"/>
      <c r="K41" s="5"/>
      <c r="L41" s="7"/>
      <c r="M41" s="5"/>
      <c r="N41" s="5"/>
      <c r="O41" s="5"/>
      <c r="P41" s="7"/>
    </row>
    <row r="42" spans="1:18" x14ac:dyDescent="0.25">
      <c r="A42" s="1"/>
      <c r="B42" s="1"/>
      <c r="C42" s="7"/>
      <c r="D42" s="7"/>
      <c r="E42" s="7"/>
      <c r="F42" s="5"/>
      <c r="G42" s="7"/>
      <c r="H42" s="7"/>
      <c r="I42" s="7"/>
      <c r="J42" s="5"/>
      <c r="K42" s="5"/>
      <c r="L42" s="7"/>
      <c r="M42" s="5"/>
      <c r="N42" s="5"/>
      <c r="O42" s="5"/>
      <c r="P42" s="7"/>
    </row>
    <row r="43" spans="1:18" x14ac:dyDescent="0.25">
      <c r="A43" s="1"/>
      <c r="B43" s="1"/>
      <c r="C43" s="7"/>
      <c r="D43" s="7"/>
      <c r="E43" s="7"/>
      <c r="F43" s="5"/>
      <c r="G43" s="7"/>
      <c r="H43" s="7"/>
      <c r="I43" s="7"/>
      <c r="J43" s="5"/>
      <c r="K43" s="5"/>
      <c r="L43" s="7"/>
      <c r="M43" s="5"/>
      <c r="N43" s="5"/>
      <c r="O43" s="5"/>
      <c r="P43" s="7"/>
    </row>
    <row r="44" spans="1:18" x14ac:dyDescent="0.25">
      <c r="A44" s="1"/>
      <c r="B44" s="1"/>
      <c r="C44" s="1"/>
      <c r="D44" s="1"/>
      <c r="E44" s="1"/>
      <c r="F44" s="1"/>
      <c r="M44" s="1"/>
      <c r="N44" s="1"/>
    </row>
    <row r="45" spans="1:18" x14ac:dyDescent="0.25">
      <c r="A45" s="1"/>
      <c r="B45" s="1"/>
      <c r="C45" s="1"/>
      <c r="D45" s="1"/>
      <c r="E45" s="1"/>
      <c r="F45" s="1"/>
      <c r="M45" s="1"/>
      <c r="N45" s="1"/>
    </row>
    <row r="46" spans="1:18" ht="18" x14ac:dyDescent="0.25">
      <c r="A46" s="1" t="s">
        <v>39</v>
      </c>
      <c r="B46" s="1"/>
      <c r="C46" s="8">
        <f>SUM(C7:C45)</f>
        <v>434000</v>
      </c>
      <c r="D46" s="8">
        <f t="shared" ref="D46:R46" si="5">SUM(D7:D45)</f>
        <v>700000</v>
      </c>
      <c r="E46" s="8">
        <f t="shared" si="5"/>
        <v>12000</v>
      </c>
      <c r="F46" s="8">
        <f t="shared" si="5"/>
        <v>0</v>
      </c>
      <c r="G46" s="8">
        <f t="shared" si="5"/>
        <v>1134000</v>
      </c>
      <c r="H46" s="8">
        <f t="shared" si="5"/>
        <v>97500</v>
      </c>
      <c r="I46" s="8">
        <f t="shared" si="5"/>
        <v>0</v>
      </c>
      <c r="J46" s="8">
        <f t="shared" si="5"/>
        <v>0</v>
      </c>
      <c r="K46" s="8">
        <f t="shared" si="5"/>
        <v>0</v>
      </c>
      <c r="L46" s="8">
        <f t="shared" si="5"/>
        <v>218000</v>
      </c>
      <c r="M46" s="8">
        <f t="shared" si="5"/>
        <v>0</v>
      </c>
      <c r="N46" s="8">
        <f t="shared" si="5"/>
        <v>0</v>
      </c>
      <c r="O46" s="8">
        <f t="shared" si="5"/>
        <v>0</v>
      </c>
      <c r="P46" s="8">
        <f t="shared" si="5"/>
        <v>807000</v>
      </c>
      <c r="Q46" s="8">
        <f t="shared" si="5"/>
        <v>93000</v>
      </c>
      <c r="R46" s="8">
        <f t="shared" si="5"/>
        <v>0</v>
      </c>
    </row>
    <row r="48" spans="1:18" x14ac:dyDescent="0.25">
      <c r="I48" s="9"/>
    </row>
    <row r="49" spans="4:15" ht="18" x14ac:dyDescent="0.25">
      <c r="G49" s="8" t="s">
        <v>75</v>
      </c>
      <c r="H49" s="8">
        <f>D73+H73+Q46</f>
        <v>913500</v>
      </c>
      <c r="I49" s="8"/>
      <c r="J49" s="8"/>
      <c r="K49" s="8"/>
      <c r="O49" s="8"/>
    </row>
    <row r="50" spans="4:15" ht="18" x14ac:dyDescent="0.25">
      <c r="G50" s="8" t="s">
        <v>76</v>
      </c>
      <c r="H50" s="8">
        <f>IF(H49&gt;=900000,300000*3,300000*2)</f>
        <v>900000</v>
      </c>
      <c r="I50" s="9"/>
    </row>
    <row r="51" spans="4:15" ht="18" x14ac:dyDescent="0.25">
      <c r="D51" s="4" t="s">
        <v>47</v>
      </c>
      <c r="E51" s="8">
        <f>+D46</f>
        <v>700000</v>
      </c>
      <c r="I51" s="8"/>
      <c r="J51" s="8"/>
      <c r="K51" s="8"/>
      <c r="O51" s="8"/>
    </row>
    <row r="52" spans="4:15" ht="43.5" x14ac:dyDescent="0.25">
      <c r="D52" s="4" t="s">
        <v>65</v>
      </c>
      <c r="E52" s="8">
        <f>E46</f>
        <v>12000</v>
      </c>
      <c r="F52" s="8"/>
      <c r="G52" s="8" t="s">
        <v>74</v>
      </c>
      <c r="H52" s="8">
        <f>H49-H50</f>
        <v>13500</v>
      </c>
      <c r="I52" s="3" t="s">
        <v>46</v>
      </c>
      <c r="L52" s="12"/>
      <c r="M52" s="8"/>
      <c r="N52" s="8"/>
    </row>
    <row r="53" spans="4:15" ht="18" x14ac:dyDescent="0.25">
      <c r="D53" s="4" t="s">
        <v>60</v>
      </c>
      <c r="E53" s="8">
        <f>+H46</f>
        <v>97500</v>
      </c>
    </row>
    <row r="54" spans="4:15" ht="29.25" x14ac:dyDescent="0.25">
      <c r="D54" s="4" t="s">
        <v>79</v>
      </c>
      <c r="E54" s="8">
        <f>+I46</f>
        <v>0</v>
      </c>
      <c r="G54" s="8" t="s">
        <v>78</v>
      </c>
      <c r="H54" s="8">
        <f>H52-H46</f>
        <v>-84000</v>
      </c>
      <c r="I54" s="3" t="s">
        <v>94</v>
      </c>
    </row>
    <row r="55" spans="4:15" ht="29.25" x14ac:dyDescent="0.25">
      <c r="D55" s="4" t="s">
        <v>66</v>
      </c>
      <c r="E55" s="8">
        <f>+L46</f>
        <v>218000</v>
      </c>
    </row>
    <row r="56" spans="4:15" ht="29.25" x14ac:dyDescent="0.25">
      <c r="D56" s="4" t="s">
        <v>67</v>
      </c>
      <c r="E56" s="8">
        <f>+Q46</f>
        <v>93000</v>
      </c>
    </row>
    <row r="57" spans="4:15" ht="18" x14ac:dyDescent="0.25">
      <c r="D57" s="4" t="s">
        <v>51</v>
      </c>
      <c r="E57" s="8">
        <f>[5]MVTMARS!$E$49</f>
        <v>0</v>
      </c>
    </row>
    <row r="58" spans="4:15" ht="18" x14ac:dyDescent="0.25">
      <c r="D58" s="4" t="s">
        <v>41</v>
      </c>
      <c r="E58" s="8">
        <f>[5]MVTMARS!$E$50</f>
        <v>294000</v>
      </c>
    </row>
    <row r="59" spans="4:15" ht="29.25" x14ac:dyDescent="0.25">
      <c r="D59" s="4" t="s">
        <v>42</v>
      </c>
      <c r="E59" s="8">
        <f>[5]MVTMARS!$E$51</f>
        <v>17500</v>
      </c>
    </row>
    <row r="60" spans="4:15" ht="29.25" x14ac:dyDescent="0.25">
      <c r="D60" s="4" t="s">
        <v>43</v>
      </c>
      <c r="E60" s="8">
        <f>[5]MVTMARS!$E$52</f>
        <v>35000</v>
      </c>
    </row>
    <row r="61" spans="4:15" ht="18" x14ac:dyDescent="0.25">
      <c r="D61" s="4" t="s">
        <v>44</v>
      </c>
      <c r="E61" s="8">
        <f>[5]MVTMARS!$E$53</f>
        <v>87500</v>
      </c>
    </row>
    <row r="62" spans="4:15" ht="18" x14ac:dyDescent="0.25">
      <c r="D62" s="4" t="s">
        <v>52</v>
      </c>
      <c r="E62" s="8">
        <f>[5]MVTMARS!$E$55</f>
        <v>0</v>
      </c>
    </row>
    <row r="63" spans="4:15" ht="18" x14ac:dyDescent="0.25">
      <c r="D63" s="4" t="s">
        <v>48</v>
      </c>
      <c r="E63" s="8">
        <f>[5]MVTMARS!$E$56</f>
        <v>0</v>
      </c>
    </row>
    <row r="64" spans="4:15" ht="18" x14ac:dyDescent="0.25">
      <c r="D64" s="4" t="s">
        <v>49</v>
      </c>
      <c r="E64" s="8">
        <f>[5]MVTMARS!$E$57</f>
        <v>0</v>
      </c>
    </row>
    <row r="65" spans="1:18" ht="29.25" x14ac:dyDescent="0.25">
      <c r="D65" s="4" t="s">
        <v>50</v>
      </c>
      <c r="E65" s="8">
        <f>[5]MVTMARS!$E$58</f>
        <v>800000</v>
      </c>
    </row>
    <row r="66" spans="1:18" s="2" customFormat="1" ht="29.25" x14ac:dyDescent="0.25">
      <c r="A66"/>
      <c r="B66"/>
      <c r="C66"/>
      <c r="D66" s="4" t="s">
        <v>87</v>
      </c>
      <c r="E66" s="8">
        <f>[5]MVTMARS!$E$59</f>
        <v>0</v>
      </c>
      <c r="F66"/>
      <c r="H66"/>
      <c r="I66" s="3"/>
      <c r="J66" s="3"/>
      <c r="K66" s="3"/>
      <c r="M66"/>
      <c r="N66"/>
      <c r="O66" s="3"/>
      <c r="R66"/>
    </row>
    <row r="67" spans="1:18" s="2" customFormat="1" ht="18" x14ac:dyDescent="0.25">
      <c r="A67"/>
      <c r="B67"/>
      <c r="C67"/>
      <c r="D67" s="4" t="s">
        <v>53</v>
      </c>
      <c r="E67" s="8">
        <f>[5]MVTMARS!$E$60</f>
        <v>0</v>
      </c>
      <c r="F67"/>
      <c r="H67"/>
      <c r="I67" s="3"/>
      <c r="J67" s="3"/>
      <c r="K67" s="3"/>
      <c r="M67"/>
      <c r="N67"/>
      <c r="O67" s="3"/>
      <c r="R67"/>
    </row>
    <row r="68" spans="1:18" s="2" customFormat="1" ht="18" x14ac:dyDescent="0.25">
      <c r="A68"/>
      <c r="B68"/>
      <c r="C68"/>
      <c r="D68" s="4"/>
      <c r="E68" s="8"/>
      <c r="F68"/>
      <c r="H68"/>
      <c r="I68" s="3"/>
      <c r="J68" s="3"/>
      <c r="K68" s="3"/>
      <c r="M68"/>
      <c r="N68"/>
      <c r="O68" s="3"/>
      <c r="R68"/>
    </row>
    <row r="69" spans="1:18" s="2" customFormat="1" ht="43.5" x14ac:dyDescent="0.25">
      <c r="A69"/>
      <c r="B69"/>
      <c r="C69"/>
      <c r="D69" s="4" t="s">
        <v>6</v>
      </c>
      <c r="E69"/>
      <c r="F69" s="4" t="s">
        <v>73</v>
      </c>
      <c r="G69" s="4" t="s">
        <v>68</v>
      </c>
      <c r="H69" s="4" t="s">
        <v>55</v>
      </c>
      <c r="I69" s="4" t="s">
        <v>60</v>
      </c>
      <c r="J69" s="4" t="s">
        <v>62</v>
      </c>
      <c r="K69" s="4"/>
      <c r="L69" s="4" t="s">
        <v>63</v>
      </c>
      <c r="M69" s="4"/>
      <c r="N69"/>
      <c r="O69" s="4"/>
      <c r="R69"/>
    </row>
    <row r="70" spans="1:18" s="2" customFormat="1" ht="18" x14ac:dyDescent="0.25">
      <c r="A70"/>
      <c r="B70"/>
      <c r="C70"/>
      <c r="D70" s="8">
        <f>SUMIFS(D7:D45,F7:F45,"ESPECES")</f>
        <v>80000</v>
      </c>
      <c r="E70" s="8" t="s">
        <v>45</v>
      </c>
      <c r="F70" s="8">
        <f>SUMIFS(G7:G45,F7:F45,"ESPECES")</f>
        <v>120000</v>
      </c>
      <c r="G70" s="8">
        <f>+E46</f>
        <v>12000</v>
      </c>
      <c r="H70" s="8">
        <f>SUMIFS(L7:L45,M7:M45,"ESPECES")</f>
        <v>31000</v>
      </c>
      <c r="I70" s="8">
        <f>SUMIFS(H7:H45,J7:J45,"ESPECES")</f>
        <v>0</v>
      </c>
      <c r="J70" s="8">
        <f>SUMIFS(P7:P45,N7:N45,"ESPECES")</f>
        <v>0</v>
      </c>
      <c r="K70" s="8"/>
      <c r="L70" s="8">
        <f>F70+H70+G70-I70-J70</f>
        <v>163000</v>
      </c>
      <c r="M70" s="8"/>
      <c r="N70" s="4"/>
      <c r="O70" s="8"/>
      <c r="R70"/>
    </row>
    <row r="71" spans="1:18" s="2" customFormat="1" ht="18" x14ac:dyDescent="0.25">
      <c r="A71"/>
      <c r="B71"/>
      <c r="C71"/>
      <c r="D71" s="8">
        <f>SUMIFS(D7:D45,F7:F45,"BANQUE")</f>
        <v>620000</v>
      </c>
      <c r="E71" s="8" t="s">
        <v>46</v>
      </c>
      <c r="F71" s="8">
        <f>SUMIFS(G7:G45,F7:F45,"BANQUE")</f>
        <v>1014000</v>
      </c>
      <c r="H71" s="8">
        <f>SUMIFS(L7:L45,M7:M45,"BANQUE")</f>
        <v>89500</v>
      </c>
      <c r="I71" s="8">
        <f>SUMIFS(H7:H45,J7:J45,"BANQUE")</f>
        <v>0</v>
      </c>
      <c r="J71" s="8">
        <f>SUMIFS(P7:P45,M7:M45,"BANQUE")</f>
        <v>270000</v>
      </c>
      <c r="K71" s="8"/>
      <c r="L71" s="8">
        <f>F71+H71-I71-J71</f>
        <v>833500</v>
      </c>
      <c r="M71" s="8"/>
      <c r="N71" s="8"/>
      <c r="O71" s="8"/>
      <c r="R71"/>
    </row>
    <row r="72" spans="1:18" s="2" customFormat="1" ht="18" x14ac:dyDescent="0.25">
      <c r="A72"/>
      <c r="B72"/>
      <c r="C72"/>
      <c r="D72" s="8"/>
      <c r="E72" s="8"/>
      <c r="F72" s="8"/>
      <c r="H72" s="8"/>
      <c r="I72" s="8"/>
      <c r="J72" s="8"/>
      <c r="K72" s="8"/>
      <c r="L72" s="8"/>
      <c r="M72" s="8"/>
      <c r="N72" s="8"/>
      <c r="O72" s="8"/>
      <c r="R72"/>
    </row>
    <row r="73" spans="1:18" s="2" customFormat="1" ht="18" x14ac:dyDescent="0.25">
      <c r="A73"/>
      <c r="B73"/>
      <c r="C73"/>
      <c r="D73" s="8">
        <f>D70+D71</f>
        <v>700000</v>
      </c>
      <c r="E73" s="8" t="s">
        <v>39</v>
      </c>
      <c r="F73" s="8">
        <f>F70+F71</f>
        <v>1134000</v>
      </c>
      <c r="H73" s="8">
        <f>H70+H71</f>
        <v>120500</v>
      </c>
      <c r="I73" s="8">
        <f>I70+I71</f>
        <v>0</v>
      </c>
      <c r="J73" s="8">
        <v>0</v>
      </c>
      <c r="K73" s="8"/>
      <c r="L73" s="8">
        <f>F73+H73-I73-J73</f>
        <v>1254500</v>
      </c>
      <c r="M73" s="8"/>
      <c r="N73" s="8"/>
      <c r="O73" s="8"/>
      <c r="R73"/>
    </row>
    <row r="74" spans="1:18" s="2" customFormat="1" ht="18" x14ac:dyDescent="0.25">
      <c r="A74"/>
      <c r="B74"/>
      <c r="C74"/>
      <c r="D74" s="8">
        <f>D73+R46</f>
        <v>700000</v>
      </c>
      <c r="E74" s="8" t="s">
        <v>82</v>
      </c>
      <c r="F74"/>
      <c r="H74"/>
      <c r="I74" s="3"/>
      <c r="J74" s="3"/>
      <c r="K74" s="3"/>
      <c r="M74"/>
      <c r="N74" s="8"/>
      <c r="O74" s="3"/>
      <c r="R74"/>
    </row>
    <row r="75" spans="1:18" s="2" customFormat="1" ht="18" x14ac:dyDescent="0.25">
      <c r="A75"/>
      <c r="B75"/>
      <c r="C75"/>
      <c r="D75" s="4" t="s">
        <v>6</v>
      </c>
      <c r="E75" s="8">
        <v>300000</v>
      </c>
      <c r="F75"/>
      <c r="H75"/>
      <c r="I75" s="3"/>
      <c r="J75" s="3"/>
      <c r="K75" s="3"/>
      <c r="M75"/>
      <c r="N75"/>
      <c r="O75" s="3"/>
      <c r="R75"/>
    </row>
    <row r="76" spans="1:18" s="2" customFormat="1" ht="29.25" x14ac:dyDescent="0.25">
      <c r="A76"/>
      <c r="B76"/>
      <c r="C76"/>
      <c r="D76" s="10" t="s">
        <v>64</v>
      </c>
      <c r="E76" s="11">
        <f>L46+Q46</f>
        <v>311000</v>
      </c>
      <c r="F76"/>
      <c r="H76"/>
      <c r="I76" s="3"/>
      <c r="J76" s="3"/>
      <c r="K76" s="3"/>
      <c r="M76"/>
      <c r="N76"/>
      <c r="O76" s="3"/>
      <c r="R76"/>
    </row>
    <row r="78" spans="1:18" x14ac:dyDescent="0.25">
      <c r="E78" s="2"/>
    </row>
  </sheetData>
  <autoFilter ref="A5:R39">
    <sortState ref="A5:L48">
      <sortCondition ref="B5:B48"/>
    </sortState>
  </autoFilter>
  <mergeCells count="1">
    <mergeCell ref="C4:I4"/>
  </mergeCells>
  <dataValidations count="1">
    <dataValidation type="list" allowBlank="1" showInputMessage="1" showErrorMessage="1" sqref="J6:K43 F6:F43 M41:M43 N6:O43">
      <formula1>MODEVERSEMENTS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8"/>
  <sheetViews>
    <sheetView workbookViewId="0">
      <pane xSplit="2" ySplit="5" topLeftCell="C9" activePane="bottomRight" state="frozen"/>
      <selection activeCell="I54" sqref="I54"/>
      <selection pane="topRight" activeCell="I54" sqref="I54"/>
      <selection pane="bottomLeft" activeCell="I54" sqref="I54"/>
      <selection pane="bottomRight" activeCell="I54" sqref="I54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15" bestFit="1" customWidth="1"/>
    <col min="4" max="4" width="21" customWidth="1"/>
    <col min="5" max="6" width="16.7109375" customWidth="1"/>
    <col min="7" max="7" width="15" style="2" bestFit="1" customWidth="1"/>
    <col min="8" max="8" width="15" bestFit="1" customWidth="1"/>
    <col min="9" max="9" width="17.5703125" style="3" bestFit="1" customWidth="1"/>
    <col min="10" max="10" width="17.5703125" style="3" customWidth="1"/>
    <col min="11" max="11" width="16" style="3" customWidth="1"/>
    <col min="12" max="12" width="15.7109375" style="2" customWidth="1"/>
    <col min="13" max="14" width="13" customWidth="1"/>
    <col min="15" max="15" width="15.5703125" style="3" customWidth="1"/>
    <col min="16" max="17" width="18.140625" style="2" bestFit="1" customWidth="1"/>
    <col min="18" max="18" width="12.5703125" bestFit="1" customWidth="1"/>
  </cols>
  <sheetData>
    <row r="1" spans="1:18" x14ac:dyDescent="0.25">
      <c r="A1" s="1" t="s">
        <v>0</v>
      </c>
      <c r="B1" s="1" t="s">
        <v>1</v>
      </c>
      <c r="C1" s="1"/>
      <c r="D1" s="1"/>
      <c r="E1" s="1"/>
      <c r="F1" s="1"/>
      <c r="M1" s="1"/>
      <c r="N1" s="1"/>
    </row>
    <row r="2" spans="1:18" x14ac:dyDescent="0.25">
      <c r="A2" s="1" t="s">
        <v>2</v>
      </c>
      <c r="B2" s="1" t="s">
        <v>80</v>
      </c>
      <c r="C2" s="1"/>
      <c r="D2" s="1"/>
      <c r="E2" s="1"/>
      <c r="F2" s="1"/>
      <c r="M2" s="1"/>
      <c r="N2" s="1"/>
    </row>
    <row r="3" spans="1:18" x14ac:dyDescent="0.25">
      <c r="A3" s="1" t="s">
        <v>3</v>
      </c>
      <c r="B3" s="6">
        <v>30000</v>
      </c>
      <c r="C3" s="1"/>
      <c r="D3" s="1"/>
      <c r="E3" s="1"/>
      <c r="F3" s="1"/>
      <c r="M3" s="1"/>
      <c r="N3" s="1"/>
    </row>
    <row r="4" spans="1:18" ht="18" x14ac:dyDescent="0.25">
      <c r="B4" s="13"/>
      <c r="C4" s="20">
        <v>43940</v>
      </c>
      <c r="D4" s="21"/>
      <c r="E4" s="21"/>
      <c r="F4" s="21"/>
      <c r="G4" s="21"/>
      <c r="H4" s="21"/>
      <c r="I4" s="21"/>
      <c r="J4" s="16"/>
      <c r="K4" s="16"/>
      <c r="L4" s="16"/>
      <c r="M4" s="16"/>
      <c r="O4" s="16"/>
      <c r="P4"/>
      <c r="Q4"/>
    </row>
    <row r="5" spans="1:18" ht="57.75" x14ac:dyDescent="0.25">
      <c r="A5" s="1" t="s">
        <v>4</v>
      </c>
      <c r="B5" s="1" t="s">
        <v>5</v>
      </c>
      <c r="C5" s="1" t="s">
        <v>40</v>
      </c>
      <c r="D5" s="4" t="s">
        <v>6</v>
      </c>
      <c r="E5" s="1" t="s">
        <v>65</v>
      </c>
      <c r="F5" s="5" t="s">
        <v>7</v>
      </c>
      <c r="G5" s="4" t="s">
        <v>8</v>
      </c>
      <c r="H5" s="6" t="s">
        <v>60</v>
      </c>
      <c r="I5" s="4" t="s">
        <v>57</v>
      </c>
      <c r="J5" s="4" t="s">
        <v>61</v>
      </c>
      <c r="K5" s="14" t="s">
        <v>77</v>
      </c>
      <c r="L5" s="4" t="s">
        <v>55</v>
      </c>
      <c r="M5" s="4" t="s">
        <v>54</v>
      </c>
      <c r="N5" s="4" t="s">
        <v>58</v>
      </c>
      <c r="O5" s="4" t="s">
        <v>77</v>
      </c>
      <c r="P5" s="4" t="s">
        <v>56</v>
      </c>
      <c r="Q5" s="6" t="s">
        <v>59</v>
      </c>
      <c r="R5" s="4" t="s">
        <v>81</v>
      </c>
    </row>
    <row r="6" spans="1:18" x14ac:dyDescent="0.25">
      <c r="A6" s="1" t="s">
        <v>69</v>
      </c>
      <c r="B6" s="1" t="str">
        <f>VLOOKUP(A6,[4]LISTADHERENT!A$5:H$60,3,0)</f>
        <v>ASELBY</v>
      </c>
      <c r="C6" s="7">
        <f t="shared" ref="C6:C39" si="0">IF(G6=0,0,G6-D6)</f>
        <v>0</v>
      </c>
      <c r="D6" s="7">
        <f t="shared" ref="D6:D39" si="1">IF(F6="ECHEC",0,IF(F6="",0,20000))</f>
        <v>0</v>
      </c>
      <c r="E6" s="7">
        <f t="shared" ref="E6:E39" si="2">IF(F6="ESPECES",3000,0)</f>
        <v>0</v>
      </c>
      <c r="F6" s="5"/>
      <c r="G6" s="7">
        <f>IF(F6="BANQUE",30000,IF(F6="ESPECES",30000,0))</f>
        <v>0</v>
      </c>
      <c r="H6" s="7"/>
      <c r="I6" s="7"/>
      <c r="J6" s="5"/>
      <c r="K6" s="5"/>
      <c r="L6" s="4">
        <f>TONTMARS!H6+TONTMARS!I6</f>
        <v>0</v>
      </c>
      <c r="M6" s="4"/>
      <c r="N6" s="5"/>
      <c r="O6" s="5"/>
      <c r="P6" s="7">
        <f>IF(Q6=0,0,($E$76-Q6))</f>
        <v>0</v>
      </c>
      <c r="Q6" s="7"/>
      <c r="R6" s="7"/>
    </row>
    <row r="7" spans="1:18" x14ac:dyDescent="0.25">
      <c r="A7" s="1" t="s">
        <v>10</v>
      </c>
      <c r="B7" s="1" t="str">
        <f>VLOOKUP(A7,[4]LISTADHERENT!A$5:H$60,3,0)</f>
        <v>BOUTCHOUANG WILLIAM</v>
      </c>
      <c r="C7" s="7">
        <f t="shared" si="0"/>
        <v>10000</v>
      </c>
      <c r="D7" s="7">
        <f t="shared" si="1"/>
        <v>20000</v>
      </c>
      <c r="E7" s="7">
        <f t="shared" si="2"/>
        <v>0</v>
      </c>
      <c r="F7" s="5" t="s">
        <v>46</v>
      </c>
      <c r="G7" s="7">
        <f t="shared" ref="G7:G39" si="3">IF(F7="BANQUE",30000,IF(F7="ESPECES",30000,0))</f>
        <v>30000</v>
      </c>
      <c r="H7" s="7"/>
      <c r="I7" s="7"/>
      <c r="J7" s="5"/>
      <c r="K7" s="5"/>
      <c r="L7" s="4">
        <f>TONTMARS!H7+TONTMARS!I7</f>
        <v>0</v>
      </c>
      <c r="M7" s="4"/>
      <c r="N7" s="5"/>
      <c r="O7" s="5"/>
      <c r="P7" s="7">
        <f t="shared" ref="P7:P39" si="4">IF(Q7=0,0,($E$75-Q7))</f>
        <v>0</v>
      </c>
      <c r="Q7" s="7"/>
      <c r="R7" s="7"/>
    </row>
    <row r="8" spans="1:18" x14ac:dyDescent="0.25">
      <c r="A8" s="1" t="s">
        <v>11</v>
      </c>
      <c r="B8" s="1" t="str">
        <f>VLOOKUP(A8,[4]LISTADHERENT!A$5:H$60,3,0)</f>
        <v xml:space="preserve">DJOMO JEAN PAUL </v>
      </c>
      <c r="C8" s="7">
        <f t="shared" si="0"/>
        <v>15000</v>
      </c>
      <c r="D8" s="7">
        <f t="shared" si="1"/>
        <v>20000</v>
      </c>
      <c r="E8" s="7">
        <f t="shared" si="2"/>
        <v>0</v>
      </c>
      <c r="F8" s="5" t="s">
        <v>46</v>
      </c>
      <c r="G8" s="7">
        <f>IF(F8="BANQUE",30000,IF(F8="ESPECES",30000,0))+5000</f>
        <v>35000</v>
      </c>
      <c r="H8" s="7"/>
      <c r="I8" s="7"/>
      <c r="J8" s="5"/>
      <c r="K8" s="5"/>
      <c r="L8" s="4">
        <f>TONTMARS!H8+TONTMARS!I8</f>
        <v>0</v>
      </c>
      <c r="M8" s="4"/>
      <c r="N8" s="5"/>
      <c r="O8" s="5"/>
      <c r="P8" s="7">
        <f t="shared" si="4"/>
        <v>0</v>
      </c>
      <c r="Q8" s="7"/>
      <c r="R8" s="7"/>
    </row>
    <row r="9" spans="1:18" x14ac:dyDescent="0.25">
      <c r="A9" s="1" t="s">
        <v>83</v>
      </c>
      <c r="B9" s="1" t="str">
        <f>VLOOKUP(A9,[4]LISTADHERENT!A$5:H$60,3,0)</f>
        <v>DJOMOU TCHANDA</v>
      </c>
      <c r="C9" s="7">
        <f t="shared" si="0"/>
        <v>10000</v>
      </c>
      <c r="D9" s="7">
        <f t="shared" si="1"/>
        <v>20000</v>
      </c>
      <c r="E9" s="7">
        <f t="shared" si="2"/>
        <v>0</v>
      </c>
      <c r="F9" s="5" t="s">
        <v>46</v>
      </c>
      <c r="G9" s="7">
        <f>IF(F9="BANQUE",30000,IF(F9="ESPECES",30000,0))</f>
        <v>30000</v>
      </c>
      <c r="H9" s="7"/>
      <c r="I9" s="7"/>
      <c r="J9" s="5"/>
      <c r="K9" s="5"/>
      <c r="L9" s="4">
        <f>TONTMARS!H9+TONTMARS!I9</f>
        <v>0</v>
      </c>
      <c r="M9" s="4"/>
      <c r="N9" s="5"/>
      <c r="O9" s="5"/>
      <c r="P9" s="7">
        <f t="shared" si="4"/>
        <v>0</v>
      </c>
      <c r="Q9" s="7"/>
      <c r="R9" s="7"/>
    </row>
    <row r="10" spans="1:18" x14ac:dyDescent="0.25">
      <c r="A10" s="1" t="s">
        <v>12</v>
      </c>
      <c r="B10" s="1" t="str">
        <f>VLOOKUP(A10,[4]LISTADHERENT!A$5:H$60,3,0)</f>
        <v>DJOUKWE NANGUEN GUY BLAISE</v>
      </c>
      <c r="C10" s="7">
        <f t="shared" si="0"/>
        <v>10000</v>
      </c>
      <c r="D10" s="7">
        <f t="shared" si="1"/>
        <v>20000</v>
      </c>
      <c r="E10" s="7">
        <f t="shared" si="2"/>
        <v>0</v>
      </c>
      <c r="F10" s="5" t="s">
        <v>46</v>
      </c>
      <c r="G10" s="7">
        <f t="shared" si="3"/>
        <v>30000</v>
      </c>
      <c r="H10" s="7"/>
      <c r="I10" s="7"/>
      <c r="J10" s="5"/>
      <c r="K10" s="5"/>
      <c r="L10" s="4">
        <f>TONTMARS!H10+TONTMARS!I10</f>
        <v>0</v>
      </c>
      <c r="M10" s="4"/>
      <c r="N10" s="5"/>
      <c r="O10" s="5"/>
      <c r="P10" s="7">
        <f t="shared" si="4"/>
        <v>0</v>
      </c>
      <c r="Q10" s="7"/>
      <c r="R10" s="7"/>
    </row>
    <row r="11" spans="1:18" x14ac:dyDescent="0.25">
      <c r="A11" s="1" t="s">
        <v>13</v>
      </c>
      <c r="B11" s="1" t="str">
        <f>VLOOKUP(A11,[4]LISTADHERENT!A$5:H$60,3,0)</f>
        <v>DJUOMBESSY ANTOINE</v>
      </c>
      <c r="C11" s="7">
        <f t="shared" si="0"/>
        <v>10000</v>
      </c>
      <c r="D11" s="7">
        <f t="shared" si="1"/>
        <v>20000</v>
      </c>
      <c r="E11" s="7">
        <f t="shared" si="2"/>
        <v>0</v>
      </c>
      <c r="F11" s="5" t="s">
        <v>46</v>
      </c>
      <c r="G11" s="7">
        <f t="shared" si="3"/>
        <v>30000</v>
      </c>
      <c r="H11" s="7"/>
      <c r="I11" s="7"/>
      <c r="J11" s="5"/>
      <c r="K11" s="5"/>
      <c r="L11" s="4">
        <f>TONTMARS!H11+TONTMARS!I11</f>
        <v>0</v>
      </c>
      <c r="M11" s="4"/>
      <c r="N11" s="5"/>
      <c r="O11" s="5"/>
      <c r="P11" s="7">
        <f t="shared" si="4"/>
        <v>0</v>
      </c>
      <c r="Q11" s="7"/>
      <c r="R11" s="7"/>
    </row>
    <row r="12" spans="1:18" x14ac:dyDescent="0.25">
      <c r="A12" s="1" t="s">
        <v>71</v>
      </c>
      <c r="B12" s="1" t="str">
        <f>VLOOKUP(A12,[4]LISTADHERENT!A$5:H$60,3,0)</f>
        <v>DOMOU FABIEN</v>
      </c>
      <c r="C12" s="7">
        <f t="shared" si="0"/>
        <v>10000</v>
      </c>
      <c r="D12" s="7">
        <f t="shared" si="1"/>
        <v>20000</v>
      </c>
      <c r="E12" s="7">
        <f t="shared" si="2"/>
        <v>0</v>
      </c>
      <c r="F12" s="5" t="s">
        <v>46</v>
      </c>
      <c r="G12" s="7">
        <f t="shared" si="3"/>
        <v>30000</v>
      </c>
      <c r="H12" s="7"/>
      <c r="I12" s="7"/>
      <c r="J12" s="5"/>
      <c r="K12" s="5"/>
      <c r="L12" s="4">
        <f>TONTMARS!H12+TONTMARS!I12</f>
        <v>0</v>
      </c>
      <c r="M12" s="4"/>
      <c r="N12" s="5"/>
      <c r="O12" s="5"/>
      <c r="P12" s="7">
        <f t="shared" si="4"/>
        <v>0</v>
      </c>
    </row>
    <row r="13" spans="1:18" x14ac:dyDescent="0.25">
      <c r="A13" s="1" t="s">
        <v>14</v>
      </c>
      <c r="B13" s="1" t="str">
        <f>VLOOKUP(A13,[4]LISTADHERENT!A$5:H$60,3,0)</f>
        <v>DONHOU DAVID</v>
      </c>
      <c r="C13" s="7">
        <f t="shared" si="0"/>
        <v>10000</v>
      </c>
      <c r="D13" s="7">
        <f t="shared" si="1"/>
        <v>20000</v>
      </c>
      <c r="E13" s="7">
        <f t="shared" si="2"/>
        <v>0</v>
      </c>
      <c r="F13" s="5" t="s">
        <v>46</v>
      </c>
      <c r="G13" s="7">
        <f t="shared" si="3"/>
        <v>30000</v>
      </c>
      <c r="H13" s="7"/>
      <c r="I13" s="7"/>
      <c r="J13" s="5"/>
      <c r="K13" s="5"/>
      <c r="L13" s="4">
        <f>TONTMARS!H13+TONTMARS!I13</f>
        <v>0</v>
      </c>
      <c r="M13" s="4"/>
      <c r="N13" s="5"/>
      <c r="O13" s="5"/>
      <c r="P13" s="7">
        <f t="shared" si="4"/>
        <v>0</v>
      </c>
      <c r="Q13" s="7"/>
      <c r="R13" s="7"/>
    </row>
    <row r="14" spans="1:18" x14ac:dyDescent="0.25">
      <c r="A14" s="1" t="s">
        <v>15</v>
      </c>
      <c r="B14" s="1" t="str">
        <f>VLOOKUP(A14,[4]LISTADHERENT!A$5:H$60,3,0)</f>
        <v>FOTSO THOMAS</v>
      </c>
      <c r="C14" s="7">
        <f t="shared" si="0"/>
        <v>10000</v>
      </c>
      <c r="D14" s="7">
        <f t="shared" si="1"/>
        <v>20000</v>
      </c>
      <c r="E14" s="7">
        <f t="shared" si="2"/>
        <v>0</v>
      </c>
      <c r="F14" s="5" t="s">
        <v>46</v>
      </c>
      <c r="G14" s="7">
        <f t="shared" si="3"/>
        <v>30000</v>
      </c>
      <c r="H14" s="7">
        <v>54500</v>
      </c>
      <c r="I14" s="7"/>
      <c r="J14" s="5"/>
      <c r="K14" s="5"/>
      <c r="L14" s="4">
        <f>TONTMARS!H14+TONTMARS!I14</f>
        <v>54500</v>
      </c>
      <c r="M14" s="4" t="s">
        <v>9</v>
      </c>
      <c r="N14" s="5"/>
      <c r="O14" s="5"/>
      <c r="P14" s="7">
        <f t="shared" si="4"/>
        <v>0</v>
      </c>
      <c r="Q14" s="7"/>
      <c r="R14" s="7"/>
    </row>
    <row r="15" spans="1:18" x14ac:dyDescent="0.25">
      <c r="A15" s="1" t="s">
        <v>16</v>
      </c>
      <c r="B15" s="1" t="str">
        <f>VLOOKUP(A15,[4]LISTADHERENT!A$5:H$60,3,0)</f>
        <v>HENGUE PAUL OMER</v>
      </c>
      <c r="C15" s="7">
        <f t="shared" si="0"/>
        <v>10000</v>
      </c>
      <c r="D15" s="7">
        <f t="shared" si="1"/>
        <v>20000</v>
      </c>
      <c r="E15" s="7">
        <f t="shared" si="2"/>
        <v>0</v>
      </c>
      <c r="F15" s="5" t="s">
        <v>46</v>
      </c>
      <c r="G15" s="7">
        <f t="shared" si="3"/>
        <v>30000</v>
      </c>
      <c r="H15" s="7"/>
      <c r="I15" s="7"/>
      <c r="J15" s="5"/>
      <c r="K15" s="5"/>
      <c r="L15" s="4">
        <f>TONTMARS!H15+TONTMARS!I15</f>
        <v>0</v>
      </c>
      <c r="M15" s="4"/>
      <c r="N15" s="5"/>
      <c r="O15" s="5"/>
      <c r="P15" s="7">
        <f t="shared" si="4"/>
        <v>0</v>
      </c>
      <c r="Q15" s="7"/>
      <c r="R15" s="7"/>
    </row>
    <row r="16" spans="1:18" x14ac:dyDescent="0.25">
      <c r="A16" s="1" t="s">
        <v>17</v>
      </c>
      <c r="B16" s="1" t="str">
        <f>VLOOKUP(A16,[4]LISTADHERENT!A$5:H$60,3,0)</f>
        <v>HOTCHO BENJAMIN</v>
      </c>
      <c r="C16" s="7">
        <f t="shared" si="0"/>
        <v>25000</v>
      </c>
      <c r="D16" s="7">
        <f t="shared" si="1"/>
        <v>20000</v>
      </c>
      <c r="E16" s="7">
        <f t="shared" si="2"/>
        <v>0</v>
      </c>
      <c r="F16" s="5" t="s">
        <v>46</v>
      </c>
      <c r="G16" s="7">
        <f>IF(F16="BANQUE",30000,IF(F16="ESPECES",30000,0))+15000</f>
        <v>45000</v>
      </c>
      <c r="H16" s="7"/>
      <c r="I16" s="7"/>
      <c r="J16" s="5"/>
      <c r="K16" s="5"/>
      <c r="L16" s="4">
        <f>TONTMARS!H16+TONTMARS!I16</f>
        <v>0</v>
      </c>
      <c r="M16" s="4"/>
      <c r="N16" s="5"/>
      <c r="O16" s="5"/>
      <c r="P16" s="7">
        <f t="shared" si="4"/>
        <v>0</v>
      </c>
      <c r="Q16" s="7"/>
      <c r="R16" s="7"/>
    </row>
    <row r="17" spans="1:18" x14ac:dyDescent="0.25">
      <c r="A17" s="1" t="s">
        <v>19</v>
      </c>
      <c r="B17" s="1" t="str">
        <f>VLOOKUP(A17,[4]LISTADHERENT!A$5:H$60,3,0)</f>
        <v>KEPSEU FRANCIS</v>
      </c>
      <c r="C17" s="7">
        <f t="shared" si="0"/>
        <v>10000</v>
      </c>
      <c r="D17" s="7">
        <f t="shared" si="1"/>
        <v>20000</v>
      </c>
      <c r="E17" s="7">
        <f t="shared" si="2"/>
        <v>0</v>
      </c>
      <c r="F17" s="5" t="s">
        <v>46</v>
      </c>
      <c r="G17" s="7">
        <f t="shared" si="3"/>
        <v>30000</v>
      </c>
      <c r="H17" s="7"/>
      <c r="I17" s="7"/>
      <c r="J17" s="5"/>
      <c r="K17" s="5"/>
      <c r="L17" s="4">
        <f>TONTMARS!H17+TONTMARS!I17</f>
        <v>0</v>
      </c>
      <c r="M17" s="4"/>
      <c r="N17" s="5"/>
      <c r="O17" s="5"/>
      <c r="P17" s="7">
        <f t="shared" si="4"/>
        <v>0</v>
      </c>
      <c r="Q17" s="7"/>
      <c r="R17" s="7"/>
    </row>
    <row r="18" spans="1:18" x14ac:dyDescent="0.25">
      <c r="A18" s="1" t="s">
        <v>21</v>
      </c>
      <c r="B18" s="1" t="str">
        <f>VLOOKUP(A18,[4]LISTADHERENT!A$5:H$60,3,0)</f>
        <v>KOUAMO VICTOR PEGUY</v>
      </c>
      <c r="C18" s="7">
        <f t="shared" si="0"/>
        <v>0</v>
      </c>
      <c r="D18" s="7">
        <f t="shared" si="1"/>
        <v>0</v>
      </c>
      <c r="E18" s="7">
        <f t="shared" si="2"/>
        <v>0</v>
      </c>
      <c r="F18" s="5" t="s">
        <v>9</v>
      </c>
      <c r="G18" s="7">
        <f t="shared" si="3"/>
        <v>0</v>
      </c>
      <c r="H18" s="7"/>
      <c r="I18" s="7"/>
      <c r="J18" s="5"/>
      <c r="K18" s="5"/>
      <c r="L18" s="4">
        <f>TONTMARS!H18+TONTMARS!I18</f>
        <v>0</v>
      </c>
      <c r="M18" s="4"/>
      <c r="N18" s="5"/>
      <c r="O18" s="5"/>
      <c r="P18" s="7">
        <f t="shared" si="4"/>
        <v>0</v>
      </c>
      <c r="Q18" s="7"/>
      <c r="R18" s="7"/>
    </row>
    <row r="19" spans="1:18" x14ac:dyDescent="0.25">
      <c r="A19" s="1" t="s">
        <v>20</v>
      </c>
      <c r="B19" s="1" t="str">
        <f>VLOOKUP(A19,[4]LISTADHERENT!A$5:H$60,3,0)</f>
        <v>KOUAMOU MOISE</v>
      </c>
      <c r="C19" s="7">
        <f t="shared" si="0"/>
        <v>10000</v>
      </c>
      <c r="D19" s="7">
        <f t="shared" si="1"/>
        <v>20000</v>
      </c>
      <c r="E19" s="7">
        <f t="shared" si="2"/>
        <v>0</v>
      </c>
      <c r="F19" s="5" t="s">
        <v>46</v>
      </c>
      <c r="G19" s="7">
        <f t="shared" si="3"/>
        <v>30000</v>
      </c>
      <c r="H19" s="7">
        <v>1000</v>
      </c>
      <c r="I19" s="7"/>
      <c r="J19" s="5"/>
      <c r="K19" s="5"/>
      <c r="L19" s="4">
        <f>TONTMARS!H19+TONTMARS!I19</f>
        <v>1000</v>
      </c>
      <c r="M19" s="4" t="s">
        <v>9</v>
      </c>
      <c r="N19" s="5"/>
      <c r="O19" s="5"/>
      <c r="P19" s="7">
        <f t="shared" si="4"/>
        <v>0</v>
      </c>
      <c r="Q19" s="7"/>
      <c r="R19" s="7"/>
    </row>
    <row r="20" spans="1:18" x14ac:dyDescent="0.25">
      <c r="A20" s="1" t="s">
        <v>22</v>
      </c>
      <c r="B20" s="1" t="str">
        <f>VLOOKUP(A20,[4]LISTADHERENT!A$5:H$60,3,0)</f>
        <v>KOUATCHO MESSACK</v>
      </c>
      <c r="C20" s="7">
        <f t="shared" si="0"/>
        <v>13500</v>
      </c>
      <c r="D20" s="7">
        <f t="shared" si="1"/>
        <v>20000</v>
      </c>
      <c r="E20" s="7">
        <f t="shared" si="2"/>
        <v>0</v>
      </c>
      <c r="F20" s="5" t="s">
        <v>46</v>
      </c>
      <c r="G20" s="7">
        <f>IF(F20="BANQUE",30000,IF(F20="ESPECES",30000,0))+3500</f>
        <v>33500</v>
      </c>
      <c r="H20" s="7">
        <v>30000</v>
      </c>
      <c r="I20" s="7">
        <v>500</v>
      </c>
      <c r="J20" s="5"/>
      <c r="K20" s="5"/>
      <c r="L20" s="4">
        <f>TONTMARS!H20+TONTMARS!I20</f>
        <v>0</v>
      </c>
      <c r="M20" s="4"/>
      <c r="N20" s="5"/>
      <c r="O20" s="5"/>
      <c r="P20" s="7">
        <f t="shared" si="4"/>
        <v>0</v>
      </c>
      <c r="Q20" s="7"/>
      <c r="R20" s="7"/>
    </row>
    <row r="21" spans="1:18" x14ac:dyDescent="0.25">
      <c r="A21" s="1" t="s">
        <v>23</v>
      </c>
      <c r="B21" s="1" t="str">
        <f>VLOOKUP(A21,[4]LISTADHERENT!A$5:H$60,3,0)</f>
        <v>LOWE JEAN</v>
      </c>
      <c r="C21" s="7">
        <f t="shared" si="0"/>
        <v>10000</v>
      </c>
      <c r="D21" s="7">
        <f t="shared" si="1"/>
        <v>20000</v>
      </c>
      <c r="E21" s="7">
        <f t="shared" si="2"/>
        <v>0</v>
      </c>
      <c r="F21" s="5" t="s">
        <v>46</v>
      </c>
      <c r="G21" s="7">
        <f t="shared" si="3"/>
        <v>30000</v>
      </c>
      <c r="H21" s="7"/>
      <c r="I21" s="7"/>
      <c r="J21" s="5"/>
      <c r="K21" s="5"/>
      <c r="L21" s="4">
        <f>TONTMARS!H21+TONTMARS!I21</f>
        <v>0</v>
      </c>
      <c r="M21" s="4"/>
      <c r="N21" s="5"/>
      <c r="O21" s="5"/>
      <c r="P21" s="7">
        <f t="shared" si="4"/>
        <v>0</v>
      </c>
      <c r="Q21" s="7"/>
      <c r="R21" s="7"/>
    </row>
    <row r="22" spans="1:18" x14ac:dyDescent="0.25">
      <c r="A22" s="1" t="s">
        <v>70</v>
      </c>
      <c r="B22" s="1" t="str">
        <f>VLOOKUP(A22,[4]LISTADHERENT!A$5:H$60,3,0)</f>
        <v>MBOGNING TUGMA GUY</v>
      </c>
      <c r="C22" s="7">
        <f t="shared" si="0"/>
        <v>12000</v>
      </c>
      <c r="D22" s="7">
        <f t="shared" si="1"/>
        <v>20000</v>
      </c>
      <c r="E22" s="7">
        <f t="shared" si="2"/>
        <v>0</v>
      </c>
      <c r="F22" s="5" t="s">
        <v>46</v>
      </c>
      <c r="G22" s="7">
        <f>IF(F22="BANQUE",30000,IF(F22="ESPECES",30000,0))+2000</f>
        <v>32000</v>
      </c>
      <c r="H22" s="7"/>
      <c r="I22" s="7"/>
      <c r="J22" s="5"/>
      <c r="K22" s="5"/>
      <c r="L22" s="4">
        <f>TONTMARS!H22+TONTMARS!I22</f>
        <v>0</v>
      </c>
      <c r="M22" s="4"/>
      <c r="N22" s="5"/>
      <c r="O22" s="5"/>
      <c r="P22" s="7">
        <f t="shared" si="4"/>
        <v>0</v>
      </c>
      <c r="R22" s="7"/>
    </row>
    <row r="23" spans="1:18" x14ac:dyDescent="0.25">
      <c r="A23" s="1" t="s">
        <v>34</v>
      </c>
      <c r="B23" s="1" t="str">
        <f>VLOOKUP(A23,[4]LISTADHERENT!A$5:H$60,3,0)</f>
        <v>NANGUEN MARTIN</v>
      </c>
      <c r="C23" s="7">
        <f t="shared" si="0"/>
        <v>10000</v>
      </c>
      <c r="D23" s="7">
        <f t="shared" si="1"/>
        <v>20000</v>
      </c>
      <c r="E23" s="7">
        <f t="shared" si="2"/>
        <v>0</v>
      </c>
      <c r="F23" s="5" t="s">
        <v>46</v>
      </c>
      <c r="G23" s="7">
        <f t="shared" si="3"/>
        <v>30000</v>
      </c>
      <c r="H23" s="7"/>
      <c r="I23" s="7"/>
      <c r="J23" s="5"/>
      <c r="K23" s="5"/>
      <c r="L23" s="4">
        <f>TONTMARS!H23+TONTMARS!I23</f>
        <v>0</v>
      </c>
      <c r="M23" s="4"/>
      <c r="N23" s="5"/>
      <c r="O23" s="5"/>
      <c r="P23" s="7">
        <f t="shared" si="4"/>
        <v>0</v>
      </c>
      <c r="Q23" s="7"/>
      <c r="R23" s="7"/>
    </row>
    <row r="24" spans="1:18" x14ac:dyDescent="0.25">
      <c r="A24" s="1" t="s">
        <v>24</v>
      </c>
      <c r="B24" s="1" t="str">
        <f>VLOOKUP(A24,[4]LISTADHERENT!A$5:H$60,3,0)</f>
        <v>NANKAM APPOLINAIRE</v>
      </c>
      <c r="C24" s="7">
        <f t="shared" si="0"/>
        <v>10000</v>
      </c>
      <c r="D24" s="7">
        <f t="shared" si="1"/>
        <v>20000</v>
      </c>
      <c r="E24" s="7">
        <f t="shared" si="2"/>
        <v>0</v>
      </c>
      <c r="F24" s="5" t="s">
        <v>46</v>
      </c>
      <c r="G24" s="7">
        <f t="shared" si="3"/>
        <v>30000</v>
      </c>
      <c r="H24" s="7"/>
      <c r="I24" s="7"/>
      <c r="J24" s="5"/>
      <c r="K24" s="5"/>
      <c r="L24" s="4">
        <f>TONTMARS!H24+TONTMARS!I24</f>
        <v>0</v>
      </c>
      <c r="M24" s="4"/>
      <c r="N24" s="5"/>
      <c r="O24" s="5"/>
      <c r="P24" s="7">
        <f t="shared" si="4"/>
        <v>270000</v>
      </c>
      <c r="Q24" s="7">
        <v>30000</v>
      </c>
      <c r="R24" s="7"/>
    </row>
    <row r="25" spans="1:18" x14ac:dyDescent="0.25">
      <c r="A25" s="1" t="s">
        <v>25</v>
      </c>
      <c r="B25" s="1" t="str">
        <f>VLOOKUP(A25,[4]LISTADHERENT!A$5:H$60,3,0)</f>
        <v>NDJOMO ETIENNE</v>
      </c>
      <c r="C25" s="7">
        <f t="shared" si="0"/>
        <v>14000</v>
      </c>
      <c r="D25" s="7">
        <f t="shared" si="1"/>
        <v>20000</v>
      </c>
      <c r="E25" s="7">
        <f t="shared" si="2"/>
        <v>0</v>
      </c>
      <c r="F25" s="5" t="s">
        <v>46</v>
      </c>
      <c r="G25" s="7">
        <f>IF(F25="BANQUE",30000,IF(F25="ESPECES",30000,0))+4000</f>
        <v>34000</v>
      </c>
      <c r="H25" s="7"/>
      <c r="I25" s="7"/>
      <c r="J25" s="5"/>
      <c r="K25" s="5"/>
      <c r="L25" s="4">
        <f>TONTMARS!H25+TONTMARS!I25</f>
        <v>0</v>
      </c>
      <c r="M25" s="4"/>
      <c r="N25" s="5"/>
      <c r="O25" s="5"/>
      <c r="P25" s="7">
        <f t="shared" si="4"/>
        <v>0</v>
      </c>
      <c r="Q25" s="7"/>
      <c r="R25" s="7"/>
    </row>
    <row r="26" spans="1:18" x14ac:dyDescent="0.25">
      <c r="A26" s="1" t="s">
        <v>26</v>
      </c>
      <c r="B26" s="1" t="str">
        <f>VLOOKUP(A26,[4]LISTADHERENT!A$5:H$60,3,0)</f>
        <v>NGONDIEP CLAUDE</v>
      </c>
      <c r="C26" s="7">
        <f t="shared" si="0"/>
        <v>20000</v>
      </c>
      <c r="D26" s="7">
        <f t="shared" si="1"/>
        <v>20000</v>
      </c>
      <c r="E26" s="7">
        <f t="shared" si="2"/>
        <v>0</v>
      </c>
      <c r="F26" s="5" t="s">
        <v>46</v>
      </c>
      <c r="G26" s="7">
        <f>IF(F26="BANQUE",30000,IF(F26="ESPECES",30000,0))+10000</f>
        <v>40000</v>
      </c>
      <c r="H26" s="7"/>
      <c r="I26" s="7"/>
      <c r="J26" s="5"/>
      <c r="K26" s="5"/>
      <c r="L26" s="4">
        <f>TONTMARS!H26+TONTMARS!I26</f>
        <v>0</v>
      </c>
      <c r="M26" s="4"/>
      <c r="N26" s="5"/>
      <c r="O26" s="5"/>
      <c r="P26" s="7">
        <f t="shared" si="4"/>
        <v>0</v>
      </c>
      <c r="Q26" s="7"/>
      <c r="R26" s="7"/>
    </row>
    <row r="27" spans="1:18" x14ac:dyDescent="0.25">
      <c r="A27" s="1" t="s">
        <v>27</v>
      </c>
      <c r="B27" s="1" t="str">
        <f>VLOOKUP(A27,[4]LISTADHERENT!A$5:H$60,3,0)</f>
        <v>NGUIEMEGNI MATHIEU BLAISE</v>
      </c>
      <c r="C27" s="7">
        <f t="shared" si="0"/>
        <v>10000</v>
      </c>
      <c r="D27" s="7">
        <f t="shared" si="1"/>
        <v>20000</v>
      </c>
      <c r="E27" s="7">
        <f t="shared" si="2"/>
        <v>0</v>
      </c>
      <c r="F27" s="5" t="s">
        <v>46</v>
      </c>
      <c r="G27" s="7">
        <f t="shared" si="3"/>
        <v>30000</v>
      </c>
      <c r="H27" s="7"/>
      <c r="I27" s="7"/>
      <c r="J27" s="5"/>
      <c r="K27" s="5"/>
      <c r="L27" s="4">
        <f>TONTMARS!H27+TONTMARS!I27</f>
        <v>0</v>
      </c>
      <c r="M27" s="4"/>
      <c r="N27" s="5"/>
      <c r="O27" s="5"/>
      <c r="P27" s="7">
        <f t="shared" si="4"/>
        <v>0</v>
      </c>
      <c r="Q27" s="7"/>
      <c r="R27" s="7"/>
    </row>
    <row r="28" spans="1:18" x14ac:dyDescent="0.25">
      <c r="A28" s="1" t="s">
        <v>28</v>
      </c>
      <c r="B28" s="1" t="str">
        <f>VLOOKUP(A28,[4]LISTADHERENT!A$5:H$60,3,0)</f>
        <v>NKAMGANG JUSTIN DEJOLIE</v>
      </c>
      <c r="C28" s="7">
        <f t="shared" si="0"/>
        <v>10000</v>
      </c>
      <c r="D28" s="7">
        <f t="shared" si="1"/>
        <v>20000</v>
      </c>
      <c r="E28" s="7">
        <f t="shared" si="2"/>
        <v>0</v>
      </c>
      <c r="F28" s="5" t="s">
        <v>46</v>
      </c>
      <c r="G28" s="7">
        <f t="shared" si="3"/>
        <v>30000</v>
      </c>
      <c r="H28" s="7">
        <v>60000</v>
      </c>
      <c r="I28" s="7">
        <v>1000</v>
      </c>
      <c r="J28" s="5"/>
      <c r="K28" s="5"/>
      <c r="L28" s="4">
        <f>TONTMARS!H28+TONTMARS!I28</f>
        <v>0</v>
      </c>
      <c r="M28" s="4"/>
      <c r="N28" s="5"/>
      <c r="O28" s="5"/>
      <c r="P28" s="7">
        <f t="shared" si="4"/>
        <v>0</v>
      </c>
      <c r="Q28" s="7"/>
      <c r="R28" s="7"/>
    </row>
    <row r="29" spans="1:18" x14ac:dyDescent="0.25">
      <c r="A29" s="1" t="s">
        <v>18</v>
      </c>
      <c r="B29" s="1" t="str">
        <f>VLOOKUP(A29,[4]LISTADHERENT!A$5:H$60,3,0)</f>
        <v>NKEHE DAVID</v>
      </c>
      <c r="C29" s="7">
        <f t="shared" si="0"/>
        <v>10000</v>
      </c>
      <c r="D29" s="7">
        <f t="shared" si="1"/>
        <v>20000</v>
      </c>
      <c r="E29" s="7">
        <f t="shared" si="2"/>
        <v>0</v>
      </c>
      <c r="F29" s="5" t="s">
        <v>46</v>
      </c>
      <c r="G29" s="7">
        <f t="shared" si="3"/>
        <v>30000</v>
      </c>
      <c r="H29" s="7"/>
      <c r="I29" s="7"/>
      <c r="J29" s="5"/>
      <c r="K29" s="5"/>
      <c r="L29" s="4">
        <f>TONTMARS!H29+TONTMARS!I29</f>
        <v>0</v>
      </c>
      <c r="M29" s="4"/>
      <c r="N29" s="5"/>
      <c r="O29" s="5"/>
      <c r="P29" s="7">
        <f t="shared" si="4"/>
        <v>0</v>
      </c>
      <c r="Q29" s="7"/>
      <c r="R29" s="7"/>
    </row>
    <row r="30" spans="1:18" x14ac:dyDescent="0.25">
      <c r="A30" s="1" t="s">
        <v>29</v>
      </c>
      <c r="B30" s="1" t="str">
        <f>VLOOKUP(A30,[4]LISTADHERENT!A$5:H$60,3,0)</f>
        <v>NKEPSEU DIEUDONNE</v>
      </c>
      <c r="C30" s="7">
        <f t="shared" si="0"/>
        <v>10000</v>
      </c>
      <c r="D30" s="7">
        <f t="shared" si="1"/>
        <v>20000</v>
      </c>
      <c r="E30" s="7">
        <f t="shared" si="2"/>
        <v>0</v>
      </c>
      <c r="F30" s="5" t="s">
        <v>46</v>
      </c>
      <c r="G30" s="7">
        <f t="shared" si="3"/>
        <v>30000</v>
      </c>
      <c r="H30" s="7"/>
      <c r="I30" s="7"/>
      <c r="J30" s="5"/>
      <c r="K30" s="5"/>
      <c r="L30" s="4">
        <f>TONTMARS!H30+TONTMARS!I30</f>
        <v>0</v>
      </c>
      <c r="M30" s="4"/>
      <c r="N30" s="5"/>
      <c r="O30" s="5"/>
      <c r="P30" s="7">
        <f t="shared" si="4"/>
        <v>0</v>
      </c>
      <c r="Q30" s="7"/>
      <c r="R30" s="7"/>
    </row>
    <row r="31" spans="1:18" x14ac:dyDescent="0.25">
      <c r="A31" s="1" t="s">
        <v>30</v>
      </c>
      <c r="B31" s="1" t="str">
        <f>VLOOKUP(A31,[4]LISTADHERENT!A$5:H$60,3,0)</f>
        <v>PATEGO NJOSSU GUSTAVE</v>
      </c>
      <c r="C31" s="7">
        <f t="shared" si="0"/>
        <v>10000</v>
      </c>
      <c r="D31" s="7">
        <f t="shared" si="1"/>
        <v>20000</v>
      </c>
      <c r="E31" s="7">
        <f t="shared" si="2"/>
        <v>0</v>
      </c>
      <c r="F31" s="5" t="s">
        <v>46</v>
      </c>
      <c r="G31" s="7">
        <f t="shared" si="3"/>
        <v>30000</v>
      </c>
      <c r="H31" s="7"/>
      <c r="I31" s="7"/>
      <c r="J31" s="5"/>
      <c r="K31" s="5"/>
      <c r="L31" s="4">
        <f>TONTMARS!H31+TONTMARS!I31</f>
        <v>0</v>
      </c>
      <c r="M31" s="4"/>
      <c r="N31" s="5"/>
      <c r="O31" s="5"/>
      <c r="P31" s="7">
        <f t="shared" si="4"/>
        <v>0</v>
      </c>
      <c r="Q31" s="7"/>
      <c r="R31" s="7"/>
    </row>
    <row r="32" spans="1:18" x14ac:dyDescent="0.25">
      <c r="A32" s="1" t="s">
        <v>72</v>
      </c>
      <c r="B32" s="1" t="str">
        <f>VLOOKUP(A32,[4]LISTADHERENT!A$5:H$60,3,0)</f>
        <v>SIME BRICE</v>
      </c>
      <c r="C32" s="7">
        <f t="shared" si="0"/>
        <v>20000</v>
      </c>
      <c r="D32" s="7">
        <f t="shared" si="1"/>
        <v>20000</v>
      </c>
      <c r="E32" s="7">
        <f t="shared" si="2"/>
        <v>0</v>
      </c>
      <c r="F32" s="5" t="s">
        <v>46</v>
      </c>
      <c r="G32" s="7">
        <f>IF(F32="BANQUE",30000,IF(F32="ESPECES",30000,0))+10000</f>
        <v>40000</v>
      </c>
      <c r="H32" s="7"/>
      <c r="I32" s="7"/>
      <c r="J32" s="5"/>
      <c r="K32" s="5"/>
      <c r="L32" s="4">
        <f>TONTMARS!H32+TONTMARS!I32</f>
        <v>0</v>
      </c>
      <c r="M32" s="4"/>
      <c r="N32" s="5"/>
      <c r="O32" s="5"/>
      <c r="P32" s="7">
        <f t="shared" si="4"/>
        <v>0</v>
      </c>
    </row>
    <row r="33" spans="1:18" x14ac:dyDescent="0.25">
      <c r="A33" s="1" t="s">
        <v>31</v>
      </c>
      <c r="B33" s="1" t="str">
        <f>VLOOKUP(A33,[4]LISTADHERENT!A$5:H$60,3,0)</f>
        <v>SIMO FONGANG ERIC</v>
      </c>
      <c r="C33" s="7">
        <f t="shared" si="0"/>
        <v>7000</v>
      </c>
      <c r="D33" s="7">
        <f t="shared" si="1"/>
        <v>20000</v>
      </c>
      <c r="E33" s="7">
        <f t="shared" si="2"/>
        <v>3000</v>
      </c>
      <c r="F33" s="5" t="s">
        <v>45</v>
      </c>
      <c r="G33" s="7">
        <f>IF(F33="BANQUE",30000,IF(F33="ESPECES",30000,0))-3000</f>
        <v>27000</v>
      </c>
      <c r="H33" s="7"/>
      <c r="I33" s="7"/>
      <c r="J33" s="5"/>
      <c r="K33" s="5"/>
      <c r="L33" s="4">
        <f>TONTMARS!H33+TONTMARS!I33</f>
        <v>0</v>
      </c>
      <c r="M33" s="4"/>
      <c r="N33" s="5"/>
      <c r="O33" s="5"/>
      <c r="P33" s="7">
        <f t="shared" si="4"/>
        <v>0</v>
      </c>
      <c r="Q33" s="7"/>
      <c r="R33" s="7"/>
    </row>
    <row r="34" spans="1:18" x14ac:dyDescent="0.25">
      <c r="A34" s="1" t="s">
        <v>32</v>
      </c>
      <c r="B34" s="1" t="str">
        <f>VLOOKUP(A34,[4]LISTADHERENT!A$5:H$60,3,0)</f>
        <v>SIME MATHIEU</v>
      </c>
      <c r="C34" s="7">
        <f t="shared" si="0"/>
        <v>10000</v>
      </c>
      <c r="D34" s="7">
        <f t="shared" si="1"/>
        <v>20000</v>
      </c>
      <c r="E34" s="7">
        <f t="shared" si="2"/>
        <v>0</v>
      </c>
      <c r="F34" s="5" t="s">
        <v>46</v>
      </c>
      <c r="G34" s="7">
        <f t="shared" si="3"/>
        <v>30000</v>
      </c>
      <c r="H34" s="7"/>
      <c r="I34" s="7"/>
      <c r="J34" s="5"/>
      <c r="K34" s="5"/>
      <c r="L34" s="4">
        <f>TONTMARS!H34+TONTMARS!I34</f>
        <v>0</v>
      </c>
      <c r="M34" s="4"/>
      <c r="N34" s="5"/>
      <c r="O34" s="5"/>
      <c r="P34" s="7">
        <f t="shared" si="4"/>
        <v>0</v>
      </c>
      <c r="Q34" s="7"/>
      <c r="R34" s="7"/>
    </row>
    <row r="35" spans="1:18" x14ac:dyDescent="0.25">
      <c r="A35" s="1" t="s">
        <v>33</v>
      </c>
      <c r="B35" s="1" t="str">
        <f>VLOOKUP(A35,[4]LISTADHERENT!A$5:H$60,3,0)</f>
        <v>SIMO PIERRE</v>
      </c>
      <c r="C35" s="7">
        <f t="shared" si="0"/>
        <v>15000</v>
      </c>
      <c r="D35" s="7">
        <f t="shared" si="1"/>
        <v>20000</v>
      </c>
      <c r="E35" s="7">
        <f t="shared" si="2"/>
        <v>0</v>
      </c>
      <c r="F35" s="5" t="s">
        <v>46</v>
      </c>
      <c r="G35" s="7">
        <f>IF(F35="BANQUE",30000,IF(F35="ESPECES",30000,0))+5000</f>
        <v>35000</v>
      </c>
      <c r="H35" s="7"/>
      <c r="I35" s="7"/>
      <c r="J35" s="5"/>
      <c r="K35" s="5"/>
      <c r="L35" s="4">
        <f>TONTMARS!H35+TONTMARS!I35</f>
        <v>0</v>
      </c>
      <c r="M35" s="4"/>
      <c r="N35" s="5"/>
      <c r="O35" s="5"/>
      <c r="P35" s="7">
        <f t="shared" si="4"/>
        <v>275000</v>
      </c>
      <c r="Q35" s="7">
        <v>25000</v>
      </c>
      <c r="R35" s="7"/>
    </row>
    <row r="36" spans="1:18" x14ac:dyDescent="0.25">
      <c r="A36" s="1" t="s">
        <v>35</v>
      </c>
      <c r="B36" s="1" t="str">
        <f>VLOOKUP(A36,[4]LISTADHERENT!A$5:H$60,3,0)</f>
        <v>TCHOUAMOU MATHIEU</v>
      </c>
      <c r="C36" s="7">
        <f t="shared" si="0"/>
        <v>10000</v>
      </c>
      <c r="D36" s="7">
        <f t="shared" si="1"/>
        <v>20000</v>
      </c>
      <c r="E36" s="7">
        <f t="shared" si="2"/>
        <v>0</v>
      </c>
      <c r="F36" s="5" t="s">
        <v>46</v>
      </c>
      <c r="G36" s="7">
        <f t="shared" si="3"/>
        <v>30000</v>
      </c>
      <c r="H36" s="7"/>
      <c r="I36" s="7"/>
      <c r="J36" s="5"/>
      <c r="K36" s="5"/>
      <c r="L36" s="4">
        <f>TONTMARS!H36+TONTMARS!I36</f>
        <v>0</v>
      </c>
      <c r="M36" s="4"/>
      <c r="N36" s="5"/>
      <c r="O36" s="5"/>
      <c r="P36" s="7">
        <f t="shared" si="4"/>
        <v>0</v>
      </c>
      <c r="Q36" s="7"/>
      <c r="R36" s="7"/>
    </row>
    <row r="37" spans="1:18" x14ac:dyDescent="0.25">
      <c r="A37" s="1" t="s">
        <v>36</v>
      </c>
      <c r="B37" s="1" t="str">
        <f>VLOOKUP(A37,[4]LISTADHERENT!A$5:H$60,3,0)</f>
        <v>TIEYAM ERNEST</v>
      </c>
      <c r="C37" s="7">
        <f t="shared" si="0"/>
        <v>10000</v>
      </c>
      <c r="D37" s="7">
        <f t="shared" si="1"/>
        <v>20000</v>
      </c>
      <c r="E37" s="7">
        <f t="shared" si="2"/>
        <v>0</v>
      </c>
      <c r="F37" s="5" t="s">
        <v>46</v>
      </c>
      <c r="G37" s="7">
        <f t="shared" si="3"/>
        <v>30000</v>
      </c>
      <c r="H37" s="7">
        <v>42000</v>
      </c>
      <c r="I37" s="7"/>
      <c r="J37" s="5"/>
      <c r="K37" s="5"/>
      <c r="L37" s="4">
        <f>TONTMARS!H37+TONTMARS!I37</f>
        <v>42000</v>
      </c>
      <c r="M37" s="4" t="s">
        <v>9</v>
      </c>
      <c r="N37" s="5"/>
      <c r="O37" s="5"/>
      <c r="P37" s="7">
        <f t="shared" si="4"/>
        <v>0</v>
      </c>
      <c r="Q37" s="7"/>
      <c r="R37" s="7"/>
    </row>
    <row r="38" spans="1:18" x14ac:dyDescent="0.25">
      <c r="A38" s="1" t="s">
        <v>37</v>
      </c>
      <c r="B38" s="1" t="str">
        <f>VLOOKUP(A38,[4]LISTADHERENT!A$5:H$60,3,0)</f>
        <v>YEPMOU JEAN JACQUES</v>
      </c>
      <c r="C38" s="7">
        <f t="shared" si="0"/>
        <v>10000</v>
      </c>
      <c r="D38" s="7">
        <f t="shared" si="1"/>
        <v>20000</v>
      </c>
      <c r="E38" s="7">
        <f t="shared" si="2"/>
        <v>3000</v>
      </c>
      <c r="F38" s="5" t="s">
        <v>45</v>
      </c>
      <c r="G38" s="7">
        <f t="shared" si="3"/>
        <v>30000</v>
      </c>
      <c r="H38" s="7"/>
      <c r="I38" s="7"/>
      <c r="J38" s="5"/>
      <c r="K38" s="5"/>
      <c r="L38" s="4">
        <f>TONTMARS!H38+TONTMARS!I38</f>
        <v>0</v>
      </c>
      <c r="M38" s="4"/>
      <c r="N38" s="5"/>
      <c r="O38" s="5"/>
      <c r="P38" s="7">
        <f t="shared" si="4"/>
        <v>0</v>
      </c>
      <c r="Q38" s="7"/>
      <c r="R38" s="7"/>
    </row>
    <row r="39" spans="1:18" x14ac:dyDescent="0.25">
      <c r="A39" s="1" t="s">
        <v>38</v>
      </c>
      <c r="B39" s="1" t="str">
        <f>VLOOKUP(A39,[4]LISTADHERENT!A$5:H$60,3,0)</f>
        <v>YOUMBI EMMANUEL</v>
      </c>
      <c r="C39" s="7">
        <f t="shared" si="0"/>
        <v>10000</v>
      </c>
      <c r="D39" s="7">
        <f t="shared" si="1"/>
        <v>20000</v>
      </c>
      <c r="E39" s="7">
        <f t="shared" si="2"/>
        <v>0</v>
      </c>
      <c r="F39" s="5" t="s">
        <v>46</v>
      </c>
      <c r="G39" s="7">
        <f t="shared" si="3"/>
        <v>30000</v>
      </c>
      <c r="H39" s="7"/>
      <c r="I39" s="7"/>
      <c r="J39" s="5"/>
      <c r="K39" s="5"/>
      <c r="L39" s="4">
        <f>TONTMARS!H39+TONTMARS!I39</f>
        <v>0</v>
      </c>
      <c r="M39" s="4"/>
      <c r="N39" s="5"/>
      <c r="O39" s="5"/>
      <c r="P39" s="7">
        <f t="shared" si="4"/>
        <v>0</v>
      </c>
      <c r="Q39" s="7"/>
      <c r="R39" s="7"/>
    </row>
    <row r="40" spans="1:18" x14ac:dyDescent="0.25">
      <c r="A40" s="1" t="s">
        <v>92</v>
      </c>
      <c r="B40" s="1" t="str">
        <f>VLOOKUP(A40,[4]LISTADHERENT!A$5:H$60,3,0)</f>
        <v>TCHEMHOU EMMANUEL</v>
      </c>
      <c r="C40" s="7"/>
      <c r="D40" s="7"/>
      <c r="E40" s="7"/>
      <c r="F40" s="5"/>
      <c r="G40" s="7"/>
      <c r="H40" s="7"/>
      <c r="I40" s="7"/>
      <c r="J40" s="5"/>
      <c r="K40" s="5"/>
      <c r="L40" s="7"/>
      <c r="M40" s="4"/>
      <c r="N40" s="5"/>
      <c r="O40" s="5"/>
      <c r="P40" s="7"/>
    </row>
    <row r="41" spans="1:18" x14ac:dyDescent="0.25">
      <c r="A41" s="1"/>
      <c r="B41" s="1"/>
      <c r="C41" s="7"/>
      <c r="D41" s="7"/>
      <c r="E41" s="7"/>
      <c r="F41" s="5"/>
      <c r="G41" s="7"/>
      <c r="H41" s="7"/>
      <c r="I41" s="7"/>
      <c r="J41" s="5"/>
      <c r="K41" s="5"/>
      <c r="L41" s="7"/>
      <c r="M41" s="5"/>
      <c r="N41" s="5"/>
      <c r="O41" s="5"/>
      <c r="P41" s="7"/>
    </row>
    <row r="42" spans="1:18" x14ac:dyDescent="0.25">
      <c r="A42" s="1"/>
      <c r="B42" s="1"/>
      <c r="C42" s="7"/>
      <c r="D42" s="7"/>
      <c r="E42" s="7"/>
      <c r="F42" s="5"/>
      <c r="G42" s="7"/>
      <c r="H42" s="7"/>
      <c r="I42" s="7"/>
      <c r="J42" s="5"/>
      <c r="K42" s="5"/>
      <c r="L42" s="7"/>
      <c r="M42" s="5"/>
      <c r="N42" s="5"/>
      <c r="O42" s="5"/>
      <c r="P42" s="7"/>
    </row>
    <row r="43" spans="1:18" x14ac:dyDescent="0.25">
      <c r="A43" s="1"/>
      <c r="B43" s="1"/>
      <c r="C43" s="7"/>
      <c r="D43" s="7"/>
      <c r="E43" s="7"/>
      <c r="F43" s="5"/>
      <c r="G43" s="7"/>
      <c r="H43" s="7"/>
      <c r="I43" s="7"/>
      <c r="J43" s="5"/>
      <c r="K43" s="5"/>
      <c r="L43" s="7"/>
      <c r="M43" s="5"/>
      <c r="N43" s="5"/>
      <c r="O43" s="5"/>
      <c r="P43" s="7"/>
    </row>
    <row r="44" spans="1:18" x14ac:dyDescent="0.25">
      <c r="A44" s="1"/>
      <c r="B44" s="1"/>
      <c r="C44" s="1"/>
      <c r="D44" s="1"/>
      <c r="E44" s="1"/>
      <c r="F44" s="1"/>
      <c r="M44" s="1"/>
      <c r="N44" s="1"/>
    </row>
    <row r="45" spans="1:18" x14ac:dyDescent="0.25">
      <c r="A45" s="1"/>
      <c r="B45" s="1"/>
      <c r="C45" s="1"/>
      <c r="D45" s="1"/>
      <c r="E45" s="1"/>
      <c r="F45" s="1"/>
      <c r="M45" s="1"/>
      <c r="N45" s="1"/>
    </row>
    <row r="46" spans="1:18" ht="18" x14ac:dyDescent="0.25">
      <c r="A46" s="1" t="s">
        <v>39</v>
      </c>
      <c r="B46" s="1"/>
      <c r="C46" s="8">
        <f>SUM(C7:C45)</f>
        <v>371500</v>
      </c>
      <c r="D46" s="8">
        <f t="shared" ref="D46:R46" si="5">SUM(D7:D45)</f>
        <v>640000</v>
      </c>
      <c r="E46" s="8">
        <f t="shared" si="5"/>
        <v>6000</v>
      </c>
      <c r="F46" s="8">
        <f t="shared" si="5"/>
        <v>0</v>
      </c>
      <c r="G46" s="8">
        <f t="shared" si="5"/>
        <v>1011500</v>
      </c>
      <c r="H46" s="8">
        <f t="shared" si="5"/>
        <v>187500</v>
      </c>
      <c r="I46" s="8">
        <f t="shared" si="5"/>
        <v>1500</v>
      </c>
      <c r="J46" s="8">
        <f t="shared" si="5"/>
        <v>0</v>
      </c>
      <c r="K46" s="8">
        <f t="shared" si="5"/>
        <v>0</v>
      </c>
      <c r="L46" s="8">
        <f t="shared" si="5"/>
        <v>97500</v>
      </c>
      <c r="M46" s="8">
        <f t="shared" si="5"/>
        <v>0</v>
      </c>
      <c r="N46" s="8">
        <f t="shared" si="5"/>
        <v>0</v>
      </c>
      <c r="O46" s="8">
        <f t="shared" si="5"/>
        <v>0</v>
      </c>
      <c r="P46" s="8">
        <f t="shared" si="5"/>
        <v>545000</v>
      </c>
      <c r="Q46" s="8">
        <f t="shared" si="5"/>
        <v>55000</v>
      </c>
      <c r="R46" s="8">
        <f t="shared" si="5"/>
        <v>0</v>
      </c>
    </row>
    <row r="48" spans="1:18" x14ac:dyDescent="0.25">
      <c r="I48" s="9"/>
    </row>
    <row r="49" spans="4:15" ht="18" x14ac:dyDescent="0.25">
      <c r="G49" s="8" t="s">
        <v>75</v>
      </c>
      <c r="H49" s="8">
        <f>D73+H73+Q46</f>
        <v>695000</v>
      </c>
      <c r="I49" s="8"/>
      <c r="J49" s="8"/>
      <c r="K49" s="8"/>
      <c r="O49" s="8"/>
    </row>
    <row r="50" spans="4:15" ht="18" x14ac:dyDescent="0.25">
      <c r="G50" s="8" t="s">
        <v>76</v>
      </c>
      <c r="H50" s="8">
        <f>IF(H49&gt;=900000,300000*3,300000*2)</f>
        <v>600000</v>
      </c>
      <c r="I50" s="9"/>
    </row>
    <row r="51" spans="4:15" ht="18" x14ac:dyDescent="0.25">
      <c r="D51" s="4" t="s">
        <v>47</v>
      </c>
      <c r="E51" s="8">
        <f>+D46</f>
        <v>640000</v>
      </c>
      <c r="I51" s="8"/>
      <c r="J51" s="8"/>
      <c r="K51" s="8"/>
      <c r="O51" s="8"/>
    </row>
    <row r="52" spans="4:15" ht="43.5" x14ac:dyDescent="0.25">
      <c r="D52" s="4" t="s">
        <v>65</v>
      </c>
      <c r="E52" s="8">
        <f>E46</f>
        <v>6000</v>
      </c>
      <c r="F52" s="8"/>
      <c r="G52" s="8" t="s">
        <v>74</v>
      </c>
      <c r="H52" s="8">
        <f>H49-H50</f>
        <v>95000</v>
      </c>
      <c r="L52" s="12"/>
      <c r="M52" s="8"/>
      <c r="N52" s="8"/>
    </row>
    <row r="53" spans="4:15" ht="18" x14ac:dyDescent="0.25">
      <c r="D53" s="4" t="s">
        <v>60</v>
      </c>
      <c r="E53" s="8">
        <f>+H46</f>
        <v>187500</v>
      </c>
    </row>
    <row r="54" spans="4:15" ht="29.25" x14ac:dyDescent="0.25">
      <c r="D54" s="4" t="s">
        <v>79</v>
      </c>
      <c r="E54" s="8">
        <f>+I46</f>
        <v>1500</v>
      </c>
      <c r="G54" s="8" t="s">
        <v>78</v>
      </c>
      <c r="H54" s="8">
        <f>H52-H46-6500</f>
        <v>-99000</v>
      </c>
      <c r="I54" s="8" t="s">
        <v>94</v>
      </c>
    </row>
    <row r="55" spans="4:15" ht="29.25" x14ac:dyDescent="0.25">
      <c r="D55" s="4" t="s">
        <v>66</v>
      </c>
      <c r="E55" s="8">
        <f>+L46</f>
        <v>97500</v>
      </c>
    </row>
    <row r="56" spans="4:15" ht="29.25" x14ac:dyDescent="0.25">
      <c r="D56" s="4" t="s">
        <v>67</v>
      </c>
      <c r="E56" s="8">
        <f>+Q46</f>
        <v>55000</v>
      </c>
    </row>
    <row r="57" spans="4:15" ht="18" x14ac:dyDescent="0.25">
      <c r="D57" s="4" t="s">
        <v>51</v>
      </c>
      <c r="E57" s="8">
        <f>[5]MVTAVRIL!$E$49</f>
        <v>0</v>
      </c>
    </row>
    <row r="58" spans="4:15" ht="18" x14ac:dyDescent="0.25">
      <c r="D58" s="4" t="s">
        <v>41</v>
      </c>
      <c r="E58" s="8">
        <f>[5]MVTAVRIL!$E$50</f>
        <v>243500</v>
      </c>
    </row>
    <row r="59" spans="4:15" ht="29.25" x14ac:dyDescent="0.25">
      <c r="D59" s="4" t="s">
        <v>42</v>
      </c>
      <c r="E59" s="8">
        <f>[5]MVTAVRIL!$E$51</f>
        <v>16000</v>
      </c>
    </row>
    <row r="60" spans="4:15" ht="29.25" x14ac:dyDescent="0.25">
      <c r="D60" s="4" t="s">
        <v>43</v>
      </c>
      <c r="E60" s="8">
        <f>[5]MVTAVRIL!$E$52</f>
        <v>32000</v>
      </c>
    </row>
    <row r="61" spans="4:15" ht="18" x14ac:dyDescent="0.25">
      <c r="D61" s="4" t="s">
        <v>44</v>
      </c>
      <c r="E61" s="8">
        <f>[5]MVTAVRIL!$E$53</f>
        <v>80000</v>
      </c>
    </row>
    <row r="62" spans="4:15" ht="18" x14ac:dyDescent="0.25">
      <c r="D62" s="4" t="s">
        <v>52</v>
      </c>
      <c r="E62" s="8">
        <f>[5]MVTAVRIL!$E$55</f>
        <v>0</v>
      </c>
    </row>
    <row r="63" spans="4:15" ht="18" x14ac:dyDescent="0.25">
      <c r="D63" s="4" t="s">
        <v>48</v>
      </c>
      <c r="E63" s="8">
        <f>[5]MVTAVRIL!$E$56</f>
        <v>500000</v>
      </c>
    </row>
    <row r="64" spans="4:15" ht="18" x14ac:dyDescent="0.25">
      <c r="D64" s="4" t="s">
        <v>49</v>
      </c>
      <c r="E64" s="8">
        <f>[5]MVTAVRIL!$E$57</f>
        <v>20000</v>
      </c>
    </row>
    <row r="65" spans="1:18" ht="29.25" x14ac:dyDescent="0.25">
      <c r="D65" s="4" t="s">
        <v>50</v>
      </c>
      <c r="E65" s="8">
        <f>[5]MVTAVRIL!$E$58</f>
        <v>420000</v>
      </c>
    </row>
    <row r="66" spans="1:18" s="2" customFormat="1" ht="29.25" x14ac:dyDescent="0.25">
      <c r="A66"/>
      <c r="B66"/>
      <c r="C66"/>
      <c r="D66" s="4" t="s">
        <v>87</v>
      </c>
      <c r="E66" s="8">
        <f>[5]MVTAVRIL!$E$59</f>
        <v>0</v>
      </c>
      <c r="F66"/>
      <c r="H66"/>
      <c r="I66" s="3"/>
      <c r="J66" s="3"/>
      <c r="K66" s="3"/>
      <c r="M66"/>
      <c r="N66"/>
      <c r="O66" s="3"/>
      <c r="R66"/>
    </row>
    <row r="67" spans="1:18" s="2" customFormat="1" ht="18" x14ac:dyDescent="0.25">
      <c r="A67"/>
      <c r="B67"/>
      <c r="C67"/>
      <c r="D67" s="4" t="s">
        <v>53</v>
      </c>
      <c r="E67" s="8">
        <f>[5]MVTAVRIL!$E$60</f>
        <v>0</v>
      </c>
      <c r="F67"/>
      <c r="H67"/>
      <c r="I67" s="3"/>
      <c r="J67" s="3"/>
      <c r="K67" s="3"/>
      <c r="M67"/>
      <c r="N67"/>
      <c r="O67" s="3"/>
      <c r="R67"/>
    </row>
    <row r="68" spans="1:18" s="2" customFormat="1" ht="18" x14ac:dyDescent="0.25">
      <c r="A68"/>
      <c r="B68"/>
      <c r="C68"/>
      <c r="D68" s="4"/>
      <c r="E68" s="8"/>
      <c r="F68"/>
      <c r="H68"/>
      <c r="I68" s="3"/>
      <c r="J68" s="3"/>
      <c r="K68" s="3"/>
      <c r="M68"/>
      <c r="N68"/>
      <c r="O68" s="3"/>
      <c r="R68"/>
    </row>
    <row r="69" spans="1:18" s="2" customFormat="1" ht="43.5" x14ac:dyDescent="0.25">
      <c r="A69"/>
      <c r="B69"/>
      <c r="C69"/>
      <c r="D69" s="4" t="s">
        <v>6</v>
      </c>
      <c r="E69"/>
      <c r="F69" s="4" t="s">
        <v>73</v>
      </c>
      <c r="G69" s="4" t="s">
        <v>68</v>
      </c>
      <c r="H69" s="4" t="s">
        <v>55</v>
      </c>
      <c r="I69" s="4" t="s">
        <v>60</v>
      </c>
      <c r="J69" s="4" t="s">
        <v>62</v>
      </c>
      <c r="K69" s="4"/>
      <c r="L69" s="4" t="s">
        <v>63</v>
      </c>
      <c r="M69" s="4"/>
      <c r="N69"/>
      <c r="O69" s="4"/>
      <c r="R69"/>
    </row>
    <row r="70" spans="1:18" s="2" customFormat="1" ht="18" x14ac:dyDescent="0.25">
      <c r="A70"/>
      <c r="B70"/>
      <c r="C70"/>
      <c r="D70" s="8">
        <f>SUMIFS(D7:D45,F7:F45,"ESPECES")</f>
        <v>40000</v>
      </c>
      <c r="E70" s="8" t="s">
        <v>45</v>
      </c>
      <c r="F70" s="8">
        <f>SUMIFS(G7:G45,F7:F45,"ESPECES")</f>
        <v>57000</v>
      </c>
      <c r="G70" s="8">
        <f>+E46</f>
        <v>6000</v>
      </c>
      <c r="H70" s="8">
        <f>SUMIFS(L7:L45,M7:M45,"ESPECES")</f>
        <v>0</v>
      </c>
      <c r="I70" s="8">
        <f>SUMIFS(H7:H45,J7:J45,"ESPECES")</f>
        <v>0</v>
      </c>
      <c r="J70" s="8">
        <f>SUMIFS(P7:P45,N7:N45,"ESPECES")</f>
        <v>0</v>
      </c>
      <c r="K70" s="8"/>
      <c r="L70" s="8">
        <f>F70+H70+G70-I70-J70</f>
        <v>63000</v>
      </c>
      <c r="M70" s="8"/>
      <c r="N70" s="4"/>
      <c r="O70" s="8"/>
      <c r="R70"/>
    </row>
    <row r="71" spans="1:18" s="2" customFormat="1" ht="18" x14ac:dyDescent="0.25">
      <c r="A71"/>
      <c r="B71"/>
      <c r="C71"/>
      <c r="D71" s="8">
        <f>SUMIFS(D7:D45,F7:F45,"BANQUE")</f>
        <v>600000</v>
      </c>
      <c r="E71" s="8" t="s">
        <v>46</v>
      </c>
      <c r="F71" s="8">
        <f>SUMIFS(G7:G45,F7:F45,"BANQUE")</f>
        <v>954500</v>
      </c>
      <c r="H71" s="8">
        <f>SUMIFS(L7:L45,M7:M45,"BANQUE")</f>
        <v>0</v>
      </c>
      <c r="I71" s="8">
        <f>SUMIFS(H7:H45,J7:J45,"BANQUE")</f>
        <v>0</v>
      </c>
      <c r="J71" s="8">
        <f>SUMIFS(P7:P45,M7:M45,"BANQUE")</f>
        <v>0</v>
      </c>
      <c r="K71" s="8"/>
      <c r="L71" s="8">
        <f>F71+H71-I71-J71</f>
        <v>954500</v>
      </c>
      <c r="M71" s="8"/>
      <c r="N71" s="8"/>
      <c r="O71" s="8"/>
      <c r="R71"/>
    </row>
    <row r="72" spans="1:18" s="2" customFormat="1" ht="18" x14ac:dyDescent="0.25">
      <c r="A72"/>
      <c r="B72"/>
      <c r="C72"/>
      <c r="D72" s="8"/>
      <c r="E72" s="8"/>
      <c r="F72" s="8"/>
      <c r="H72" s="8"/>
      <c r="I72" s="8"/>
      <c r="J72" s="8"/>
      <c r="K72" s="8"/>
      <c r="L72" s="8"/>
      <c r="M72" s="8"/>
      <c r="N72" s="8"/>
      <c r="O72" s="8"/>
      <c r="R72"/>
    </row>
    <row r="73" spans="1:18" s="2" customFormat="1" ht="18" x14ac:dyDescent="0.25">
      <c r="A73"/>
      <c r="B73"/>
      <c r="C73"/>
      <c r="D73" s="8">
        <f>D70+D71</f>
        <v>640000</v>
      </c>
      <c r="E73" s="8" t="s">
        <v>39</v>
      </c>
      <c r="F73" s="8">
        <f>F70+F71</f>
        <v>1011500</v>
      </c>
      <c r="H73" s="8">
        <f>H70+H71</f>
        <v>0</v>
      </c>
      <c r="I73" s="8">
        <f>I70+I71</f>
        <v>0</v>
      </c>
      <c r="J73" s="8">
        <v>0</v>
      </c>
      <c r="K73" s="8"/>
      <c r="L73" s="8">
        <f>F73+H73-I73-J73</f>
        <v>1011500</v>
      </c>
      <c r="M73" s="8"/>
      <c r="N73" s="8"/>
      <c r="O73" s="8"/>
      <c r="R73"/>
    </row>
    <row r="74" spans="1:18" s="2" customFormat="1" ht="18" x14ac:dyDescent="0.25">
      <c r="A74"/>
      <c r="B74"/>
      <c r="C74"/>
      <c r="D74" s="8">
        <f>D73+R46</f>
        <v>640000</v>
      </c>
      <c r="E74" s="8" t="s">
        <v>82</v>
      </c>
      <c r="F74"/>
      <c r="H74"/>
      <c r="I74" s="3"/>
      <c r="J74" s="3"/>
      <c r="K74" s="3"/>
      <c r="M74"/>
      <c r="N74" s="8"/>
      <c r="O74" s="3"/>
      <c r="R74"/>
    </row>
    <row r="75" spans="1:18" s="2" customFormat="1" ht="18" x14ac:dyDescent="0.25">
      <c r="A75"/>
      <c r="B75"/>
      <c r="C75"/>
      <c r="D75" s="4" t="s">
        <v>6</v>
      </c>
      <c r="E75" s="8">
        <v>300000</v>
      </c>
      <c r="F75"/>
      <c r="H75"/>
      <c r="I75" s="3"/>
      <c r="J75" s="3"/>
      <c r="K75" s="3"/>
      <c r="M75"/>
      <c r="N75"/>
      <c r="O75" s="3"/>
      <c r="R75"/>
    </row>
    <row r="76" spans="1:18" s="2" customFormat="1" ht="29.25" x14ac:dyDescent="0.25">
      <c r="A76"/>
      <c r="B76"/>
      <c r="C76"/>
      <c r="D76" s="10" t="s">
        <v>64</v>
      </c>
      <c r="E76" s="11">
        <f>L46+Q46</f>
        <v>152500</v>
      </c>
      <c r="F76"/>
      <c r="H76"/>
      <c r="I76" s="3"/>
      <c r="J76" s="3"/>
      <c r="K76" s="3"/>
      <c r="M76"/>
      <c r="N76"/>
      <c r="O76" s="3"/>
      <c r="R76"/>
    </row>
    <row r="78" spans="1:18" x14ac:dyDescent="0.25">
      <c r="E78" s="2"/>
    </row>
  </sheetData>
  <autoFilter ref="A5:R39">
    <sortState ref="A5:L48">
      <sortCondition ref="B5:B48"/>
    </sortState>
  </autoFilter>
  <mergeCells count="1">
    <mergeCell ref="C4:I4"/>
  </mergeCells>
  <dataValidations count="1">
    <dataValidation type="list" allowBlank="1" showInputMessage="1" showErrorMessage="1" sqref="J6:K43 F6:F43 M41:M43 N6:O43">
      <formula1>MODEVERSEMENTS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8"/>
  <sheetViews>
    <sheetView workbookViewId="0">
      <pane xSplit="2" ySplit="5" topLeftCell="D30" activePane="bottomRight" state="frozen"/>
      <selection activeCell="I54" sqref="I54"/>
      <selection pane="topRight" activeCell="I54" sqref="I54"/>
      <selection pane="bottomLeft" activeCell="I54" sqref="I54"/>
      <selection pane="bottomRight" activeCell="I54" sqref="I54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15" bestFit="1" customWidth="1"/>
    <col min="4" max="4" width="21" customWidth="1"/>
    <col min="5" max="6" width="16.7109375" customWidth="1"/>
    <col min="7" max="7" width="15" style="2" bestFit="1" customWidth="1"/>
    <col min="8" max="8" width="15" bestFit="1" customWidth="1"/>
    <col min="9" max="9" width="17.5703125" style="3" bestFit="1" customWidth="1"/>
    <col min="10" max="10" width="17.5703125" style="3" customWidth="1"/>
    <col min="11" max="11" width="16" style="3" customWidth="1"/>
    <col min="12" max="12" width="15.7109375" style="2" customWidth="1"/>
    <col min="13" max="14" width="13" customWidth="1"/>
    <col min="15" max="15" width="15.5703125" style="3" customWidth="1"/>
    <col min="16" max="17" width="18.140625" style="2" bestFit="1" customWidth="1"/>
    <col min="18" max="18" width="12.5703125" bestFit="1" customWidth="1"/>
  </cols>
  <sheetData>
    <row r="1" spans="1:18" x14ac:dyDescent="0.25">
      <c r="A1" s="1" t="s">
        <v>0</v>
      </c>
      <c r="B1" s="1" t="s">
        <v>1</v>
      </c>
      <c r="C1" s="1"/>
      <c r="D1" s="1"/>
      <c r="E1" s="1"/>
      <c r="F1" s="1"/>
      <c r="M1" s="1"/>
      <c r="N1" s="1"/>
    </row>
    <row r="2" spans="1:18" x14ac:dyDescent="0.25">
      <c r="A2" s="1" t="s">
        <v>2</v>
      </c>
      <c r="B2" s="1" t="s">
        <v>80</v>
      </c>
      <c r="C2" s="1"/>
      <c r="D2" s="1"/>
      <c r="E2" s="1"/>
      <c r="F2" s="1"/>
      <c r="M2" s="1"/>
      <c r="N2" s="1"/>
    </row>
    <row r="3" spans="1:18" x14ac:dyDescent="0.25">
      <c r="A3" s="1" t="s">
        <v>3</v>
      </c>
      <c r="B3" s="6">
        <v>30000</v>
      </c>
      <c r="C3" s="1"/>
      <c r="D3" s="1"/>
      <c r="E3" s="1"/>
      <c r="F3" s="1"/>
      <c r="M3" s="1"/>
      <c r="N3" s="1"/>
    </row>
    <row r="4" spans="1:18" ht="18" x14ac:dyDescent="0.25">
      <c r="B4" s="13"/>
      <c r="C4" s="20">
        <v>43968</v>
      </c>
      <c r="D4" s="21"/>
      <c r="E4" s="21"/>
      <c r="F4" s="21"/>
      <c r="G4" s="21"/>
      <c r="H4" s="21"/>
      <c r="I4" s="21"/>
      <c r="J4" s="16"/>
      <c r="K4" s="16"/>
      <c r="L4" s="16"/>
      <c r="M4" s="16"/>
      <c r="O4" s="16"/>
      <c r="P4"/>
      <c r="Q4"/>
    </row>
    <row r="5" spans="1:18" ht="57.75" x14ac:dyDescent="0.25">
      <c r="A5" s="1" t="s">
        <v>4</v>
      </c>
      <c r="B5" s="1" t="s">
        <v>5</v>
      </c>
      <c r="C5" s="1" t="s">
        <v>40</v>
      </c>
      <c r="D5" s="4" t="s">
        <v>6</v>
      </c>
      <c r="E5" s="1" t="s">
        <v>65</v>
      </c>
      <c r="F5" s="5" t="s">
        <v>7</v>
      </c>
      <c r="G5" s="4" t="s">
        <v>8</v>
      </c>
      <c r="H5" s="6" t="s">
        <v>60</v>
      </c>
      <c r="I5" s="4" t="s">
        <v>57</v>
      </c>
      <c r="J5" s="4" t="s">
        <v>61</v>
      </c>
      <c r="K5" s="14" t="s">
        <v>77</v>
      </c>
      <c r="L5" s="4" t="s">
        <v>55</v>
      </c>
      <c r="M5" s="4" t="s">
        <v>54</v>
      </c>
      <c r="N5" s="4" t="s">
        <v>58</v>
      </c>
      <c r="O5" s="4" t="s">
        <v>77</v>
      </c>
      <c r="P5" s="4" t="s">
        <v>56</v>
      </c>
      <c r="Q5" s="6" t="s">
        <v>59</v>
      </c>
      <c r="R5" s="4" t="s">
        <v>81</v>
      </c>
    </row>
    <row r="6" spans="1:18" x14ac:dyDescent="0.25">
      <c r="A6" s="1" t="s">
        <v>69</v>
      </c>
      <c r="B6" s="1" t="str">
        <f>VLOOKUP(A6,[4]LISTADHERENT!A$5:H$60,3,0)</f>
        <v>ASELBY</v>
      </c>
      <c r="C6" s="7">
        <f t="shared" ref="C6:C39" si="0">IF(G6=0,0,G6-D6)</f>
        <v>0</v>
      </c>
      <c r="D6" s="7">
        <f t="shared" ref="D6:D39" si="1">IF(F6="ECHEC",0,IF(F6="",0,20000))</f>
        <v>0</v>
      </c>
      <c r="E6" s="7">
        <f t="shared" ref="E6:E39" si="2">IF(F6="ESPECES",3000,0)</f>
        <v>0</v>
      </c>
      <c r="F6" s="5" t="s">
        <v>9</v>
      </c>
      <c r="G6" s="7">
        <f t="shared" ref="G6:G39" si="3">IF(F6="BANQUE",30000,IF(F6="ESPECES",30000,0))</f>
        <v>0</v>
      </c>
      <c r="H6" s="7"/>
      <c r="I6" s="7"/>
      <c r="J6" s="5"/>
      <c r="K6" s="5"/>
      <c r="L6" s="4">
        <f>TONTAVRIL!H6+TONTAVRIL!I6</f>
        <v>0</v>
      </c>
      <c r="M6" s="4"/>
      <c r="N6" s="5"/>
      <c r="O6" s="5"/>
      <c r="P6" s="7">
        <f>IF(Q6=0,0,($E$76-Q6))</f>
        <v>0</v>
      </c>
      <c r="Q6" s="7"/>
      <c r="R6" s="7"/>
    </row>
    <row r="7" spans="1:18" x14ac:dyDescent="0.25">
      <c r="A7" s="1" t="s">
        <v>10</v>
      </c>
      <c r="B7" s="1" t="str">
        <f>VLOOKUP(A7,[4]LISTADHERENT!A$5:H$60,3,0)</f>
        <v>BOUTCHOUANG WILLIAM</v>
      </c>
      <c r="C7" s="7">
        <f t="shared" si="0"/>
        <v>10000</v>
      </c>
      <c r="D7" s="7">
        <f t="shared" si="1"/>
        <v>20000</v>
      </c>
      <c r="E7" s="7">
        <f t="shared" si="2"/>
        <v>0</v>
      </c>
      <c r="F7" s="5" t="s">
        <v>46</v>
      </c>
      <c r="G7" s="7">
        <f t="shared" si="3"/>
        <v>30000</v>
      </c>
      <c r="H7" s="7"/>
      <c r="I7" s="7"/>
      <c r="J7" s="5"/>
      <c r="K7" s="5"/>
      <c r="L7" s="4">
        <f>TONTAVRIL!H7+TONTAVRIL!I7</f>
        <v>0</v>
      </c>
      <c r="M7" s="4"/>
      <c r="N7" s="5"/>
      <c r="O7" s="5"/>
      <c r="P7" s="7">
        <f t="shared" ref="P7:P39" si="4">IF(Q7=0,0,($E$75-Q7))</f>
        <v>0</v>
      </c>
      <c r="Q7" s="7"/>
      <c r="R7" s="7"/>
    </row>
    <row r="8" spans="1:18" x14ac:dyDescent="0.25">
      <c r="A8" s="1" t="s">
        <v>11</v>
      </c>
      <c r="B8" s="1" t="str">
        <f>VLOOKUP(A8,[4]LISTADHERENT!A$5:H$60,3,0)</f>
        <v xml:space="preserve">DJOMO JEAN PAUL </v>
      </c>
      <c r="C8" s="7">
        <f t="shared" si="0"/>
        <v>20000</v>
      </c>
      <c r="D8" s="7">
        <f t="shared" si="1"/>
        <v>20000</v>
      </c>
      <c r="E8" s="7">
        <f t="shared" si="2"/>
        <v>0</v>
      </c>
      <c r="F8" s="5" t="s">
        <v>46</v>
      </c>
      <c r="G8" s="7">
        <v>40000</v>
      </c>
      <c r="H8" s="7"/>
      <c r="I8" s="7"/>
      <c r="J8" s="5"/>
      <c r="K8" s="5"/>
      <c r="L8" s="4">
        <f>TONTAVRIL!H8+TONTAVRIL!I8</f>
        <v>0</v>
      </c>
      <c r="M8" s="4"/>
      <c r="N8" s="5"/>
      <c r="O8" s="5"/>
      <c r="P8" s="7">
        <f t="shared" si="4"/>
        <v>0</v>
      </c>
      <c r="Q8" s="7"/>
      <c r="R8" s="7"/>
    </row>
    <row r="9" spans="1:18" x14ac:dyDescent="0.25">
      <c r="A9" s="1" t="s">
        <v>83</v>
      </c>
      <c r="B9" s="1" t="str">
        <f>VLOOKUP(A9,[4]LISTADHERENT!A$5:H$60,3,0)</f>
        <v>DJOMOU TCHANDA</v>
      </c>
      <c r="C9" s="7">
        <f t="shared" si="0"/>
        <v>10000</v>
      </c>
      <c r="D9" s="7">
        <f t="shared" si="1"/>
        <v>20000</v>
      </c>
      <c r="E9" s="7">
        <f t="shared" si="2"/>
        <v>0</v>
      </c>
      <c r="F9" s="5" t="s">
        <v>46</v>
      </c>
      <c r="G9" s="7">
        <f t="shared" si="3"/>
        <v>30000</v>
      </c>
      <c r="H9" s="7"/>
      <c r="I9" s="7"/>
      <c r="J9" s="5"/>
      <c r="K9" s="5"/>
      <c r="L9" s="4">
        <f>TONTAVRIL!H9+TONTAVRIL!I9</f>
        <v>0</v>
      </c>
      <c r="M9" s="4"/>
      <c r="N9" s="5"/>
      <c r="O9" s="5"/>
      <c r="P9" s="7">
        <f t="shared" si="4"/>
        <v>0</v>
      </c>
      <c r="Q9" s="7"/>
      <c r="R9" s="7"/>
    </row>
    <row r="10" spans="1:18" x14ac:dyDescent="0.25">
      <c r="A10" s="1" t="s">
        <v>12</v>
      </c>
      <c r="B10" s="1" t="str">
        <f>VLOOKUP(A10,[4]LISTADHERENT!A$5:H$60,3,0)</f>
        <v>DJOUKWE NANGUEN GUY BLAISE</v>
      </c>
      <c r="C10" s="7">
        <f t="shared" si="0"/>
        <v>337000</v>
      </c>
      <c r="D10" s="7">
        <f t="shared" si="1"/>
        <v>20000</v>
      </c>
      <c r="E10" s="7">
        <f t="shared" si="2"/>
        <v>0</v>
      </c>
      <c r="F10" s="5" t="s">
        <v>46</v>
      </c>
      <c r="G10" s="7">
        <v>357000</v>
      </c>
      <c r="H10" s="7"/>
      <c r="I10" s="7"/>
      <c r="J10" s="5"/>
      <c r="K10" s="5"/>
      <c r="L10" s="4">
        <f>TONTAVRIL!H10+TONTAVRIL!I10</f>
        <v>0</v>
      </c>
      <c r="M10" s="4"/>
      <c r="N10" s="5"/>
      <c r="O10" s="5"/>
      <c r="P10" s="7">
        <f t="shared" si="4"/>
        <v>0</v>
      </c>
      <c r="Q10" s="7"/>
      <c r="R10" s="7"/>
    </row>
    <row r="11" spans="1:18" x14ac:dyDescent="0.25">
      <c r="A11" s="1" t="s">
        <v>13</v>
      </c>
      <c r="B11" s="1" t="str">
        <f>VLOOKUP(A11,[4]LISTADHERENT!A$5:H$60,3,0)</f>
        <v>DJUOMBESSY ANTOINE</v>
      </c>
      <c r="C11" s="7">
        <f t="shared" si="0"/>
        <v>10000</v>
      </c>
      <c r="D11" s="7">
        <f t="shared" si="1"/>
        <v>20000</v>
      </c>
      <c r="E11" s="7">
        <f t="shared" si="2"/>
        <v>0</v>
      </c>
      <c r="F11" s="5" t="s">
        <v>46</v>
      </c>
      <c r="G11" s="7">
        <f t="shared" si="3"/>
        <v>30000</v>
      </c>
      <c r="H11" s="7"/>
      <c r="I11" s="7"/>
      <c r="J11" s="5"/>
      <c r="K11" s="5"/>
      <c r="L11" s="4">
        <f>TONTAVRIL!H11+TONTAVRIL!I11</f>
        <v>0</v>
      </c>
      <c r="M11" s="4"/>
      <c r="N11" s="5"/>
      <c r="O11" s="5"/>
      <c r="P11" s="7">
        <f t="shared" si="4"/>
        <v>0</v>
      </c>
      <c r="Q11" s="7"/>
      <c r="R11" s="7"/>
    </row>
    <row r="12" spans="1:18" x14ac:dyDescent="0.25">
      <c r="A12" s="1" t="s">
        <v>71</v>
      </c>
      <c r="B12" s="1" t="str">
        <f>VLOOKUP(A12,[4]LISTADHERENT!A$5:H$60,3,0)</f>
        <v>DOMOU FABIEN</v>
      </c>
      <c r="C12" s="7">
        <f t="shared" si="0"/>
        <v>10000</v>
      </c>
      <c r="D12" s="7">
        <f t="shared" si="1"/>
        <v>20000</v>
      </c>
      <c r="E12" s="7">
        <f t="shared" si="2"/>
        <v>0</v>
      </c>
      <c r="F12" s="5" t="s">
        <v>46</v>
      </c>
      <c r="G12" s="7">
        <f t="shared" si="3"/>
        <v>30000</v>
      </c>
      <c r="H12" s="7"/>
      <c r="I12" s="7"/>
      <c r="J12" s="5"/>
      <c r="K12" s="5"/>
      <c r="L12" s="4">
        <f>TONTAVRIL!H12+TONTAVRIL!I12</f>
        <v>0</v>
      </c>
      <c r="M12" s="4"/>
      <c r="N12" s="5"/>
      <c r="O12" s="5"/>
      <c r="P12" s="7">
        <f t="shared" si="4"/>
        <v>0</v>
      </c>
    </row>
    <row r="13" spans="1:18" x14ac:dyDescent="0.25">
      <c r="A13" s="1" t="s">
        <v>14</v>
      </c>
      <c r="B13" s="1" t="str">
        <f>VLOOKUP(A13,[4]LISTADHERENT!A$5:H$60,3,0)</f>
        <v>DONHOU DAVID</v>
      </c>
      <c r="C13" s="7">
        <f t="shared" si="0"/>
        <v>10000</v>
      </c>
      <c r="D13" s="7">
        <f t="shared" si="1"/>
        <v>20000</v>
      </c>
      <c r="E13" s="7">
        <f t="shared" si="2"/>
        <v>0</v>
      </c>
      <c r="F13" s="5" t="s">
        <v>46</v>
      </c>
      <c r="G13" s="7">
        <f t="shared" si="3"/>
        <v>30000</v>
      </c>
      <c r="H13" s="7"/>
      <c r="I13" s="7"/>
      <c r="J13" s="5"/>
      <c r="K13" s="5"/>
      <c r="L13" s="4">
        <f>TONTAVRIL!H13+TONTAVRIL!I13</f>
        <v>0</v>
      </c>
      <c r="M13" s="4"/>
      <c r="N13" s="5"/>
      <c r="O13" s="5"/>
      <c r="P13" s="7">
        <f t="shared" si="4"/>
        <v>0</v>
      </c>
      <c r="Q13" s="7"/>
      <c r="R13" s="7"/>
    </row>
    <row r="14" spans="1:18" x14ac:dyDescent="0.25">
      <c r="A14" s="1" t="s">
        <v>15</v>
      </c>
      <c r="B14" s="1" t="str">
        <f>VLOOKUP(A14,[4]LISTADHERENT!A$5:H$60,3,0)</f>
        <v>FOTSO THOMAS</v>
      </c>
      <c r="C14" s="7">
        <f t="shared" si="0"/>
        <v>10000</v>
      </c>
      <c r="D14" s="7">
        <f t="shared" si="1"/>
        <v>20000</v>
      </c>
      <c r="E14" s="7">
        <f t="shared" si="2"/>
        <v>0</v>
      </c>
      <c r="F14" s="5" t="s">
        <v>46</v>
      </c>
      <c r="G14" s="7">
        <f t="shared" si="3"/>
        <v>30000</v>
      </c>
      <c r="H14" s="7">
        <v>54500</v>
      </c>
      <c r="I14" s="7">
        <v>0</v>
      </c>
      <c r="J14" s="5"/>
      <c r="K14" s="5"/>
      <c r="L14" s="4">
        <f>TONTAVRIL!H14+TONTAVRIL!I14</f>
        <v>54500</v>
      </c>
      <c r="M14" s="4" t="s">
        <v>9</v>
      </c>
      <c r="N14" s="5"/>
      <c r="O14" s="5"/>
      <c r="P14" s="7">
        <f t="shared" si="4"/>
        <v>274000</v>
      </c>
      <c r="Q14" s="7">
        <v>26000</v>
      </c>
      <c r="R14" s="7"/>
    </row>
    <row r="15" spans="1:18" x14ac:dyDescent="0.25">
      <c r="A15" s="1" t="s">
        <v>16</v>
      </c>
      <c r="B15" s="1" t="str">
        <f>VLOOKUP(A15,[4]LISTADHERENT!A$5:H$60,3,0)</f>
        <v>HENGUE PAUL OMER</v>
      </c>
      <c r="C15" s="7">
        <f t="shared" si="0"/>
        <v>10000</v>
      </c>
      <c r="D15" s="7">
        <f t="shared" si="1"/>
        <v>20000</v>
      </c>
      <c r="E15" s="7">
        <f t="shared" si="2"/>
        <v>0</v>
      </c>
      <c r="F15" s="5" t="s">
        <v>46</v>
      </c>
      <c r="G15" s="7">
        <f t="shared" si="3"/>
        <v>30000</v>
      </c>
      <c r="H15" s="7"/>
      <c r="I15" s="7"/>
      <c r="J15" s="5"/>
      <c r="K15" s="5"/>
      <c r="L15" s="4">
        <f>TONTAVRIL!H15+TONTAVRIL!I15</f>
        <v>0</v>
      </c>
      <c r="M15" s="4"/>
      <c r="N15" s="5"/>
      <c r="O15" s="5"/>
      <c r="P15" s="7">
        <f t="shared" si="4"/>
        <v>0</v>
      </c>
      <c r="Q15" s="7"/>
      <c r="R15" s="7"/>
    </row>
    <row r="16" spans="1:18" x14ac:dyDescent="0.25">
      <c r="A16" s="1" t="s">
        <v>17</v>
      </c>
      <c r="B16" s="1" t="str">
        <f>VLOOKUP(A16,[4]LISTADHERENT!A$5:H$60,3,0)</f>
        <v>HOTCHO BENJAMIN</v>
      </c>
      <c r="C16" s="7">
        <f t="shared" si="0"/>
        <v>25000</v>
      </c>
      <c r="D16" s="7">
        <f t="shared" si="1"/>
        <v>20000</v>
      </c>
      <c r="E16" s="7">
        <f t="shared" si="2"/>
        <v>0</v>
      </c>
      <c r="F16" s="5" t="s">
        <v>46</v>
      </c>
      <c r="G16" s="7">
        <v>45000</v>
      </c>
      <c r="H16" s="7"/>
      <c r="I16" s="7"/>
      <c r="J16" s="5"/>
      <c r="K16" s="5"/>
      <c r="L16" s="4">
        <f>TONTAVRIL!H16+TONTAVRIL!I16</f>
        <v>0</v>
      </c>
      <c r="M16" s="4"/>
      <c r="N16" s="5"/>
      <c r="O16" s="5"/>
      <c r="P16" s="7">
        <f t="shared" si="4"/>
        <v>0</v>
      </c>
      <c r="Q16" s="7"/>
      <c r="R16" s="7"/>
    </row>
    <row r="17" spans="1:18" x14ac:dyDescent="0.25">
      <c r="A17" s="1" t="s">
        <v>19</v>
      </c>
      <c r="B17" s="1" t="str">
        <f>VLOOKUP(A17,[4]LISTADHERENT!A$5:H$60,3,0)</f>
        <v>KEPSEU FRANCIS</v>
      </c>
      <c r="C17" s="7">
        <f t="shared" si="0"/>
        <v>10000</v>
      </c>
      <c r="D17" s="7">
        <f t="shared" si="1"/>
        <v>20000</v>
      </c>
      <c r="E17" s="7">
        <f t="shared" si="2"/>
        <v>0</v>
      </c>
      <c r="F17" s="5" t="s">
        <v>46</v>
      </c>
      <c r="G17" s="7">
        <f t="shared" si="3"/>
        <v>30000</v>
      </c>
      <c r="H17" s="7"/>
      <c r="I17" s="7"/>
      <c r="J17" s="5"/>
      <c r="K17" s="5"/>
      <c r="L17" s="4">
        <f>TONTAVRIL!H17+TONTAVRIL!I17</f>
        <v>0</v>
      </c>
      <c r="M17" s="4"/>
      <c r="N17" s="5"/>
      <c r="O17" s="5"/>
      <c r="P17" s="7">
        <f t="shared" si="4"/>
        <v>0</v>
      </c>
      <c r="Q17" s="7"/>
      <c r="R17" s="7"/>
    </row>
    <row r="18" spans="1:18" x14ac:dyDescent="0.25">
      <c r="A18" s="1" t="s">
        <v>21</v>
      </c>
      <c r="B18" s="1" t="str">
        <f>VLOOKUP(A18,[4]LISTADHERENT!A$5:H$60,3,0)</f>
        <v>KOUAMO VICTOR PEGUY</v>
      </c>
      <c r="C18" s="7">
        <f t="shared" si="0"/>
        <v>0</v>
      </c>
      <c r="D18" s="7">
        <f t="shared" si="1"/>
        <v>0</v>
      </c>
      <c r="E18" s="7">
        <f t="shared" si="2"/>
        <v>0</v>
      </c>
      <c r="F18" s="5" t="s">
        <v>9</v>
      </c>
      <c r="G18" s="7">
        <f t="shared" si="3"/>
        <v>0</v>
      </c>
      <c r="H18" s="7"/>
      <c r="I18" s="7"/>
      <c r="J18" s="5"/>
      <c r="K18" s="5"/>
      <c r="L18" s="4">
        <f>TONTAVRIL!H18+TONTAVRIL!I18</f>
        <v>0</v>
      </c>
      <c r="M18" s="4"/>
      <c r="N18" s="5"/>
      <c r="O18" s="5"/>
      <c r="P18" s="7">
        <f t="shared" si="4"/>
        <v>0</v>
      </c>
      <c r="Q18" s="7"/>
      <c r="R18" s="7"/>
    </row>
    <row r="19" spans="1:18" x14ac:dyDescent="0.25">
      <c r="A19" s="1" t="s">
        <v>20</v>
      </c>
      <c r="B19" s="1" t="str">
        <f>VLOOKUP(A19,[4]LISTADHERENT!A$5:H$60,3,0)</f>
        <v>KOUAMOU MOISE</v>
      </c>
      <c r="C19" s="7">
        <f t="shared" si="0"/>
        <v>10000</v>
      </c>
      <c r="D19" s="7">
        <f t="shared" si="1"/>
        <v>20000</v>
      </c>
      <c r="E19" s="7">
        <f t="shared" si="2"/>
        <v>0</v>
      </c>
      <c r="F19" s="5" t="s">
        <v>46</v>
      </c>
      <c r="G19" s="7">
        <f t="shared" si="3"/>
        <v>30000</v>
      </c>
      <c r="H19" s="7">
        <v>1000</v>
      </c>
      <c r="I19" s="7"/>
      <c r="J19" s="5"/>
      <c r="K19" s="5"/>
      <c r="L19" s="4">
        <f>TONTAVRIL!H19+TONTAVRIL!I19</f>
        <v>1000</v>
      </c>
      <c r="M19" s="4" t="s">
        <v>9</v>
      </c>
      <c r="N19" s="5"/>
      <c r="O19" s="5"/>
      <c r="P19" s="7">
        <f t="shared" si="4"/>
        <v>0</v>
      </c>
      <c r="Q19" s="7"/>
      <c r="R19" s="7"/>
    </row>
    <row r="20" spans="1:18" x14ac:dyDescent="0.25">
      <c r="A20" s="1" t="s">
        <v>22</v>
      </c>
      <c r="B20" s="1" t="str">
        <f>VLOOKUP(A20,[4]LISTADHERENT!A$5:H$60,3,0)</f>
        <v>KOUATCHO MESSACK</v>
      </c>
      <c r="C20" s="7">
        <f t="shared" si="0"/>
        <v>10000</v>
      </c>
      <c r="D20" s="7">
        <f t="shared" si="1"/>
        <v>20000</v>
      </c>
      <c r="E20" s="7">
        <f t="shared" si="2"/>
        <v>0</v>
      </c>
      <c r="F20" s="5" t="s">
        <v>46</v>
      </c>
      <c r="G20" s="7">
        <f t="shared" si="3"/>
        <v>30000</v>
      </c>
      <c r="H20" s="7"/>
      <c r="I20" s="7"/>
      <c r="J20" s="5"/>
      <c r="K20" s="5"/>
      <c r="L20" s="4">
        <f>TONTAVRIL!H20+TONTAVRIL!I20</f>
        <v>30500</v>
      </c>
      <c r="M20" s="4" t="s">
        <v>45</v>
      </c>
      <c r="N20" s="5"/>
      <c r="O20" s="5"/>
      <c r="P20" s="7">
        <f t="shared" si="4"/>
        <v>0</v>
      </c>
      <c r="Q20" s="7"/>
      <c r="R20" s="7"/>
    </row>
    <row r="21" spans="1:18" x14ac:dyDescent="0.25">
      <c r="A21" s="1" t="s">
        <v>23</v>
      </c>
      <c r="B21" s="1" t="str">
        <f>VLOOKUP(A21,[4]LISTADHERENT!A$5:H$60,3,0)</f>
        <v>LOWE JEAN</v>
      </c>
      <c r="C21" s="7">
        <f t="shared" si="0"/>
        <v>10000</v>
      </c>
      <c r="D21" s="7">
        <f t="shared" si="1"/>
        <v>20000</v>
      </c>
      <c r="E21" s="7">
        <f t="shared" si="2"/>
        <v>0</v>
      </c>
      <c r="F21" s="5" t="s">
        <v>46</v>
      </c>
      <c r="G21" s="7">
        <f t="shared" si="3"/>
        <v>30000</v>
      </c>
      <c r="H21" s="7"/>
      <c r="I21" s="7"/>
      <c r="J21" s="5"/>
      <c r="K21" s="5"/>
      <c r="L21" s="4">
        <f>TONTAVRIL!H21+TONTAVRIL!I21</f>
        <v>0</v>
      </c>
      <c r="M21" s="4"/>
      <c r="N21" s="5"/>
      <c r="O21" s="5"/>
      <c r="P21" s="7">
        <f t="shared" si="4"/>
        <v>0</v>
      </c>
      <c r="Q21" s="7"/>
      <c r="R21" s="7"/>
    </row>
    <row r="22" spans="1:18" x14ac:dyDescent="0.25">
      <c r="A22" s="1" t="s">
        <v>70</v>
      </c>
      <c r="B22" s="1" t="str">
        <f>VLOOKUP(A22,[4]LISTADHERENT!A$5:H$60,3,0)</f>
        <v>MBOGNING TUGMA GUY</v>
      </c>
      <c r="C22" s="7">
        <f t="shared" si="0"/>
        <v>10000</v>
      </c>
      <c r="D22" s="7">
        <f t="shared" si="1"/>
        <v>20000</v>
      </c>
      <c r="E22" s="7">
        <f t="shared" si="2"/>
        <v>0</v>
      </c>
      <c r="F22" s="5" t="s">
        <v>46</v>
      </c>
      <c r="G22" s="7">
        <f t="shared" si="3"/>
        <v>30000</v>
      </c>
      <c r="H22" s="7"/>
      <c r="I22" s="7"/>
      <c r="J22" s="5"/>
      <c r="K22" s="5"/>
      <c r="L22" s="4">
        <f>TONTAVRIL!H22+TONTAVRIL!I22</f>
        <v>0</v>
      </c>
      <c r="M22" s="4"/>
      <c r="N22" s="5"/>
      <c r="O22" s="5"/>
      <c r="P22" s="7">
        <f t="shared" si="4"/>
        <v>0</v>
      </c>
      <c r="R22" s="7"/>
    </row>
    <row r="23" spans="1:18" x14ac:dyDescent="0.25">
      <c r="A23" s="1" t="s">
        <v>34</v>
      </c>
      <c r="B23" s="1" t="str">
        <f>VLOOKUP(A23,[4]LISTADHERENT!A$5:H$60,3,0)</f>
        <v>NANGUEN MARTIN</v>
      </c>
      <c r="C23" s="7">
        <f t="shared" si="0"/>
        <v>25000</v>
      </c>
      <c r="D23" s="7">
        <f t="shared" si="1"/>
        <v>20000</v>
      </c>
      <c r="E23" s="7">
        <f t="shared" si="2"/>
        <v>0</v>
      </c>
      <c r="F23" s="5" t="s">
        <v>46</v>
      </c>
      <c r="G23" s="7">
        <v>45000</v>
      </c>
      <c r="H23" s="7"/>
      <c r="I23" s="7"/>
      <c r="J23" s="5"/>
      <c r="K23" s="5"/>
      <c r="L23" s="4">
        <f>TONTAVRIL!H23+TONTAVRIL!I23</f>
        <v>0</v>
      </c>
      <c r="M23" s="4"/>
      <c r="N23" s="5"/>
      <c r="O23" s="5"/>
      <c r="P23" s="7">
        <f t="shared" si="4"/>
        <v>0</v>
      </c>
      <c r="Q23" s="7"/>
      <c r="R23" s="7"/>
    </row>
    <row r="24" spans="1:18" x14ac:dyDescent="0.25">
      <c r="A24" s="1" t="s">
        <v>24</v>
      </c>
      <c r="B24" s="1" t="str">
        <f>VLOOKUP(A24,[4]LISTADHERENT!A$5:H$60,3,0)</f>
        <v>NANKAM APPOLINAIRE</v>
      </c>
      <c r="C24" s="7">
        <f t="shared" si="0"/>
        <v>10000</v>
      </c>
      <c r="D24" s="7">
        <f t="shared" si="1"/>
        <v>20000</v>
      </c>
      <c r="E24" s="7">
        <f t="shared" si="2"/>
        <v>0</v>
      </c>
      <c r="F24" s="5" t="s">
        <v>46</v>
      </c>
      <c r="G24" s="7">
        <f t="shared" si="3"/>
        <v>30000</v>
      </c>
      <c r="H24" s="7"/>
      <c r="I24" s="7"/>
      <c r="J24" s="5"/>
      <c r="K24" s="5"/>
      <c r="L24" s="4">
        <f>TONTAVRIL!H24+TONTAVRIL!I24</f>
        <v>0</v>
      </c>
      <c r="M24" s="4"/>
      <c r="N24" s="5"/>
      <c r="O24" s="5"/>
      <c r="P24" s="7">
        <f t="shared" si="4"/>
        <v>0</v>
      </c>
      <c r="Q24" s="7"/>
      <c r="R24" s="7"/>
    </row>
    <row r="25" spans="1:18" x14ac:dyDescent="0.25">
      <c r="A25" s="1" t="s">
        <v>25</v>
      </c>
      <c r="B25" s="1" t="str">
        <f>VLOOKUP(A25,[4]LISTADHERENT!A$5:H$60,3,0)</f>
        <v>NDJOMO ETIENNE</v>
      </c>
      <c r="C25" s="7">
        <f t="shared" si="0"/>
        <v>14000</v>
      </c>
      <c r="D25" s="7">
        <f t="shared" si="1"/>
        <v>20000</v>
      </c>
      <c r="E25" s="7">
        <f t="shared" si="2"/>
        <v>0</v>
      </c>
      <c r="F25" s="5" t="s">
        <v>46</v>
      </c>
      <c r="G25" s="7">
        <v>34000</v>
      </c>
      <c r="H25" s="7"/>
      <c r="I25" s="7"/>
      <c r="J25" s="5"/>
      <c r="K25" s="5"/>
      <c r="L25" s="4">
        <f>TONTAVRIL!H25+TONTAVRIL!I25</f>
        <v>0</v>
      </c>
      <c r="M25" s="4"/>
      <c r="N25" s="5"/>
      <c r="O25" s="5"/>
      <c r="P25" s="7">
        <f t="shared" si="4"/>
        <v>0</v>
      </c>
      <c r="Q25" s="7"/>
      <c r="R25" s="7"/>
    </row>
    <row r="26" spans="1:18" x14ac:dyDescent="0.25">
      <c r="A26" s="1" t="s">
        <v>26</v>
      </c>
      <c r="B26" s="1" t="str">
        <f>VLOOKUP(A26,[4]LISTADHERENT!A$5:H$60,3,0)</f>
        <v>NGONDIEP CLAUDE</v>
      </c>
      <c r="C26" s="7">
        <f t="shared" si="0"/>
        <v>20000</v>
      </c>
      <c r="D26" s="7">
        <f t="shared" si="1"/>
        <v>20000</v>
      </c>
      <c r="E26" s="7">
        <f t="shared" si="2"/>
        <v>0</v>
      </c>
      <c r="F26" s="5" t="s">
        <v>46</v>
      </c>
      <c r="G26" s="7">
        <v>40000</v>
      </c>
      <c r="H26" s="7"/>
      <c r="I26" s="7"/>
      <c r="J26" s="5"/>
      <c r="K26" s="5"/>
      <c r="L26" s="4">
        <f>TONTAVRIL!H26+TONTAVRIL!I26</f>
        <v>0</v>
      </c>
      <c r="M26" s="4"/>
      <c r="N26" s="5"/>
      <c r="O26" s="5"/>
      <c r="P26" s="7">
        <f t="shared" si="4"/>
        <v>270000</v>
      </c>
      <c r="Q26" s="7">
        <v>30000</v>
      </c>
      <c r="R26" s="7"/>
    </row>
    <row r="27" spans="1:18" x14ac:dyDescent="0.25">
      <c r="A27" s="1" t="s">
        <v>27</v>
      </c>
      <c r="B27" s="1" t="str">
        <f>VLOOKUP(A27,[4]LISTADHERENT!A$5:H$60,3,0)</f>
        <v>NGUIEMEGNI MATHIEU BLAISE</v>
      </c>
      <c r="C27" s="7">
        <f t="shared" si="0"/>
        <v>10000</v>
      </c>
      <c r="D27" s="7">
        <f t="shared" si="1"/>
        <v>20000</v>
      </c>
      <c r="E27" s="7">
        <f t="shared" si="2"/>
        <v>0</v>
      </c>
      <c r="F27" s="5" t="s">
        <v>46</v>
      </c>
      <c r="G27" s="7">
        <f t="shared" si="3"/>
        <v>30000</v>
      </c>
      <c r="H27" s="7"/>
      <c r="I27" s="7"/>
      <c r="J27" s="5"/>
      <c r="K27" s="5"/>
      <c r="L27" s="4">
        <f>TONTAVRIL!H27+TONTAVRIL!I27</f>
        <v>0</v>
      </c>
      <c r="M27" s="4"/>
      <c r="N27" s="5"/>
      <c r="O27" s="5"/>
      <c r="P27" s="7">
        <f t="shared" si="4"/>
        <v>0</v>
      </c>
      <c r="Q27" s="7"/>
      <c r="R27" s="7"/>
    </row>
    <row r="28" spans="1:18" x14ac:dyDescent="0.25">
      <c r="A28" s="1" t="s">
        <v>28</v>
      </c>
      <c r="B28" s="1" t="str">
        <f>VLOOKUP(A28,[4]LISTADHERENT!A$5:H$60,3,0)</f>
        <v>NKAMGANG JUSTIN DEJOLIE</v>
      </c>
      <c r="C28" s="7">
        <f t="shared" si="0"/>
        <v>10000</v>
      </c>
      <c r="D28" s="7">
        <f t="shared" si="1"/>
        <v>20000</v>
      </c>
      <c r="E28" s="7">
        <f t="shared" si="2"/>
        <v>3000</v>
      </c>
      <c r="F28" s="5" t="s">
        <v>45</v>
      </c>
      <c r="G28" s="7">
        <f t="shared" si="3"/>
        <v>30000</v>
      </c>
      <c r="H28" s="7"/>
      <c r="I28" s="7"/>
      <c r="J28" s="5"/>
      <c r="K28" s="5"/>
      <c r="L28" s="4">
        <f>TONTAVRIL!H28+TONTAVRIL!I28</f>
        <v>61000</v>
      </c>
      <c r="M28" s="4" t="s">
        <v>45</v>
      </c>
      <c r="N28" s="5"/>
      <c r="O28" s="5"/>
      <c r="P28" s="7">
        <f t="shared" si="4"/>
        <v>0</v>
      </c>
      <c r="Q28" s="7"/>
      <c r="R28" s="7"/>
    </row>
    <row r="29" spans="1:18" x14ac:dyDescent="0.25">
      <c r="A29" s="1" t="s">
        <v>18</v>
      </c>
      <c r="B29" s="1" t="str">
        <f>VLOOKUP(A29,[4]LISTADHERENT!A$5:H$60,3,0)</f>
        <v>NKEHE DAVID</v>
      </c>
      <c r="C29" s="7">
        <f t="shared" si="0"/>
        <v>7000</v>
      </c>
      <c r="D29" s="7">
        <f t="shared" si="1"/>
        <v>20000</v>
      </c>
      <c r="E29" s="7">
        <v>3000</v>
      </c>
      <c r="F29" s="5" t="s">
        <v>46</v>
      </c>
      <c r="G29" s="7">
        <v>27000</v>
      </c>
      <c r="H29" s="7"/>
      <c r="I29" s="7"/>
      <c r="J29" s="5"/>
      <c r="K29" s="5"/>
      <c r="L29" s="4">
        <f>TONTAVRIL!H29+TONTAVRIL!I29</f>
        <v>0</v>
      </c>
      <c r="M29" s="4"/>
      <c r="N29" s="5"/>
      <c r="O29" s="5"/>
      <c r="P29" s="7">
        <f t="shared" si="4"/>
        <v>0</v>
      </c>
      <c r="Q29" s="7"/>
      <c r="R29" s="7"/>
    </row>
    <row r="30" spans="1:18" x14ac:dyDescent="0.25">
      <c r="A30" s="1" t="s">
        <v>29</v>
      </c>
      <c r="B30" s="1" t="str">
        <f>VLOOKUP(A30,[4]LISTADHERENT!A$5:H$60,3,0)</f>
        <v>NKEPSEU DIEUDONNE</v>
      </c>
      <c r="C30" s="7">
        <f t="shared" si="0"/>
        <v>10000</v>
      </c>
      <c r="D30" s="7">
        <f t="shared" si="1"/>
        <v>20000</v>
      </c>
      <c r="E30" s="7">
        <f t="shared" si="2"/>
        <v>0</v>
      </c>
      <c r="F30" s="5" t="s">
        <v>46</v>
      </c>
      <c r="G30" s="7">
        <f t="shared" si="3"/>
        <v>30000</v>
      </c>
      <c r="H30" s="7"/>
      <c r="I30" s="7"/>
      <c r="J30" s="5"/>
      <c r="K30" s="5"/>
      <c r="L30" s="4">
        <f>TONTAVRIL!H30+TONTAVRIL!I30</f>
        <v>0</v>
      </c>
      <c r="M30" s="4"/>
      <c r="N30" s="5"/>
      <c r="O30" s="5"/>
      <c r="P30" s="7">
        <f t="shared" si="4"/>
        <v>0</v>
      </c>
      <c r="Q30" s="7"/>
      <c r="R30" s="7"/>
    </row>
    <row r="31" spans="1:18" x14ac:dyDescent="0.25">
      <c r="A31" s="1" t="s">
        <v>30</v>
      </c>
      <c r="B31" s="1" t="str">
        <f>VLOOKUP(A31,[4]LISTADHERENT!A$5:H$60,3,0)</f>
        <v>PATEGO NJOSSU GUSTAVE</v>
      </c>
      <c r="C31" s="7">
        <f t="shared" si="0"/>
        <v>10000</v>
      </c>
      <c r="D31" s="7">
        <f t="shared" si="1"/>
        <v>20000</v>
      </c>
      <c r="E31" s="7">
        <f t="shared" si="2"/>
        <v>0</v>
      </c>
      <c r="F31" s="5" t="s">
        <v>46</v>
      </c>
      <c r="G31" s="7">
        <f t="shared" si="3"/>
        <v>30000</v>
      </c>
      <c r="H31" s="7"/>
      <c r="I31" s="7"/>
      <c r="J31" s="5"/>
      <c r="K31" s="5"/>
      <c r="L31" s="4">
        <f>TONTAVRIL!H31+TONTAVRIL!I31</f>
        <v>0</v>
      </c>
      <c r="M31" s="4"/>
      <c r="N31" s="5"/>
      <c r="O31" s="5"/>
      <c r="P31" s="7">
        <f t="shared" si="4"/>
        <v>0</v>
      </c>
      <c r="Q31" s="7"/>
      <c r="R31" s="7"/>
    </row>
    <row r="32" spans="1:18" x14ac:dyDescent="0.25">
      <c r="A32" s="1" t="s">
        <v>72</v>
      </c>
      <c r="B32" s="1" t="str">
        <f>VLOOKUP(A32,[4]LISTADHERENT!A$5:H$60,3,0)</f>
        <v>SIME BRICE</v>
      </c>
      <c r="C32" s="7">
        <f t="shared" si="0"/>
        <v>20000</v>
      </c>
      <c r="D32" s="7">
        <f t="shared" si="1"/>
        <v>20000</v>
      </c>
      <c r="E32" s="7">
        <f t="shared" si="2"/>
        <v>0</v>
      </c>
      <c r="F32" s="5" t="s">
        <v>46</v>
      </c>
      <c r="G32" s="7">
        <v>40000</v>
      </c>
      <c r="H32" s="7"/>
      <c r="I32" s="7"/>
      <c r="J32" s="5"/>
      <c r="K32" s="5"/>
      <c r="L32" s="4">
        <f>TONTAVRIL!H32+TONTAVRIL!I32</f>
        <v>0</v>
      </c>
      <c r="M32" s="4"/>
      <c r="N32" s="5"/>
      <c r="O32" s="5"/>
      <c r="P32" s="7">
        <f t="shared" si="4"/>
        <v>0</v>
      </c>
    </row>
    <row r="33" spans="1:18" x14ac:dyDescent="0.25">
      <c r="A33" s="1" t="s">
        <v>31</v>
      </c>
      <c r="B33" s="1" t="str">
        <f>VLOOKUP(A33,[4]LISTADHERENT!A$5:H$60,3,0)</f>
        <v>SIMO FONGANG ERIC</v>
      </c>
      <c r="C33" s="7">
        <f t="shared" si="0"/>
        <v>9000</v>
      </c>
      <c r="D33" s="7">
        <f t="shared" si="1"/>
        <v>20000</v>
      </c>
      <c r="E33" s="7">
        <f t="shared" si="2"/>
        <v>3000</v>
      </c>
      <c r="F33" s="5" t="s">
        <v>45</v>
      </c>
      <c r="G33" s="7">
        <v>29000</v>
      </c>
      <c r="H33" s="7"/>
      <c r="I33" s="7"/>
      <c r="J33" s="5"/>
      <c r="K33" s="5"/>
      <c r="L33" s="4">
        <f>TONTAVRIL!H33+TONTAVRIL!I33</f>
        <v>0</v>
      </c>
      <c r="M33" s="4"/>
      <c r="N33" s="5"/>
      <c r="O33" s="5"/>
      <c r="P33" s="7">
        <f t="shared" si="4"/>
        <v>0</v>
      </c>
      <c r="Q33" s="7"/>
      <c r="R33" s="7"/>
    </row>
    <row r="34" spans="1:18" x14ac:dyDescent="0.25">
      <c r="A34" s="1" t="s">
        <v>32</v>
      </c>
      <c r="B34" s="1" t="str">
        <f>VLOOKUP(A34,[4]LISTADHERENT!A$5:H$60,3,0)</f>
        <v>SIME MATHIEU</v>
      </c>
      <c r="C34" s="7">
        <f t="shared" si="0"/>
        <v>10000</v>
      </c>
      <c r="D34" s="7">
        <f t="shared" si="1"/>
        <v>20000</v>
      </c>
      <c r="E34" s="7">
        <f t="shared" si="2"/>
        <v>0</v>
      </c>
      <c r="F34" s="5" t="s">
        <v>46</v>
      </c>
      <c r="G34" s="7">
        <f t="shared" si="3"/>
        <v>30000</v>
      </c>
      <c r="H34" s="7"/>
      <c r="I34" s="7"/>
      <c r="J34" s="5"/>
      <c r="K34" s="5"/>
      <c r="L34" s="4">
        <f>TONTAVRIL!H34+TONTAVRIL!I34</f>
        <v>0</v>
      </c>
      <c r="M34" s="4"/>
      <c r="N34" s="5"/>
      <c r="O34" s="5"/>
      <c r="P34" s="7">
        <f t="shared" si="4"/>
        <v>0</v>
      </c>
      <c r="Q34" s="7"/>
      <c r="R34" s="7"/>
    </row>
    <row r="35" spans="1:18" x14ac:dyDescent="0.25">
      <c r="A35" s="1" t="s">
        <v>33</v>
      </c>
      <c r="B35" s="1" t="str">
        <f>VLOOKUP(A35,[4]LISTADHERENT!A$5:H$60,3,0)</f>
        <v>SIMO PIERRE</v>
      </c>
      <c r="C35" s="7">
        <f t="shared" si="0"/>
        <v>115000</v>
      </c>
      <c r="D35" s="7">
        <f t="shared" si="1"/>
        <v>20000</v>
      </c>
      <c r="E35" s="7">
        <f t="shared" si="2"/>
        <v>0</v>
      </c>
      <c r="F35" s="5" t="s">
        <v>46</v>
      </c>
      <c r="G35" s="7">
        <v>135000</v>
      </c>
      <c r="H35" s="7"/>
      <c r="I35" s="7"/>
      <c r="J35" s="5"/>
      <c r="K35" s="5"/>
      <c r="L35" s="4">
        <f>TONTAVRIL!H35+TONTAVRIL!I35</f>
        <v>0</v>
      </c>
      <c r="M35" s="4"/>
      <c r="N35" s="5"/>
      <c r="O35" s="5"/>
      <c r="P35" s="7">
        <f t="shared" si="4"/>
        <v>0</v>
      </c>
      <c r="Q35" s="7"/>
      <c r="R35" s="7"/>
    </row>
    <row r="36" spans="1:18" x14ac:dyDescent="0.25">
      <c r="A36" s="1" t="s">
        <v>35</v>
      </c>
      <c r="B36" s="1" t="str">
        <f>VLOOKUP(A36,[4]LISTADHERENT!A$5:H$60,3,0)</f>
        <v>TCHOUAMOU MATHIEU</v>
      </c>
      <c r="C36" s="7">
        <f t="shared" si="0"/>
        <v>10000</v>
      </c>
      <c r="D36" s="7">
        <f t="shared" si="1"/>
        <v>20000</v>
      </c>
      <c r="E36" s="7">
        <f t="shared" si="2"/>
        <v>0</v>
      </c>
      <c r="F36" s="5" t="s">
        <v>46</v>
      </c>
      <c r="G36" s="7">
        <f t="shared" si="3"/>
        <v>30000</v>
      </c>
      <c r="H36" s="7"/>
      <c r="I36" s="7"/>
      <c r="J36" s="5"/>
      <c r="K36" s="5"/>
      <c r="L36" s="4">
        <f>TONTAVRIL!H36+TONTAVRIL!I36</f>
        <v>0</v>
      </c>
      <c r="M36" s="4"/>
      <c r="N36" s="5"/>
      <c r="O36" s="5"/>
      <c r="P36" s="7">
        <f t="shared" si="4"/>
        <v>0</v>
      </c>
      <c r="Q36" s="7"/>
      <c r="R36" s="7"/>
    </row>
    <row r="37" spans="1:18" x14ac:dyDescent="0.25">
      <c r="A37" s="1" t="s">
        <v>36</v>
      </c>
      <c r="B37" s="1" t="str">
        <f>VLOOKUP(A37,[4]LISTADHERENT!A$5:H$60,3,0)</f>
        <v>TIEYAM ERNEST</v>
      </c>
      <c r="C37" s="7">
        <f t="shared" si="0"/>
        <v>10000</v>
      </c>
      <c r="D37" s="7">
        <f t="shared" si="1"/>
        <v>20000</v>
      </c>
      <c r="E37" s="7">
        <v>3000</v>
      </c>
      <c r="F37" s="5" t="s">
        <v>46</v>
      </c>
      <c r="G37" s="7">
        <f t="shared" si="3"/>
        <v>30000</v>
      </c>
      <c r="H37" s="7"/>
      <c r="I37" s="7"/>
      <c r="J37" s="5"/>
      <c r="K37" s="5"/>
      <c r="L37" s="4">
        <f>TONTAVRIL!H37+TONTAVRIL!I37</f>
        <v>42000</v>
      </c>
      <c r="M37" s="4" t="s">
        <v>45</v>
      </c>
      <c r="N37" s="5"/>
      <c r="O37" s="5"/>
      <c r="P37" s="7">
        <f t="shared" si="4"/>
        <v>0</v>
      </c>
      <c r="Q37" s="7"/>
      <c r="R37" s="7"/>
    </row>
    <row r="38" spans="1:18" x14ac:dyDescent="0.25">
      <c r="A38" s="1" t="s">
        <v>37</v>
      </c>
      <c r="B38" s="1" t="str">
        <f>VLOOKUP(A38,[4]LISTADHERENT!A$5:H$60,3,0)</f>
        <v>YEPMOU JEAN JACQUES</v>
      </c>
      <c r="C38" s="7">
        <f t="shared" si="0"/>
        <v>10000</v>
      </c>
      <c r="D38" s="7">
        <f t="shared" si="1"/>
        <v>20000</v>
      </c>
      <c r="E38" s="7">
        <f t="shared" si="2"/>
        <v>0</v>
      </c>
      <c r="F38" s="5" t="s">
        <v>46</v>
      </c>
      <c r="G38" s="7">
        <f t="shared" si="3"/>
        <v>30000</v>
      </c>
      <c r="H38" s="7"/>
      <c r="I38" s="7"/>
      <c r="J38" s="5"/>
      <c r="K38" s="5"/>
      <c r="L38" s="4">
        <f>TONTAVRIL!H38+TONTAVRIL!I38</f>
        <v>0</v>
      </c>
      <c r="M38" s="4"/>
      <c r="N38" s="5"/>
      <c r="O38" s="5"/>
      <c r="P38" s="7">
        <f t="shared" si="4"/>
        <v>274000</v>
      </c>
      <c r="Q38" s="7">
        <v>26000</v>
      </c>
      <c r="R38" s="7"/>
    </row>
    <row r="39" spans="1:18" x14ac:dyDescent="0.25">
      <c r="A39" s="1" t="s">
        <v>38</v>
      </c>
      <c r="B39" s="1" t="str">
        <f>VLOOKUP(A39,[4]LISTADHERENT!A$5:H$60,3,0)</f>
        <v>YOUMBI EMMANUEL</v>
      </c>
      <c r="C39" s="7">
        <f t="shared" si="0"/>
        <v>10000</v>
      </c>
      <c r="D39" s="7">
        <f t="shared" si="1"/>
        <v>20000</v>
      </c>
      <c r="E39" s="7">
        <f t="shared" si="2"/>
        <v>0</v>
      </c>
      <c r="F39" s="5" t="s">
        <v>46</v>
      </c>
      <c r="G39" s="7">
        <f t="shared" si="3"/>
        <v>30000</v>
      </c>
      <c r="H39" s="7"/>
      <c r="I39" s="7"/>
      <c r="J39" s="5"/>
      <c r="K39" s="5"/>
      <c r="L39" s="4">
        <f>TONTAVRIL!H39+TONTAVRIL!I39</f>
        <v>0</v>
      </c>
      <c r="M39" s="4"/>
      <c r="N39" s="5"/>
      <c r="O39" s="5"/>
      <c r="P39" s="7">
        <f t="shared" si="4"/>
        <v>0</v>
      </c>
      <c r="Q39" s="7"/>
      <c r="R39" s="7"/>
    </row>
    <row r="40" spans="1:18" x14ac:dyDescent="0.25">
      <c r="A40" s="1" t="s">
        <v>92</v>
      </c>
      <c r="B40" s="1" t="str">
        <f>VLOOKUP(A40,[4]LISTADHERENT!A$5:H$60,3,0)</f>
        <v>TCHEMHOU EMMANUEL</v>
      </c>
      <c r="C40" s="7"/>
      <c r="D40" s="7"/>
      <c r="E40" s="7"/>
      <c r="F40" s="5"/>
      <c r="G40" s="7"/>
      <c r="H40" s="7"/>
      <c r="I40" s="7"/>
      <c r="J40" s="5"/>
      <c r="K40" s="5"/>
      <c r="L40" s="7"/>
      <c r="M40" s="4"/>
      <c r="N40" s="5"/>
      <c r="O40" s="5"/>
      <c r="P40" s="7"/>
    </row>
    <row r="41" spans="1:18" x14ac:dyDescent="0.25">
      <c r="A41" s="1"/>
      <c r="B41" s="1"/>
      <c r="C41" s="7"/>
      <c r="D41" s="7"/>
      <c r="E41" s="7"/>
      <c r="F41" s="5"/>
      <c r="G41" s="7"/>
      <c r="H41" s="7"/>
      <c r="I41" s="7"/>
      <c r="J41" s="5"/>
      <c r="K41" s="5"/>
      <c r="L41" s="7"/>
      <c r="M41" s="5"/>
      <c r="N41" s="5"/>
      <c r="O41" s="5"/>
      <c r="P41" s="7"/>
    </row>
    <row r="42" spans="1:18" x14ac:dyDescent="0.25">
      <c r="A42" s="1"/>
      <c r="B42" s="1"/>
      <c r="C42" s="7"/>
      <c r="D42" s="7"/>
      <c r="E42" s="7"/>
      <c r="F42" s="5"/>
      <c r="G42" s="7"/>
      <c r="H42" s="7"/>
      <c r="I42" s="7"/>
      <c r="J42" s="5"/>
      <c r="K42" s="5"/>
      <c r="L42" s="7"/>
      <c r="M42" s="5"/>
      <c r="N42" s="5"/>
      <c r="O42" s="5"/>
      <c r="P42" s="7"/>
    </row>
    <row r="43" spans="1:18" x14ac:dyDescent="0.25">
      <c r="A43" s="1"/>
      <c r="B43" s="1"/>
      <c r="C43" s="7"/>
      <c r="D43" s="7"/>
      <c r="E43" s="7"/>
      <c r="F43" s="5"/>
      <c r="G43" s="7"/>
      <c r="H43" s="7"/>
      <c r="I43" s="7"/>
      <c r="J43" s="5"/>
      <c r="K43" s="5"/>
      <c r="L43" s="7"/>
      <c r="M43" s="5"/>
      <c r="N43" s="5"/>
      <c r="O43" s="5"/>
      <c r="P43" s="7"/>
    </row>
    <row r="44" spans="1:18" x14ac:dyDescent="0.25">
      <c r="A44" s="1"/>
      <c r="B44" s="1"/>
      <c r="C44" s="1"/>
      <c r="D44" s="1"/>
      <c r="E44" s="1"/>
      <c r="F44" s="1"/>
      <c r="M44" s="1"/>
      <c r="N44" s="1"/>
    </row>
    <row r="45" spans="1:18" x14ac:dyDescent="0.25">
      <c r="A45" s="1"/>
      <c r="B45" s="1"/>
      <c r="C45" s="1"/>
      <c r="D45" s="1"/>
      <c r="E45" s="1"/>
      <c r="F45" s="1"/>
      <c r="M45" s="1"/>
      <c r="N45" s="1"/>
    </row>
    <row r="46" spans="1:18" ht="18" x14ac:dyDescent="0.25">
      <c r="A46" s="1" t="s">
        <v>39</v>
      </c>
      <c r="B46" s="1"/>
      <c r="C46" s="8">
        <f>SUM(C7:C45)</f>
        <v>812000</v>
      </c>
      <c r="D46" s="8">
        <f t="shared" ref="D46:R46" si="5">SUM(D7:D45)</f>
        <v>640000</v>
      </c>
      <c r="E46" s="8">
        <f t="shared" si="5"/>
        <v>12000</v>
      </c>
      <c r="F46" s="8">
        <f t="shared" si="5"/>
        <v>0</v>
      </c>
      <c r="G46" s="8">
        <f t="shared" si="5"/>
        <v>1452000</v>
      </c>
      <c r="H46" s="8">
        <f t="shared" si="5"/>
        <v>55500</v>
      </c>
      <c r="I46" s="8">
        <f t="shared" si="5"/>
        <v>0</v>
      </c>
      <c r="J46" s="8">
        <f t="shared" si="5"/>
        <v>0</v>
      </c>
      <c r="K46" s="8">
        <f t="shared" si="5"/>
        <v>0</v>
      </c>
      <c r="L46" s="8">
        <f t="shared" si="5"/>
        <v>189000</v>
      </c>
      <c r="M46" s="8">
        <f t="shared" si="5"/>
        <v>0</v>
      </c>
      <c r="N46" s="8">
        <f t="shared" si="5"/>
        <v>0</v>
      </c>
      <c r="O46" s="8">
        <f t="shared" si="5"/>
        <v>0</v>
      </c>
      <c r="P46" s="8">
        <f t="shared" si="5"/>
        <v>818000</v>
      </c>
      <c r="Q46" s="8">
        <f t="shared" si="5"/>
        <v>82000</v>
      </c>
      <c r="R46" s="8">
        <f t="shared" si="5"/>
        <v>0</v>
      </c>
    </row>
    <row r="48" spans="1:18" x14ac:dyDescent="0.25">
      <c r="I48" s="9"/>
    </row>
    <row r="49" spans="4:15" ht="18" x14ac:dyDescent="0.25">
      <c r="G49" s="8" t="s">
        <v>75</v>
      </c>
      <c r="H49" s="8">
        <f>D73+H73+Q46</f>
        <v>855500</v>
      </c>
      <c r="I49" s="8"/>
      <c r="J49" s="8"/>
      <c r="K49" s="8"/>
      <c r="O49" s="8"/>
    </row>
    <row r="50" spans="4:15" ht="18" x14ac:dyDescent="0.25">
      <c r="G50" s="8" t="s">
        <v>76</v>
      </c>
      <c r="H50" s="8">
        <f>IF(H49&gt;=900000,300000*3,300000*2)+300000</f>
        <v>900000</v>
      </c>
      <c r="I50" s="9"/>
    </row>
    <row r="51" spans="4:15" ht="18" x14ac:dyDescent="0.25">
      <c r="D51" s="4" t="s">
        <v>47</v>
      </c>
      <c r="E51" s="8">
        <f>+D46</f>
        <v>640000</v>
      </c>
      <c r="G51" s="8" t="s">
        <v>88</v>
      </c>
      <c r="H51" s="8"/>
      <c r="I51" s="8"/>
      <c r="J51" s="8"/>
      <c r="K51" s="8"/>
      <c r="O51" s="8"/>
    </row>
    <row r="52" spans="4:15" ht="43.5" x14ac:dyDescent="0.25">
      <c r="D52" s="4" t="s">
        <v>65</v>
      </c>
      <c r="E52" s="8">
        <f>E46</f>
        <v>12000</v>
      </c>
      <c r="F52" s="8"/>
      <c r="G52" s="8" t="s">
        <v>74</v>
      </c>
      <c r="H52" s="8">
        <f>H49-H50+H51</f>
        <v>-44500</v>
      </c>
      <c r="L52" s="12"/>
      <c r="M52" s="8"/>
      <c r="N52" s="8"/>
    </row>
    <row r="53" spans="4:15" ht="18" x14ac:dyDescent="0.25">
      <c r="D53" s="4" t="s">
        <v>60</v>
      </c>
      <c r="E53" s="8">
        <f>+H46</f>
        <v>55500</v>
      </c>
    </row>
    <row r="54" spans="4:15" ht="29.25" x14ac:dyDescent="0.25">
      <c r="D54" s="4" t="s">
        <v>79</v>
      </c>
      <c r="E54" s="8">
        <f>+I46</f>
        <v>0</v>
      </c>
      <c r="G54" s="8" t="s">
        <v>78</v>
      </c>
      <c r="H54" s="8">
        <f>H52-H46</f>
        <v>-100000</v>
      </c>
      <c r="I54" s="3" t="s">
        <v>94</v>
      </c>
    </row>
    <row r="55" spans="4:15" ht="29.25" x14ac:dyDescent="0.25">
      <c r="D55" s="4" t="s">
        <v>66</v>
      </c>
      <c r="E55" s="8">
        <f>H73</f>
        <v>133500</v>
      </c>
    </row>
    <row r="56" spans="4:15" ht="29.25" x14ac:dyDescent="0.25">
      <c r="D56" s="4" t="s">
        <v>67</v>
      </c>
      <c r="E56" s="8">
        <f>+Q46</f>
        <v>82000</v>
      </c>
    </row>
    <row r="57" spans="4:15" ht="18" x14ac:dyDescent="0.25">
      <c r="D57" s="4" t="s">
        <v>51</v>
      </c>
      <c r="E57" s="8">
        <f>[5]MVTMAI!$E$49</f>
        <v>0</v>
      </c>
    </row>
    <row r="58" spans="4:15" ht="18" x14ac:dyDescent="0.25">
      <c r="D58" s="4" t="s">
        <v>41</v>
      </c>
      <c r="E58" s="8">
        <f>[5]MVTMAI!$E$50</f>
        <v>684000</v>
      </c>
    </row>
    <row r="59" spans="4:15" ht="29.25" x14ac:dyDescent="0.25">
      <c r="D59" s="4" t="s">
        <v>42</v>
      </c>
      <c r="E59" s="8">
        <f>[5]MVTMAI!$E$51</f>
        <v>16000</v>
      </c>
    </row>
    <row r="60" spans="4:15" ht="29.25" x14ac:dyDescent="0.25">
      <c r="D60" s="4" t="s">
        <v>43</v>
      </c>
      <c r="E60" s="8">
        <f>[5]MVTMAI!$E$52</f>
        <v>32000</v>
      </c>
    </row>
    <row r="61" spans="4:15" ht="18" x14ac:dyDescent="0.25">
      <c r="D61" s="4" t="s">
        <v>44</v>
      </c>
      <c r="E61" s="8">
        <f>[5]MVTMAI!$E$53</f>
        <v>80000</v>
      </c>
    </row>
    <row r="62" spans="4:15" ht="18" x14ac:dyDescent="0.25">
      <c r="D62" s="4" t="s">
        <v>52</v>
      </c>
      <c r="E62" s="8">
        <f>[5]MVTMAI!$E$55</f>
        <v>0</v>
      </c>
    </row>
    <row r="63" spans="4:15" ht="18" x14ac:dyDescent="0.25">
      <c r="D63" s="4" t="s">
        <v>48</v>
      </c>
      <c r="E63" s="8">
        <f>[5]MVTMAI!$E$56</f>
        <v>0</v>
      </c>
    </row>
    <row r="64" spans="4:15" ht="18" x14ac:dyDescent="0.25">
      <c r="D64" s="4" t="s">
        <v>49</v>
      </c>
      <c r="E64" s="8">
        <f>[5]MVTMAI!$E$57</f>
        <v>0</v>
      </c>
    </row>
    <row r="65" spans="1:18" ht="29.25" x14ac:dyDescent="0.25">
      <c r="D65" s="4" t="s">
        <v>50</v>
      </c>
      <c r="E65" s="8">
        <f>[5]MVTMAI!$E$58</f>
        <v>1670000</v>
      </c>
    </row>
    <row r="66" spans="1:18" s="2" customFormat="1" ht="29.25" x14ac:dyDescent="0.25">
      <c r="A66"/>
      <c r="B66"/>
      <c r="C66"/>
      <c r="D66" s="4" t="s">
        <v>87</v>
      </c>
      <c r="E66" s="8">
        <f>[5]MVTMAI!$E$59</f>
        <v>0</v>
      </c>
      <c r="F66"/>
      <c r="H66"/>
      <c r="I66" s="3"/>
      <c r="J66" s="3"/>
      <c r="K66" s="3"/>
      <c r="M66"/>
      <c r="N66"/>
      <c r="O66" s="3"/>
      <c r="R66"/>
    </row>
    <row r="67" spans="1:18" s="2" customFormat="1" ht="18" x14ac:dyDescent="0.25">
      <c r="A67"/>
      <c r="B67"/>
      <c r="C67"/>
      <c r="D67" s="4" t="s">
        <v>53</v>
      </c>
      <c r="E67" s="8">
        <f>[5]MVTMAI!$E$60</f>
        <v>0</v>
      </c>
      <c r="F67"/>
      <c r="H67"/>
      <c r="I67" s="3"/>
      <c r="J67" s="3"/>
      <c r="K67" s="3"/>
      <c r="M67"/>
      <c r="N67"/>
      <c r="O67" s="3"/>
      <c r="R67"/>
    </row>
    <row r="68" spans="1:18" s="2" customFormat="1" ht="18" x14ac:dyDescent="0.25">
      <c r="A68"/>
      <c r="B68"/>
      <c r="C68"/>
      <c r="D68" s="4"/>
      <c r="E68" s="8"/>
      <c r="F68"/>
      <c r="H68"/>
      <c r="I68" s="3"/>
      <c r="J68" s="3"/>
      <c r="K68" s="3"/>
      <c r="M68"/>
      <c r="N68"/>
      <c r="O68" s="3"/>
      <c r="R68"/>
    </row>
    <row r="69" spans="1:18" s="2" customFormat="1" ht="43.5" x14ac:dyDescent="0.25">
      <c r="A69"/>
      <c r="B69"/>
      <c r="C69"/>
      <c r="D69" s="4" t="s">
        <v>6</v>
      </c>
      <c r="E69"/>
      <c r="F69" s="4" t="s">
        <v>73</v>
      </c>
      <c r="G69" s="4" t="s">
        <v>68</v>
      </c>
      <c r="H69" s="4" t="s">
        <v>55</v>
      </c>
      <c r="I69" s="4" t="s">
        <v>60</v>
      </c>
      <c r="J69" s="4" t="s">
        <v>62</v>
      </c>
      <c r="K69" s="4"/>
      <c r="L69" s="4" t="s">
        <v>63</v>
      </c>
      <c r="M69" s="4"/>
      <c r="N69"/>
      <c r="O69" s="4"/>
      <c r="R69"/>
    </row>
    <row r="70" spans="1:18" s="2" customFormat="1" ht="18" x14ac:dyDescent="0.25">
      <c r="A70"/>
      <c r="B70"/>
      <c r="C70"/>
      <c r="D70" s="8">
        <f>SUMIFS(D7:D45,F7:F45,"ESPECES")</f>
        <v>40000</v>
      </c>
      <c r="E70" s="8" t="s">
        <v>45</v>
      </c>
      <c r="F70" s="8">
        <f>SUMIFS(G7:G45,F7:F45,"ESPECES")</f>
        <v>59000</v>
      </c>
      <c r="G70" s="8">
        <f>+E46</f>
        <v>12000</v>
      </c>
      <c r="H70" s="8">
        <f>SUMIFS(L7:L45,M7:M45,"ESPECES")</f>
        <v>133500</v>
      </c>
      <c r="I70" s="8">
        <f>SUMIFS(H7:H45,J7:J45,"ESPECES")</f>
        <v>0</v>
      </c>
      <c r="J70" s="8">
        <f>SUMIFS(P7:P45,N7:N45,"ESPECES")</f>
        <v>0</v>
      </c>
      <c r="K70" s="8"/>
      <c r="L70" s="8">
        <f>F70+H70+G70-I70-J70</f>
        <v>204500</v>
      </c>
      <c r="M70" s="8"/>
      <c r="N70" s="4"/>
      <c r="O70" s="8"/>
      <c r="R70"/>
    </row>
    <row r="71" spans="1:18" s="2" customFormat="1" ht="18" x14ac:dyDescent="0.25">
      <c r="A71"/>
      <c r="B71"/>
      <c r="C71"/>
      <c r="D71" s="8">
        <f>SUMIFS(D7:D45,F7:F45,"BANQUE")</f>
        <v>600000</v>
      </c>
      <c r="E71" s="8" t="s">
        <v>46</v>
      </c>
      <c r="F71" s="8">
        <f>SUMIFS(G7:G45,F7:F45,"BANQUE")</f>
        <v>1393000</v>
      </c>
      <c r="H71" s="8">
        <f>SUMIFS(L7:L45,M7:M45,"BANQUE")</f>
        <v>0</v>
      </c>
      <c r="I71" s="8">
        <f>SUMIFS(H7:H45,J7:J45,"BANQUE")</f>
        <v>0</v>
      </c>
      <c r="J71" s="8">
        <f>SUMIFS(P7:P45,M7:M45,"BANQUE")</f>
        <v>0</v>
      </c>
      <c r="K71" s="8"/>
      <c r="L71" s="8">
        <f>F71+H71-I71-J71</f>
        <v>1393000</v>
      </c>
      <c r="M71" s="8"/>
      <c r="N71" s="8"/>
      <c r="O71" s="8"/>
      <c r="R71"/>
    </row>
    <row r="72" spans="1:18" s="2" customFormat="1" ht="18" x14ac:dyDescent="0.25">
      <c r="A72"/>
      <c r="B72"/>
      <c r="C72"/>
      <c r="D72" s="8"/>
      <c r="E72" s="8"/>
      <c r="F72" s="8"/>
      <c r="H72" s="8"/>
      <c r="I72" s="8"/>
      <c r="J72" s="8"/>
      <c r="K72" s="8"/>
      <c r="L72" s="8"/>
      <c r="M72" s="8"/>
      <c r="N72" s="8"/>
      <c r="O72" s="8"/>
      <c r="R72"/>
    </row>
    <row r="73" spans="1:18" s="2" customFormat="1" ht="18" x14ac:dyDescent="0.25">
      <c r="A73"/>
      <c r="B73"/>
      <c r="C73"/>
      <c r="D73" s="8">
        <f>D70+D71</f>
        <v>640000</v>
      </c>
      <c r="E73" s="8" t="s">
        <v>39</v>
      </c>
      <c r="F73" s="8">
        <f>F70+F71</f>
        <v>1452000</v>
      </c>
      <c r="H73" s="8">
        <f>H70+H71</f>
        <v>133500</v>
      </c>
      <c r="I73" s="8">
        <f>I70+I71</f>
        <v>0</v>
      </c>
      <c r="J73" s="8">
        <v>0</v>
      </c>
      <c r="K73" s="8"/>
      <c r="L73" s="8">
        <f>F73+H73-I73-J73</f>
        <v>1585500</v>
      </c>
      <c r="M73" s="8"/>
      <c r="N73" s="8"/>
      <c r="O73" s="8"/>
      <c r="R73"/>
    </row>
    <row r="74" spans="1:18" s="2" customFormat="1" ht="18" x14ac:dyDescent="0.25">
      <c r="A74"/>
      <c r="B74"/>
      <c r="C74"/>
      <c r="D74" s="8">
        <f>D73+R46</f>
        <v>640000</v>
      </c>
      <c r="E74" s="8" t="s">
        <v>82</v>
      </c>
      <c r="F74"/>
      <c r="H74"/>
      <c r="I74" s="3"/>
      <c r="J74" s="3"/>
      <c r="K74" s="3"/>
      <c r="M74"/>
      <c r="N74" s="8"/>
      <c r="O74" s="3"/>
      <c r="R74"/>
    </row>
    <row r="75" spans="1:18" s="2" customFormat="1" ht="18" x14ac:dyDescent="0.25">
      <c r="A75"/>
      <c r="B75"/>
      <c r="C75"/>
      <c r="D75" s="4" t="s">
        <v>6</v>
      </c>
      <c r="E75" s="8">
        <v>300000</v>
      </c>
      <c r="F75"/>
      <c r="H75"/>
      <c r="I75" s="3"/>
      <c r="J75" s="3"/>
      <c r="K75" s="3"/>
      <c r="M75"/>
      <c r="N75"/>
      <c r="O75" s="3"/>
      <c r="R75"/>
    </row>
    <row r="76" spans="1:18" s="2" customFormat="1" ht="29.25" x14ac:dyDescent="0.25">
      <c r="A76"/>
      <c r="B76"/>
      <c r="C76"/>
      <c r="D76" s="10" t="s">
        <v>64</v>
      </c>
      <c r="E76" s="11">
        <f>L46+Q46</f>
        <v>271000</v>
      </c>
      <c r="F76"/>
      <c r="H76"/>
      <c r="I76" s="3"/>
      <c r="J76" s="3"/>
      <c r="K76" s="3"/>
      <c r="M76"/>
      <c r="N76"/>
      <c r="O76" s="3"/>
      <c r="R76"/>
    </row>
    <row r="78" spans="1:18" x14ac:dyDescent="0.25">
      <c r="E78" s="2"/>
    </row>
  </sheetData>
  <autoFilter ref="A5:R39">
    <sortState ref="A5:L48">
      <sortCondition ref="B5:B48"/>
    </sortState>
  </autoFilter>
  <mergeCells count="1">
    <mergeCell ref="C4:I4"/>
  </mergeCells>
  <dataValidations count="1">
    <dataValidation type="list" allowBlank="1" showInputMessage="1" showErrorMessage="1" sqref="J6:K43 F6:F43 M41:M43 N6:O43">
      <formula1>MODEVERSEMENTS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8"/>
  <sheetViews>
    <sheetView workbookViewId="0">
      <pane xSplit="2" ySplit="5" topLeftCell="C30" activePane="bottomRight" state="frozen"/>
      <selection activeCell="I54" sqref="I54"/>
      <selection pane="topRight" activeCell="I54" sqref="I54"/>
      <selection pane="bottomLeft" activeCell="I54" sqref="I54"/>
      <selection pane="bottomRight" activeCell="I54" sqref="I54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15" bestFit="1" customWidth="1"/>
    <col min="4" max="4" width="21" customWidth="1"/>
    <col min="5" max="6" width="16.7109375" customWidth="1"/>
    <col min="7" max="7" width="15" style="2" bestFit="1" customWidth="1"/>
    <col min="8" max="8" width="15" bestFit="1" customWidth="1"/>
    <col min="9" max="9" width="17.5703125" style="3" bestFit="1" customWidth="1"/>
    <col min="10" max="10" width="17.5703125" style="3" customWidth="1"/>
    <col min="11" max="11" width="16" style="3" customWidth="1"/>
    <col min="12" max="12" width="15.7109375" style="2" customWidth="1"/>
    <col min="13" max="14" width="13" customWidth="1"/>
    <col min="15" max="15" width="15.5703125" style="3" customWidth="1"/>
    <col min="16" max="17" width="18.140625" style="2" bestFit="1" customWidth="1"/>
    <col min="18" max="18" width="12.5703125" bestFit="1" customWidth="1"/>
  </cols>
  <sheetData>
    <row r="1" spans="1:18" x14ac:dyDescent="0.25">
      <c r="A1" s="1" t="s">
        <v>0</v>
      </c>
      <c r="B1" s="1" t="s">
        <v>1</v>
      </c>
      <c r="C1" s="1"/>
      <c r="D1" s="1"/>
      <c r="E1" s="1"/>
      <c r="F1" s="1"/>
      <c r="M1" s="1"/>
      <c r="N1" s="1"/>
    </row>
    <row r="2" spans="1:18" x14ac:dyDescent="0.25">
      <c r="A2" s="1" t="s">
        <v>2</v>
      </c>
      <c r="B2" s="1" t="s">
        <v>80</v>
      </c>
      <c r="C2" s="1"/>
      <c r="D2" s="1"/>
      <c r="E2" s="1"/>
      <c r="F2" s="1"/>
      <c r="M2" s="1"/>
      <c r="N2" s="1"/>
    </row>
    <row r="3" spans="1:18" x14ac:dyDescent="0.25">
      <c r="A3" s="1" t="s">
        <v>3</v>
      </c>
      <c r="B3" s="6">
        <v>30000</v>
      </c>
      <c r="C3" s="1"/>
      <c r="D3" s="1"/>
      <c r="E3" s="1"/>
      <c r="F3" s="1"/>
      <c r="M3" s="1"/>
      <c r="N3" s="1"/>
    </row>
    <row r="4" spans="1:18" ht="18" x14ac:dyDescent="0.25">
      <c r="B4" s="13"/>
      <c r="C4" s="20">
        <v>44003</v>
      </c>
      <c r="D4" s="21"/>
      <c r="E4" s="21"/>
      <c r="F4" s="21"/>
      <c r="G4" s="21"/>
      <c r="H4" s="21"/>
      <c r="I4" s="21"/>
      <c r="J4" s="16"/>
      <c r="K4" s="16"/>
      <c r="L4" s="16"/>
      <c r="M4" s="16"/>
      <c r="O4" s="16"/>
      <c r="P4"/>
      <c r="Q4"/>
    </row>
    <row r="5" spans="1:18" ht="57.75" x14ac:dyDescent="0.25">
      <c r="A5" s="1" t="s">
        <v>4</v>
      </c>
      <c r="B5" s="1" t="s">
        <v>5</v>
      </c>
      <c r="C5" s="1" t="s">
        <v>40</v>
      </c>
      <c r="D5" s="4" t="s">
        <v>6</v>
      </c>
      <c r="E5" s="1" t="s">
        <v>65</v>
      </c>
      <c r="F5" s="5" t="s">
        <v>7</v>
      </c>
      <c r="G5" s="4" t="s">
        <v>8</v>
      </c>
      <c r="H5" s="6" t="s">
        <v>60</v>
      </c>
      <c r="I5" s="4" t="s">
        <v>57</v>
      </c>
      <c r="J5" s="4" t="s">
        <v>61</v>
      </c>
      <c r="K5" s="14" t="s">
        <v>77</v>
      </c>
      <c r="L5" s="4" t="s">
        <v>55</v>
      </c>
      <c r="M5" s="4" t="s">
        <v>54</v>
      </c>
      <c r="N5" s="4" t="s">
        <v>58</v>
      </c>
      <c r="O5" s="4" t="s">
        <v>77</v>
      </c>
      <c r="P5" s="4" t="s">
        <v>56</v>
      </c>
      <c r="Q5" s="6" t="s">
        <v>59</v>
      </c>
      <c r="R5" s="4" t="s">
        <v>81</v>
      </c>
    </row>
    <row r="6" spans="1:18" x14ac:dyDescent="0.25">
      <c r="A6" s="1" t="s">
        <v>69</v>
      </c>
      <c r="B6" s="1" t="str">
        <f>VLOOKUP(A6,[4]LISTADHERENT!A$5:H$60,3,0)</f>
        <v>ASELBY</v>
      </c>
      <c r="C6" s="7">
        <f t="shared" ref="C6:C39" si="0">IF(G6=0,0,G6-D6)</f>
        <v>0</v>
      </c>
      <c r="D6" s="7">
        <f t="shared" ref="D6:D39" si="1">IF(F6="ECHEC",0,IF(F6="",0,20000))</f>
        <v>0</v>
      </c>
      <c r="E6" s="7">
        <f t="shared" ref="E6:E39" si="2">IF(F6="ESPECES",3000,0)</f>
        <v>0</v>
      </c>
      <c r="F6" s="5" t="s">
        <v>9</v>
      </c>
      <c r="G6" s="7">
        <f t="shared" ref="G6:G39" si="3">IF(F6="BANQUE",30000,IF(F6="ESPECES",30000,0))</f>
        <v>0</v>
      </c>
      <c r="H6" s="7"/>
      <c r="I6" s="7"/>
      <c r="J6" s="5"/>
      <c r="K6" s="5"/>
      <c r="L6" s="4">
        <f>TONTMAI!H6+TONTMAI!I6</f>
        <v>0</v>
      </c>
      <c r="M6" s="4"/>
      <c r="N6" s="5"/>
      <c r="O6" s="5"/>
      <c r="P6" s="7">
        <f>IF(Q6=0,0,($E$76-Q6))</f>
        <v>0</v>
      </c>
      <c r="Q6" s="7"/>
      <c r="R6" s="7"/>
    </row>
    <row r="7" spans="1:18" x14ac:dyDescent="0.25">
      <c r="A7" s="1" t="s">
        <v>10</v>
      </c>
      <c r="B7" s="1" t="str">
        <f>VLOOKUP(A7,[4]LISTADHERENT!A$5:H$60,3,0)</f>
        <v>BOUTCHOUANG WILLIAM</v>
      </c>
      <c r="C7" s="7">
        <f t="shared" si="0"/>
        <v>10000</v>
      </c>
      <c r="D7" s="7">
        <f t="shared" si="1"/>
        <v>20000</v>
      </c>
      <c r="E7" s="7">
        <f t="shared" si="2"/>
        <v>0</v>
      </c>
      <c r="F7" s="5" t="s">
        <v>46</v>
      </c>
      <c r="G7" s="7">
        <f t="shared" si="3"/>
        <v>30000</v>
      </c>
      <c r="H7" s="7"/>
      <c r="I7" s="7"/>
      <c r="J7" s="5"/>
      <c r="K7" s="5"/>
      <c r="L7" s="4">
        <f>TONTMAI!H7+TONTMAI!I7</f>
        <v>0</v>
      </c>
      <c r="M7" s="4"/>
      <c r="N7" s="5"/>
      <c r="O7" s="5"/>
      <c r="P7" s="7">
        <f t="shared" ref="P7:P39" si="4">IF(Q7=0,0,($E$75-Q7))</f>
        <v>0</v>
      </c>
      <c r="Q7" s="7"/>
      <c r="R7" s="7"/>
    </row>
    <row r="8" spans="1:18" x14ac:dyDescent="0.25">
      <c r="A8" s="1" t="s">
        <v>11</v>
      </c>
      <c r="B8" s="1" t="str">
        <f>VLOOKUP(A8,[4]LISTADHERENT!A$5:H$60,3,0)</f>
        <v xml:space="preserve">DJOMO JEAN PAUL </v>
      </c>
      <c r="C8" s="7">
        <f t="shared" si="0"/>
        <v>10000</v>
      </c>
      <c r="D8" s="7">
        <f t="shared" si="1"/>
        <v>20000</v>
      </c>
      <c r="E8" s="7">
        <f t="shared" si="2"/>
        <v>0</v>
      </c>
      <c r="F8" s="5" t="s">
        <v>46</v>
      </c>
      <c r="G8" s="7">
        <f t="shared" si="3"/>
        <v>30000</v>
      </c>
      <c r="H8" s="7"/>
      <c r="I8" s="7"/>
      <c r="J8" s="5"/>
      <c r="K8" s="5"/>
      <c r="L8" s="4">
        <f>TONTMAI!H8+TONTMAI!I8</f>
        <v>0</v>
      </c>
      <c r="M8" s="4"/>
      <c r="N8" s="5"/>
      <c r="O8" s="5"/>
      <c r="P8" s="7">
        <f t="shared" si="4"/>
        <v>0</v>
      </c>
      <c r="Q8" s="7"/>
      <c r="R8" s="7"/>
    </row>
    <row r="9" spans="1:18" x14ac:dyDescent="0.25">
      <c r="A9" s="1" t="s">
        <v>83</v>
      </c>
      <c r="B9" s="1" t="str">
        <f>VLOOKUP(A9,[4]LISTADHERENT!A$5:H$60,3,0)</f>
        <v>DJOMOU TCHANDA</v>
      </c>
      <c r="C9" s="7">
        <f t="shared" si="0"/>
        <v>10000</v>
      </c>
      <c r="D9" s="7">
        <f t="shared" si="1"/>
        <v>20000</v>
      </c>
      <c r="E9" s="7">
        <f t="shared" si="2"/>
        <v>0</v>
      </c>
      <c r="F9" s="5" t="s">
        <v>46</v>
      </c>
      <c r="G9" s="7">
        <f t="shared" si="3"/>
        <v>30000</v>
      </c>
      <c r="H9" s="7"/>
      <c r="I9" s="7"/>
      <c r="J9" s="5"/>
      <c r="K9" s="5"/>
      <c r="L9" s="4">
        <f>TONTMAI!H9+TONTMAI!I9</f>
        <v>0</v>
      </c>
      <c r="M9" s="4"/>
      <c r="N9" s="5"/>
      <c r="O9" s="5"/>
      <c r="P9" s="7">
        <f t="shared" si="4"/>
        <v>0</v>
      </c>
      <c r="Q9" s="7"/>
      <c r="R9" s="7"/>
    </row>
    <row r="10" spans="1:18" x14ac:dyDescent="0.25">
      <c r="A10" s="1" t="s">
        <v>12</v>
      </c>
      <c r="B10" s="1" t="str">
        <f>VLOOKUP(A10,[4]LISTADHERENT!A$5:H$60,3,0)</f>
        <v>DJOUKWE NANGUEN GUY BLAISE</v>
      </c>
      <c r="C10" s="7">
        <f t="shared" si="0"/>
        <v>9500</v>
      </c>
      <c r="D10" s="7">
        <f t="shared" si="1"/>
        <v>20000</v>
      </c>
      <c r="E10" s="7">
        <f t="shared" si="2"/>
        <v>0</v>
      </c>
      <c r="F10" s="5" t="s">
        <v>46</v>
      </c>
      <c r="G10" s="7">
        <v>29500</v>
      </c>
      <c r="H10" s="7"/>
      <c r="I10" s="7"/>
      <c r="J10" s="5"/>
      <c r="K10" s="5"/>
      <c r="L10" s="4">
        <f>TONTMAI!H10+TONTMAI!I10</f>
        <v>0</v>
      </c>
      <c r="M10" s="4"/>
      <c r="N10" s="5"/>
      <c r="O10" s="5"/>
      <c r="P10" s="7">
        <f t="shared" si="4"/>
        <v>0</v>
      </c>
      <c r="Q10" s="7"/>
      <c r="R10" s="7"/>
    </row>
    <row r="11" spans="1:18" x14ac:dyDescent="0.25">
      <c r="A11" s="1" t="s">
        <v>13</v>
      </c>
      <c r="B11" s="1" t="str">
        <f>VLOOKUP(A11,[4]LISTADHERENT!A$5:H$60,3,0)</f>
        <v>DJUOMBESSY ANTOINE</v>
      </c>
      <c r="C11" s="7">
        <f t="shared" si="0"/>
        <v>10000</v>
      </c>
      <c r="D11" s="7">
        <f t="shared" si="1"/>
        <v>20000</v>
      </c>
      <c r="E11" s="7">
        <f t="shared" si="2"/>
        <v>0</v>
      </c>
      <c r="F11" s="5" t="s">
        <v>46</v>
      </c>
      <c r="G11" s="7">
        <f t="shared" si="3"/>
        <v>30000</v>
      </c>
      <c r="H11" s="7"/>
      <c r="I11" s="7"/>
      <c r="J11" s="5"/>
      <c r="K11" s="5"/>
      <c r="L11" s="4">
        <f>TONTMAI!H11+TONTMAI!I11</f>
        <v>0</v>
      </c>
      <c r="M11" s="4"/>
      <c r="N11" s="5"/>
      <c r="O11" s="5"/>
      <c r="P11" s="7">
        <f t="shared" si="4"/>
        <v>0</v>
      </c>
      <c r="Q11" s="7"/>
      <c r="R11" s="7"/>
    </row>
    <row r="12" spans="1:18" x14ac:dyDescent="0.25">
      <c r="A12" s="1" t="s">
        <v>71</v>
      </c>
      <c r="B12" s="1" t="str">
        <f>VLOOKUP(A12,[4]LISTADHERENT!A$5:H$60,3,0)</f>
        <v>DOMOU FABIEN</v>
      </c>
      <c r="C12" s="7">
        <f t="shared" si="0"/>
        <v>10000</v>
      </c>
      <c r="D12" s="7">
        <f t="shared" si="1"/>
        <v>20000</v>
      </c>
      <c r="E12" s="7">
        <f t="shared" si="2"/>
        <v>0</v>
      </c>
      <c r="F12" s="5" t="s">
        <v>46</v>
      </c>
      <c r="G12" s="7">
        <f t="shared" si="3"/>
        <v>30000</v>
      </c>
      <c r="H12" s="7"/>
      <c r="I12" s="7"/>
      <c r="J12" s="5"/>
      <c r="K12" s="5"/>
      <c r="L12" s="4">
        <f>TONTMAI!H12+TONTMAI!I12</f>
        <v>0</v>
      </c>
      <c r="M12" s="4"/>
      <c r="N12" s="5"/>
      <c r="O12" s="5"/>
      <c r="P12" s="7">
        <f t="shared" si="4"/>
        <v>280000</v>
      </c>
      <c r="Q12" s="7">
        <v>20000</v>
      </c>
    </row>
    <row r="13" spans="1:18" x14ac:dyDescent="0.25">
      <c r="A13" s="1" t="s">
        <v>14</v>
      </c>
      <c r="B13" s="1" t="str">
        <f>VLOOKUP(A13,[4]LISTADHERENT!A$5:H$60,3,0)</f>
        <v>DONHOU DAVID</v>
      </c>
      <c r="C13" s="7">
        <f t="shared" si="0"/>
        <v>10000</v>
      </c>
      <c r="D13" s="7">
        <f t="shared" si="1"/>
        <v>20000</v>
      </c>
      <c r="E13" s="7">
        <f t="shared" si="2"/>
        <v>0</v>
      </c>
      <c r="F13" s="5" t="s">
        <v>46</v>
      </c>
      <c r="G13" s="7">
        <f>IF(F13="BANQUE",30000,IF(F13="ESPECES",30000,0))</f>
        <v>30000</v>
      </c>
      <c r="H13" s="7"/>
      <c r="I13" s="7"/>
      <c r="J13" s="5"/>
      <c r="K13" s="5"/>
      <c r="L13" s="4">
        <f>TONTMAI!H13+TONTMAI!I13</f>
        <v>0</v>
      </c>
      <c r="M13" s="4"/>
      <c r="N13" s="5"/>
      <c r="O13" s="5"/>
      <c r="P13" s="7">
        <f t="shared" si="4"/>
        <v>0</v>
      </c>
      <c r="Q13" s="7"/>
      <c r="R13" s="7"/>
    </row>
    <row r="14" spans="1:18" x14ac:dyDescent="0.25">
      <c r="A14" s="1" t="s">
        <v>15</v>
      </c>
      <c r="B14" s="1" t="str">
        <f>VLOOKUP(A14,[4]LISTADHERENT!A$5:H$60,3,0)</f>
        <v>FOTSO THOMAS</v>
      </c>
      <c r="C14" s="7">
        <f t="shared" si="0"/>
        <v>0</v>
      </c>
      <c r="D14" s="7">
        <f t="shared" si="1"/>
        <v>0</v>
      </c>
      <c r="E14" s="7">
        <f t="shared" si="2"/>
        <v>0</v>
      </c>
      <c r="F14" s="5" t="s">
        <v>9</v>
      </c>
      <c r="G14" s="7">
        <f t="shared" si="3"/>
        <v>0</v>
      </c>
      <c r="H14" s="7">
        <v>54500</v>
      </c>
      <c r="I14" s="7"/>
      <c r="J14" s="5"/>
      <c r="K14" s="5"/>
      <c r="L14" s="4">
        <f>TONTMAI!H14+TONTMAI!I14</f>
        <v>54500</v>
      </c>
      <c r="M14" s="4"/>
      <c r="N14" s="5"/>
      <c r="O14" s="5"/>
      <c r="P14" s="7">
        <f t="shared" si="4"/>
        <v>0</v>
      </c>
      <c r="Q14" s="7"/>
      <c r="R14" s="7"/>
    </row>
    <row r="15" spans="1:18" x14ac:dyDescent="0.25">
      <c r="A15" s="1" t="s">
        <v>16</v>
      </c>
      <c r="B15" s="1" t="str">
        <f>VLOOKUP(A15,[4]LISTADHERENT!A$5:H$60,3,0)</f>
        <v>HENGUE PAUL OMER</v>
      </c>
      <c r="C15" s="7">
        <f t="shared" si="0"/>
        <v>10000</v>
      </c>
      <c r="D15" s="7">
        <f t="shared" si="1"/>
        <v>20000</v>
      </c>
      <c r="E15" s="7">
        <f t="shared" si="2"/>
        <v>0</v>
      </c>
      <c r="F15" s="5" t="s">
        <v>46</v>
      </c>
      <c r="G15" s="7">
        <f t="shared" si="3"/>
        <v>30000</v>
      </c>
      <c r="H15" s="7"/>
      <c r="I15" s="7"/>
      <c r="J15" s="5"/>
      <c r="K15" s="5"/>
      <c r="L15" s="4">
        <f>TONTMAI!H15+TONTMAI!I15</f>
        <v>0</v>
      </c>
      <c r="M15" s="4"/>
      <c r="N15" s="5"/>
      <c r="O15" s="5"/>
      <c r="P15" s="7">
        <f t="shared" si="4"/>
        <v>0</v>
      </c>
      <c r="Q15" s="7"/>
      <c r="R15" s="7"/>
    </row>
    <row r="16" spans="1:18" x14ac:dyDescent="0.25">
      <c r="A16" s="1" t="s">
        <v>17</v>
      </c>
      <c r="B16" s="1" t="str">
        <f>VLOOKUP(A16,[4]LISTADHERENT!A$5:H$60,3,0)</f>
        <v>HOTCHO BENJAMIN</v>
      </c>
      <c r="C16" s="7">
        <f t="shared" si="0"/>
        <v>45000</v>
      </c>
      <c r="D16" s="7">
        <f t="shared" si="1"/>
        <v>20000</v>
      </c>
      <c r="E16" s="7">
        <f t="shared" si="2"/>
        <v>0</v>
      </c>
      <c r="F16" s="5" t="s">
        <v>46</v>
      </c>
      <c r="G16" s="7">
        <f>IF(F16="BANQUE",30000,IF(F16="ESPECES",30000,0))+35000</f>
        <v>65000</v>
      </c>
      <c r="H16" s="7"/>
      <c r="I16" s="7"/>
      <c r="J16" s="5"/>
      <c r="K16" s="5"/>
      <c r="L16" s="4">
        <f>TONTMAI!H16+TONTMAI!I16</f>
        <v>0</v>
      </c>
      <c r="M16" s="4"/>
      <c r="N16" s="5"/>
      <c r="O16" s="5"/>
      <c r="P16" s="7">
        <f t="shared" si="4"/>
        <v>0</v>
      </c>
      <c r="Q16" s="7"/>
      <c r="R16" s="7"/>
    </row>
    <row r="17" spans="1:18" x14ac:dyDescent="0.25">
      <c r="A17" s="1" t="s">
        <v>19</v>
      </c>
      <c r="B17" s="1" t="str">
        <f>VLOOKUP(A17,[4]LISTADHERENT!A$5:H$60,3,0)</f>
        <v>KEPSEU FRANCIS</v>
      </c>
      <c r="C17" s="7">
        <f t="shared" si="0"/>
        <v>10000</v>
      </c>
      <c r="D17" s="7">
        <f t="shared" si="1"/>
        <v>20000</v>
      </c>
      <c r="E17" s="7">
        <f t="shared" si="2"/>
        <v>0</v>
      </c>
      <c r="F17" s="5" t="s">
        <v>46</v>
      </c>
      <c r="G17" s="7">
        <f t="shared" si="3"/>
        <v>30000</v>
      </c>
      <c r="H17" s="7"/>
      <c r="I17" s="7"/>
      <c r="J17" s="5"/>
      <c r="K17" s="5"/>
      <c r="L17" s="4">
        <f>TONTMAI!H17+TONTMAI!I17</f>
        <v>0</v>
      </c>
      <c r="M17" s="4"/>
      <c r="N17" s="5"/>
      <c r="O17" s="5"/>
      <c r="P17" s="7">
        <f t="shared" si="4"/>
        <v>0</v>
      </c>
      <c r="Q17" s="7"/>
      <c r="R17" s="7"/>
    </row>
    <row r="18" spans="1:18" x14ac:dyDescent="0.25">
      <c r="A18" s="1" t="s">
        <v>21</v>
      </c>
      <c r="B18" s="1" t="str">
        <f>VLOOKUP(A18,[4]LISTADHERENT!A$5:H$60,3,0)</f>
        <v>KOUAMO VICTOR PEGUY</v>
      </c>
      <c r="C18" s="7">
        <f t="shared" si="0"/>
        <v>0</v>
      </c>
      <c r="D18" s="7">
        <f t="shared" si="1"/>
        <v>0</v>
      </c>
      <c r="E18" s="7">
        <f t="shared" si="2"/>
        <v>0</v>
      </c>
      <c r="F18" s="5" t="s">
        <v>9</v>
      </c>
      <c r="G18" s="7">
        <f t="shared" si="3"/>
        <v>0</v>
      </c>
      <c r="H18" s="7"/>
      <c r="I18" s="7"/>
      <c r="J18" s="5"/>
      <c r="K18" s="5"/>
      <c r="L18" s="4">
        <f>TONTMAI!H18+TONTMAI!I18</f>
        <v>0</v>
      </c>
      <c r="M18" s="4"/>
      <c r="N18" s="5"/>
      <c r="O18" s="5"/>
      <c r="P18" s="7">
        <f t="shared" si="4"/>
        <v>0</v>
      </c>
      <c r="Q18" s="7"/>
      <c r="R18" s="7"/>
    </row>
    <row r="19" spans="1:18" x14ac:dyDescent="0.25">
      <c r="A19" s="1" t="s">
        <v>20</v>
      </c>
      <c r="B19" s="1" t="str">
        <f>VLOOKUP(A19,[4]LISTADHERENT!A$5:H$60,3,0)</f>
        <v>KOUAMOU MOISE</v>
      </c>
      <c r="C19" s="7">
        <f t="shared" si="0"/>
        <v>10000</v>
      </c>
      <c r="D19" s="7">
        <f t="shared" si="1"/>
        <v>20000</v>
      </c>
      <c r="E19" s="7">
        <f t="shared" si="2"/>
        <v>0</v>
      </c>
      <c r="F19" s="5" t="s">
        <v>46</v>
      </c>
      <c r="G19" s="7">
        <f t="shared" si="3"/>
        <v>30000</v>
      </c>
      <c r="H19" s="7">
        <v>1000</v>
      </c>
      <c r="I19" s="7"/>
      <c r="J19" s="5"/>
      <c r="K19" s="5"/>
      <c r="L19" s="4">
        <f>TONTMAI!H19+TONTMAI!I19</f>
        <v>1000</v>
      </c>
      <c r="M19" s="4"/>
      <c r="N19" s="5"/>
      <c r="O19" s="5"/>
      <c r="P19" s="7">
        <f t="shared" si="4"/>
        <v>0</v>
      </c>
      <c r="Q19" s="7"/>
      <c r="R19" s="7"/>
    </row>
    <row r="20" spans="1:18" x14ac:dyDescent="0.25">
      <c r="A20" s="1" t="s">
        <v>22</v>
      </c>
      <c r="B20" s="1" t="str">
        <f>VLOOKUP(A20,[4]LISTADHERENT!A$5:H$60,3,0)</f>
        <v>KOUATCHO MESSACK</v>
      </c>
      <c r="C20" s="7">
        <f t="shared" si="0"/>
        <v>10000</v>
      </c>
      <c r="D20" s="7">
        <f t="shared" si="1"/>
        <v>20000</v>
      </c>
      <c r="E20" s="7">
        <f t="shared" si="2"/>
        <v>0</v>
      </c>
      <c r="F20" s="5" t="s">
        <v>46</v>
      </c>
      <c r="G20" s="7">
        <f t="shared" si="3"/>
        <v>30000</v>
      </c>
      <c r="H20" s="7"/>
      <c r="I20" s="7"/>
      <c r="J20" s="5"/>
      <c r="K20" s="5"/>
      <c r="L20" s="4">
        <f>TONTMAI!H20+TONTMAI!I20</f>
        <v>0</v>
      </c>
      <c r="M20" s="4"/>
      <c r="N20" s="5"/>
      <c r="O20" s="5"/>
      <c r="P20" s="7">
        <f t="shared" si="4"/>
        <v>0</v>
      </c>
      <c r="Q20" s="7"/>
      <c r="R20" s="7"/>
    </row>
    <row r="21" spans="1:18" x14ac:dyDescent="0.25">
      <c r="A21" s="1" t="s">
        <v>23</v>
      </c>
      <c r="B21" s="1" t="str">
        <f>VLOOKUP(A21,[4]LISTADHERENT!A$5:H$60,3,0)</f>
        <v>LOWE JEAN</v>
      </c>
      <c r="C21" s="7">
        <f t="shared" si="0"/>
        <v>10000</v>
      </c>
      <c r="D21" s="7">
        <f t="shared" si="1"/>
        <v>20000</v>
      </c>
      <c r="E21" s="7">
        <f t="shared" si="2"/>
        <v>0</v>
      </c>
      <c r="F21" s="5" t="s">
        <v>46</v>
      </c>
      <c r="G21" s="7">
        <f t="shared" si="3"/>
        <v>30000</v>
      </c>
      <c r="H21" s="7"/>
      <c r="I21" s="7"/>
      <c r="J21" s="5"/>
      <c r="K21" s="5"/>
      <c r="L21" s="4">
        <f>TONTMAI!H21+TONTMAI!I21</f>
        <v>0</v>
      </c>
      <c r="M21" s="4"/>
      <c r="N21" s="5"/>
      <c r="O21" s="5"/>
      <c r="P21" s="7">
        <f t="shared" si="4"/>
        <v>0</v>
      </c>
      <c r="Q21" s="7"/>
      <c r="R21" s="7"/>
    </row>
    <row r="22" spans="1:18" x14ac:dyDescent="0.25">
      <c r="A22" s="1" t="s">
        <v>70</v>
      </c>
      <c r="B22" s="1" t="str">
        <f>VLOOKUP(A22,[4]LISTADHERENT!A$5:H$60,3,0)</f>
        <v>MBOGNING TUGMA GUY</v>
      </c>
      <c r="C22" s="7">
        <f t="shared" si="0"/>
        <v>10000</v>
      </c>
      <c r="D22" s="7">
        <f t="shared" si="1"/>
        <v>20000</v>
      </c>
      <c r="E22" s="7">
        <f t="shared" si="2"/>
        <v>0</v>
      </c>
      <c r="F22" s="5" t="s">
        <v>46</v>
      </c>
      <c r="G22" s="7">
        <f t="shared" si="3"/>
        <v>30000</v>
      </c>
      <c r="H22" s="7"/>
      <c r="I22" s="7"/>
      <c r="J22" s="5"/>
      <c r="K22" s="5"/>
      <c r="L22" s="4">
        <f>TONTMAI!H22+TONTMAI!I22</f>
        <v>0</v>
      </c>
      <c r="M22" s="4"/>
      <c r="N22" s="5"/>
      <c r="O22" s="5"/>
      <c r="P22" s="7">
        <f t="shared" si="4"/>
        <v>0</v>
      </c>
      <c r="R22" s="7"/>
    </row>
    <row r="23" spans="1:18" x14ac:dyDescent="0.25">
      <c r="A23" s="1" t="s">
        <v>34</v>
      </c>
      <c r="B23" s="1" t="str">
        <f>VLOOKUP(A23,[4]LISTADHERENT!A$5:H$60,3,0)</f>
        <v>NANGUEN MARTIN</v>
      </c>
      <c r="C23" s="7">
        <f t="shared" si="0"/>
        <v>10000</v>
      </c>
      <c r="D23" s="7">
        <f t="shared" si="1"/>
        <v>20000</v>
      </c>
      <c r="E23" s="7">
        <f t="shared" si="2"/>
        <v>0</v>
      </c>
      <c r="F23" s="5" t="s">
        <v>46</v>
      </c>
      <c r="G23" s="7">
        <f t="shared" si="3"/>
        <v>30000</v>
      </c>
      <c r="H23" s="7"/>
      <c r="I23" s="7"/>
      <c r="J23" s="5"/>
      <c r="K23" s="5"/>
      <c r="L23" s="4">
        <f>TONTMAI!H23+TONTMAI!I23</f>
        <v>0</v>
      </c>
      <c r="M23" s="4"/>
      <c r="N23" s="5"/>
      <c r="O23" s="5"/>
      <c r="P23" s="7">
        <f t="shared" si="4"/>
        <v>0</v>
      </c>
      <c r="Q23" s="7"/>
      <c r="R23" s="7"/>
    </row>
    <row r="24" spans="1:18" x14ac:dyDescent="0.25">
      <c r="A24" s="1" t="s">
        <v>24</v>
      </c>
      <c r="B24" s="1" t="str">
        <f>VLOOKUP(A24,[4]LISTADHERENT!A$5:H$60,3,0)</f>
        <v>NANKAM APPOLINAIRE</v>
      </c>
      <c r="C24" s="7">
        <f t="shared" si="0"/>
        <v>10000</v>
      </c>
      <c r="D24" s="7">
        <f t="shared" si="1"/>
        <v>20000</v>
      </c>
      <c r="E24" s="7">
        <f t="shared" si="2"/>
        <v>0</v>
      </c>
      <c r="F24" s="5" t="s">
        <v>46</v>
      </c>
      <c r="G24" s="7">
        <f t="shared" si="3"/>
        <v>30000</v>
      </c>
      <c r="H24" s="7"/>
      <c r="I24" s="7"/>
      <c r="J24" s="5"/>
      <c r="K24" s="5"/>
      <c r="L24" s="4">
        <f>TONTMAI!H24+TONTMAI!I24</f>
        <v>0</v>
      </c>
      <c r="M24" s="4"/>
      <c r="N24" s="5"/>
      <c r="O24" s="5"/>
      <c r="P24" s="7">
        <f t="shared" si="4"/>
        <v>0</v>
      </c>
      <c r="Q24" s="7"/>
      <c r="R24" s="7"/>
    </row>
    <row r="25" spans="1:18" x14ac:dyDescent="0.25">
      <c r="A25" s="1" t="s">
        <v>25</v>
      </c>
      <c r="B25" s="1" t="str">
        <f>VLOOKUP(A25,[4]LISTADHERENT!A$5:H$60,3,0)</f>
        <v>NDJOMO ETIENNE</v>
      </c>
      <c r="C25" s="7">
        <f t="shared" si="0"/>
        <v>10000</v>
      </c>
      <c r="D25" s="7">
        <f t="shared" si="1"/>
        <v>20000</v>
      </c>
      <c r="E25" s="7">
        <f t="shared" si="2"/>
        <v>0</v>
      </c>
      <c r="F25" s="5" t="s">
        <v>46</v>
      </c>
      <c r="G25" s="7">
        <f t="shared" si="3"/>
        <v>30000</v>
      </c>
      <c r="H25" s="7"/>
      <c r="I25" s="7"/>
      <c r="J25" s="5"/>
      <c r="K25" s="5"/>
      <c r="L25" s="4">
        <f>TONTMAI!H25+TONTMAI!I25</f>
        <v>0</v>
      </c>
      <c r="M25" s="4"/>
      <c r="N25" s="5"/>
      <c r="O25" s="5"/>
      <c r="P25" s="7">
        <f t="shared" si="4"/>
        <v>0</v>
      </c>
      <c r="Q25" s="7"/>
      <c r="R25" s="7"/>
    </row>
    <row r="26" spans="1:18" x14ac:dyDescent="0.25">
      <c r="A26" s="1" t="s">
        <v>26</v>
      </c>
      <c r="B26" s="1" t="str">
        <f>VLOOKUP(A26,[4]LISTADHERENT!A$5:H$60,3,0)</f>
        <v>NGONDIEP CLAUDE</v>
      </c>
      <c r="C26" s="7">
        <f t="shared" si="0"/>
        <v>20000</v>
      </c>
      <c r="D26" s="7">
        <f t="shared" si="1"/>
        <v>20000</v>
      </c>
      <c r="E26" s="7">
        <f t="shared" si="2"/>
        <v>0</v>
      </c>
      <c r="F26" s="5" t="s">
        <v>46</v>
      </c>
      <c r="G26" s="7">
        <f>IF(F26="BANQUE",30000,IF(F26="ESPECES",30000,0))+10000</f>
        <v>40000</v>
      </c>
      <c r="H26" s="7"/>
      <c r="I26" s="7"/>
      <c r="J26" s="5"/>
      <c r="K26" s="5"/>
      <c r="L26" s="4">
        <f>TONTMAI!H26+TONTMAI!I26</f>
        <v>0</v>
      </c>
      <c r="M26" s="4"/>
      <c r="N26" s="5"/>
      <c r="O26" s="5"/>
      <c r="P26" s="7">
        <f t="shared" si="4"/>
        <v>0</v>
      </c>
      <c r="Q26" s="7"/>
      <c r="R26" s="7"/>
    </row>
    <row r="27" spans="1:18" x14ac:dyDescent="0.25">
      <c r="A27" s="1" t="s">
        <v>27</v>
      </c>
      <c r="B27" s="1" t="str">
        <f>VLOOKUP(A27,[4]LISTADHERENT!A$5:H$60,3,0)</f>
        <v>NGUIEMEGNI MATHIEU BLAISE</v>
      </c>
      <c r="C27" s="7">
        <f t="shared" si="0"/>
        <v>10000</v>
      </c>
      <c r="D27" s="7">
        <f t="shared" si="1"/>
        <v>20000</v>
      </c>
      <c r="E27" s="7">
        <f t="shared" si="2"/>
        <v>0</v>
      </c>
      <c r="F27" s="5" t="s">
        <v>46</v>
      </c>
      <c r="G27" s="7">
        <f t="shared" si="3"/>
        <v>30000</v>
      </c>
      <c r="H27" s="7"/>
      <c r="I27" s="7"/>
      <c r="J27" s="5"/>
      <c r="K27" s="5"/>
      <c r="L27" s="4">
        <f>TONTMAI!H27+TONTMAI!I27</f>
        <v>0</v>
      </c>
      <c r="M27" s="4"/>
      <c r="N27" s="5"/>
      <c r="O27" s="5"/>
      <c r="P27" s="7">
        <f t="shared" si="4"/>
        <v>279000</v>
      </c>
      <c r="Q27" s="7">
        <v>21000</v>
      </c>
      <c r="R27" s="7"/>
    </row>
    <row r="28" spans="1:18" x14ac:dyDescent="0.25">
      <c r="A28" s="1" t="s">
        <v>28</v>
      </c>
      <c r="B28" s="1" t="str">
        <f>VLOOKUP(A28,[4]LISTADHERENT!A$5:H$60,3,0)</f>
        <v>NKAMGANG JUSTIN DEJOLIE</v>
      </c>
      <c r="C28" s="7">
        <f t="shared" si="0"/>
        <v>10000</v>
      </c>
      <c r="D28" s="7">
        <f t="shared" si="1"/>
        <v>20000</v>
      </c>
      <c r="E28" s="7">
        <f t="shared" si="2"/>
        <v>3000</v>
      </c>
      <c r="F28" s="5" t="s">
        <v>45</v>
      </c>
      <c r="G28" s="7">
        <f t="shared" si="3"/>
        <v>30000</v>
      </c>
      <c r="H28" s="7"/>
      <c r="I28" s="7"/>
      <c r="J28" s="5"/>
      <c r="K28" s="5"/>
      <c r="L28" s="4">
        <f>TONTMAI!H28+TONTMAI!I28</f>
        <v>0</v>
      </c>
      <c r="M28" s="4"/>
      <c r="N28" s="5"/>
      <c r="O28" s="5"/>
      <c r="P28" s="7">
        <f t="shared" si="4"/>
        <v>0</v>
      </c>
      <c r="Q28" s="7"/>
      <c r="R28" s="7"/>
    </row>
    <row r="29" spans="1:18" x14ac:dyDescent="0.25">
      <c r="A29" s="1" t="s">
        <v>18</v>
      </c>
      <c r="B29" s="1" t="str">
        <f>VLOOKUP(A29,[4]LISTADHERENT!A$5:H$60,3,0)</f>
        <v>NKEHE DAVID</v>
      </c>
      <c r="C29" s="7">
        <f t="shared" si="0"/>
        <v>7000</v>
      </c>
      <c r="D29" s="7">
        <f t="shared" si="1"/>
        <v>20000</v>
      </c>
      <c r="E29" s="7">
        <f t="shared" si="2"/>
        <v>3000</v>
      </c>
      <c r="F29" s="5" t="s">
        <v>45</v>
      </c>
      <c r="G29" s="7">
        <f>IF(F29="BANQUE",30000,IF(F29="ESPECES",30000,0))-3000</f>
        <v>27000</v>
      </c>
      <c r="H29" s="7"/>
      <c r="I29" s="7"/>
      <c r="J29" s="5"/>
      <c r="K29" s="5"/>
      <c r="L29" s="4">
        <f>TONTMAI!H29+TONTMAI!I29</f>
        <v>0</v>
      </c>
      <c r="M29" s="4"/>
      <c r="N29" s="5"/>
      <c r="O29" s="5"/>
      <c r="P29" s="7">
        <f t="shared" si="4"/>
        <v>0</v>
      </c>
      <c r="Q29" s="7"/>
      <c r="R29" s="7"/>
    </row>
    <row r="30" spans="1:18" x14ac:dyDescent="0.25">
      <c r="A30" s="1" t="s">
        <v>29</v>
      </c>
      <c r="B30" s="1" t="str">
        <f>VLOOKUP(A30,[4]LISTADHERENT!A$5:H$60,3,0)</f>
        <v>NKEPSEU DIEUDONNE</v>
      </c>
      <c r="C30" s="7">
        <f t="shared" si="0"/>
        <v>10000</v>
      </c>
      <c r="D30" s="7">
        <f t="shared" si="1"/>
        <v>20000</v>
      </c>
      <c r="E30" s="7">
        <f t="shared" si="2"/>
        <v>0</v>
      </c>
      <c r="F30" s="5" t="s">
        <v>46</v>
      </c>
      <c r="G30" s="7">
        <f t="shared" si="3"/>
        <v>30000</v>
      </c>
      <c r="H30" s="7"/>
      <c r="I30" s="7"/>
      <c r="J30" s="5"/>
      <c r="K30" s="5"/>
      <c r="L30" s="4">
        <f>TONTMAI!H30+TONTMAI!I30</f>
        <v>0</v>
      </c>
      <c r="M30" s="4"/>
      <c r="N30" s="5"/>
      <c r="O30" s="5"/>
      <c r="P30" s="7">
        <f t="shared" si="4"/>
        <v>0</v>
      </c>
      <c r="Q30" s="7"/>
      <c r="R30" s="7"/>
    </row>
    <row r="31" spans="1:18" x14ac:dyDescent="0.25">
      <c r="A31" s="1" t="s">
        <v>30</v>
      </c>
      <c r="B31" s="1" t="str">
        <f>VLOOKUP(A31,[4]LISTADHERENT!A$5:H$60,3,0)</f>
        <v>PATEGO NJOSSU GUSTAVE</v>
      </c>
      <c r="C31" s="7">
        <f t="shared" si="0"/>
        <v>10000</v>
      </c>
      <c r="D31" s="7">
        <f t="shared" si="1"/>
        <v>20000</v>
      </c>
      <c r="E31" s="7">
        <f t="shared" si="2"/>
        <v>0</v>
      </c>
      <c r="F31" s="5" t="s">
        <v>46</v>
      </c>
      <c r="G31" s="7">
        <f t="shared" si="3"/>
        <v>30000</v>
      </c>
      <c r="H31" s="7"/>
      <c r="I31" s="7"/>
      <c r="J31" s="5"/>
      <c r="K31" s="5"/>
      <c r="L31" s="4">
        <f>TONTMAI!H31+TONTMAI!I31</f>
        <v>0</v>
      </c>
      <c r="M31" s="4"/>
      <c r="N31" s="5"/>
      <c r="O31" s="5"/>
      <c r="P31" s="7">
        <f t="shared" si="4"/>
        <v>0</v>
      </c>
      <c r="Q31" s="7"/>
      <c r="R31" s="7"/>
    </row>
    <row r="32" spans="1:18" x14ac:dyDescent="0.25">
      <c r="A32" s="1" t="s">
        <v>72</v>
      </c>
      <c r="B32" s="1" t="str">
        <f>VLOOKUP(A32,[4]LISTADHERENT!A$5:H$60,3,0)</f>
        <v>SIME BRICE</v>
      </c>
      <c r="C32" s="7">
        <f t="shared" si="0"/>
        <v>20000</v>
      </c>
      <c r="D32" s="7">
        <f t="shared" si="1"/>
        <v>20000</v>
      </c>
      <c r="E32" s="7">
        <f t="shared" si="2"/>
        <v>0</v>
      </c>
      <c r="F32" s="5" t="s">
        <v>46</v>
      </c>
      <c r="G32" s="7">
        <f>IF(F32="BANQUE",30000,IF(F32="ESPECES",30000,0))+10000</f>
        <v>40000</v>
      </c>
      <c r="H32" s="7"/>
      <c r="I32" s="7"/>
      <c r="J32" s="5"/>
      <c r="K32" s="5"/>
      <c r="L32" s="4">
        <f>TONTMAI!H32+TONTMAI!I32</f>
        <v>0</v>
      </c>
      <c r="M32" s="4"/>
      <c r="N32" s="5"/>
      <c r="O32" s="5"/>
      <c r="P32" s="7">
        <f t="shared" si="4"/>
        <v>0</v>
      </c>
    </row>
    <row r="33" spans="1:18" x14ac:dyDescent="0.25">
      <c r="A33" s="1" t="s">
        <v>31</v>
      </c>
      <c r="B33" s="1" t="str">
        <f>VLOOKUP(A33,[4]LISTADHERENT!A$5:H$60,3,0)</f>
        <v>SIMO FONGANG ERIC</v>
      </c>
      <c r="C33" s="7">
        <f t="shared" si="0"/>
        <v>10000</v>
      </c>
      <c r="D33" s="7">
        <f t="shared" si="1"/>
        <v>20000</v>
      </c>
      <c r="E33" s="7">
        <f t="shared" si="2"/>
        <v>3000</v>
      </c>
      <c r="F33" s="5" t="s">
        <v>45</v>
      </c>
      <c r="G33" s="7">
        <f t="shared" si="3"/>
        <v>30000</v>
      </c>
      <c r="H33" s="7"/>
      <c r="I33" s="7"/>
      <c r="J33" s="5"/>
      <c r="K33" s="5"/>
      <c r="L33" s="4">
        <f>TONTMAI!H33+TONTMAI!I33</f>
        <v>0</v>
      </c>
      <c r="M33" s="4"/>
      <c r="N33" s="5"/>
      <c r="O33" s="5"/>
      <c r="P33" s="7">
        <f t="shared" si="4"/>
        <v>0</v>
      </c>
      <c r="Q33" s="7"/>
      <c r="R33" s="7"/>
    </row>
    <row r="34" spans="1:18" x14ac:dyDescent="0.25">
      <c r="A34" s="1" t="s">
        <v>32</v>
      </c>
      <c r="B34" s="1" t="str">
        <f>VLOOKUP(A34,[4]LISTADHERENT!A$5:H$60,3,0)</f>
        <v>SIME MATHIEU</v>
      </c>
      <c r="C34" s="7">
        <f t="shared" si="0"/>
        <v>10000</v>
      </c>
      <c r="D34" s="7">
        <f t="shared" si="1"/>
        <v>20000</v>
      </c>
      <c r="E34" s="7">
        <f t="shared" si="2"/>
        <v>0</v>
      </c>
      <c r="F34" s="5" t="s">
        <v>46</v>
      </c>
      <c r="G34" s="7">
        <f t="shared" si="3"/>
        <v>30000</v>
      </c>
      <c r="H34" s="7"/>
      <c r="I34" s="7"/>
      <c r="J34" s="5"/>
      <c r="K34" s="5"/>
      <c r="L34" s="4">
        <f>TONTMAI!H34+TONTMAI!I34</f>
        <v>0</v>
      </c>
      <c r="M34" s="4"/>
      <c r="N34" s="5"/>
      <c r="O34" s="5"/>
      <c r="P34" s="7">
        <f t="shared" si="4"/>
        <v>0</v>
      </c>
      <c r="Q34" s="7"/>
      <c r="R34" s="7"/>
    </row>
    <row r="35" spans="1:18" x14ac:dyDescent="0.25">
      <c r="A35" s="1" t="s">
        <v>33</v>
      </c>
      <c r="B35" s="1" t="str">
        <f>VLOOKUP(A35,[4]LISTADHERENT!A$5:H$60,3,0)</f>
        <v>SIMO PIERRE</v>
      </c>
      <c r="C35" s="7">
        <f t="shared" si="0"/>
        <v>70000</v>
      </c>
      <c r="D35" s="7">
        <f t="shared" si="1"/>
        <v>20000</v>
      </c>
      <c r="E35" s="7">
        <f t="shared" si="2"/>
        <v>0</v>
      </c>
      <c r="F35" s="5" t="s">
        <v>46</v>
      </c>
      <c r="G35" s="7">
        <f>IF(F35="BANQUE",30000,IF(F35="ESPECES",30000,0))+60000</f>
        <v>90000</v>
      </c>
      <c r="H35" s="7"/>
      <c r="I35" s="7"/>
      <c r="J35" s="5"/>
      <c r="K35" s="5"/>
      <c r="L35" s="4">
        <f>TONTMAI!H35+TONTMAI!I35</f>
        <v>0</v>
      </c>
      <c r="M35" s="4"/>
      <c r="N35" s="5"/>
      <c r="O35" s="5"/>
      <c r="P35" s="7">
        <f t="shared" si="4"/>
        <v>0</v>
      </c>
      <c r="Q35" s="7"/>
      <c r="R35" s="7"/>
    </row>
    <row r="36" spans="1:18" x14ac:dyDescent="0.25">
      <c r="A36" s="1" t="s">
        <v>35</v>
      </c>
      <c r="B36" s="1" t="str">
        <f>VLOOKUP(A36,[4]LISTADHERENT!A$5:H$60,3,0)</f>
        <v>TCHOUAMOU MATHIEU</v>
      </c>
      <c r="C36" s="7">
        <f t="shared" si="0"/>
        <v>10000</v>
      </c>
      <c r="D36" s="7">
        <f t="shared" si="1"/>
        <v>20000</v>
      </c>
      <c r="E36" s="7">
        <f t="shared" si="2"/>
        <v>0</v>
      </c>
      <c r="F36" s="5" t="s">
        <v>46</v>
      </c>
      <c r="G36" s="7">
        <f t="shared" si="3"/>
        <v>30000</v>
      </c>
      <c r="H36" s="7"/>
      <c r="I36" s="7"/>
      <c r="J36" s="5"/>
      <c r="K36" s="5"/>
      <c r="L36" s="4">
        <f>TONTMAI!H36+TONTMAI!I36</f>
        <v>0</v>
      </c>
      <c r="M36" s="4"/>
      <c r="N36" s="5"/>
      <c r="O36" s="5"/>
      <c r="P36" s="7">
        <f t="shared" si="4"/>
        <v>0</v>
      </c>
      <c r="Q36" s="7"/>
      <c r="R36" s="7"/>
    </row>
    <row r="37" spans="1:18" x14ac:dyDescent="0.25">
      <c r="A37" s="1" t="s">
        <v>36</v>
      </c>
      <c r="B37" s="1" t="str">
        <f>VLOOKUP(A37,[4]LISTADHERENT!A$5:H$60,3,0)</f>
        <v>TIEYAM ERNEST</v>
      </c>
      <c r="C37" s="7">
        <f t="shared" si="0"/>
        <v>10000</v>
      </c>
      <c r="D37" s="7">
        <f t="shared" si="1"/>
        <v>20000</v>
      </c>
      <c r="E37" s="7">
        <f t="shared" si="2"/>
        <v>3000</v>
      </c>
      <c r="F37" s="5" t="s">
        <v>45</v>
      </c>
      <c r="G37" s="7">
        <f t="shared" si="3"/>
        <v>30000</v>
      </c>
      <c r="H37" s="7"/>
      <c r="I37" s="7"/>
      <c r="J37" s="5"/>
      <c r="K37" s="5"/>
      <c r="L37" s="4">
        <f>TONTMAI!H37+TONTMAI!I37</f>
        <v>0</v>
      </c>
      <c r="M37" s="4"/>
      <c r="N37" s="5"/>
      <c r="O37" s="5"/>
      <c r="P37" s="7">
        <f t="shared" si="4"/>
        <v>0</v>
      </c>
      <c r="Q37" s="7"/>
      <c r="R37" s="7"/>
    </row>
    <row r="38" spans="1:18" x14ac:dyDescent="0.25">
      <c r="A38" s="1" t="s">
        <v>37</v>
      </c>
      <c r="B38" s="1" t="str">
        <f>VLOOKUP(A38,[4]LISTADHERENT!A$5:H$60,3,0)</f>
        <v>YEPMOU JEAN JACQUES</v>
      </c>
      <c r="C38" s="7">
        <f t="shared" si="0"/>
        <v>10000</v>
      </c>
      <c r="D38" s="7">
        <f t="shared" si="1"/>
        <v>20000</v>
      </c>
      <c r="E38" s="7">
        <f t="shared" si="2"/>
        <v>3000</v>
      </c>
      <c r="F38" s="5" t="s">
        <v>45</v>
      </c>
      <c r="G38" s="7">
        <f t="shared" si="3"/>
        <v>30000</v>
      </c>
      <c r="H38" s="7"/>
      <c r="I38" s="7"/>
      <c r="J38" s="5"/>
      <c r="K38" s="5"/>
      <c r="L38" s="4">
        <f>TONTMAI!H38+TONTMAI!I38</f>
        <v>0</v>
      </c>
      <c r="M38" s="4"/>
      <c r="N38" s="5"/>
      <c r="O38" s="5"/>
      <c r="P38" s="7">
        <f t="shared" si="4"/>
        <v>0</v>
      </c>
      <c r="Q38" s="7"/>
      <c r="R38" s="7"/>
    </row>
    <row r="39" spans="1:18" x14ac:dyDescent="0.25">
      <c r="A39" s="1" t="s">
        <v>38</v>
      </c>
      <c r="B39" s="1" t="str">
        <f>VLOOKUP(A39,[4]LISTADHERENT!A$5:H$60,3,0)</f>
        <v>YOUMBI EMMANUEL</v>
      </c>
      <c r="C39" s="7">
        <f t="shared" si="0"/>
        <v>10000</v>
      </c>
      <c r="D39" s="7">
        <f t="shared" si="1"/>
        <v>20000</v>
      </c>
      <c r="E39" s="7">
        <f t="shared" si="2"/>
        <v>0</v>
      </c>
      <c r="F39" s="5" t="s">
        <v>46</v>
      </c>
      <c r="G39" s="7">
        <f t="shared" si="3"/>
        <v>30000</v>
      </c>
      <c r="H39" s="7"/>
      <c r="I39" s="7"/>
      <c r="J39" s="5"/>
      <c r="K39" s="5"/>
      <c r="L39" s="4">
        <f>TONTMAI!H39+TONTMAI!I39</f>
        <v>0</v>
      </c>
      <c r="M39" s="4"/>
      <c r="N39" s="5"/>
      <c r="O39" s="5"/>
      <c r="P39" s="7">
        <f t="shared" si="4"/>
        <v>0</v>
      </c>
      <c r="Q39" s="7"/>
      <c r="R39" s="7"/>
    </row>
    <row r="40" spans="1:18" x14ac:dyDescent="0.25">
      <c r="A40" s="1" t="s">
        <v>92</v>
      </c>
      <c r="B40" s="1" t="str">
        <f>VLOOKUP(A40,[4]LISTADHERENT!A$5:H$60,3,0)</f>
        <v>TCHEMHOU EMMANUEL</v>
      </c>
      <c r="C40" s="7"/>
      <c r="D40" s="7"/>
      <c r="E40" s="7"/>
      <c r="F40" s="5"/>
      <c r="G40" s="7"/>
      <c r="H40" s="7"/>
      <c r="I40" s="7"/>
      <c r="J40" s="5"/>
      <c r="K40" s="5"/>
      <c r="L40" s="7"/>
      <c r="M40" s="4"/>
      <c r="N40" s="5"/>
      <c r="O40" s="5"/>
      <c r="P40" s="7"/>
    </row>
    <row r="41" spans="1:18" x14ac:dyDescent="0.25">
      <c r="A41" s="1"/>
      <c r="B41" s="1"/>
      <c r="C41" s="7"/>
      <c r="D41" s="7"/>
      <c r="E41" s="7"/>
      <c r="F41" s="5"/>
      <c r="G41" s="7"/>
      <c r="H41" s="7"/>
      <c r="I41" s="7"/>
      <c r="J41" s="5"/>
      <c r="K41" s="5"/>
      <c r="L41" s="7"/>
      <c r="M41" s="5"/>
      <c r="N41" s="5"/>
      <c r="O41" s="5"/>
      <c r="P41" s="7"/>
    </row>
    <row r="42" spans="1:18" x14ac:dyDescent="0.25">
      <c r="A42" s="1"/>
      <c r="B42" s="1"/>
      <c r="C42" s="7"/>
      <c r="D42" s="7"/>
      <c r="E42" s="7"/>
      <c r="F42" s="5"/>
      <c r="G42" s="7"/>
      <c r="H42" s="7"/>
      <c r="I42" s="7"/>
      <c r="J42" s="5"/>
      <c r="K42" s="5"/>
      <c r="L42" s="7"/>
      <c r="M42" s="5"/>
      <c r="N42" s="5"/>
      <c r="O42" s="5"/>
      <c r="P42" s="7"/>
    </row>
    <row r="43" spans="1:18" x14ac:dyDescent="0.25">
      <c r="A43" s="1"/>
      <c r="B43" s="1"/>
      <c r="C43" s="7"/>
      <c r="D43" s="7"/>
      <c r="E43" s="7"/>
      <c r="F43" s="5"/>
      <c r="G43" s="7"/>
      <c r="H43" s="7"/>
      <c r="I43" s="7"/>
      <c r="J43" s="5"/>
      <c r="K43" s="5"/>
      <c r="L43" s="7"/>
      <c r="M43" s="5"/>
      <c r="N43" s="5"/>
      <c r="O43" s="5"/>
      <c r="P43" s="7"/>
    </row>
    <row r="44" spans="1:18" x14ac:dyDescent="0.25">
      <c r="A44" s="1"/>
      <c r="B44" s="1"/>
      <c r="C44" s="1"/>
      <c r="D44" s="1"/>
      <c r="E44" s="1"/>
      <c r="F44" s="1"/>
      <c r="M44" s="1"/>
      <c r="N44" s="1"/>
    </row>
    <row r="45" spans="1:18" x14ac:dyDescent="0.25">
      <c r="A45" s="1"/>
      <c r="B45" s="1"/>
      <c r="C45" s="1"/>
      <c r="D45" s="1"/>
      <c r="E45" s="1"/>
      <c r="F45" s="1"/>
      <c r="M45" s="1"/>
      <c r="N45" s="1"/>
    </row>
    <row r="46" spans="1:18" ht="18" x14ac:dyDescent="0.25">
      <c r="A46" s="1" t="s">
        <v>39</v>
      </c>
      <c r="B46" s="1"/>
      <c r="C46" s="8">
        <f>SUM(C7:C45)</f>
        <v>421500</v>
      </c>
      <c r="D46" s="8">
        <f t="shared" ref="D46:R46" si="5">SUM(D7:D45)</f>
        <v>620000</v>
      </c>
      <c r="E46" s="8">
        <f t="shared" si="5"/>
        <v>15000</v>
      </c>
      <c r="F46" s="8">
        <f t="shared" si="5"/>
        <v>0</v>
      </c>
      <c r="G46" s="8">
        <f t="shared" si="5"/>
        <v>1041500</v>
      </c>
      <c r="H46" s="8">
        <f t="shared" si="5"/>
        <v>55500</v>
      </c>
      <c r="I46" s="8">
        <f t="shared" si="5"/>
        <v>0</v>
      </c>
      <c r="J46" s="8">
        <f t="shared" si="5"/>
        <v>0</v>
      </c>
      <c r="K46" s="8">
        <f t="shared" si="5"/>
        <v>0</v>
      </c>
      <c r="L46" s="8">
        <f t="shared" si="5"/>
        <v>55500</v>
      </c>
      <c r="M46" s="8">
        <f t="shared" si="5"/>
        <v>0</v>
      </c>
      <c r="N46" s="8">
        <f t="shared" si="5"/>
        <v>0</v>
      </c>
      <c r="O46" s="8">
        <f t="shared" si="5"/>
        <v>0</v>
      </c>
      <c r="P46" s="8">
        <f t="shared" si="5"/>
        <v>559000</v>
      </c>
      <c r="Q46" s="8">
        <f t="shared" si="5"/>
        <v>41000</v>
      </c>
      <c r="R46" s="8">
        <f t="shared" si="5"/>
        <v>0</v>
      </c>
    </row>
    <row r="48" spans="1:18" x14ac:dyDescent="0.25">
      <c r="I48" s="9"/>
    </row>
    <row r="49" spans="4:15" ht="18" x14ac:dyDescent="0.25">
      <c r="G49" s="8" t="s">
        <v>75</v>
      </c>
      <c r="H49" s="8">
        <f>D73+H73+Q46</f>
        <v>661000</v>
      </c>
      <c r="I49" s="8"/>
      <c r="J49" s="8"/>
      <c r="K49" s="8"/>
      <c r="O49" s="8"/>
    </row>
    <row r="50" spans="4:15" ht="18" x14ac:dyDescent="0.25">
      <c r="G50" s="8" t="s">
        <v>76</v>
      </c>
      <c r="H50" s="8">
        <f>IF(H49&gt;=900000,300000*3,300000*2)</f>
        <v>600000</v>
      </c>
      <c r="I50" s="9"/>
    </row>
    <row r="51" spans="4:15" ht="18" x14ac:dyDescent="0.25">
      <c r="D51" s="4" t="s">
        <v>47</v>
      </c>
      <c r="E51" s="8">
        <f>+D46</f>
        <v>620000</v>
      </c>
      <c r="I51" s="8"/>
      <c r="J51" s="8"/>
      <c r="K51" s="8"/>
      <c r="O51" s="8"/>
    </row>
    <row r="52" spans="4:15" ht="43.5" x14ac:dyDescent="0.25">
      <c r="D52" s="4" t="s">
        <v>65</v>
      </c>
      <c r="E52" s="8">
        <f>E46</f>
        <v>15000</v>
      </c>
      <c r="F52" s="8"/>
      <c r="G52" s="8" t="s">
        <v>74</v>
      </c>
      <c r="H52" s="8">
        <f>H49-H50</f>
        <v>61000</v>
      </c>
      <c r="L52" s="12"/>
      <c r="M52" s="8"/>
      <c r="N52" s="8"/>
    </row>
    <row r="53" spans="4:15" ht="18" x14ac:dyDescent="0.25">
      <c r="D53" s="4" t="s">
        <v>60</v>
      </c>
      <c r="E53" s="8">
        <f>+H46</f>
        <v>55500</v>
      </c>
    </row>
    <row r="54" spans="4:15" ht="29.25" x14ac:dyDescent="0.25">
      <c r="D54" s="4" t="s">
        <v>79</v>
      </c>
      <c r="E54" s="8">
        <f>+I46</f>
        <v>0</v>
      </c>
      <c r="G54" s="8" t="s">
        <v>78</v>
      </c>
      <c r="H54" s="8">
        <f>H52-H46-46000</f>
        <v>-40500</v>
      </c>
      <c r="I54" s="19" t="s">
        <v>94</v>
      </c>
    </row>
    <row r="55" spans="4:15" ht="29.25" x14ac:dyDescent="0.25">
      <c r="D55" s="4" t="s">
        <v>66</v>
      </c>
      <c r="E55" s="8">
        <f>+L46</f>
        <v>55500</v>
      </c>
    </row>
    <row r="56" spans="4:15" ht="29.25" x14ac:dyDescent="0.25">
      <c r="D56" s="4" t="s">
        <v>67</v>
      </c>
      <c r="E56" s="8">
        <f>+Q46</f>
        <v>41000</v>
      </c>
    </row>
    <row r="57" spans="4:15" ht="18" x14ac:dyDescent="0.25">
      <c r="D57" s="4" t="s">
        <v>51</v>
      </c>
      <c r="E57" s="8">
        <f>[5]MVTJUIN!$E$49</f>
        <v>0</v>
      </c>
    </row>
    <row r="58" spans="4:15" ht="18" x14ac:dyDescent="0.25">
      <c r="D58" s="4" t="s">
        <v>41</v>
      </c>
      <c r="E58" s="8">
        <f>[5]MVTJUIN!$E$50</f>
        <v>297500</v>
      </c>
    </row>
    <row r="59" spans="4:15" ht="29.25" x14ac:dyDescent="0.25">
      <c r="D59" s="4" t="s">
        <v>42</v>
      </c>
      <c r="E59" s="8">
        <f>[5]MVTJUIN!$E$51</f>
        <v>15500</v>
      </c>
    </row>
    <row r="60" spans="4:15" ht="29.25" x14ac:dyDescent="0.25">
      <c r="D60" s="4" t="s">
        <v>43</v>
      </c>
      <c r="E60" s="8">
        <f>[5]MVTJUIN!$E$52</f>
        <v>31000</v>
      </c>
    </row>
    <row r="61" spans="4:15" ht="18" x14ac:dyDescent="0.25">
      <c r="D61" s="4" t="s">
        <v>44</v>
      </c>
      <c r="E61" s="8">
        <f>[5]MVTJUIN!$E$53</f>
        <v>77500</v>
      </c>
    </row>
    <row r="62" spans="4:15" ht="18" x14ac:dyDescent="0.25">
      <c r="D62" s="4" t="s">
        <v>52</v>
      </c>
      <c r="E62" s="8">
        <f>[5]MVTJUIN!$E$55</f>
        <v>0</v>
      </c>
    </row>
    <row r="63" spans="4:15" ht="18" x14ac:dyDescent="0.25">
      <c r="D63" s="4" t="s">
        <v>48</v>
      </c>
      <c r="E63" s="8">
        <f>[5]MVTJUIN!$E$56</f>
        <v>1809000</v>
      </c>
    </row>
    <row r="64" spans="4:15" ht="18" x14ac:dyDescent="0.25">
      <c r="D64" s="4" t="s">
        <v>49</v>
      </c>
      <c r="E64" s="8">
        <f>[5]MVTJUIN!$E$57</f>
        <v>36180</v>
      </c>
    </row>
    <row r="65" spans="1:18" ht="29.25" x14ac:dyDescent="0.25">
      <c r="D65" s="4" t="s">
        <v>50</v>
      </c>
      <c r="E65" s="8">
        <f>[5]MVTJUIN!$E$58</f>
        <v>1820000</v>
      </c>
    </row>
    <row r="66" spans="1:18" s="2" customFormat="1" ht="29.25" x14ac:dyDescent="0.25">
      <c r="A66"/>
      <c r="B66"/>
      <c r="C66"/>
      <c r="D66" s="4" t="s">
        <v>87</v>
      </c>
      <c r="E66" s="8">
        <f>[5]MVTJUIN!$E$59</f>
        <v>0</v>
      </c>
      <c r="F66"/>
      <c r="H66"/>
      <c r="I66" s="3"/>
      <c r="J66" s="3"/>
      <c r="K66" s="3"/>
      <c r="M66"/>
      <c r="N66"/>
      <c r="O66" s="3"/>
      <c r="R66"/>
    </row>
    <row r="67" spans="1:18" s="2" customFormat="1" ht="18" x14ac:dyDescent="0.25">
      <c r="A67"/>
      <c r="B67"/>
      <c r="C67"/>
      <c r="D67" s="4" t="s">
        <v>53</v>
      </c>
      <c r="E67" s="8">
        <f>[5]MVTJUIN!$E$60</f>
        <v>0</v>
      </c>
      <c r="F67"/>
      <c r="H67"/>
      <c r="I67" s="3"/>
      <c r="J67" s="3"/>
      <c r="K67" s="3"/>
      <c r="M67"/>
      <c r="N67"/>
      <c r="O67" s="3"/>
      <c r="R67"/>
    </row>
    <row r="68" spans="1:18" s="2" customFormat="1" ht="18" x14ac:dyDescent="0.25">
      <c r="A68"/>
      <c r="B68"/>
      <c r="C68"/>
      <c r="D68" s="4"/>
      <c r="E68" s="8"/>
      <c r="F68"/>
      <c r="H68"/>
      <c r="I68" s="3"/>
      <c r="J68" s="3"/>
      <c r="K68" s="3"/>
      <c r="M68"/>
      <c r="N68"/>
      <c r="O68" s="3"/>
      <c r="R68"/>
    </row>
    <row r="69" spans="1:18" s="2" customFormat="1" ht="43.5" x14ac:dyDescent="0.25">
      <c r="A69"/>
      <c r="B69"/>
      <c r="C69"/>
      <c r="D69" s="4" t="s">
        <v>6</v>
      </c>
      <c r="E69"/>
      <c r="F69" s="4" t="s">
        <v>73</v>
      </c>
      <c r="G69" s="4" t="s">
        <v>68</v>
      </c>
      <c r="H69" s="4" t="s">
        <v>55</v>
      </c>
      <c r="I69" s="4" t="s">
        <v>60</v>
      </c>
      <c r="J69" s="4" t="s">
        <v>62</v>
      </c>
      <c r="K69" s="4"/>
      <c r="L69" s="4" t="s">
        <v>63</v>
      </c>
      <c r="M69" s="4"/>
      <c r="N69"/>
      <c r="O69" s="4"/>
      <c r="R69"/>
    </row>
    <row r="70" spans="1:18" s="2" customFormat="1" ht="18" x14ac:dyDescent="0.25">
      <c r="A70"/>
      <c r="B70"/>
      <c r="C70"/>
      <c r="D70" s="8">
        <f>SUMIFS(D7:D45,F7:F45,"ESPECES")</f>
        <v>100000</v>
      </c>
      <c r="E70" s="8" t="s">
        <v>45</v>
      </c>
      <c r="F70" s="8">
        <f>SUMIFS(G7:G45,F7:F45,"ESPECES")</f>
        <v>147000</v>
      </c>
      <c r="G70" s="8">
        <f>+E46</f>
        <v>15000</v>
      </c>
      <c r="H70" s="8">
        <f>SUMIFS(L7:L45,M7:M45,"ESPECES")</f>
        <v>0</v>
      </c>
      <c r="I70" s="8">
        <f>SUMIFS(H7:H45,J7:J45,"ESPECES")</f>
        <v>0</v>
      </c>
      <c r="J70" s="8">
        <f>SUMIFS(P7:P45,N7:N45,"ESPECES")</f>
        <v>0</v>
      </c>
      <c r="K70" s="8"/>
      <c r="L70" s="8">
        <f>F70+H70+G70-I70-J70</f>
        <v>162000</v>
      </c>
      <c r="M70" s="8"/>
      <c r="N70" s="4"/>
      <c r="O70" s="8"/>
      <c r="R70"/>
    </row>
    <row r="71" spans="1:18" s="2" customFormat="1" ht="18" x14ac:dyDescent="0.25">
      <c r="A71"/>
      <c r="B71"/>
      <c r="C71"/>
      <c r="D71" s="8">
        <f>SUMIFS(D7:D45,F7:F45,"BANQUE")</f>
        <v>520000</v>
      </c>
      <c r="E71" s="8" t="s">
        <v>46</v>
      </c>
      <c r="F71" s="8">
        <f>SUMIFS(G7:G45,F7:F45,"BANQUE")</f>
        <v>894500</v>
      </c>
      <c r="H71" s="8">
        <f>SUMIFS(L7:L45,M7:M45,"BANQUE")</f>
        <v>0</v>
      </c>
      <c r="I71" s="8">
        <f>SUMIFS(H7:H45,J7:J45,"BANQUE")</f>
        <v>0</v>
      </c>
      <c r="J71" s="8">
        <f>SUMIFS(P7:P45,M7:M45,"BANQUE")</f>
        <v>0</v>
      </c>
      <c r="K71" s="8"/>
      <c r="L71" s="8">
        <f>F71+H71-I71-J71</f>
        <v>894500</v>
      </c>
      <c r="M71" s="8"/>
      <c r="N71" s="8"/>
      <c r="O71" s="8"/>
      <c r="R71"/>
    </row>
    <row r="72" spans="1:18" s="2" customFormat="1" ht="18" x14ac:dyDescent="0.25">
      <c r="A72"/>
      <c r="B72"/>
      <c r="C72"/>
      <c r="D72" s="8"/>
      <c r="E72" s="8"/>
      <c r="F72" s="8"/>
      <c r="H72" s="8"/>
      <c r="I72" s="8"/>
      <c r="J72" s="8"/>
      <c r="K72" s="8"/>
      <c r="L72" s="8"/>
      <c r="M72" s="8"/>
      <c r="N72" s="8"/>
      <c r="O72" s="8"/>
      <c r="R72"/>
    </row>
    <row r="73" spans="1:18" s="2" customFormat="1" ht="18" x14ac:dyDescent="0.25">
      <c r="A73"/>
      <c r="B73"/>
      <c r="C73"/>
      <c r="D73" s="8">
        <f>D70+D71</f>
        <v>620000</v>
      </c>
      <c r="E73" s="8" t="s">
        <v>39</v>
      </c>
      <c r="F73" s="8">
        <f>F70+F71</f>
        <v>1041500</v>
      </c>
      <c r="H73" s="8">
        <f>H70+H71</f>
        <v>0</v>
      </c>
      <c r="I73" s="8">
        <f>I70+I71</f>
        <v>0</v>
      </c>
      <c r="J73" s="8">
        <v>0</v>
      </c>
      <c r="K73" s="8"/>
      <c r="L73" s="8">
        <f>F73+H73-I73-J73</f>
        <v>1041500</v>
      </c>
      <c r="M73" s="8"/>
      <c r="N73" s="8"/>
      <c r="O73" s="8"/>
      <c r="R73"/>
    </row>
    <row r="74" spans="1:18" s="2" customFormat="1" ht="18" x14ac:dyDescent="0.25">
      <c r="A74"/>
      <c r="B74"/>
      <c r="C74"/>
      <c r="D74" s="8">
        <f>D73+R46</f>
        <v>620000</v>
      </c>
      <c r="E74" s="8" t="s">
        <v>82</v>
      </c>
      <c r="F74"/>
      <c r="H74"/>
      <c r="I74" s="3"/>
      <c r="J74" s="3"/>
      <c r="K74" s="3"/>
      <c r="M74"/>
      <c r="N74" s="8"/>
      <c r="O74" s="3"/>
      <c r="R74"/>
    </row>
    <row r="75" spans="1:18" s="2" customFormat="1" ht="18" x14ac:dyDescent="0.25">
      <c r="A75"/>
      <c r="B75"/>
      <c r="C75"/>
      <c r="D75" s="4" t="s">
        <v>6</v>
      </c>
      <c r="E75" s="8">
        <v>300000</v>
      </c>
      <c r="F75"/>
      <c r="H75"/>
      <c r="I75" s="3"/>
      <c r="J75" s="3"/>
      <c r="K75" s="3"/>
      <c r="M75"/>
      <c r="N75"/>
      <c r="O75" s="3"/>
      <c r="R75"/>
    </row>
    <row r="76" spans="1:18" s="2" customFormat="1" ht="29.25" x14ac:dyDescent="0.25">
      <c r="A76"/>
      <c r="B76"/>
      <c r="C76"/>
      <c r="D76" s="10" t="s">
        <v>64</v>
      </c>
      <c r="E76" s="11">
        <f>L46+Q46</f>
        <v>96500</v>
      </c>
      <c r="F76"/>
      <c r="H76"/>
      <c r="I76" s="3"/>
      <c r="J76" s="3"/>
      <c r="K76" s="3"/>
      <c r="M76"/>
      <c r="N76"/>
      <c r="O76" s="3"/>
      <c r="R76"/>
    </row>
    <row r="78" spans="1:18" x14ac:dyDescent="0.25">
      <c r="E78" s="2"/>
    </row>
  </sheetData>
  <autoFilter ref="A5:R39">
    <sortState ref="A5:L48">
      <sortCondition ref="B5:B48"/>
    </sortState>
  </autoFilter>
  <mergeCells count="1">
    <mergeCell ref="C4:I4"/>
  </mergeCells>
  <dataValidations count="1">
    <dataValidation type="list" allowBlank="1" showInputMessage="1" showErrorMessage="1" sqref="J6:K43 F6:F43 M41:M43 N6:O43">
      <formula1>MODEVERSEMENTS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8"/>
  <sheetViews>
    <sheetView workbookViewId="0">
      <pane xSplit="2" ySplit="5" topLeftCell="C51" activePane="bottomRight" state="frozen"/>
      <selection activeCell="I54" sqref="I54"/>
      <selection pane="topRight" activeCell="I54" sqref="I54"/>
      <selection pane="bottomLeft" activeCell="I54" sqref="I54"/>
      <selection pane="bottomRight" activeCell="I54" sqref="I54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15" bestFit="1" customWidth="1"/>
    <col min="4" max="4" width="21" customWidth="1"/>
    <col min="5" max="6" width="16.7109375" customWidth="1"/>
    <col min="7" max="7" width="15" style="2" bestFit="1" customWidth="1"/>
    <col min="8" max="8" width="15" bestFit="1" customWidth="1"/>
    <col min="9" max="9" width="17.5703125" style="3" bestFit="1" customWidth="1"/>
    <col min="10" max="10" width="17.5703125" style="3" customWidth="1"/>
    <col min="11" max="11" width="16" style="3" customWidth="1"/>
    <col min="12" max="12" width="15.7109375" style="2" customWidth="1"/>
    <col min="13" max="14" width="13" customWidth="1"/>
    <col min="15" max="15" width="15.5703125" style="3" customWidth="1"/>
    <col min="16" max="17" width="18.140625" style="2" bestFit="1" customWidth="1"/>
    <col min="18" max="18" width="12.5703125" bestFit="1" customWidth="1"/>
  </cols>
  <sheetData>
    <row r="1" spans="1:18" x14ac:dyDescent="0.25">
      <c r="A1" s="1" t="s">
        <v>0</v>
      </c>
      <c r="B1" s="1" t="s">
        <v>1</v>
      </c>
      <c r="C1" s="1"/>
      <c r="D1" s="1"/>
      <c r="E1" s="1"/>
      <c r="F1" s="1"/>
      <c r="M1" s="1"/>
      <c r="N1" s="1"/>
    </row>
    <row r="2" spans="1:18" x14ac:dyDescent="0.25">
      <c r="A2" s="1" t="s">
        <v>2</v>
      </c>
      <c r="B2" s="1" t="s">
        <v>80</v>
      </c>
      <c r="C2" s="1"/>
      <c r="D2" s="1"/>
      <c r="E2" s="1"/>
      <c r="F2" s="1"/>
      <c r="M2" s="1"/>
      <c r="N2" s="1"/>
    </row>
    <row r="3" spans="1:18" x14ac:dyDescent="0.25">
      <c r="A3" s="1" t="s">
        <v>3</v>
      </c>
      <c r="B3" s="6">
        <v>30000</v>
      </c>
      <c r="C3" s="1"/>
      <c r="D3" s="1"/>
      <c r="E3" s="1"/>
      <c r="F3" s="1"/>
      <c r="M3" s="1"/>
      <c r="N3" s="1"/>
    </row>
    <row r="4" spans="1:18" ht="18" x14ac:dyDescent="0.25">
      <c r="B4" s="13"/>
      <c r="C4" s="20">
        <v>44031</v>
      </c>
      <c r="D4" s="21"/>
      <c r="E4" s="21"/>
      <c r="F4" s="21"/>
      <c r="G4" s="21"/>
      <c r="H4" s="21"/>
      <c r="I4" s="21"/>
      <c r="J4" s="16"/>
      <c r="K4" s="16"/>
      <c r="L4" s="16"/>
      <c r="M4" s="16"/>
      <c r="O4" s="16"/>
      <c r="P4"/>
      <c r="Q4"/>
    </row>
    <row r="5" spans="1:18" ht="57.75" x14ac:dyDescent="0.25">
      <c r="A5" s="1" t="s">
        <v>4</v>
      </c>
      <c r="B5" s="1" t="s">
        <v>5</v>
      </c>
      <c r="C5" s="1" t="s">
        <v>40</v>
      </c>
      <c r="D5" s="4" t="s">
        <v>6</v>
      </c>
      <c r="E5" s="1" t="s">
        <v>65</v>
      </c>
      <c r="F5" s="5" t="s">
        <v>7</v>
      </c>
      <c r="G5" s="4" t="s">
        <v>8</v>
      </c>
      <c r="H5" s="6" t="s">
        <v>60</v>
      </c>
      <c r="I5" s="4" t="s">
        <v>57</v>
      </c>
      <c r="J5" s="4" t="s">
        <v>61</v>
      </c>
      <c r="K5" s="14" t="s">
        <v>77</v>
      </c>
      <c r="L5" s="4" t="s">
        <v>55</v>
      </c>
      <c r="M5" s="4" t="s">
        <v>54</v>
      </c>
      <c r="N5" s="4" t="s">
        <v>58</v>
      </c>
      <c r="O5" s="4" t="s">
        <v>77</v>
      </c>
      <c r="P5" s="4" t="s">
        <v>56</v>
      </c>
      <c r="Q5" s="6" t="s">
        <v>59</v>
      </c>
      <c r="R5" s="4" t="s">
        <v>81</v>
      </c>
    </row>
    <row r="6" spans="1:18" x14ac:dyDescent="0.25">
      <c r="A6" s="1" t="s">
        <v>69</v>
      </c>
      <c r="B6" s="1" t="str">
        <f>VLOOKUP(A6,[4]LISTADHERENT!A$5:H$60,3,0)</f>
        <v>ASELBY</v>
      </c>
      <c r="C6" s="7">
        <f t="shared" ref="C6:C39" si="0">IF(G6=0,0,G6-D6)</f>
        <v>0</v>
      </c>
      <c r="D6" s="7">
        <f t="shared" ref="D6:D39" si="1">IF(F6="ECHEC",0,IF(F6="",0,20000))</f>
        <v>0</v>
      </c>
      <c r="E6" s="7">
        <f t="shared" ref="E6:E39" si="2">IF(F6="ESPECES",3000,0)</f>
        <v>0</v>
      </c>
      <c r="F6" s="5" t="s">
        <v>9</v>
      </c>
      <c r="G6" s="7">
        <f t="shared" ref="G6:G39" si="3">IF(F6="BANQUE",30000,IF(F6="ESPECES",30000,0))</f>
        <v>0</v>
      </c>
      <c r="H6" s="7"/>
      <c r="I6" s="7"/>
      <c r="J6" s="5"/>
      <c r="K6" s="5"/>
      <c r="L6" s="4">
        <f>TONTJUIN!H6+TONTJUIN!I6</f>
        <v>0</v>
      </c>
      <c r="M6" s="4"/>
      <c r="N6" s="5"/>
      <c r="O6" s="5"/>
      <c r="P6" s="7">
        <f>IF(Q6=0,0,($E$76-Q6))</f>
        <v>0</v>
      </c>
      <c r="Q6" s="7"/>
      <c r="R6" s="7"/>
    </row>
    <row r="7" spans="1:18" x14ac:dyDescent="0.25">
      <c r="A7" s="1" t="s">
        <v>10</v>
      </c>
      <c r="B7" s="1" t="str">
        <f>VLOOKUP(A7,[4]LISTADHERENT!A$5:H$60,3,0)</f>
        <v>BOUTCHOUANG WILLIAM</v>
      </c>
      <c r="C7" s="7">
        <f t="shared" si="0"/>
        <v>10000</v>
      </c>
      <c r="D7" s="7">
        <f t="shared" si="1"/>
        <v>20000</v>
      </c>
      <c r="E7" s="7">
        <f t="shared" si="2"/>
        <v>0</v>
      </c>
      <c r="F7" s="5" t="s">
        <v>46</v>
      </c>
      <c r="G7" s="7">
        <f>IF(F7="BANQUE",30000,IF(F7="ESPECES",30000,0))</f>
        <v>30000</v>
      </c>
      <c r="H7" s="7"/>
      <c r="I7" s="7"/>
      <c r="J7" s="5"/>
      <c r="K7" s="5"/>
      <c r="L7" s="4">
        <f>TONTJUIN!H7+TONTJUIN!I7</f>
        <v>0</v>
      </c>
      <c r="M7" s="4"/>
      <c r="N7" s="5"/>
      <c r="O7" s="5"/>
      <c r="P7" s="7">
        <f t="shared" ref="P7:P39" si="4">IF(Q7=0,0,($E$75-Q7))</f>
        <v>0</v>
      </c>
      <c r="Q7" s="7"/>
      <c r="R7" s="7"/>
    </row>
    <row r="8" spans="1:18" x14ac:dyDescent="0.25">
      <c r="A8" s="1" t="s">
        <v>11</v>
      </c>
      <c r="B8" s="1" t="str">
        <f>VLOOKUP(A8,[4]LISTADHERENT!A$5:H$60,3,0)</f>
        <v xml:space="preserve">DJOMO JEAN PAUL </v>
      </c>
      <c r="C8" s="7">
        <f t="shared" si="0"/>
        <v>15000</v>
      </c>
      <c r="D8" s="7">
        <f t="shared" si="1"/>
        <v>20000</v>
      </c>
      <c r="E8" s="7">
        <f t="shared" si="2"/>
        <v>0</v>
      </c>
      <c r="F8" s="5" t="s">
        <v>46</v>
      </c>
      <c r="G8" s="7">
        <f>IF(F8="BANQUE",30000,IF(F8="ESPECES",30000,0))+5000</f>
        <v>35000</v>
      </c>
      <c r="H8" s="7"/>
      <c r="I8" s="7"/>
      <c r="J8" s="5"/>
      <c r="K8" s="5"/>
      <c r="L8" s="4">
        <f>TONTJUIN!H8+TONTJUIN!I8</f>
        <v>0</v>
      </c>
      <c r="M8" s="4"/>
      <c r="N8" s="5"/>
      <c r="O8" s="5"/>
      <c r="P8" s="7">
        <f t="shared" si="4"/>
        <v>0</v>
      </c>
      <c r="Q8" s="7"/>
      <c r="R8" s="7"/>
    </row>
    <row r="9" spans="1:18" x14ac:dyDescent="0.25">
      <c r="A9" s="1" t="s">
        <v>83</v>
      </c>
      <c r="B9" s="1" t="str">
        <f>VLOOKUP(A9,[4]LISTADHERENT!A$5:H$60,3,0)</f>
        <v>DJOMOU TCHANDA</v>
      </c>
      <c r="C9" s="7">
        <f t="shared" si="0"/>
        <v>10000</v>
      </c>
      <c r="D9" s="7">
        <f t="shared" si="1"/>
        <v>20000</v>
      </c>
      <c r="E9" s="7">
        <f t="shared" si="2"/>
        <v>0</v>
      </c>
      <c r="F9" s="5" t="s">
        <v>46</v>
      </c>
      <c r="G9" s="7">
        <f t="shared" si="3"/>
        <v>30000</v>
      </c>
      <c r="H9" s="7"/>
      <c r="I9" s="7"/>
      <c r="J9" s="5"/>
      <c r="K9" s="5"/>
      <c r="L9" s="4">
        <f>TONTJUIN!H9+TONTJUIN!I9</f>
        <v>0</v>
      </c>
      <c r="M9" s="4"/>
      <c r="N9" s="5"/>
      <c r="O9" s="5"/>
      <c r="P9" s="7">
        <f t="shared" si="4"/>
        <v>270000</v>
      </c>
      <c r="Q9" s="7">
        <v>30000</v>
      </c>
      <c r="R9" s="7"/>
    </row>
    <row r="10" spans="1:18" x14ac:dyDescent="0.25">
      <c r="A10" s="1" t="s">
        <v>12</v>
      </c>
      <c r="B10" s="1" t="str">
        <f>VLOOKUP(A10,[4]LISTADHERENT!A$5:H$60,3,0)</f>
        <v>DJOUKWE NANGUEN GUY BLAISE</v>
      </c>
      <c r="C10" s="7">
        <f t="shared" si="0"/>
        <v>10000</v>
      </c>
      <c r="D10" s="7">
        <f t="shared" si="1"/>
        <v>20000</v>
      </c>
      <c r="E10" s="7">
        <f t="shared" si="2"/>
        <v>0</v>
      </c>
      <c r="F10" s="5" t="s">
        <v>46</v>
      </c>
      <c r="G10" s="7">
        <f t="shared" si="3"/>
        <v>30000</v>
      </c>
      <c r="H10" s="7"/>
      <c r="I10" s="7"/>
      <c r="J10" s="5"/>
      <c r="K10" s="5"/>
      <c r="L10" s="4">
        <f>TONTJUIN!H10+TONTJUIN!I10</f>
        <v>0</v>
      </c>
      <c r="M10" s="4"/>
      <c r="N10" s="5"/>
      <c r="O10" s="5"/>
      <c r="P10" s="7">
        <f t="shared" si="4"/>
        <v>0</v>
      </c>
      <c r="Q10" s="7"/>
      <c r="R10" s="7"/>
    </row>
    <row r="11" spans="1:18" x14ac:dyDescent="0.25">
      <c r="A11" s="1" t="s">
        <v>13</v>
      </c>
      <c r="B11" s="1" t="str">
        <f>VLOOKUP(A11,[4]LISTADHERENT!A$5:H$60,3,0)</f>
        <v>DJUOMBESSY ANTOINE</v>
      </c>
      <c r="C11" s="7">
        <f t="shared" si="0"/>
        <v>10000</v>
      </c>
      <c r="D11" s="7">
        <f t="shared" si="1"/>
        <v>20000</v>
      </c>
      <c r="E11" s="7">
        <f t="shared" si="2"/>
        <v>0</v>
      </c>
      <c r="F11" s="5" t="s">
        <v>46</v>
      </c>
      <c r="G11" s="7">
        <f t="shared" si="3"/>
        <v>30000</v>
      </c>
      <c r="H11" s="7">
        <v>25000</v>
      </c>
      <c r="I11" s="7">
        <v>2000</v>
      </c>
      <c r="J11" s="5"/>
      <c r="K11" s="5"/>
      <c r="L11" s="4">
        <f>TONTJUIN!H11+TONTJUIN!I11</f>
        <v>0</v>
      </c>
      <c r="M11" s="4"/>
      <c r="N11" s="5"/>
      <c r="O11" s="5"/>
      <c r="P11" s="7">
        <f t="shared" si="4"/>
        <v>273000</v>
      </c>
      <c r="Q11" s="7">
        <v>27000</v>
      </c>
      <c r="R11" s="7"/>
    </row>
    <row r="12" spans="1:18" x14ac:dyDescent="0.25">
      <c r="A12" s="1" t="s">
        <v>71</v>
      </c>
      <c r="B12" s="1" t="str">
        <f>VLOOKUP(A12,[4]LISTADHERENT!A$5:H$60,3,0)</f>
        <v>DOMOU FABIEN</v>
      </c>
      <c r="C12" s="7">
        <f t="shared" si="0"/>
        <v>10000</v>
      </c>
      <c r="D12" s="7">
        <f t="shared" si="1"/>
        <v>20000</v>
      </c>
      <c r="E12" s="7">
        <f t="shared" si="2"/>
        <v>0</v>
      </c>
      <c r="F12" s="5" t="s">
        <v>46</v>
      </c>
      <c r="G12" s="7">
        <f t="shared" si="3"/>
        <v>30000</v>
      </c>
      <c r="H12" s="7"/>
      <c r="I12" s="7"/>
      <c r="J12" s="5"/>
      <c r="K12" s="5"/>
      <c r="L12" s="4">
        <f>TONTJUIN!H12+TONTJUIN!I12</f>
        <v>0</v>
      </c>
      <c r="M12" s="4"/>
      <c r="N12" s="5"/>
      <c r="O12" s="5"/>
      <c r="P12" s="7">
        <f t="shared" si="4"/>
        <v>0</v>
      </c>
    </row>
    <row r="13" spans="1:18" x14ac:dyDescent="0.25">
      <c r="A13" s="1" t="s">
        <v>14</v>
      </c>
      <c r="B13" s="1" t="str">
        <f>VLOOKUP(A13,[4]LISTADHERENT!A$5:H$60,3,0)</f>
        <v>DONHOU DAVID</v>
      </c>
      <c r="C13" s="7">
        <f t="shared" si="0"/>
        <v>10000</v>
      </c>
      <c r="D13" s="7">
        <f t="shared" si="1"/>
        <v>20000</v>
      </c>
      <c r="E13" s="7">
        <f t="shared" si="2"/>
        <v>0</v>
      </c>
      <c r="F13" s="5" t="s">
        <v>46</v>
      </c>
      <c r="G13" s="7">
        <f t="shared" si="3"/>
        <v>30000</v>
      </c>
      <c r="H13" s="7"/>
      <c r="I13" s="7"/>
      <c r="J13" s="5"/>
      <c r="K13" s="5"/>
      <c r="L13" s="4">
        <f>TONTJUIN!H13+TONTJUIN!I13</f>
        <v>0</v>
      </c>
      <c r="M13" s="4"/>
      <c r="N13" s="5"/>
      <c r="O13" s="5"/>
      <c r="P13" s="7">
        <f t="shared" si="4"/>
        <v>0</v>
      </c>
      <c r="Q13" s="7"/>
      <c r="R13" s="7"/>
    </row>
    <row r="14" spans="1:18" x14ac:dyDescent="0.25">
      <c r="A14" s="1" t="s">
        <v>15</v>
      </c>
      <c r="B14" s="1" t="str">
        <f>VLOOKUP(A14,[4]LISTADHERENT!A$5:H$60,3,0)</f>
        <v>FOTSO THOMAS</v>
      </c>
      <c r="C14" s="7">
        <f t="shared" si="0"/>
        <v>7000</v>
      </c>
      <c r="D14" s="7">
        <f t="shared" si="1"/>
        <v>20000</v>
      </c>
      <c r="E14" s="7">
        <f t="shared" si="2"/>
        <v>3000</v>
      </c>
      <c r="F14" s="5" t="s">
        <v>45</v>
      </c>
      <c r="G14" s="7">
        <f>IF(F14="BANQUE",30000,IF(F14="ESPECES",30000,0))-3000</f>
        <v>27000</v>
      </c>
      <c r="H14" s="7">
        <v>54500</v>
      </c>
      <c r="I14" s="7"/>
      <c r="J14" s="5"/>
      <c r="K14" s="5"/>
      <c r="L14" s="4">
        <f>TONTJUIN!H14+TONTJUIN!I14</f>
        <v>54500</v>
      </c>
      <c r="M14" s="4"/>
      <c r="N14" s="5"/>
      <c r="O14" s="5"/>
      <c r="P14" s="7">
        <f t="shared" si="4"/>
        <v>0</v>
      </c>
      <c r="Q14" s="7"/>
      <c r="R14" s="7"/>
    </row>
    <row r="15" spans="1:18" x14ac:dyDescent="0.25">
      <c r="A15" s="1" t="s">
        <v>16</v>
      </c>
      <c r="B15" s="1" t="str">
        <f>VLOOKUP(A15,[4]LISTADHERENT!A$5:H$60,3,0)</f>
        <v>HENGUE PAUL OMER</v>
      </c>
      <c r="C15" s="7">
        <f t="shared" si="0"/>
        <v>10000</v>
      </c>
      <c r="D15" s="7">
        <f t="shared" si="1"/>
        <v>20000</v>
      </c>
      <c r="E15" s="7">
        <f t="shared" si="2"/>
        <v>0</v>
      </c>
      <c r="F15" s="5" t="s">
        <v>46</v>
      </c>
      <c r="G15" s="7">
        <f t="shared" si="3"/>
        <v>30000</v>
      </c>
      <c r="H15" s="7"/>
      <c r="I15" s="7"/>
      <c r="J15" s="5"/>
      <c r="K15" s="5"/>
      <c r="L15" s="4">
        <f>TONTJUIN!H15+TONTJUIN!I15</f>
        <v>0</v>
      </c>
      <c r="M15" s="4"/>
      <c r="N15" s="5"/>
      <c r="O15" s="5"/>
      <c r="P15" s="7">
        <f t="shared" si="4"/>
        <v>0</v>
      </c>
      <c r="Q15" s="7"/>
      <c r="R15" s="7"/>
    </row>
    <row r="16" spans="1:18" x14ac:dyDescent="0.25">
      <c r="A16" s="1" t="s">
        <v>17</v>
      </c>
      <c r="B16" s="1" t="str">
        <f>VLOOKUP(A16,[4]LISTADHERENT!A$5:H$60,3,0)</f>
        <v>HOTCHO BENJAMIN</v>
      </c>
      <c r="C16" s="7">
        <f t="shared" si="0"/>
        <v>45000</v>
      </c>
      <c r="D16" s="7">
        <f t="shared" si="1"/>
        <v>20000</v>
      </c>
      <c r="E16" s="7">
        <f t="shared" si="2"/>
        <v>0</v>
      </c>
      <c r="F16" s="5" t="s">
        <v>46</v>
      </c>
      <c r="G16" s="7">
        <f>IF(F16="BANQUE",30000,IF(F16="ESPECES",30000,0))+35000</f>
        <v>65000</v>
      </c>
      <c r="H16" s="7"/>
      <c r="I16" s="7"/>
      <c r="J16" s="5"/>
      <c r="K16" s="5"/>
      <c r="L16" s="4">
        <f>TONTJUIN!H16+TONTJUIN!I16</f>
        <v>0</v>
      </c>
      <c r="M16" s="4"/>
      <c r="N16" s="5"/>
      <c r="O16" s="5"/>
      <c r="P16" s="7">
        <f t="shared" si="4"/>
        <v>0</v>
      </c>
      <c r="Q16" s="7"/>
      <c r="R16" s="7"/>
    </row>
    <row r="17" spans="1:18" x14ac:dyDescent="0.25">
      <c r="A17" s="1" t="s">
        <v>19</v>
      </c>
      <c r="B17" s="1" t="str">
        <f>VLOOKUP(A17,[4]LISTADHERENT!A$5:H$60,3,0)</f>
        <v>KEPSEU FRANCIS</v>
      </c>
      <c r="C17" s="7">
        <f t="shared" si="0"/>
        <v>10000</v>
      </c>
      <c r="D17" s="7">
        <f t="shared" si="1"/>
        <v>20000</v>
      </c>
      <c r="E17" s="7">
        <f t="shared" si="2"/>
        <v>0</v>
      </c>
      <c r="F17" s="5" t="s">
        <v>46</v>
      </c>
      <c r="G17" s="7">
        <f t="shared" si="3"/>
        <v>30000</v>
      </c>
      <c r="H17" s="7"/>
      <c r="I17" s="7"/>
      <c r="J17" s="5"/>
      <c r="K17" s="5"/>
      <c r="L17" s="4">
        <f>TONTJUIN!H17+TONTJUIN!I17</f>
        <v>0</v>
      </c>
      <c r="M17" s="4"/>
      <c r="N17" s="5"/>
      <c r="O17" s="5"/>
      <c r="P17" s="7">
        <f t="shared" si="4"/>
        <v>0</v>
      </c>
      <c r="Q17" s="7"/>
      <c r="R17" s="7"/>
    </row>
    <row r="18" spans="1:18" x14ac:dyDescent="0.25">
      <c r="A18" s="1" t="s">
        <v>21</v>
      </c>
      <c r="B18" s="1" t="str">
        <f>VLOOKUP(A18,[4]LISTADHERENT!A$5:H$60,3,0)</f>
        <v>KOUAMO VICTOR PEGUY</v>
      </c>
      <c r="C18" s="7">
        <f t="shared" si="0"/>
        <v>0</v>
      </c>
      <c r="D18" s="7">
        <f t="shared" si="1"/>
        <v>0</v>
      </c>
      <c r="E18" s="7">
        <f t="shared" si="2"/>
        <v>0</v>
      </c>
      <c r="F18" s="5" t="s">
        <v>9</v>
      </c>
      <c r="G18" s="7">
        <f t="shared" si="3"/>
        <v>0</v>
      </c>
      <c r="H18" s="7"/>
      <c r="I18" s="7"/>
      <c r="J18" s="5"/>
      <c r="K18" s="5"/>
      <c r="L18" s="4">
        <f>TONTJUIN!H18+TONTJUIN!I18</f>
        <v>0</v>
      </c>
      <c r="M18" s="4"/>
      <c r="N18" s="5"/>
      <c r="O18" s="5"/>
      <c r="P18" s="7">
        <f t="shared" si="4"/>
        <v>0</v>
      </c>
      <c r="Q18" s="7"/>
      <c r="R18" s="7"/>
    </row>
    <row r="19" spans="1:18" x14ac:dyDescent="0.25">
      <c r="A19" s="1" t="s">
        <v>20</v>
      </c>
      <c r="B19" s="1" t="str">
        <f>VLOOKUP(A19,[4]LISTADHERENT!A$5:H$60,3,0)</f>
        <v>KOUAMOU MOISE</v>
      </c>
      <c r="C19" s="7">
        <f t="shared" si="0"/>
        <v>10000</v>
      </c>
      <c r="D19" s="7">
        <f t="shared" si="1"/>
        <v>20000</v>
      </c>
      <c r="E19" s="7">
        <f t="shared" si="2"/>
        <v>0</v>
      </c>
      <c r="F19" s="5" t="s">
        <v>46</v>
      </c>
      <c r="G19" s="7">
        <f t="shared" si="3"/>
        <v>30000</v>
      </c>
      <c r="H19" s="7">
        <v>1000</v>
      </c>
      <c r="I19" s="7"/>
      <c r="J19" s="5"/>
      <c r="K19" s="5"/>
      <c r="L19" s="4">
        <f>TONTJUIN!H19+TONTJUIN!I19</f>
        <v>1000</v>
      </c>
      <c r="M19" s="4"/>
      <c r="N19" s="5"/>
      <c r="O19" s="5"/>
      <c r="P19" s="7">
        <f t="shared" si="4"/>
        <v>0</v>
      </c>
      <c r="Q19" s="7"/>
      <c r="R19" s="7"/>
    </row>
    <row r="20" spans="1:18" x14ac:dyDescent="0.25">
      <c r="A20" s="1" t="s">
        <v>22</v>
      </c>
      <c r="B20" s="1" t="str">
        <f>VLOOKUP(A20,[4]LISTADHERENT!A$5:H$60,3,0)</f>
        <v>KOUATCHO MESSACK</v>
      </c>
      <c r="C20" s="7">
        <f t="shared" si="0"/>
        <v>10000</v>
      </c>
      <c r="D20" s="7">
        <f t="shared" si="1"/>
        <v>20000</v>
      </c>
      <c r="E20" s="7">
        <f t="shared" si="2"/>
        <v>0</v>
      </c>
      <c r="F20" s="5" t="s">
        <v>46</v>
      </c>
      <c r="G20" s="7">
        <f t="shared" si="3"/>
        <v>30000</v>
      </c>
      <c r="H20" s="7"/>
      <c r="I20" s="7"/>
      <c r="J20" s="5"/>
      <c r="K20" s="5"/>
      <c r="L20" s="4">
        <f>TONTJUIN!H20+TONTJUIN!I20</f>
        <v>0</v>
      </c>
      <c r="M20" s="4"/>
      <c r="N20" s="5"/>
      <c r="O20" s="5"/>
      <c r="P20" s="7">
        <f t="shared" si="4"/>
        <v>0</v>
      </c>
      <c r="Q20" s="7"/>
      <c r="R20" s="7"/>
    </row>
    <row r="21" spans="1:18" x14ac:dyDescent="0.25">
      <c r="A21" s="1" t="s">
        <v>23</v>
      </c>
      <c r="B21" s="1" t="str">
        <f>VLOOKUP(A21,[4]LISTADHERENT!A$5:H$60,3,0)</f>
        <v>LOWE JEAN</v>
      </c>
      <c r="C21" s="7">
        <f t="shared" si="0"/>
        <v>10000</v>
      </c>
      <c r="D21" s="7">
        <f t="shared" si="1"/>
        <v>20000</v>
      </c>
      <c r="E21" s="7">
        <f t="shared" si="2"/>
        <v>3000</v>
      </c>
      <c r="F21" s="5" t="s">
        <v>45</v>
      </c>
      <c r="G21" s="7">
        <f t="shared" si="3"/>
        <v>30000</v>
      </c>
      <c r="H21" s="7"/>
      <c r="I21" s="7"/>
      <c r="J21" s="5"/>
      <c r="K21" s="5"/>
      <c r="L21" s="4">
        <f>TONTJUIN!H21+TONTJUIN!I21</f>
        <v>0</v>
      </c>
      <c r="M21" s="4"/>
      <c r="N21" s="5"/>
      <c r="O21" s="5"/>
      <c r="P21" s="7">
        <f t="shared" si="4"/>
        <v>0</v>
      </c>
      <c r="Q21" s="7"/>
      <c r="R21" s="7"/>
    </row>
    <row r="22" spans="1:18" x14ac:dyDescent="0.25">
      <c r="A22" s="1" t="s">
        <v>70</v>
      </c>
      <c r="B22" s="1" t="str">
        <f>VLOOKUP(A22,[4]LISTADHERENT!A$5:H$60,3,0)</f>
        <v>MBOGNING TUGMA GUY</v>
      </c>
      <c r="C22" s="7">
        <f t="shared" si="0"/>
        <v>10000</v>
      </c>
      <c r="D22" s="7">
        <f t="shared" si="1"/>
        <v>20000</v>
      </c>
      <c r="E22" s="7">
        <f t="shared" si="2"/>
        <v>0</v>
      </c>
      <c r="F22" s="5" t="s">
        <v>46</v>
      </c>
      <c r="G22" s="7">
        <f t="shared" si="3"/>
        <v>30000</v>
      </c>
      <c r="H22" s="7"/>
      <c r="I22" s="7"/>
      <c r="J22" s="5"/>
      <c r="K22" s="5"/>
      <c r="L22" s="4">
        <f>TONTJUIN!H22+TONTJUIN!I22</f>
        <v>0</v>
      </c>
      <c r="M22" s="4"/>
      <c r="N22" s="5"/>
      <c r="O22" s="5"/>
      <c r="P22" s="7">
        <f t="shared" si="4"/>
        <v>0</v>
      </c>
      <c r="R22" s="7"/>
    </row>
    <row r="23" spans="1:18" x14ac:dyDescent="0.25">
      <c r="A23" s="1" t="s">
        <v>34</v>
      </c>
      <c r="B23" s="1" t="str">
        <f>VLOOKUP(A23,[4]LISTADHERENT!A$5:H$60,3,0)</f>
        <v>NANGUEN MARTIN</v>
      </c>
      <c r="C23" s="7">
        <f t="shared" si="0"/>
        <v>10000</v>
      </c>
      <c r="D23" s="7">
        <f t="shared" si="1"/>
        <v>20000</v>
      </c>
      <c r="E23" s="7">
        <f t="shared" si="2"/>
        <v>0</v>
      </c>
      <c r="F23" s="5" t="s">
        <v>46</v>
      </c>
      <c r="G23" s="7">
        <f t="shared" si="3"/>
        <v>30000</v>
      </c>
      <c r="H23" s="7"/>
      <c r="I23" s="7"/>
      <c r="J23" s="5"/>
      <c r="K23" s="5"/>
      <c r="L23" s="4">
        <f>TONTJUIN!H23+TONTJUIN!I23</f>
        <v>0</v>
      </c>
      <c r="M23" s="4"/>
      <c r="N23" s="5"/>
      <c r="O23" s="5"/>
      <c r="P23" s="7">
        <f t="shared" si="4"/>
        <v>0</v>
      </c>
      <c r="Q23" s="7"/>
      <c r="R23" s="7"/>
    </row>
    <row r="24" spans="1:18" x14ac:dyDescent="0.25">
      <c r="A24" s="1" t="s">
        <v>24</v>
      </c>
      <c r="B24" s="1" t="str">
        <f>VLOOKUP(A24,[4]LISTADHERENT!A$5:H$60,3,0)</f>
        <v>NANKAM APPOLINAIRE</v>
      </c>
      <c r="C24" s="7">
        <f t="shared" si="0"/>
        <v>10000</v>
      </c>
      <c r="D24" s="7">
        <f t="shared" si="1"/>
        <v>20000</v>
      </c>
      <c r="E24" s="7">
        <f t="shared" si="2"/>
        <v>0</v>
      </c>
      <c r="F24" s="5" t="s">
        <v>46</v>
      </c>
      <c r="G24" s="7">
        <f t="shared" si="3"/>
        <v>30000</v>
      </c>
      <c r="H24" s="7"/>
      <c r="I24" s="7"/>
      <c r="J24" s="5"/>
      <c r="K24" s="5"/>
      <c r="L24" s="4">
        <f>TONTJUIN!H24+TONTJUIN!I24</f>
        <v>0</v>
      </c>
      <c r="M24" s="4"/>
      <c r="N24" s="5"/>
      <c r="O24" s="5"/>
      <c r="P24" s="7">
        <f t="shared" si="4"/>
        <v>0</v>
      </c>
      <c r="Q24" s="7"/>
      <c r="R24" s="7"/>
    </row>
    <row r="25" spans="1:18" x14ac:dyDescent="0.25">
      <c r="A25" s="1" t="s">
        <v>25</v>
      </c>
      <c r="B25" s="1" t="str">
        <f>VLOOKUP(A25,[4]LISTADHERENT!A$5:H$60,3,0)</f>
        <v>NDJOMO ETIENNE</v>
      </c>
      <c r="C25" s="7">
        <f t="shared" si="0"/>
        <v>14000</v>
      </c>
      <c r="D25" s="7">
        <f t="shared" si="1"/>
        <v>20000</v>
      </c>
      <c r="E25" s="7">
        <f t="shared" si="2"/>
        <v>0</v>
      </c>
      <c r="F25" s="5" t="s">
        <v>46</v>
      </c>
      <c r="G25" s="7">
        <f>IF(F25="BANQUE",30000,IF(F25="ESPECES",30000,0))+4000</f>
        <v>34000</v>
      </c>
      <c r="H25" s="7">
        <v>22000</v>
      </c>
      <c r="I25" s="7">
        <v>1500</v>
      </c>
      <c r="J25" s="5"/>
      <c r="K25" s="5"/>
      <c r="L25" s="4">
        <f>TONTJUIN!H25+TONTJUIN!I25</f>
        <v>0</v>
      </c>
      <c r="M25" s="4"/>
      <c r="N25" s="5"/>
      <c r="O25" s="5"/>
      <c r="P25" s="7">
        <f t="shared" si="4"/>
        <v>0</v>
      </c>
      <c r="Q25" s="7"/>
      <c r="R25" s="7"/>
    </row>
    <row r="26" spans="1:18" x14ac:dyDescent="0.25">
      <c r="A26" s="1" t="s">
        <v>26</v>
      </c>
      <c r="B26" s="1" t="str">
        <f>VLOOKUP(A26,[4]LISTADHERENT!A$5:H$60,3,0)</f>
        <v>NGONDIEP CLAUDE</v>
      </c>
      <c r="C26" s="7">
        <f t="shared" si="0"/>
        <v>20000</v>
      </c>
      <c r="D26" s="7">
        <f t="shared" si="1"/>
        <v>20000</v>
      </c>
      <c r="E26" s="7">
        <f t="shared" si="2"/>
        <v>0</v>
      </c>
      <c r="F26" s="5" t="s">
        <v>46</v>
      </c>
      <c r="G26" s="7">
        <f>IF(F26="BANQUE",30000,IF(F26="ESPECES",30000,0))+10000</f>
        <v>40000</v>
      </c>
      <c r="H26" s="7"/>
      <c r="I26" s="7"/>
      <c r="J26" s="5"/>
      <c r="K26" s="5"/>
      <c r="L26" s="4">
        <f>TONTJUIN!H26+TONTJUIN!I26</f>
        <v>0</v>
      </c>
      <c r="M26" s="4"/>
      <c r="N26" s="5"/>
      <c r="O26" s="5"/>
      <c r="P26" s="7">
        <f t="shared" si="4"/>
        <v>0</v>
      </c>
      <c r="Q26" s="7"/>
      <c r="R26" s="7"/>
    </row>
    <row r="27" spans="1:18" x14ac:dyDescent="0.25">
      <c r="A27" s="1" t="s">
        <v>27</v>
      </c>
      <c r="B27" s="1" t="str">
        <f>VLOOKUP(A27,[4]LISTADHERENT!A$5:H$60,3,0)</f>
        <v>NGUIEMEGNI MATHIEU BLAISE</v>
      </c>
      <c r="C27" s="7">
        <f t="shared" si="0"/>
        <v>10000</v>
      </c>
      <c r="D27" s="7">
        <f t="shared" si="1"/>
        <v>20000</v>
      </c>
      <c r="E27" s="7">
        <f t="shared" si="2"/>
        <v>0</v>
      </c>
      <c r="F27" s="5" t="s">
        <v>46</v>
      </c>
      <c r="G27" s="7">
        <f t="shared" si="3"/>
        <v>30000</v>
      </c>
      <c r="H27" s="7"/>
      <c r="I27" s="7"/>
      <c r="J27" s="5"/>
      <c r="K27" s="5"/>
      <c r="L27" s="4">
        <f>TONTJUIN!H27+TONTJUIN!I27</f>
        <v>0</v>
      </c>
      <c r="M27" s="4"/>
      <c r="N27" s="5"/>
      <c r="O27" s="5"/>
      <c r="P27" s="7">
        <f t="shared" si="4"/>
        <v>0</v>
      </c>
      <c r="Q27" s="7"/>
      <c r="R27" s="7"/>
    </row>
    <row r="28" spans="1:18" x14ac:dyDescent="0.25">
      <c r="A28" s="1" t="s">
        <v>28</v>
      </c>
      <c r="B28" s="1" t="str">
        <f>VLOOKUP(A28,[4]LISTADHERENT!A$5:H$60,3,0)</f>
        <v>NKAMGANG JUSTIN DEJOLIE</v>
      </c>
      <c r="C28" s="7">
        <f t="shared" si="0"/>
        <v>13000</v>
      </c>
      <c r="D28" s="7">
        <f t="shared" si="1"/>
        <v>20000</v>
      </c>
      <c r="E28" s="7">
        <f t="shared" si="2"/>
        <v>0</v>
      </c>
      <c r="F28" s="5" t="s">
        <v>46</v>
      </c>
      <c r="G28" s="7">
        <f>IF(F28="BANQUE",30000,IF(F28="ESPECES",30000,0))+3000</f>
        <v>33000</v>
      </c>
      <c r="H28" s="7"/>
      <c r="I28" s="7"/>
      <c r="J28" s="5"/>
      <c r="K28" s="5"/>
      <c r="L28" s="4">
        <f>TONTJUIN!H28+TONTJUIN!I28</f>
        <v>0</v>
      </c>
      <c r="M28" s="4"/>
      <c r="N28" s="5"/>
      <c r="O28" s="5"/>
      <c r="P28" s="7">
        <f t="shared" si="4"/>
        <v>0</v>
      </c>
      <c r="Q28" s="7"/>
      <c r="R28" s="7"/>
    </row>
    <row r="29" spans="1:18" x14ac:dyDescent="0.25">
      <c r="A29" s="1" t="s">
        <v>18</v>
      </c>
      <c r="B29" s="1" t="str">
        <f>VLOOKUP(A29,[4]LISTADHERENT!A$5:H$60,3,0)</f>
        <v>NKEHE DAVID</v>
      </c>
      <c r="C29" s="7">
        <f t="shared" si="0"/>
        <v>7000</v>
      </c>
      <c r="D29" s="7">
        <f t="shared" si="1"/>
        <v>20000</v>
      </c>
      <c r="E29" s="7">
        <f t="shared" si="2"/>
        <v>3000</v>
      </c>
      <c r="F29" s="5" t="s">
        <v>45</v>
      </c>
      <c r="G29" s="7">
        <f>IF(F29="BANQUE",30000,IF(F29="ESPECES",30000,0))-3000</f>
        <v>27000</v>
      </c>
      <c r="H29" s="7"/>
      <c r="I29" s="7"/>
      <c r="J29" s="5"/>
      <c r="K29" s="5"/>
      <c r="L29" s="4">
        <f>TONTJUIN!H29+TONTJUIN!I29</f>
        <v>0</v>
      </c>
      <c r="M29" s="4"/>
      <c r="N29" s="5"/>
      <c r="O29" s="5"/>
      <c r="P29" s="7">
        <f t="shared" si="4"/>
        <v>0</v>
      </c>
      <c r="Q29" s="7"/>
      <c r="R29" s="7"/>
    </row>
    <row r="30" spans="1:18" x14ac:dyDescent="0.25">
      <c r="A30" s="1" t="s">
        <v>29</v>
      </c>
      <c r="B30" s="1" t="str">
        <f>VLOOKUP(A30,[4]LISTADHERENT!A$5:H$60,3,0)</f>
        <v>NKEPSEU DIEUDONNE</v>
      </c>
      <c r="C30" s="7">
        <f t="shared" si="0"/>
        <v>10000</v>
      </c>
      <c r="D30" s="7">
        <f t="shared" si="1"/>
        <v>20000</v>
      </c>
      <c r="E30" s="7">
        <f t="shared" si="2"/>
        <v>0</v>
      </c>
      <c r="F30" s="5" t="s">
        <v>46</v>
      </c>
      <c r="G30" s="7">
        <f t="shared" si="3"/>
        <v>30000</v>
      </c>
      <c r="H30" s="7"/>
      <c r="I30" s="7"/>
      <c r="J30" s="5"/>
      <c r="K30" s="5"/>
      <c r="L30" s="4">
        <f>TONTJUIN!H30+TONTJUIN!I30</f>
        <v>0</v>
      </c>
      <c r="M30" s="4"/>
      <c r="N30" s="5"/>
      <c r="O30" s="5"/>
      <c r="P30" s="7">
        <f t="shared" si="4"/>
        <v>0</v>
      </c>
      <c r="Q30" s="7"/>
      <c r="R30" s="7"/>
    </row>
    <row r="31" spans="1:18" x14ac:dyDescent="0.25">
      <c r="A31" s="1" t="s">
        <v>30</v>
      </c>
      <c r="B31" s="1" t="str">
        <f>VLOOKUP(A31,[4]LISTADHERENT!A$5:H$60,3,0)</f>
        <v>PATEGO NJOSSU GUSTAVE</v>
      </c>
      <c r="C31" s="7">
        <f t="shared" si="0"/>
        <v>10000</v>
      </c>
      <c r="D31" s="7">
        <f t="shared" si="1"/>
        <v>20000</v>
      </c>
      <c r="E31" s="7">
        <f t="shared" si="2"/>
        <v>0</v>
      </c>
      <c r="F31" s="5" t="s">
        <v>46</v>
      </c>
      <c r="G31" s="7">
        <f t="shared" si="3"/>
        <v>30000</v>
      </c>
      <c r="H31" s="7"/>
      <c r="I31" s="7"/>
      <c r="J31" s="5"/>
      <c r="K31" s="5"/>
      <c r="L31" s="4">
        <f>TONTJUIN!H31+TONTJUIN!I31</f>
        <v>0</v>
      </c>
      <c r="M31" s="4"/>
      <c r="N31" s="5"/>
      <c r="O31" s="5"/>
      <c r="P31" s="7">
        <f t="shared" si="4"/>
        <v>0</v>
      </c>
      <c r="Q31" s="7"/>
      <c r="R31" s="7"/>
    </row>
    <row r="32" spans="1:18" x14ac:dyDescent="0.25">
      <c r="A32" s="1" t="s">
        <v>72</v>
      </c>
      <c r="B32" s="1" t="str">
        <f>VLOOKUP(A32,[4]LISTADHERENT!A$5:H$60,3,0)</f>
        <v>SIME BRICE</v>
      </c>
      <c r="C32" s="7">
        <f t="shared" si="0"/>
        <v>20000</v>
      </c>
      <c r="D32" s="7">
        <f t="shared" si="1"/>
        <v>20000</v>
      </c>
      <c r="E32" s="7">
        <f t="shared" si="2"/>
        <v>0</v>
      </c>
      <c r="F32" s="5" t="s">
        <v>46</v>
      </c>
      <c r="G32" s="7">
        <f>IF(F32="BANQUE",30000,IF(F32="ESPECES",30000,0))+10000</f>
        <v>40000</v>
      </c>
      <c r="H32" s="7"/>
      <c r="I32" s="7"/>
      <c r="J32" s="5"/>
      <c r="K32" s="5"/>
      <c r="L32" s="4">
        <f>TONTJUIN!H32+TONTJUIN!I32</f>
        <v>0</v>
      </c>
      <c r="M32" s="4"/>
      <c r="N32" s="5"/>
      <c r="O32" s="5"/>
      <c r="P32" s="7">
        <f t="shared" si="4"/>
        <v>0</v>
      </c>
    </row>
    <row r="33" spans="1:18" x14ac:dyDescent="0.25">
      <c r="A33" s="1" t="s">
        <v>31</v>
      </c>
      <c r="B33" s="1" t="str">
        <f>VLOOKUP(A33,[4]LISTADHERENT!A$5:H$60,3,0)</f>
        <v>SIMO FONGANG ERIC</v>
      </c>
      <c r="C33" s="7">
        <f t="shared" si="0"/>
        <v>10000</v>
      </c>
      <c r="D33" s="7">
        <f t="shared" si="1"/>
        <v>20000</v>
      </c>
      <c r="E33" s="7">
        <f t="shared" si="2"/>
        <v>3000</v>
      </c>
      <c r="F33" s="5" t="s">
        <v>45</v>
      </c>
      <c r="G33" s="7">
        <f t="shared" si="3"/>
        <v>30000</v>
      </c>
      <c r="H33" s="7"/>
      <c r="I33" s="7"/>
      <c r="J33" s="5"/>
      <c r="K33" s="5"/>
      <c r="L33" s="4">
        <f>TONTJUIN!H33+TONTJUIN!I33</f>
        <v>0</v>
      </c>
      <c r="M33" s="4"/>
      <c r="N33" s="5"/>
      <c r="O33" s="5"/>
      <c r="P33" s="7">
        <f t="shared" si="4"/>
        <v>0</v>
      </c>
      <c r="Q33" s="7"/>
      <c r="R33" s="7"/>
    </row>
    <row r="34" spans="1:18" x14ac:dyDescent="0.25">
      <c r="A34" s="1" t="s">
        <v>32</v>
      </c>
      <c r="B34" s="1" t="str">
        <f>VLOOKUP(A34,[4]LISTADHERENT!A$5:H$60,3,0)</f>
        <v>SIME MATHIEU</v>
      </c>
      <c r="C34" s="7">
        <f t="shared" si="0"/>
        <v>10000</v>
      </c>
      <c r="D34" s="7">
        <f t="shared" si="1"/>
        <v>20000</v>
      </c>
      <c r="E34" s="7">
        <f t="shared" si="2"/>
        <v>0</v>
      </c>
      <c r="F34" s="5" t="s">
        <v>46</v>
      </c>
      <c r="G34" s="7">
        <f t="shared" si="3"/>
        <v>30000</v>
      </c>
      <c r="H34" s="7"/>
      <c r="I34" s="7"/>
      <c r="J34" s="5"/>
      <c r="K34" s="5"/>
      <c r="L34" s="4">
        <f>TONTJUIN!H34+TONTJUIN!I34</f>
        <v>0</v>
      </c>
      <c r="M34" s="4"/>
      <c r="N34" s="5"/>
      <c r="O34" s="5"/>
      <c r="P34" s="7">
        <f t="shared" si="4"/>
        <v>0</v>
      </c>
      <c r="Q34" s="7"/>
      <c r="R34" s="7"/>
    </row>
    <row r="35" spans="1:18" x14ac:dyDescent="0.25">
      <c r="A35" s="1" t="s">
        <v>33</v>
      </c>
      <c r="B35" s="1" t="str">
        <f>VLOOKUP(A35,[4]LISTADHERENT!A$5:H$60,3,0)</f>
        <v>SIMO PIERRE</v>
      </c>
      <c r="C35" s="7">
        <f t="shared" si="0"/>
        <v>15000</v>
      </c>
      <c r="D35" s="7">
        <f t="shared" si="1"/>
        <v>20000</v>
      </c>
      <c r="E35" s="7">
        <f t="shared" si="2"/>
        <v>0</v>
      </c>
      <c r="F35" s="5" t="s">
        <v>46</v>
      </c>
      <c r="G35" s="7">
        <f>IF(F35="BANQUE",30000,IF(F35="ESPECES",30000,0))+5000</f>
        <v>35000</v>
      </c>
      <c r="H35" s="7"/>
      <c r="I35" s="7"/>
      <c r="J35" s="5"/>
      <c r="K35" s="5"/>
      <c r="L35" s="4">
        <f>TONTJUIN!H35+TONTJUIN!I35</f>
        <v>0</v>
      </c>
      <c r="M35" s="4"/>
      <c r="N35" s="5"/>
      <c r="O35" s="5"/>
      <c r="P35" s="7">
        <f t="shared" si="4"/>
        <v>0</v>
      </c>
      <c r="Q35" s="7"/>
      <c r="R35" s="7"/>
    </row>
    <row r="36" spans="1:18" x14ac:dyDescent="0.25">
      <c r="A36" s="1" t="s">
        <v>35</v>
      </c>
      <c r="B36" s="1" t="str">
        <f>VLOOKUP(A36,[4]LISTADHERENT!A$5:H$60,3,0)</f>
        <v>TCHOUAMOU MATHIEU</v>
      </c>
      <c r="C36" s="7">
        <f t="shared" si="0"/>
        <v>10000</v>
      </c>
      <c r="D36" s="7">
        <f t="shared" si="1"/>
        <v>20000</v>
      </c>
      <c r="E36" s="7">
        <f t="shared" si="2"/>
        <v>0</v>
      </c>
      <c r="F36" s="5" t="s">
        <v>46</v>
      </c>
      <c r="G36" s="7">
        <f t="shared" si="3"/>
        <v>30000</v>
      </c>
      <c r="H36" s="7"/>
      <c r="I36" s="7"/>
      <c r="J36" s="5"/>
      <c r="K36" s="5"/>
      <c r="L36" s="4">
        <f>TONTJUIN!H36+TONTJUIN!I36</f>
        <v>0</v>
      </c>
      <c r="M36" s="4"/>
      <c r="N36" s="5"/>
      <c r="O36" s="5"/>
      <c r="P36" s="7">
        <f t="shared" si="4"/>
        <v>0</v>
      </c>
      <c r="Q36" s="7"/>
      <c r="R36" s="7"/>
    </row>
    <row r="37" spans="1:18" x14ac:dyDescent="0.25">
      <c r="A37" s="1" t="s">
        <v>36</v>
      </c>
      <c r="B37" s="1" t="str">
        <f>VLOOKUP(A37,[4]LISTADHERENT!A$5:H$60,3,0)</f>
        <v>TIEYAM ERNEST</v>
      </c>
      <c r="C37" s="7">
        <f t="shared" si="0"/>
        <v>10000</v>
      </c>
      <c r="D37" s="7">
        <f t="shared" si="1"/>
        <v>20000</v>
      </c>
      <c r="E37" s="7">
        <f t="shared" si="2"/>
        <v>0</v>
      </c>
      <c r="F37" s="5" t="s">
        <v>46</v>
      </c>
      <c r="G37" s="7">
        <f t="shared" si="3"/>
        <v>30000</v>
      </c>
      <c r="H37" s="7">
        <v>45000</v>
      </c>
      <c r="I37" s="7">
        <v>3000</v>
      </c>
      <c r="J37" s="5"/>
      <c r="K37" s="5"/>
      <c r="L37" s="4">
        <f>TONTJUIN!H37+TONTJUIN!I37</f>
        <v>0</v>
      </c>
      <c r="M37" s="4"/>
      <c r="N37" s="5"/>
      <c r="O37" s="5"/>
      <c r="P37" s="7">
        <f t="shared" si="4"/>
        <v>0</v>
      </c>
      <c r="Q37" s="7"/>
      <c r="R37" s="7"/>
    </row>
    <row r="38" spans="1:18" x14ac:dyDescent="0.25">
      <c r="A38" s="1" t="s">
        <v>37</v>
      </c>
      <c r="B38" s="1" t="str">
        <f>VLOOKUP(A38,[4]LISTADHERENT!A$5:H$60,3,0)</f>
        <v>YEPMOU JEAN JACQUES</v>
      </c>
      <c r="C38" s="7">
        <f t="shared" si="0"/>
        <v>10000</v>
      </c>
      <c r="D38" s="7">
        <f t="shared" si="1"/>
        <v>20000</v>
      </c>
      <c r="E38" s="7">
        <f t="shared" si="2"/>
        <v>0</v>
      </c>
      <c r="F38" s="5" t="s">
        <v>46</v>
      </c>
      <c r="G38" s="7">
        <f t="shared" si="3"/>
        <v>30000</v>
      </c>
      <c r="H38" s="7"/>
      <c r="I38" s="7"/>
      <c r="J38" s="5"/>
      <c r="K38" s="5"/>
      <c r="L38" s="4">
        <f>TONTJUIN!H38+TONTJUIN!I38</f>
        <v>0</v>
      </c>
      <c r="M38" s="4"/>
      <c r="N38" s="5"/>
      <c r="O38" s="5"/>
      <c r="P38" s="7">
        <f t="shared" si="4"/>
        <v>0</v>
      </c>
      <c r="Q38" s="7"/>
      <c r="R38" s="7"/>
    </row>
    <row r="39" spans="1:18" x14ac:dyDescent="0.25">
      <c r="A39" s="1" t="s">
        <v>38</v>
      </c>
      <c r="B39" s="1" t="str">
        <f>VLOOKUP(A39,[4]LISTADHERENT!A$5:H$60,3,0)</f>
        <v>YOUMBI EMMANUEL</v>
      </c>
      <c r="C39" s="7">
        <f t="shared" si="0"/>
        <v>10000</v>
      </c>
      <c r="D39" s="7">
        <f t="shared" si="1"/>
        <v>20000</v>
      </c>
      <c r="E39" s="7">
        <f t="shared" si="2"/>
        <v>0</v>
      </c>
      <c r="F39" s="5" t="s">
        <v>46</v>
      </c>
      <c r="G39" s="7">
        <f t="shared" si="3"/>
        <v>30000</v>
      </c>
      <c r="H39" s="7"/>
      <c r="I39" s="7"/>
      <c r="J39" s="5"/>
      <c r="K39" s="5"/>
      <c r="L39" s="4">
        <f>TONTJUIN!H39+TONTJUIN!I39</f>
        <v>0</v>
      </c>
      <c r="M39" s="4"/>
      <c r="N39" s="5"/>
      <c r="O39" s="5"/>
      <c r="P39" s="7">
        <f t="shared" si="4"/>
        <v>0</v>
      </c>
      <c r="Q39" s="7"/>
      <c r="R39" s="7"/>
    </row>
    <row r="40" spans="1:18" x14ac:dyDescent="0.25">
      <c r="A40" s="1" t="s">
        <v>92</v>
      </c>
      <c r="B40" s="1" t="str">
        <f>VLOOKUP(A40,[4]LISTADHERENT!A$5:H$60,3,0)</f>
        <v>TCHEMHOU EMMANUEL</v>
      </c>
      <c r="C40" s="7"/>
      <c r="D40" s="7"/>
      <c r="E40" s="7"/>
      <c r="F40" s="5"/>
      <c r="G40" s="7"/>
      <c r="H40" s="7"/>
      <c r="I40" s="7"/>
      <c r="J40" s="5"/>
      <c r="K40" s="5"/>
      <c r="L40" s="7"/>
      <c r="M40" s="4"/>
      <c r="N40" s="5"/>
      <c r="O40" s="5"/>
      <c r="P40" s="7"/>
    </row>
    <row r="41" spans="1:18" x14ac:dyDescent="0.25">
      <c r="A41" s="1"/>
      <c r="B41" s="1"/>
      <c r="C41" s="7"/>
      <c r="D41" s="7"/>
      <c r="E41" s="7"/>
      <c r="F41" s="5"/>
      <c r="G41" s="7"/>
      <c r="H41" s="7"/>
      <c r="I41" s="7"/>
      <c r="J41" s="5"/>
      <c r="K41" s="5"/>
      <c r="L41" s="7"/>
      <c r="M41" s="5"/>
      <c r="N41" s="5"/>
      <c r="O41" s="5"/>
      <c r="P41" s="7"/>
    </row>
    <row r="42" spans="1:18" x14ac:dyDescent="0.25">
      <c r="A42" s="1"/>
      <c r="B42" s="1"/>
      <c r="C42" s="7"/>
      <c r="D42" s="7"/>
      <c r="E42" s="7"/>
      <c r="F42" s="5"/>
      <c r="G42" s="7"/>
      <c r="H42" s="7"/>
      <c r="I42" s="7"/>
      <c r="J42" s="5"/>
      <c r="K42" s="5"/>
      <c r="L42" s="7"/>
      <c r="M42" s="5"/>
      <c r="N42" s="5"/>
      <c r="O42" s="5"/>
      <c r="P42" s="7"/>
    </row>
    <row r="43" spans="1:18" x14ac:dyDescent="0.25">
      <c r="A43" s="1"/>
      <c r="B43" s="1"/>
      <c r="C43" s="7"/>
      <c r="D43" s="7"/>
      <c r="E43" s="7"/>
      <c r="F43" s="5"/>
      <c r="G43" s="7"/>
      <c r="H43" s="7"/>
      <c r="I43" s="7"/>
      <c r="J43" s="5"/>
      <c r="K43" s="5"/>
      <c r="L43" s="7"/>
      <c r="M43" s="5"/>
      <c r="N43" s="5"/>
      <c r="O43" s="5"/>
      <c r="P43" s="7"/>
    </row>
    <row r="44" spans="1:18" x14ac:dyDescent="0.25">
      <c r="A44" s="1"/>
      <c r="B44" s="1"/>
      <c r="C44" s="1"/>
      <c r="D44" s="1"/>
      <c r="E44" s="1"/>
      <c r="F44" s="1"/>
      <c r="M44" s="1"/>
      <c r="N44" s="1"/>
    </row>
    <row r="45" spans="1:18" x14ac:dyDescent="0.25">
      <c r="A45" s="1"/>
      <c r="B45" s="1"/>
      <c r="C45" s="1"/>
      <c r="D45" s="1"/>
      <c r="E45" s="1"/>
      <c r="F45" s="1"/>
      <c r="M45" s="1"/>
      <c r="N45" s="1"/>
    </row>
    <row r="46" spans="1:18" ht="18" x14ac:dyDescent="0.25">
      <c r="A46" s="1" t="s">
        <v>39</v>
      </c>
      <c r="B46" s="1"/>
      <c r="C46" s="8">
        <f>SUM(C7:C45)</f>
        <v>386000</v>
      </c>
      <c r="D46" s="8">
        <f t="shared" ref="D46:R46" si="5">SUM(D7:D45)</f>
        <v>640000</v>
      </c>
      <c r="E46" s="8">
        <f t="shared" si="5"/>
        <v>12000</v>
      </c>
      <c r="F46" s="8">
        <f t="shared" si="5"/>
        <v>0</v>
      </c>
      <c r="G46" s="8">
        <f t="shared" si="5"/>
        <v>1026000</v>
      </c>
      <c r="H46" s="8">
        <f t="shared" si="5"/>
        <v>147500</v>
      </c>
      <c r="I46" s="8">
        <f t="shared" si="5"/>
        <v>6500</v>
      </c>
      <c r="J46" s="8">
        <f t="shared" si="5"/>
        <v>0</v>
      </c>
      <c r="K46" s="8">
        <f t="shared" si="5"/>
        <v>0</v>
      </c>
      <c r="L46" s="8">
        <f t="shared" si="5"/>
        <v>55500</v>
      </c>
      <c r="M46" s="8">
        <f t="shared" si="5"/>
        <v>0</v>
      </c>
      <c r="N46" s="8">
        <f t="shared" si="5"/>
        <v>0</v>
      </c>
      <c r="O46" s="8">
        <f t="shared" si="5"/>
        <v>0</v>
      </c>
      <c r="P46" s="8">
        <f t="shared" si="5"/>
        <v>543000</v>
      </c>
      <c r="Q46" s="8">
        <f t="shared" si="5"/>
        <v>57000</v>
      </c>
      <c r="R46" s="8">
        <f t="shared" si="5"/>
        <v>0</v>
      </c>
    </row>
    <row r="48" spans="1:18" x14ac:dyDescent="0.25">
      <c r="I48" s="9"/>
    </row>
    <row r="49" spans="4:15" ht="18" x14ac:dyDescent="0.25">
      <c r="G49" s="8" t="s">
        <v>75</v>
      </c>
      <c r="H49" s="8">
        <f>D73+H73+Q46</f>
        <v>697000</v>
      </c>
      <c r="I49" s="8"/>
      <c r="J49" s="8"/>
      <c r="K49" s="8"/>
      <c r="O49" s="8"/>
    </row>
    <row r="50" spans="4:15" ht="18" x14ac:dyDescent="0.25">
      <c r="G50" s="8" t="s">
        <v>76</v>
      </c>
      <c r="H50" s="8">
        <f>IF(H49&gt;=900000,300000*3,300000*2)</f>
        <v>600000</v>
      </c>
      <c r="I50" s="9"/>
    </row>
    <row r="51" spans="4:15" ht="18" x14ac:dyDescent="0.25">
      <c r="D51" s="4" t="s">
        <v>47</v>
      </c>
      <c r="E51" s="8">
        <f>+D46</f>
        <v>640000</v>
      </c>
      <c r="I51" s="8"/>
      <c r="J51" s="8"/>
      <c r="K51" s="8"/>
      <c r="O51" s="8"/>
    </row>
    <row r="52" spans="4:15" ht="43.5" x14ac:dyDescent="0.25">
      <c r="D52" s="4" t="s">
        <v>65</v>
      </c>
      <c r="E52" s="8">
        <f>E46</f>
        <v>12000</v>
      </c>
      <c r="F52" s="8"/>
      <c r="G52" s="8" t="s">
        <v>74</v>
      </c>
      <c r="H52" s="8">
        <f>H49-H50</f>
        <v>97000</v>
      </c>
      <c r="L52" s="12"/>
      <c r="M52" s="8"/>
      <c r="N52" s="8"/>
    </row>
    <row r="53" spans="4:15" ht="18" x14ac:dyDescent="0.25">
      <c r="D53" s="4" t="s">
        <v>60</v>
      </c>
      <c r="E53" s="8">
        <f>+H46</f>
        <v>147500</v>
      </c>
    </row>
    <row r="54" spans="4:15" ht="29.25" x14ac:dyDescent="0.25">
      <c r="D54" s="4" t="s">
        <v>79</v>
      </c>
      <c r="E54" s="8">
        <f>+I46</f>
        <v>6500</v>
      </c>
      <c r="G54" s="8" t="s">
        <v>78</v>
      </c>
      <c r="H54" s="8">
        <f>H52-H46</f>
        <v>-50500</v>
      </c>
      <c r="I54" s="3" t="s">
        <v>94</v>
      </c>
    </row>
    <row r="55" spans="4:15" ht="29.25" x14ac:dyDescent="0.25">
      <c r="D55" s="4" t="s">
        <v>66</v>
      </c>
      <c r="E55" s="8">
        <f>+L46</f>
        <v>55500</v>
      </c>
    </row>
    <row r="56" spans="4:15" ht="29.25" x14ac:dyDescent="0.25">
      <c r="D56" s="4" t="s">
        <v>67</v>
      </c>
      <c r="E56" s="8">
        <f>+Q46</f>
        <v>57000</v>
      </c>
    </row>
    <row r="57" spans="4:15" ht="18" x14ac:dyDescent="0.25">
      <c r="D57" s="4" t="s">
        <v>51</v>
      </c>
      <c r="E57" s="8">
        <f>[5]MVTJUIL!$E$49</f>
        <v>0</v>
      </c>
    </row>
    <row r="58" spans="4:15" ht="18" x14ac:dyDescent="0.25">
      <c r="D58" s="4" t="s">
        <v>41</v>
      </c>
      <c r="E58" s="8">
        <f>[5]MVTJUIL!$E$50</f>
        <v>258000</v>
      </c>
    </row>
    <row r="59" spans="4:15" ht="29.25" x14ac:dyDescent="0.25">
      <c r="D59" s="4" t="s">
        <v>42</v>
      </c>
      <c r="E59" s="8">
        <f>[5]MVTJUIL!$E$51</f>
        <v>16000</v>
      </c>
    </row>
    <row r="60" spans="4:15" ht="29.25" x14ac:dyDescent="0.25">
      <c r="D60" s="4" t="s">
        <v>43</v>
      </c>
      <c r="E60" s="8">
        <f>[5]MVTJUIL!$E$52</f>
        <v>32000</v>
      </c>
    </row>
    <row r="61" spans="4:15" ht="18" x14ac:dyDescent="0.25">
      <c r="D61" s="4" t="s">
        <v>44</v>
      </c>
      <c r="E61" s="8">
        <f>[5]MVTJUIL!$E$53</f>
        <v>80000</v>
      </c>
    </row>
    <row r="62" spans="4:15" ht="18" x14ac:dyDescent="0.25">
      <c r="D62" s="4" t="s">
        <v>52</v>
      </c>
      <c r="E62" s="8">
        <f>[5]MVTJUIL!$E$55</f>
        <v>0</v>
      </c>
    </row>
    <row r="63" spans="4:15" ht="18" x14ac:dyDescent="0.25">
      <c r="D63" s="4" t="s">
        <v>48</v>
      </c>
      <c r="E63" s="8">
        <f>[5]MVTJUIL!$E$56</f>
        <v>0</v>
      </c>
    </row>
    <row r="64" spans="4:15" ht="18" x14ac:dyDescent="0.25">
      <c r="D64" s="4" t="s">
        <v>49</v>
      </c>
      <c r="E64" s="8">
        <f>[5]MVTJUIL!$E$57</f>
        <v>0</v>
      </c>
    </row>
    <row r="65" spans="1:18" ht="29.25" x14ac:dyDescent="0.25">
      <c r="D65" s="4" t="s">
        <v>50</v>
      </c>
      <c r="E65" s="8">
        <f>[5]MVTJUIL!$E$58</f>
        <v>2420000</v>
      </c>
    </row>
    <row r="66" spans="1:18" s="2" customFormat="1" ht="29.25" x14ac:dyDescent="0.25">
      <c r="A66"/>
      <c r="B66"/>
      <c r="C66"/>
      <c r="D66" s="4" t="s">
        <v>87</v>
      </c>
      <c r="E66" s="8">
        <f>[5]MVTJUIL!$E$59</f>
        <v>0</v>
      </c>
      <c r="F66"/>
      <c r="H66"/>
      <c r="I66" s="3"/>
      <c r="J66" s="3"/>
      <c r="K66" s="3"/>
      <c r="M66"/>
      <c r="N66"/>
      <c r="O66" s="3"/>
      <c r="R66"/>
    </row>
    <row r="67" spans="1:18" s="2" customFormat="1" ht="18" x14ac:dyDescent="0.25">
      <c r="A67"/>
      <c r="B67"/>
      <c r="C67"/>
      <c r="D67" s="4" t="s">
        <v>53</v>
      </c>
      <c r="E67" s="8">
        <f>[5]MVTJUIL!$E$60</f>
        <v>0</v>
      </c>
      <c r="F67"/>
      <c r="H67"/>
      <c r="I67" s="3"/>
      <c r="J67" s="3"/>
      <c r="K67" s="3"/>
      <c r="M67"/>
      <c r="N67"/>
      <c r="O67" s="3"/>
      <c r="R67"/>
    </row>
    <row r="68" spans="1:18" s="2" customFormat="1" ht="18" x14ac:dyDescent="0.25">
      <c r="A68"/>
      <c r="B68"/>
      <c r="C68"/>
      <c r="D68" s="4"/>
      <c r="E68" s="8"/>
      <c r="F68"/>
      <c r="H68"/>
      <c r="I68" s="3"/>
      <c r="J68" s="3"/>
      <c r="K68" s="3"/>
      <c r="M68"/>
      <c r="N68"/>
      <c r="O68" s="3"/>
      <c r="R68"/>
    </row>
    <row r="69" spans="1:18" s="2" customFormat="1" ht="43.5" x14ac:dyDescent="0.25">
      <c r="A69"/>
      <c r="B69"/>
      <c r="C69"/>
      <c r="D69" s="4" t="s">
        <v>6</v>
      </c>
      <c r="E69"/>
      <c r="F69" s="4" t="s">
        <v>73</v>
      </c>
      <c r="G69" s="4" t="s">
        <v>68</v>
      </c>
      <c r="H69" s="4" t="s">
        <v>55</v>
      </c>
      <c r="I69" s="4" t="s">
        <v>60</v>
      </c>
      <c r="J69" s="4" t="s">
        <v>62</v>
      </c>
      <c r="K69" s="4"/>
      <c r="L69" s="4" t="s">
        <v>63</v>
      </c>
      <c r="M69" s="4"/>
      <c r="N69"/>
      <c r="O69" s="4"/>
      <c r="R69"/>
    </row>
    <row r="70" spans="1:18" s="2" customFormat="1" ht="18" x14ac:dyDescent="0.25">
      <c r="A70"/>
      <c r="B70"/>
      <c r="C70"/>
      <c r="D70" s="8">
        <f>SUMIFS(D7:D45,F7:F45,"ESPECES")</f>
        <v>80000</v>
      </c>
      <c r="E70" s="8" t="s">
        <v>45</v>
      </c>
      <c r="F70" s="8">
        <f>SUMIFS(G7:G45,F7:F45,"ESPECES")</f>
        <v>114000</v>
      </c>
      <c r="G70" s="8">
        <f>+E46</f>
        <v>12000</v>
      </c>
      <c r="H70" s="8">
        <f>SUMIFS(L7:L45,M7:M45,"ESPECES")</f>
        <v>0</v>
      </c>
      <c r="I70" s="8">
        <f>SUMIFS(H7:H45,J7:J45,"ESPECES")</f>
        <v>0</v>
      </c>
      <c r="J70" s="8">
        <f>SUMIFS(P7:P45,N7:N45,"ESPECES")</f>
        <v>0</v>
      </c>
      <c r="K70" s="8"/>
      <c r="L70" s="8">
        <f>F70+H70+G70-I70-J70</f>
        <v>126000</v>
      </c>
      <c r="M70" s="8"/>
      <c r="N70" s="4"/>
      <c r="O70" s="8"/>
      <c r="R70"/>
    </row>
    <row r="71" spans="1:18" s="2" customFormat="1" ht="18" x14ac:dyDescent="0.25">
      <c r="A71"/>
      <c r="B71"/>
      <c r="C71"/>
      <c r="D71" s="8">
        <f>SUMIFS(D7:D45,F7:F45,"BANQUE")</f>
        <v>560000</v>
      </c>
      <c r="E71" s="8" t="s">
        <v>46</v>
      </c>
      <c r="F71" s="8">
        <f>SUMIFS(G7:G45,F7:F45,"BANQUE")</f>
        <v>912000</v>
      </c>
      <c r="H71" s="8">
        <f>SUMIFS(L7:L45,M7:M45,"BANQUE")</f>
        <v>0</v>
      </c>
      <c r="I71" s="8">
        <f>SUMIFS(H7:H45,J7:J45,"BANQUE")</f>
        <v>0</v>
      </c>
      <c r="J71" s="8">
        <f>SUMIFS(P7:P45,M7:M45,"BANQUE")</f>
        <v>0</v>
      </c>
      <c r="K71" s="8"/>
      <c r="L71" s="8">
        <f>F71+H71-I71-J71</f>
        <v>912000</v>
      </c>
      <c r="M71" s="8"/>
      <c r="N71" s="8"/>
      <c r="O71" s="8"/>
      <c r="R71"/>
    </row>
    <row r="72" spans="1:18" s="2" customFormat="1" ht="18" x14ac:dyDescent="0.25">
      <c r="A72"/>
      <c r="B72"/>
      <c r="C72"/>
      <c r="D72" s="8"/>
      <c r="E72" s="8"/>
      <c r="F72" s="8"/>
      <c r="H72" s="8"/>
      <c r="I72" s="8"/>
      <c r="J72" s="8"/>
      <c r="K72" s="8"/>
      <c r="L72" s="8"/>
      <c r="M72" s="8"/>
      <c r="N72" s="8"/>
      <c r="O72" s="8"/>
      <c r="R72"/>
    </row>
    <row r="73" spans="1:18" s="2" customFormat="1" ht="18" x14ac:dyDescent="0.25">
      <c r="A73"/>
      <c r="B73"/>
      <c r="C73"/>
      <c r="D73" s="8">
        <f>D70+D71</f>
        <v>640000</v>
      </c>
      <c r="E73" s="8" t="s">
        <v>39</v>
      </c>
      <c r="F73" s="8">
        <f>F70+F71</f>
        <v>1026000</v>
      </c>
      <c r="H73" s="8">
        <f>H70+H71</f>
        <v>0</v>
      </c>
      <c r="I73" s="8">
        <f>I70+I71</f>
        <v>0</v>
      </c>
      <c r="J73" s="8">
        <v>0</v>
      </c>
      <c r="K73" s="8"/>
      <c r="L73" s="8">
        <f>F73+H73-I73-J73</f>
        <v>1026000</v>
      </c>
      <c r="M73" s="8"/>
      <c r="N73" s="8"/>
      <c r="O73" s="8"/>
      <c r="R73"/>
    </row>
    <row r="74" spans="1:18" s="2" customFormat="1" ht="18" x14ac:dyDescent="0.25">
      <c r="A74"/>
      <c r="B74"/>
      <c r="C74"/>
      <c r="D74" s="8">
        <f>D73+R46</f>
        <v>640000</v>
      </c>
      <c r="E74" s="8" t="s">
        <v>82</v>
      </c>
      <c r="F74"/>
      <c r="H74"/>
      <c r="I74" s="3"/>
      <c r="J74" s="3"/>
      <c r="K74" s="3"/>
      <c r="M74"/>
      <c r="N74" s="8"/>
      <c r="O74" s="3"/>
      <c r="R74"/>
    </row>
    <row r="75" spans="1:18" s="2" customFormat="1" ht="18" x14ac:dyDescent="0.25">
      <c r="A75"/>
      <c r="B75"/>
      <c r="C75"/>
      <c r="D75" s="4" t="s">
        <v>6</v>
      </c>
      <c r="E75" s="8">
        <v>300000</v>
      </c>
      <c r="F75"/>
      <c r="H75"/>
      <c r="I75" s="3"/>
      <c r="J75" s="3"/>
      <c r="K75" s="3"/>
      <c r="M75"/>
      <c r="N75"/>
      <c r="O75" s="3"/>
      <c r="R75"/>
    </row>
    <row r="76" spans="1:18" s="2" customFormat="1" ht="29.25" x14ac:dyDescent="0.25">
      <c r="A76"/>
      <c r="B76"/>
      <c r="C76"/>
      <c r="D76" s="10" t="s">
        <v>64</v>
      </c>
      <c r="E76" s="11">
        <f>L46+Q46</f>
        <v>112500</v>
      </c>
      <c r="F76"/>
      <c r="H76"/>
      <c r="I76" s="3"/>
      <c r="J76" s="3"/>
      <c r="K76" s="3"/>
      <c r="M76"/>
      <c r="N76"/>
      <c r="O76" s="3"/>
      <c r="R76"/>
    </row>
    <row r="78" spans="1:18" x14ac:dyDescent="0.25">
      <c r="E78" s="2"/>
    </row>
  </sheetData>
  <autoFilter ref="A5:R39">
    <sortState ref="A5:L48">
      <sortCondition ref="B5:B48"/>
    </sortState>
  </autoFilter>
  <mergeCells count="1">
    <mergeCell ref="C4:I4"/>
  </mergeCells>
  <dataValidations count="1">
    <dataValidation type="list" allowBlank="1" showInputMessage="1" showErrorMessage="1" sqref="J6:K43 F6:F43 M41:M43 N6:O43">
      <formula1>MODEVERSEMENTS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8"/>
  <sheetViews>
    <sheetView workbookViewId="0">
      <pane xSplit="2" ySplit="5" topLeftCell="C51" activePane="bottomRight" state="frozen"/>
      <selection activeCell="I54" sqref="I54"/>
      <selection pane="topRight" activeCell="I54" sqref="I54"/>
      <selection pane="bottomLeft" activeCell="I54" sqref="I54"/>
      <selection pane="bottomRight" activeCell="I54" sqref="I54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15" bestFit="1" customWidth="1"/>
    <col min="4" max="4" width="21" customWidth="1"/>
    <col min="5" max="6" width="16.7109375" customWidth="1"/>
    <col min="7" max="7" width="15" style="2" bestFit="1" customWidth="1"/>
    <col min="8" max="8" width="15" bestFit="1" customWidth="1"/>
    <col min="9" max="9" width="17.5703125" style="3" bestFit="1" customWidth="1"/>
    <col min="10" max="10" width="17.5703125" style="3" customWidth="1"/>
    <col min="11" max="11" width="16" style="3" customWidth="1"/>
    <col min="12" max="12" width="15.7109375" style="2" customWidth="1"/>
    <col min="13" max="14" width="13" customWidth="1"/>
    <col min="15" max="15" width="15.5703125" style="3" customWidth="1"/>
    <col min="16" max="17" width="18.140625" style="2" bestFit="1" customWidth="1"/>
    <col min="18" max="18" width="12.5703125" bestFit="1" customWidth="1"/>
  </cols>
  <sheetData>
    <row r="1" spans="1:18" x14ac:dyDescent="0.25">
      <c r="A1" s="1" t="s">
        <v>0</v>
      </c>
      <c r="B1" s="1" t="s">
        <v>1</v>
      </c>
      <c r="C1" s="1"/>
      <c r="D1" s="1"/>
      <c r="E1" s="1"/>
      <c r="F1" s="1"/>
      <c r="M1" s="1"/>
      <c r="N1" s="1"/>
    </row>
    <row r="2" spans="1:18" x14ac:dyDescent="0.25">
      <c r="A2" s="1" t="s">
        <v>2</v>
      </c>
      <c r="B2" s="1" t="s">
        <v>80</v>
      </c>
      <c r="C2" s="1"/>
      <c r="D2" s="1"/>
      <c r="E2" s="1"/>
      <c r="F2" s="1"/>
      <c r="M2" s="1"/>
      <c r="N2" s="1"/>
    </row>
    <row r="3" spans="1:18" x14ac:dyDescent="0.25">
      <c r="A3" s="1" t="s">
        <v>3</v>
      </c>
      <c r="B3" s="6">
        <v>30000</v>
      </c>
      <c r="C3" s="1"/>
      <c r="D3" s="1"/>
      <c r="E3" s="1"/>
      <c r="F3" s="1"/>
      <c r="M3" s="1"/>
      <c r="N3" s="1"/>
    </row>
    <row r="4" spans="1:18" ht="18" x14ac:dyDescent="0.25">
      <c r="B4" s="13"/>
      <c r="C4" s="20">
        <v>44059</v>
      </c>
      <c r="D4" s="21"/>
      <c r="E4" s="21"/>
      <c r="F4" s="21"/>
      <c r="G4" s="21"/>
      <c r="H4" s="21"/>
      <c r="I4" s="21"/>
      <c r="J4" s="16"/>
      <c r="K4" s="16"/>
      <c r="L4" s="16"/>
      <c r="M4" s="16"/>
      <c r="O4" s="16"/>
      <c r="P4"/>
      <c r="Q4"/>
    </row>
    <row r="5" spans="1:18" ht="57.75" x14ac:dyDescent="0.25">
      <c r="A5" s="1" t="s">
        <v>4</v>
      </c>
      <c r="B5" s="1" t="s">
        <v>5</v>
      </c>
      <c r="C5" s="1" t="s">
        <v>40</v>
      </c>
      <c r="D5" s="4" t="s">
        <v>6</v>
      </c>
      <c r="E5" s="1" t="s">
        <v>65</v>
      </c>
      <c r="F5" s="5" t="s">
        <v>7</v>
      </c>
      <c r="G5" s="4" t="s">
        <v>8</v>
      </c>
      <c r="H5" s="6" t="s">
        <v>60</v>
      </c>
      <c r="I5" s="4" t="s">
        <v>57</v>
      </c>
      <c r="J5" s="4" t="s">
        <v>61</v>
      </c>
      <c r="K5" s="14" t="s">
        <v>77</v>
      </c>
      <c r="L5" s="4" t="s">
        <v>55</v>
      </c>
      <c r="M5" s="4" t="s">
        <v>54</v>
      </c>
      <c r="N5" s="4" t="s">
        <v>58</v>
      </c>
      <c r="O5" s="4" t="s">
        <v>77</v>
      </c>
      <c r="P5" s="4" t="s">
        <v>56</v>
      </c>
      <c r="Q5" s="6" t="s">
        <v>59</v>
      </c>
      <c r="R5" s="4" t="s">
        <v>81</v>
      </c>
    </row>
    <row r="6" spans="1:18" x14ac:dyDescent="0.25">
      <c r="A6" s="1" t="s">
        <v>69</v>
      </c>
      <c r="B6" s="1" t="str">
        <f>VLOOKUP(A6,[4]LISTADHERENT!A$5:H$60,3,0)</f>
        <v>ASELBY</v>
      </c>
      <c r="C6" s="7">
        <f t="shared" ref="C6:C39" si="0">IF(G6=0,0,G6-D6)</f>
        <v>0</v>
      </c>
      <c r="D6" s="7">
        <f t="shared" ref="D6:D39" si="1">IF(F6="ECHEC",0,IF(F6="",0,20000))</f>
        <v>0</v>
      </c>
      <c r="E6" s="7">
        <f t="shared" ref="E6:E39" si="2">IF(F6="ESPECES",3000,0)</f>
        <v>0</v>
      </c>
      <c r="F6" s="5" t="s">
        <v>9</v>
      </c>
      <c r="G6" s="7">
        <f t="shared" ref="G6:G39" si="3">IF(F6="BANQUE",30000,IF(F6="ESPECES",30000,0))</f>
        <v>0</v>
      </c>
      <c r="H6" s="7"/>
      <c r="I6" s="7"/>
      <c r="J6" s="5"/>
      <c r="K6" s="5"/>
      <c r="L6" s="4">
        <f>TONTJUIL!H6+TONTJUIL!I6</f>
        <v>0</v>
      </c>
      <c r="M6" s="4"/>
      <c r="N6" s="5"/>
      <c r="O6" s="5"/>
      <c r="P6" s="7">
        <f>IF(Q6=0,0,($E$76-Q6))</f>
        <v>0</v>
      </c>
      <c r="Q6" s="7"/>
      <c r="R6" s="7"/>
    </row>
    <row r="7" spans="1:18" x14ac:dyDescent="0.25">
      <c r="A7" s="1" t="s">
        <v>10</v>
      </c>
      <c r="B7" s="1" t="str">
        <f>VLOOKUP(A7,[4]LISTADHERENT!A$5:H$60,3,0)</f>
        <v>BOUTCHOUANG WILLIAM</v>
      </c>
      <c r="C7" s="7">
        <f t="shared" si="0"/>
        <v>10000</v>
      </c>
      <c r="D7" s="7">
        <f t="shared" si="1"/>
        <v>20000</v>
      </c>
      <c r="E7" s="7">
        <f t="shared" si="2"/>
        <v>0</v>
      </c>
      <c r="F7" s="5" t="s">
        <v>46</v>
      </c>
      <c r="G7" s="7">
        <f t="shared" si="3"/>
        <v>30000</v>
      </c>
      <c r="H7" s="7"/>
      <c r="I7" s="7"/>
      <c r="J7" s="5"/>
      <c r="K7" s="5"/>
      <c r="L7" s="4">
        <f>TONTJUIL!H7+TONTJUIL!I7</f>
        <v>0</v>
      </c>
      <c r="M7" s="4"/>
      <c r="N7" s="5"/>
      <c r="O7" s="5"/>
      <c r="P7" s="7">
        <f t="shared" ref="P7:P39" si="4">IF(Q7=0,0,($E$75-Q7))</f>
        <v>0</v>
      </c>
      <c r="Q7" s="7"/>
      <c r="R7" s="7"/>
    </row>
    <row r="8" spans="1:18" x14ac:dyDescent="0.25">
      <c r="A8" s="1" t="s">
        <v>11</v>
      </c>
      <c r="B8" s="1" t="str">
        <f>VLOOKUP(A8,[4]LISTADHERENT!A$5:H$60,3,0)</f>
        <v xml:space="preserve">DJOMO JEAN PAUL </v>
      </c>
      <c r="C8" s="7">
        <f t="shared" si="0"/>
        <v>7000</v>
      </c>
      <c r="D8" s="7">
        <f t="shared" si="1"/>
        <v>20000</v>
      </c>
      <c r="E8" s="7">
        <f t="shared" si="2"/>
        <v>3000</v>
      </c>
      <c r="F8" s="5" t="s">
        <v>45</v>
      </c>
      <c r="G8" s="7">
        <f>IF(F8="BANQUE",30000,IF(F8="ESPECES",30000,0))-3000</f>
        <v>27000</v>
      </c>
      <c r="H8" s="7"/>
      <c r="I8" s="7"/>
      <c r="J8" s="5"/>
      <c r="K8" s="5"/>
      <c r="L8" s="4">
        <f>TONTJUIL!H8+TONTJUIL!I8</f>
        <v>0</v>
      </c>
      <c r="M8" s="4"/>
      <c r="N8" s="5"/>
      <c r="O8" s="5"/>
      <c r="P8" s="7">
        <f t="shared" si="4"/>
        <v>0</v>
      </c>
      <c r="Q8" s="7"/>
      <c r="R8" s="7"/>
    </row>
    <row r="9" spans="1:18" x14ac:dyDescent="0.25">
      <c r="A9" s="1" t="s">
        <v>83</v>
      </c>
      <c r="B9" s="1" t="str">
        <f>VLOOKUP(A9,[4]LISTADHERENT!A$5:H$60,3,0)</f>
        <v>DJOMOU TCHANDA</v>
      </c>
      <c r="C9" s="7">
        <f t="shared" si="0"/>
        <v>10000</v>
      </c>
      <c r="D9" s="7">
        <f t="shared" si="1"/>
        <v>20000</v>
      </c>
      <c r="E9" s="7">
        <f t="shared" si="2"/>
        <v>0</v>
      </c>
      <c r="F9" s="5" t="s">
        <v>46</v>
      </c>
      <c r="G9" s="7">
        <f t="shared" si="3"/>
        <v>30000</v>
      </c>
      <c r="H9" s="7"/>
      <c r="I9" s="7"/>
      <c r="J9" s="5"/>
      <c r="K9" s="5"/>
      <c r="L9" s="4">
        <f>TONTJUIL!H9+TONTJUIL!I9</f>
        <v>0</v>
      </c>
      <c r="M9" s="4"/>
      <c r="N9" s="5"/>
      <c r="O9" s="5"/>
      <c r="P9" s="7">
        <f t="shared" si="4"/>
        <v>0</v>
      </c>
      <c r="Q9" s="7"/>
      <c r="R9" s="7"/>
    </row>
    <row r="10" spans="1:18" x14ac:dyDescent="0.25">
      <c r="A10" s="1" t="s">
        <v>12</v>
      </c>
      <c r="B10" s="1" t="str">
        <f>VLOOKUP(A10,[4]LISTADHERENT!A$5:H$60,3,0)</f>
        <v>DJOUKWE NANGUEN GUY BLAISE</v>
      </c>
      <c r="C10" s="7">
        <f t="shared" si="0"/>
        <v>10000</v>
      </c>
      <c r="D10" s="7">
        <f t="shared" si="1"/>
        <v>20000</v>
      </c>
      <c r="E10" s="7">
        <f t="shared" si="2"/>
        <v>0</v>
      </c>
      <c r="F10" s="5" t="s">
        <v>46</v>
      </c>
      <c r="G10" s="7">
        <f t="shared" si="3"/>
        <v>30000</v>
      </c>
      <c r="H10" s="7"/>
      <c r="I10" s="7"/>
      <c r="J10" s="5"/>
      <c r="K10" s="5"/>
      <c r="L10" s="4">
        <f>TONTJUIL!H10+TONTJUIL!I10</f>
        <v>0</v>
      </c>
      <c r="M10" s="4"/>
      <c r="N10" s="5"/>
      <c r="O10" s="5"/>
      <c r="P10" s="7">
        <f t="shared" si="4"/>
        <v>280000</v>
      </c>
      <c r="Q10" s="7">
        <v>20000</v>
      </c>
      <c r="R10" s="7"/>
    </row>
    <row r="11" spans="1:18" x14ac:dyDescent="0.25">
      <c r="A11" s="1" t="s">
        <v>13</v>
      </c>
      <c r="B11" s="1" t="str">
        <f>VLOOKUP(A11,[4]LISTADHERENT!A$5:H$60,3,0)</f>
        <v>DJUOMBESSY ANTOINE</v>
      </c>
      <c r="C11" s="7">
        <f t="shared" si="0"/>
        <v>10000</v>
      </c>
      <c r="D11" s="7">
        <f t="shared" si="1"/>
        <v>20000</v>
      </c>
      <c r="E11" s="7">
        <f t="shared" si="2"/>
        <v>0</v>
      </c>
      <c r="F11" s="5" t="s">
        <v>46</v>
      </c>
      <c r="G11" s="7">
        <f t="shared" si="3"/>
        <v>30000</v>
      </c>
      <c r="H11" s="7"/>
      <c r="I11" s="7"/>
      <c r="J11" s="5"/>
      <c r="K11" s="5"/>
      <c r="L11" s="4">
        <f>TONTJUIL!H11+TONTJUIL!I11</f>
        <v>27000</v>
      </c>
      <c r="M11" s="4" t="s">
        <v>46</v>
      </c>
      <c r="N11" s="5"/>
      <c r="O11" s="5"/>
      <c r="P11" s="7">
        <f t="shared" si="4"/>
        <v>0</v>
      </c>
      <c r="Q11" s="7"/>
      <c r="R11" s="7"/>
    </row>
    <row r="12" spans="1:18" x14ac:dyDescent="0.25">
      <c r="A12" s="1" t="s">
        <v>71</v>
      </c>
      <c r="B12" s="1" t="str">
        <f>VLOOKUP(A12,[4]LISTADHERENT!A$5:H$60,3,0)</f>
        <v>DOMOU FABIEN</v>
      </c>
      <c r="C12" s="7">
        <f t="shared" si="0"/>
        <v>10000</v>
      </c>
      <c r="D12" s="7">
        <f t="shared" si="1"/>
        <v>20000</v>
      </c>
      <c r="E12" s="7">
        <f t="shared" si="2"/>
        <v>0</v>
      </c>
      <c r="F12" s="5" t="s">
        <v>46</v>
      </c>
      <c r="G12" s="7">
        <f t="shared" si="3"/>
        <v>30000</v>
      </c>
      <c r="H12" s="7"/>
      <c r="I12" s="7"/>
      <c r="J12" s="5"/>
      <c r="K12" s="5"/>
      <c r="L12" s="4">
        <f>TONTJUIL!H12+TONTJUIL!I12</f>
        <v>0</v>
      </c>
      <c r="M12" s="4"/>
      <c r="N12" s="5"/>
      <c r="O12" s="5"/>
      <c r="P12" s="7">
        <f t="shared" si="4"/>
        <v>0</v>
      </c>
    </row>
    <row r="13" spans="1:18" x14ac:dyDescent="0.25">
      <c r="A13" s="1" t="s">
        <v>14</v>
      </c>
      <c r="B13" s="1" t="str">
        <f>VLOOKUP(A13,[4]LISTADHERENT!A$5:H$60,3,0)</f>
        <v>DONHOU DAVID</v>
      </c>
      <c r="C13" s="7">
        <f t="shared" si="0"/>
        <v>10000</v>
      </c>
      <c r="D13" s="7">
        <f t="shared" si="1"/>
        <v>20000</v>
      </c>
      <c r="E13" s="7">
        <f t="shared" si="2"/>
        <v>0</v>
      </c>
      <c r="F13" s="5" t="s">
        <v>46</v>
      </c>
      <c r="G13" s="7">
        <f t="shared" si="3"/>
        <v>30000</v>
      </c>
      <c r="H13" s="7"/>
      <c r="I13" s="7"/>
      <c r="J13" s="5"/>
      <c r="K13" s="5"/>
      <c r="L13" s="4">
        <f>TONTJUIL!H13+TONTJUIL!I13</f>
        <v>0</v>
      </c>
      <c r="M13" s="4"/>
      <c r="N13" s="5"/>
      <c r="O13" s="5"/>
      <c r="P13" s="7">
        <f t="shared" si="4"/>
        <v>0</v>
      </c>
      <c r="Q13" s="7"/>
      <c r="R13" s="7"/>
    </row>
    <row r="14" spans="1:18" x14ac:dyDescent="0.25">
      <c r="A14" s="1" t="s">
        <v>15</v>
      </c>
      <c r="B14" s="1" t="str">
        <f>VLOOKUP(A14,[4]LISTADHERENT!A$5:H$60,3,0)</f>
        <v>FOTSO THOMAS</v>
      </c>
      <c r="C14" s="7">
        <f t="shared" si="0"/>
        <v>7000</v>
      </c>
      <c r="D14" s="7">
        <f t="shared" si="1"/>
        <v>20000</v>
      </c>
      <c r="E14" s="7">
        <f t="shared" si="2"/>
        <v>3000</v>
      </c>
      <c r="F14" s="5" t="s">
        <v>45</v>
      </c>
      <c r="G14" s="7">
        <f>IF(F14="BANQUE",30000,IF(F14="ESPECES",30000,0))-3000</f>
        <v>27000</v>
      </c>
      <c r="H14" s="7">
        <v>54500</v>
      </c>
      <c r="I14" s="7"/>
      <c r="J14" s="5"/>
      <c r="K14" s="5"/>
      <c r="L14" s="4">
        <f>TONTJUIL!H14+TONTJUIL!I14</f>
        <v>54500</v>
      </c>
      <c r="M14" s="4" t="s">
        <v>9</v>
      </c>
      <c r="N14" s="5"/>
      <c r="O14" s="5"/>
      <c r="P14" s="7">
        <f t="shared" si="4"/>
        <v>0</v>
      </c>
      <c r="Q14" s="7"/>
      <c r="R14" s="7"/>
    </row>
    <row r="15" spans="1:18" x14ac:dyDescent="0.25">
      <c r="A15" s="1" t="s">
        <v>16</v>
      </c>
      <c r="B15" s="1" t="str">
        <f>VLOOKUP(A15,[4]LISTADHERENT!A$5:H$60,3,0)</f>
        <v>HENGUE PAUL OMER</v>
      </c>
      <c r="C15" s="7">
        <f t="shared" si="0"/>
        <v>10000</v>
      </c>
      <c r="D15" s="7">
        <f t="shared" si="1"/>
        <v>20000</v>
      </c>
      <c r="E15" s="7">
        <f t="shared" si="2"/>
        <v>0</v>
      </c>
      <c r="F15" s="5" t="s">
        <v>46</v>
      </c>
      <c r="G15" s="7">
        <f t="shared" si="3"/>
        <v>30000</v>
      </c>
      <c r="H15" s="7"/>
      <c r="I15" s="7"/>
      <c r="J15" s="5"/>
      <c r="K15" s="5"/>
      <c r="L15" s="4">
        <f>TONTJUIL!H15+TONTJUIL!I15</f>
        <v>0</v>
      </c>
      <c r="M15" s="4"/>
      <c r="N15" s="5"/>
      <c r="O15" s="5"/>
      <c r="P15" s="7">
        <f t="shared" si="4"/>
        <v>0</v>
      </c>
      <c r="Q15" s="7"/>
      <c r="R15" s="7"/>
    </row>
    <row r="16" spans="1:18" x14ac:dyDescent="0.25">
      <c r="A16" s="1" t="s">
        <v>17</v>
      </c>
      <c r="B16" s="1" t="str">
        <f>VLOOKUP(A16,[4]LISTADHERENT!A$5:H$60,3,0)</f>
        <v>HOTCHO BENJAMIN</v>
      </c>
      <c r="C16" s="7">
        <f t="shared" si="0"/>
        <v>10000</v>
      </c>
      <c r="D16" s="7">
        <f t="shared" si="1"/>
        <v>20000</v>
      </c>
      <c r="E16" s="7">
        <f t="shared" si="2"/>
        <v>0</v>
      </c>
      <c r="F16" s="5" t="s">
        <v>46</v>
      </c>
      <c r="G16" s="7">
        <f t="shared" si="3"/>
        <v>30000</v>
      </c>
      <c r="H16" s="7"/>
      <c r="I16" s="7"/>
      <c r="J16" s="5"/>
      <c r="K16" s="5"/>
      <c r="L16" s="4">
        <f>TONTJUIL!H16+TONTJUIL!I16</f>
        <v>0</v>
      </c>
      <c r="M16" s="4"/>
      <c r="N16" s="5"/>
      <c r="O16" s="5"/>
      <c r="P16" s="7">
        <f t="shared" si="4"/>
        <v>0</v>
      </c>
      <c r="Q16" s="7"/>
      <c r="R16" s="7"/>
    </row>
    <row r="17" spans="1:18" x14ac:dyDescent="0.25">
      <c r="A17" s="1" t="s">
        <v>19</v>
      </c>
      <c r="B17" s="1" t="str">
        <f>VLOOKUP(A17,[4]LISTADHERENT!A$5:H$60,3,0)</f>
        <v>KEPSEU FRANCIS</v>
      </c>
      <c r="C17" s="7">
        <f t="shared" si="0"/>
        <v>10000</v>
      </c>
      <c r="D17" s="7">
        <f t="shared" si="1"/>
        <v>20000</v>
      </c>
      <c r="E17" s="7">
        <f t="shared" si="2"/>
        <v>0</v>
      </c>
      <c r="F17" s="5" t="s">
        <v>46</v>
      </c>
      <c r="G17" s="7">
        <f t="shared" si="3"/>
        <v>30000</v>
      </c>
      <c r="H17" s="7"/>
      <c r="I17" s="7"/>
      <c r="J17" s="5"/>
      <c r="K17" s="5"/>
      <c r="L17" s="4">
        <f>TONTJUIL!H17+TONTJUIL!I17</f>
        <v>0</v>
      </c>
      <c r="M17" s="4"/>
      <c r="N17" s="5"/>
      <c r="O17" s="5"/>
      <c r="P17" s="7">
        <f t="shared" si="4"/>
        <v>0</v>
      </c>
      <c r="Q17" s="7"/>
      <c r="R17" s="7"/>
    </row>
    <row r="18" spans="1:18" x14ac:dyDescent="0.25">
      <c r="A18" s="1" t="s">
        <v>21</v>
      </c>
      <c r="B18" s="1" t="str">
        <f>VLOOKUP(A18,[4]LISTADHERENT!A$5:H$60,3,0)</f>
        <v>KOUAMO VICTOR PEGUY</v>
      </c>
      <c r="C18" s="7">
        <f t="shared" si="0"/>
        <v>0</v>
      </c>
      <c r="D18" s="7">
        <f t="shared" si="1"/>
        <v>0</v>
      </c>
      <c r="E18" s="7">
        <f t="shared" si="2"/>
        <v>0</v>
      </c>
      <c r="F18" s="5" t="s">
        <v>9</v>
      </c>
      <c r="G18" s="7">
        <f t="shared" si="3"/>
        <v>0</v>
      </c>
      <c r="H18" s="7"/>
      <c r="I18" s="7"/>
      <c r="J18" s="5"/>
      <c r="K18" s="5"/>
      <c r="L18" s="4">
        <f>TONTJUIL!H18+TONTJUIL!I18</f>
        <v>0</v>
      </c>
      <c r="M18" s="4"/>
      <c r="N18" s="5"/>
      <c r="O18" s="5"/>
      <c r="P18" s="7">
        <f t="shared" si="4"/>
        <v>0</v>
      </c>
      <c r="Q18" s="7"/>
      <c r="R18" s="7"/>
    </row>
    <row r="19" spans="1:18" x14ac:dyDescent="0.25">
      <c r="A19" s="1" t="s">
        <v>20</v>
      </c>
      <c r="B19" s="1" t="str">
        <f>VLOOKUP(A19,[4]LISTADHERENT!A$5:H$60,3,0)</f>
        <v>KOUAMOU MOISE</v>
      </c>
      <c r="C19" s="7">
        <f t="shared" si="0"/>
        <v>7000</v>
      </c>
      <c r="D19" s="7">
        <f t="shared" si="1"/>
        <v>20000</v>
      </c>
      <c r="E19" s="7">
        <f t="shared" si="2"/>
        <v>3000</v>
      </c>
      <c r="F19" s="5" t="s">
        <v>45</v>
      </c>
      <c r="G19" s="7">
        <f>IF(F19="BANQUE",30000,IF(F19="ESPECES",30000,0))-3000</f>
        <v>27000</v>
      </c>
      <c r="H19" s="7">
        <v>1000</v>
      </c>
      <c r="I19" s="7"/>
      <c r="J19" s="5"/>
      <c r="K19" s="5"/>
      <c r="L19" s="4">
        <f>TONTJUIL!H19+TONTJUIL!I19</f>
        <v>1000</v>
      </c>
      <c r="M19" s="4" t="s">
        <v>9</v>
      </c>
      <c r="N19" s="5"/>
      <c r="O19" s="5"/>
      <c r="P19" s="7">
        <f t="shared" si="4"/>
        <v>0</v>
      </c>
      <c r="Q19" s="7"/>
      <c r="R19" s="7"/>
    </row>
    <row r="20" spans="1:18" x14ac:dyDescent="0.25">
      <c r="A20" s="1" t="s">
        <v>22</v>
      </c>
      <c r="B20" s="1" t="str">
        <f>VLOOKUP(A20,[4]LISTADHERENT!A$5:H$60,3,0)</f>
        <v>KOUATCHO MESSACK</v>
      </c>
      <c r="C20" s="7">
        <f t="shared" si="0"/>
        <v>10000</v>
      </c>
      <c r="D20" s="7">
        <f t="shared" si="1"/>
        <v>20000</v>
      </c>
      <c r="E20" s="7">
        <f t="shared" si="2"/>
        <v>0</v>
      </c>
      <c r="F20" s="5" t="s">
        <v>46</v>
      </c>
      <c r="G20" s="7">
        <f t="shared" si="3"/>
        <v>30000</v>
      </c>
      <c r="H20" s="7">
        <v>30000</v>
      </c>
      <c r="I20" s="7">
        <v>1500</v>
      </c>
      <c r="J20" s="5"/>
      <c r="K20" s="5"/>
      <c r="L20" s="4">
        <f>TONTJUIL!H20+TONTJUIL!I20</f>
        <v>0</v>
      </c>
      <c r="M20" s="4"/>
      <c r="N20" s="5"/>
      <c r="O20" s="5"/>
      <c r="P20" s="7">
        <f t="shared" si="4"/>
        <v>0</v>
      </c>
      <c r="Q20" s="7"/>
      <c r="R20" s="7"/>
    </row>
    <row r="21" spans="1:18" x14ac:dyDescent="0.25">
      <c r="A21" s="1" t="s">
        <v>23</v>
      </c>
      <c r="B21" s="1" t="str">
        <f>VLOOKUP(A21,[4]LISTADHERENT!A$5:H$60,3,0)</f>
        <v>LOWE JEAN</v>
      </c>
      <c r="C21" s="7">
        <f t="shared" si="0"/>
        <v>10000</v>
      </c>
      <c r="D21" s="7">
        <f t="shared" si="1"/>
        <v>20000</v>
      </c>
      <c r="E21" s="7">
        <f t="shared" si="2"/>
        <v>0</v>
      </c>
      <c r="F21" s="5" t="s">
        <v>46</v>
      </c>
      <c r="G21" s="7">
        <f t="shared" si="3"/>
        <v>30000</v>
      </c>
      <c r="H21" s="7"/>
      <c r="I21" s="7"/>
      <c r="J21" s="5"/>
      <c r="K21" s="5"/>
      <c r="L21" s="4">
        <f>TONTJUIL!H21+TONTJUIL!I21</f>
        <v>0</v>
      </c>
      <c r="M21" s="4"/>
      <c r="N21" s="5"/>
      <c r="O21" s="5"/>
      <c r="P21" s="7">
        <f t="shared" si="4"/>
        <v>0</v>
      </c>
      <c r="Q21" s="7"/>
      <c r="R21" s="7"/>
    </row>
    <row r="22" spans="1:18" x14ac:dyDescent="0.25">
      <c r="A22" s="1" t="s">
        <v>70</v>
      </c>
      <c r="B22" s="1" t="str">
        <f>VLOOKUP(A22,[4]LISTADHERENT!A$5:H$60,3,0)</f>
        <v>MBOGNING TUGMA GUY</v>
      </c>
      <c r="C22" s="7">
        <f t="shared" si="0"/>
        <v>10000</v>
      </c>
      <c r="D22" s="7">
        <f t="shared" si="1"/>
        <v>20000</v>
      </c>
      <c r="E22" s="7">
        <f t="shared" si="2"/>
        <v>0</v>
      </c>
      <c r="F22" s="5" t="s">
        <v>46</v>
      </c>
      <c r="G22" s="7">
        <f t="shared" si="3"/>
        <v>30000</v>
      </c>
      <c r="H22" s="7"/>
      <c r="I22" s="7"/>
      <c r="J22" s="5"/>
      <c r="K22" s="5"/>
      <c r="L22" s="4">
        <f>TONTJUIL!H22+TONTJUIL!I22</f>
        <v>0</v>
      </c>
      <c r="M22" s="4"/>
      <c r="N22" s="5"/>
      <c r="O22" s="5"/>
      <c r="P22" s="7">
        <f t="shared" si="4"/>
        <v>0</v>
      </c>
      <c r="R22" s="7"/>
    </row>
    <row r="23" spans="1:18" x14ac:dyDescent="0.25">
      <c r="A23" s="1" t="s">
        <v>34</v>
      </c>
      <c r="B23" s="1" t="str">
        <f>VLOOKUP(A23,[4]LISTADHERENT!A$5:H$60,3,0)</f>
        <v>NANGUEN MARTIN</v>
      </c>
      <c r="C23" s="7">
        <f t="shared" si="0"/>
        <v>10000</v>
      </c>
      <c r="D23" s="7">
        <f t="shared" si="1"/>
        <v>20000</v>
      </c>
      <c r="E23" s="7">
        <f t="shared" si="2"/>
        <v>0</v>
      </c>
      <c r="F23" s="5" t="s">
        <v>46</v>
      </c>
      <c r="G23" s="7">
        <f t="shared" si="3"/>
        <v>30000</v>
      </c>
      <c r="H23" s="7"/>
      <c r="I23" s="7"/>
      <c r="J23" s="5"/>
      <c r="K23" s="5"/>
      <c r="L23" s="4">
        <f>TONTJUIL!H23+TONTJUIL!I23</f>
        <v>0</v>
      </c>
      <c r="M23" s="4"/>
      <c r="N23" s="5"/>
      <c r="O23" s="5"/>
      <c r="P23" s="7">
        <f t="shared" si="4"/>
        <v>0</v>
      </c>
      <c r="Q23" s="7"/>
      <c r="R23" s="7"/>
    </row>
    <row r="24" spans="1:18" x14ac:dyDescent="0.25">
      <c r="A24" s="1" t="s">
        <v>24</v>
      </c>
      <c r="B24" s="1" t="str">
        <f>VLOOKUP(A24,[4]LISTADHERENT!A$5:H$60,3,0)</f>
        <v>NANKAM APPOLINAIRE</v>
      </c>
      <c r="C24" s="7">
        <f t="shared" si="0"/>
        <v>10000</v>
      </c>
      <c r="D24" s="7">
        <f t="shared" si="1"/>
        <v>20000</v>
      </c>
      <c r="E24" s="7">
        <f t="shared" si="2"/>
        <v>0</v>
      </c>
      <c r="F24" s="5" t="s">
        <v>46</v>
      </c>
      <c r="G24" s="7">
        <f t="shared" si="3"/>
        <v>30000</v>
      </c>
      <c r="H24" s="7"/>
      <c r="I24" s="7"/>
      <c r="J24" s="5"/>
      <c r="K24" s="5"/>
      <c r="L24" s="4">
        <f>TONTJUIL!H24+TONTJUIL!I24</f>
        <v>0</v>
      </c>
      <c r="M24" s="4"/>
      <c r="N24" s="5"/>
      <c r="O24" s="5"/>
      <c r="P24" s="7">
        <f t="shared" si="4"/>
        <v>0</v>
      </c>
      <c r="Q24" s="7"/>
      <c r="R24" s="7"/>
    </row>
    <row r="25" spans="1:18" x14ac:dyDescent="0.25">
      <c r="A25" s="1" t="s">
        <v>25</v>
      </c>
      <c r="B25" s="1" t="str">
        <f>VLOOKUP(A25,[4]LISTADHERENT!A$5:H$60,3,0)</f>
        <v>NDJOMO ETIENNE</v>
      </c>
      <c r="C25" s="7">
        <f t="shared" si="0"/>
        <v>10000</v>
      </c>
      <c r="D25" s="7">
        <f t="shared" si="1"/>
        <v>20000</v>
      </c>
      <c r="E25" s="7">
        <f t="shared" si="2"/>
        <v>0</v>
      </c>
      <c r="F25" s="5" t="s">
        <v>46</v>
      </c>
      <c r="G25" s="7">
        <f t="shared" si="3"/>
        <v>30000</v>
      </c>
      <c r="H25" s="7">
        <v>28500</v>
      </c>
      <c r="I25" s="7">
        <v>1000</v>
      </c>
      <c r="J25" s="5"/>
      <c r="K25" s="5"/>
      <c r="L25" s="4">
        <f>TONTJUIL!H25+TONTJUIL!I25</f>
        <v>23500</v>
      </c>
      <c r="M25" s="4" t="s">
        <v>45</v>
      </c>
      <c r="N25" s="5"/>
      <c r="O25" s="5"/>
      <c r="P25" s="7">
        <f t="shared" si="4"/>
        <v>280000</v>
      </c>
      <c r="Q25" s="7">
        <v>20000</v>
      </c>
      <c r="R25" s="7"/>
    </row>
    <row r="26" spans="1:18" x14ac:dyDescent="0.25">
      <c r="A26" s="1" t="s">
        <v>26</v>
      </c>
      <c r="B26" s="1" t="str">
        <f>VLOOKUP(A26,[4]LISTADHERENT!A$5:H$60,3,0)</f>
        <v>NGONDIEP CLAUDE</v>
      </c>
      <c r="C26" s="7">
        <f t="shared" si="0"/>
        <v>10000</v>
      </c>
      <c r="D26" s="7">
        <f t="shared" si="1"/>
        <v>20000</v>
      </c>
      <c r="E26" s="7">
        <f t="shared" si="2"/>
        <v>0</v>
      </c>
      <c r="F26" s="5" t="s">
        <v>46</v>
      </c>
      <c r="G26" s="7">
        <f t="shared" si="3"/>
        <v>30000</v>
      </c>
      <c r="H26" s="7"/>
      <c r="I26" s="7"/>
      <c r="J26" s="5"/>
      <c r="K26" s="5"/>
      <c r="L26" s="4">
        <f>TONTJUIL!H26+TONTJUIL!I26</f>
        <v>0</v>
      </c>
      <c r="M26" s="4"/>
      <c r="N26" s="5"/>
      <c r="O26" s="5"/>
      <c r="P26" s="7">
        <f t="shared" si="4"/>
        <v>0</v>
      </c>
      <c r="Q26" s="7"/>
      <c r="R26" s="7"/>
    </row>
    <row r="27" spans="1:18" x14ac:dyDescent="0.25">
      <c r="A27" s="1" t="s">
        <v>27</v>
      </c>
      <c r="B27" s="1" t="str">
        <f>VLOOKUP(A27,[4]LISTADHERENT!A$5:H$60,3,0)</f>
        <v>NGUIEMEGNI MATHIEU BLAISE</v>
      </c>
      <c r="C27" s="7">
        <f t="shared" si="0"/>
        <v>10000</v>
      </c>
      <c r="D27" s="7">
        <f t="shared" si="1"/>
        <v>20000</v>
      </c>
      <c r="E27" s="7">
        <f t="shared" si="2"/>
        <v>0</v>
      </c>
      <c r="F27" s="5" t="s">
        <v>46</v>
      </c>
      <c r="G27" s="7">
        <f t="shared" si="3"/>
        <v>30000</v>
      </c>
      <c r="H27" s="7"/>
      <c r="I27" s="7"/>
      <c r="J27" s="5"/>
      <c r="K27" s="5"/>
      <c r="L27" s="4">
        <f>TONTJUIL!H27+TONTJUIL!I27</f>
        <v>0</v>
      </c>
      <c r="M27" s="4"/>
      <c r="N27" s="5"/>
      <c r="O27" s="5"/>
      <c r="P27" s="7">
        <f t="shared" si="4"/>
        <v>0</v>
      </c>
      <c r="Q27" s="7"/>
      <c r="R27" s="7"/>
    </row>
    <row r="28" spans="1:18" x14ac:dyDescent="0.25">
      <c r="A28" s="1" t="s">
        <v>28</v>
      </c>
      <c r="B28" s="1" t="str">
        <f>VLOOKUP(A28,[4]LISTADHERENT!A$5:H$60,3,0)</f>
        <v>NKAMGANG JUSTIN DEJOLIE</v>
      </c>
      <c r="C28" s="7">
        <f t="shared" si="0"/>
        <v>10000</v>
      </c>
      <c r="D28" s="7">
        <f t="shared" si="1"/>
        <v>20000</v>
      </c>
      <c r="E28" s="7">
        <f t="shared" si="2"/>
        <v>3000</v>
      </c>
      <c r="F28" s="5" t="s">
        <v>45</v>
      </c>
      <c r="G28" s="7">
        <f t="shared" si="3"/>
        <v>30000</v>
      </c>
      <c r="H28" s="7">
        <v>60000</v>
      </c>
      <c r="I28" s="7">
        <v>2500</v>
      </c>
      <c r="J28" s="5"/>
      <c r="K28" s="5"/>
      <c r="L28" s="4">
        <f>TONTJUIL!H28+TONTJUIL!I28</f>
        <v>0</v>
      </c>
      <c r="M28" s="4"/>
      <c r="N28" s="5"/>
      <c r="O28" s="5"/>
      <c r="P28" s="7">
        <f t="shared" si="4"/>
        <v>0</v>
      </c>
      <c r="Q28" s="7"/>
      <c r="R28" s="7"/>
    </row>
    <row r="29" spans="1:18" x14ac:dyDescent="0.25">
      <c r="A29" s="1" t="s">
        <v>18</v>
      </c>
      <c r="B29" s="1" t="str">
        <f>VLOOKUP(A29,[4]LISTADHERENT!A$5:H$60,3,0)</f>
        <v>NKEHE DAVID</v>
      </c>
      <c r="C29" s="7">
        <f t="shared" si="0"/>
        <v>7000</v>
      </c>
      <c r="D29" s="7">
        <f t="shared" si="1"/>
        <v>20000</v>
      </c>
      <c r="E29" s="7">
        <f t="shared" si="2"/>
        <v>3000</v>
      </c>
      <c r="F29" s="5" t="s">
        <v>45</v>
      </c>
      <c r="G29" s="7">
        <f>IF(F29="BANQUE",30000,IF(F29="ESPECES",30000,0))-3000</f>
        <v>27000</v>
      </c>
      <c r="H29" s="7"/>
      <c r="I29" s="7"/>
      <c r="J29" s="5"/>
      <c r="K29" s="5"/>
      <c r="L29" s="4">
        <f>TONTJUIL!H29+TONTJUIL!I29</f>
        <v>0</v>
      </c>
      <c r="M29" s="4"/>
      <c r="N29" s="5"/>
      <c r="O29" s="5"/>
      <c r="P29" s="7">
        <f t="shared" si="4"/>
        <v>0</v>
      </c>
      <c r="Q29" s="7"/>
      <c r="R29" s="7"/>
    </row>
    <row r="30" spans="1:18" x14ac:dyDescent="0.25">
      <c r="A30" s="1" t="s">
        <v>29</v>
      </c>
      <c r="B30" s="1" t="str">
        <f>VLOOKUP(A30,[4]LISTADHERENT!A$5:H$60,3,0)</f>
        <v>NKEPSEU DIEUDONNE</v>
      </c>
      <c r="C30" s="7">
        <f t="shared" si="0"/>
        <v>10000</v>
      </c>
      <c r="D30" s="7">
        <f t="shared" si="1"/>
        <v>20000</v>
      </c>
      <c r="E30" s="7">
        <f t="shared" si="2"/>
        <v>0</v>
      </c>
      <c r="F30" s="5" t="s">
        <v>46</v>
      </c>
      <c r="G30" s="7">
        <f>IF(F30="BANQUE",30000,IF(F30="ESPECES",30000,0))</f>
        <v>30000</v>
      </c>
      <c r="H30" s="7"/>
      <c r="I30" s="7"/>
      <c r="J30" s="5"/>
      <c r="K30" s="5"/>
      <c r="L30" s="4">
        <f>TONTJUIL!H30+TONTJUIL!I30</f>
        <v>0</v>
      </c>
      <c r="M30" s="4"/>
      <c r="N30" s="5"/>
      <c r="O30" s="5"/>
      <c r="P30" s="7">
        <f t="shared" si="4"/>
        <v>0</v>
      </c>
      <c r="Q30" s="7"/>
      <c r="R30" s="7"/>
    </row>
    <row r="31" spans="1:18" x14ac:dyDescent="0.25">
      <c r="A31" s="1" t="s">
        <v>30</v>
      </c>
      <c r="B31" s="1" t="str">
        <f>VLOOKUP(A31,[4]LISTADHERENT!A$5:H$60,3,0)</f>
        <v>PATEGO NJOSSU GUSTAVE</v>
      </c>
      <c r="C31" s="7">
        <f t="shared" si="0"/>
        <v>10000</v>
      </c>
      <c r="D31" s="7">
        <f t="shared" si="1"/>
        <v>20000</v>
      </c>
      <c r="E31" s="7">
        <f t="shared" si="2"/>
        <v>0</v>
      </c>
      <c r="F31" s="5" t="s">
        <v>46</v>
      </c>
      <c r="G31" s="7">
        <f t="shared" si="3"/>
        <v>30000</v>
      </c>
      <c r="H31" s="7"/>
      <c r="I31" s="7"/>
      <c r="J31" s="5"/>
      <c r="K31" s="5"/>
      <c r="L31" s="4">
        <f>TONTJUIL!H31+TONTJUIL!I31</f>
        <v>0</v>
      </c>
      <c r="M31" s="4"/>
      <c r="N31" s="5"/>
      <c r="O31" s="5"/>
      <c r="P31" s="7">
        <f t="shared" si="4"/>
        <v>0</v>
      </c>
      <c r="Q31" s="7"/>
      <c r="R31" s="7"/>
    </row>
    <row r="32" spans="1:18" x14ac:dyDescent="0.25">
      <c r="A32" s="1" t="s">
        <v>72</v>
      </c>
      <c r="B32" s="1" t="str">
        <f>VLOOKUP(A32,[4]LISTADHERENT!A$5:H$60,3,0)</f>
        <v>SIME BRICE</v>
      </c>
      <c r="C32" s="7">
        <f t="shared" si="0"/>
        <v>20000</v>
      </c>
      <c r="D32" s="7">
        <f t="shared" si="1"/>
        <v>20000</v>
      </c>
      <c r="E32" s="7">
        <f t="shared" si="2"/>
        <v>3000</v>
      </c>
      <c r="F32" s="5" t="s">
        <v>45</v>
      </c>
      <c r="G32" s="7">
        <f>IF(F32="BANQUE",30000,IF(F32="ESPECES",30000,0))+10000</f>
        <v>40000</v>
      </c>
      <c r="H32" s="7"/>
      <c r="I32" s="7"/>
      <c r="J32" s="5"/>
      <c r="K32" s="5"/>
      <c r="L32" s="4">
        <f>TONTJUIL!H32+TONTJUIL!I32</f>
        <v>0</v>
      </c>
      <c r="M32" s="4"/>
      <c r="N32" s="5"/>
      <c r="O32" s="5"/>
      <c r="P32" s="7">
        <f t="shared" si="4"/>
        <v>0</v>
      </c>
    </row>
    <row r="33" spans="1:18" x14ac:dyDescent="0.25">
      <c r="A33" s="1" t="s">
        <v>31</v>
      </c>
      <c r="B33" s="1" t="str">
        <f>VLOOKUP(A33,[4]LISTADHERENT!A$5:H$60,3,0)</f>
        <v>SIMO FONGANG ERIC</v>
      </c>
      <c r="C33" s="7">
        <f t="shared" si="0"/>
        <v>7000</v>
      </c>
      <c r="D33" s="7">
        <f t="shared" si="1"/>
        <v>20000</v>
      </c>
      <c r="E33" s="7">
        <f t="shared" si="2"/>
        <v>3000</v>
      </c>
      <c r="F33" s="5" t="s">
        <v>45</v>
      </c>
      <c r="G33" s="7">
        <f>IF(F33="BANQUE",30000,IF(F33="ESPECES",30000,0))-3000</f>
        <v>27000</v>
      </c>
      <c r="H33" s="7"/>
      <c r="I33" s="7"/>
      <c r="J33" s="5"/>
      <c r="K33" s="5"/>
      <c r="L33" s="4">
        <f>TONTJUIL!H33+TONTJUIL!I33</f>
        <v>0</v>
      </c>
      <c r="M33" s="4"/>
      <c r="N33" s="5"/>
      <c r="O33" s="5"/>
      <c r="P33" s="7">
        <f t="shared" si="4"/>
        <v>0</v>
      </c>
      <c r="Q33" s="7"/>
      <c r="R33" s="7"/>
    </row>
    <row r="34" spans="1:18" x14ac:dyDescent="0.25">
      <c r="A34" s="1" t="s">
        <v>32</v>
      </c>
      <c r="B34" s="1" t="str">
        <f>VLOOKUP(A34,[4]LISTADHERENT!A$5:H$60,3,0)</f>
        <v>SIME MATHIEU</v>
      </c>
      <c r="C34" s="7">
        <f t="shared" si="0"/>
        <v>10000</v>
      </c>
      <c r="D34" s="7">
        <f t="shared" si="1"/>
        <v>20000</v>
      </c>
      <c r="E34" s="7">
        <f t="shared" si="2"/>
        <v>3000</v>
      </c>
      <c r="F34" s="5" t="s">
        <v>45</v>
      </c>
      <c r="G34" s="7">
        <f t="shared" si="3"/>
        <v>30000</v>
      </c>
      <c r="H34" s="7"/>
      <c r="I34" s="7"/>
      <c r="J34" s="5"/>
      <c r="K34" s="5"/>
      <c r="L34" s="4">
        <f>TONTJUIL!H34+TONTJUIL!I34</f>
        <v>0</v>
      </c>
      <c r="M34" s="4"/>
      <c r="N34" s="5"/>
      <c r="O34" s="5"/>
      <c r="P34" s="7">
        <f t="shared" si="4"/>
        <v>0</v>
      </c>
      <c r="Q34" s="7"/>
      <c r="R34" s="7"/>
    </row>
    <row r="35" spans="1:18" x14ac:dyDescent="0.25">
      <c r="A35" s="1" t="s">
        <v>33</v>
      </c>
      <c r="B35" s="1" t="str">
        <f>VLOOKUP(A35,[4]LISTADHERENT!A$5:H$60,3,0)</f>
        <v>SIMO PIERRE</v>
      </c>
      <c r="C35" s="7">
        <f t="shared" si="0"/>
        <v>15000</v>
      </c>
      <c r="D35" s="7">
        <f t="shared" si="1"/>
        <v>20000</v>
      </c>
      <c r="E35" s="7">
        <f t="shared" si="2"/>
        <v>0</v>
      </c>
      <c r="F35" s="5" t="s">
        <v>46</v>
      </c>
      <c r="G35" s="7">
        <f>IF(F35="BANQUE",30000,IF(F35="ESPECES",30000,0))+5000</f>
        <v>35000</v>
      </c>
      <c r="H35" s="7"/>
      <c r="I35" s="7"/>
      <c r="J35" s="5"/>
      <c r="K35" s="5"/>
      <c r="L35" s="4">
        <f>TONTJUIL!H35+TONTJUIL!I35</f>
        <v>0</v>
      </c>
      <c r="M35" s="4"/>
      <c r="N35" s="5"/>
      <c r="O35" s="5"/>
      <c r="P35" s="7">
        <f t="shared" si="4"/>
        <v>0</v>
      </c>
      <c r="Q35" s="7"/>
      <c r="R35" s="7"/>
    </row>
    <row r="36" spans="1:18" x14ac:dyDescent="0.25">
      <c r="A36" s="1" t="s">
        <v>35</v>
      </c>
      <c r="B36" s="1" t="str">
        <f>VLOOKUP(A36,[4]LISTADHERENT!A$5:H$60,3,0)</f>
        <v>TCHOUAMOU MATHIEU</v>
      </c>
      <c r="C36" s="7">
        <f t="shared" si="0"/>
        <v>10000</v>
      </c>
      <c r="D36" s="7">
        <f t="shared" si="1"/>
        <v>20000</v>
      </c>
      <c r="E36" s="7">
        <f t="shared" si="2"/>
        <v>0</v>
      </c>
      <c r="F36" s="5" t="s">
        <v>46</v>
      </c>
      <c r="G36" s="7">
        <f t="shared" si="3"/>
        <v>30000</v>
      </c>
      <c r="H36" s="7"/>
      <c r="I36" s="7"/>
      <c r="J36" s="5"/>
      <c r="K36" s="5"/>
      <c r="L36" s="4">
        <f>TONTJUIL!H36+TONTJUIL!I36</f>
        <v>0</v>
      </c>
      <c r="M36" s="4"/>
      <c r="N36" s="5"/>
      <c r="O36" s="5"/>
      <c r="P36" s="7">
        <f t="shared" si="4"/>
        <v>0</v>
      </c>
      <c r="Q36" s="7"/>
      <c r="R36" s="7"/>
    </row>
    <row r="37" spans="1:18" x14ac:dyDescent="0.25">
      <c r="A37" s="1" t="s">
        <v>36</v>
      </c>
      <c r="B37" s="1" t="str">
        <f>VLOOKUP(A37,[4]LISTADHERENT!A$5:H$60,3,0)</f>
        <v>TIEYAM ERNEST</v>
      </c>
      <c r="C37" s="7">
        <f t="shared" si="0"/>
        <v>10000</v>
      </c>
      <c r="D37" s="7">
        <f t="shared" si="1"/>
        <v>20000</v>
      </c>
      <c r="E37" s="7">
        <f t="shared" si="2"/>
        <v>3000</v>
      </c>
      <c r="F37" s="5" t="s">
        <v>45</v>
      </c>
      <c r="G37" s="7">
        <f t="shared" si="3"/>
        <v>30000</v>
      </c>
      <c r="H37" s="7">
        <v>60000</v>
      </c>
      <c r="I37" s="7">
        <v>2500</v>
      </c>
      <c r="J37" s="5"/>
      <c r="K37" s="5"/>
      <c r="L37" s="4">
        <f>TONTJUIL!H37+TONTJUIL!I37</f>
        <v>48000</v>
      </c>
      <c r="M37" s="4" t="s">
        <v>45</v>
      </c>
      <c r="N37" s="5"/>
      <c r="O37" s="5"/>
      <c r="P37" s="7">
        <f t="shared" si="4"/>
        <v>0</v>
      </c>
      <c r="Q37" s="7"/>
      <c r="R37" s="7"/>
    </row>
    <row r="38" spans="1:18" x14ac:dyDescent="0.25">
      <c r="A38" s="1" t="s">
        <v>37</v>
      </c>
      <c r="B38" s="1" t="str">
        <f>VLOOKUP(A38,[4]LISTADHERENT!A$5:H$60,3,0)</f>
        <v>YEPMOU JEAN JACQUES</v>
      </c>
      <c r="C38" s="7">
        <f t="shared" si="0"/>
        <v>10000</v>
      </c>
      <c r="D38" s="7">
        <f t="shared" si="1"/>
        <v>20000</v>
      </c>
      <c r="E38" s="7">
        <f t="shared" si="2"/>
        <v>3000</v>
      </c>
      <c r="F38" s="5" t="s">
        <v>45</v>
      </c>
      <c r="G38" s="7">
        <f t="shared" si="3"/>
        <v>30000</v>
      </c>
      <c r="H38" s="7"/>
      <c r="I38" s="7"/>
      <c r="J38" s="5"/>
      <c r="K38" s="5"/>
      <c r="L38" s="4">
        <f>TONTJUIL!H38+TONTJUIL!I38</f>
        <v>0</v>
      </c>
      <c r="M38" s="4"/>
      <c r="N38" s="5"/>
      <c r="O38" s="5"/>
      <c r="P38" s="7">
        <f t="shared" si="4"/>
        <v>0</v>
      </c>
      <c r="Q38" s="7"/>
      <c r="R38" s="7"/>
    </row>
    <row r="39" spans="1:18" x14ac:dyDescent="0.25">
      <c r="A39" s="1" t="s">
        <v>38</v>
      </c>
      <c r="B39" s="1" t="str">
        <f>VLOOKUP(A39,[4]LISTADHERENT!A$5:H$60,3,0)</f>
        <v>YOUMBI EMMANUEL</v>
      </c>
      <c r="C39" s="7">
        <f t="shared" si="0"/>
        <v>10000</v>
      </c>
      <c r="D39" s="7">
        <f t="shared" si="1"/>
        <v>20000</v>
      </c>
      <c r="E39" s="7">
        <f t="shared" si="2"/>
        <v>0</v>
      </c>
      <c r="F39" s="5" t="s">
        <v>46</v>
      </c>
      <c r="G39" s="7">
        <f t="shared" si="3"/>
        <v>30000</v>
      </c>
      <c r="H39" s="7"/>
      <c r="I39" s="7"/>
      <c r="J39" s="5"/>
      <c r="K39" s="5"/>
      <c r="L39" s="4">
        <f>TONTJUIL!H39+TONTJUIL!I39</f>
        <v>0</v>
      </c>
      <c r="M39" s="4"/>
      <c r="N39" s="5"/>
      <c r="O39" s="5"/>
      <c r="P39" s="7">
        <f t="shared" si="4"/>
        <v>0</v>
      </c>
      <c r="Q39" s="7"/>
      <c r="R39" s="7"/>
    </row>
    <row r="40" spans="1:18" x14ac:dyDescent="0.25">
      <c r="A40" s="1" t="s">
        <v>92</v>
      </c>
      <c r="B40" s="1" t="str">
        <f>VLOOKUP(A40,[4]LISTADHERENT!A$5:H$60,3,0)</f>
        <v>TCHEMHOU EMMANUEL</v>
      </c>
      <c r="C40" s="7"/>
      <c r="D40" s="7"/>
      <c r="E40" s="7"/>
      <c r="F40" s="5"/>
      <c r="G40" s="7"/>
      <c r="H40" s="7"/>
      <c r="I40" s="7"/>
      <c r="J40" s="5"/>
      <c r="K40" s="5"/>
      <c r="L40" s="7"/>
      <c r="M40" s="4"/>
      <c r="N40" s="5"/>
      <c r="O40" s="5"/>
      <c r="P40" s="7"/>
    </row>
    <row r="41" spans="1:18" x14ac:dyDescent="0.25">
      <c r="A41" s="1"/>
      <c r="B41" s="1"/>
      <c r="C41" s="7"/>
      <c r="D41" s="7"/>
      <c r="E41" s="7"/>
      <c r="F41" s="5"/>
      <c r="G41" s="7"/>
      <c r="H41" s="7"/>
      <c r="I41" s="7"/>
      <c r="J41" s="5"/>
      <c r="K41" s="5"/>
      <c r="L41" s="7"/>
      <c r="M41" s="5"/>
      <c r="N41" s="5"/>
      <c r="O41" s="5"/>
      <c r="P41" s="7"/>
    </row>
    <row r="42" spans="1:18" x14ac:dyDescent="0.25">
      <c r="A42" s="1"/>
      <c r="B42" s="1"/>
      <c r="C42" s="7"/>
      <c r="D42" s="7"/>
      <c r="E42" s="7"/>
      <c r="F42" s="5"/>
      <c r="G42" s="7"/>
      <c r="H42" s="7"/>
      <c r="I42" s="7"/>
      <c r="J42" s="5"/>
      <c r="K42" s="5"/>
      <c r="L42" s="7"/>
      <c r="M42" s="5"/>
      <c r="N42" s="5"/>
      <c r="O42" s="5"/>
      <c r="P42" s="7"/>
    </row>
    <row r="43" spans="1:18" x14ac:dyDescent="0.25">
      <c r="A43" s="1"/>
      <c r="B43" s="1"/>
      <c r="C43" s="7"/>
      <c r="D43" s="7"/>
      <c r="E43" s="7"/>
      <c r="F43" s="5"/>
      <c r="G43" s="7"/>
      <c r="H43" s="7"/>
      <c r="I43" s="7"/>
      <c r="J43" s="5"/>
      <c r="K43" s="5"/>
      <c r="L43" s="7"/>
      <c r="M43" s="5"/>
      <c r="N43" s="5"/>
      <c r="O43" s="5"/>
      <c r="P43" s="7"/>
    </row>
    <row r="44" spans="1:18" x14ac:dyDescent="0.25">
      <c r="A44" s="1"/>
      <c r="B44" s="1"/>
      <c r="C44" s="1"/>
      <c r="D44" s="1"/>
      <c r="E44" s="1"/>
      <c r="F44" s="1"/>
      <c r="M44" s="1"/>
      <c r="N44" s="1"/>
    </row>
    <row r="45" spans="1:18" x14ac:dyDescent="0.25">
      <c r="A45" s="1"/>
      <c r="B45" s="1"/>
      <c r="C45" s="1"/>
      <c r="D45" s="1"/>
      <c r="E45" s="1"/>
      <c r="F45" s="1"/>
      <c r="M45" s="1"/>
      <c r="N45" s="1"/>
    </row>
    <row r="46" spans="1:18" ht="18" x14ac:dyDescent="0.25">
      <c r="A46" s="1" t="s">
        <v>39</v>
      </c>
      <c r="B46" s="1"/>
      <c r="C46" s="8">
        <f>SUM(C7:C45)</f>
        <v>320000</v>
      </c>
      <c r="D46" s="8">
        <f t="shared" ref="D46:R46" si="5">SUM(D7:D45)</f>
        <v>640000</v>
      </c>
      <c r="E46" s="8">
        <f t="shared" si="5"/>
        <v>30000</v>
      </c>
      <c r="F46" s="8">
        <f t="shared" si="5"/>
        <v>0</v>
      </c>
      <c r="G46" s="8">
        <f t="shared" si="5"/>
        <v>960000</v>
      </c>
      <c r="H46" s="8">
        <f t="shared" si="5"/>
        <v>234000</v>
      </c>
      <c r="I46" s="8">
        <f t="shared" si="5"/>
        <v>7500</v>
      </c>
      <c r="J46" s="8">
        <f t="shared" si="5"/>
        <v>0</v>
      </c>
      <c r="K46" s="8">
        <f t="shared" si="5"/>
        <v>0</v>
      </c>
      <c r="L46" s="8">
        <f t="shared" si="5"/>
        <v>154000</v>
      </c>
      <c r="M46" s="8">
        <f t="shared" si="5"/>
        <v>0</v>
      </c>
      <c r="N46" s="8">
        <f t="shared" si="5"/>
        <v>0</v>
      </c>
      <c r="O46" s="8">
        <f t="shared" si="5"/>
        <v>0</v>
      </c>
      <c r="P46" s="8">
        <f t="shared" si="5"/>
        <v>560000</v>
      </c>
      <c r="Q46" s="8">
        <f t="shared" si="5"/>
        <v>40000</v>
      </c>
      <c r="R46" s="8">
        <f t="shared" si="5"/>
        <v>0</v>
      </c>
    </row>
    <row r="48" spans="1:18" x14ac:dyDescent="0.25">
      <c r="I48" s="9"/>
    </row>
    <row r="49" spans="4:15" ht="18" x14ac:dyDescent="0.25">
      <c r="G49" s="8" t="s">
        <v>75</v>
      </c>
      <c r="H49" s="8">
        <f>D73+H73+Q46</f>
        <v>778500</v>
      </c>
      <c r="I49" s="8"/>
      <c r="J49" s="8"/>
      <c r="K49" s="8"/>
      <c r="O49" s="8"/>
    </row>
    <row r="50" spans="4:15" ht="18" x14ac:dyDescent="0.25">
      <c r="G50" s="8" t="s">
        <v>76</v>
      </c>
      <c r="H50" s="8">
        <f>IF(H49&gt;=900000,300000*3,300000*2)</f>
        <v>600000</v>
      </c>
      <c r="I50" s="9"/>
    </row>
    <row r="51" spans="4:15" ht="18" x14ac:dyDescent="0.25">
      <c r="D51" s="4" t="s">
        <v>47</v>
      </c>
      <c r="E51" s="8">
        <f>+D46</f>
        <v>640000</v>
      </c>
      <c r="I51" s="8"/>
      <c r="J51" s="8"/>
      <c r="K51" s="8"/>
      <c r="O51" s="8"/>
    </row>
    <row r="52" spans="4:15" ht="43.5" x14ac:dyDescent="0.25">
      <c r="D52" s="4" t="s">
        <v>65</v>
      </c>
      <c r="E52" s="8">
        <f>E46</f>
        <v>30000</v>
      </c>
      <c r="F52" s="8"/>
      <c r="G52" s="8" t="s">
        <v>74</v>
      </c>
      <c r="H52" s="8">
        <f>H49-H50</f>
        <v>178500</v>
      </c>
      <c r="L52" s="12"/>
      <c r="M52" s="8"/>
      <c r="N52" s="8"/>
    </row>
    <row r="53" spans="4:15" ht="18" x14ac:dyDescent="0.25">
      <c r="D53" s="4" t="s">
        <v>60</v>
      </c>
      <c r="E53" s="8">
        <f>H46</f>
        <v>234000</v>
      </c>
    </row>
    <row r="54" spans="4:15" ht="29.25" x14ac:dyDescent="0.25">
      <c r="D54" s="4" t="s">
        <v>79</v>
      </c>
      <c r="E54" s="8">
        <f>+I46</f>
        <v>7500</v>
      </c>
      <c r="G54" s="8" t="s">
        <v>78</v>
      </c>
      <c r="H54" s="8">
        <f>H52-H46</f>
        <v>-55500</v>
      </c>
      <c r="I54" s="3" t="s">
        <v>94</v>
      </c>
    </row>
    <row r="55" spans="4:15" ht="29.25" x14ac:dyDescent="0.25">
      <c r="D55" s="4" t="s">
        <v>66</v>
      </c>
      <c r="E55" s="8">
        <f>H73</f>
        <v>98500</v>
      </c>
    </row>
    <row r="56" spans="4:15" ht="29.25" x14ac:dyDescent="0.25">
      <c r="D56" s="4" t="s">
        <v>67</v>
      </c>
      <c r="E56" s="8">
        <f>+Q46</f>
        <v>40000</v>
      </c>
    </row>
    <row r="57" spans="4:15" ht="18" x14ac:dyDescent="0.25">
      <c r="D57" s="4" t="s">
        <v>51</v>
      </c>
      <c r="E57" s="8">
        <f>[5]MVTAOUT!$E$49</f>
        <v>0</v>
      </c>
    </row>
    <row r="58" spans="4:15" ht="18" x14ac:dyDescent="0.25">
      <c r="D58" s="4" t="s">
        <v>41</v>
      </c>
      <c r="E58" s="8">
        <f>[5]MVTAOUT!$E$50</f>
        <v>192000</v>
      </c>
    </row>
    <row r="59" spans="4:15" ht="29.25" x14ac:dyDescent="0.25">
      <c r="D59" s="4" t="s">
        <v>42</v>
      </c>
      <c r="E59" s="8">
        <f>[5]MVTAOUT!$E$51</f>
        <v>16000</v>
      </c>
    </row>
    <row r="60" spans="4:15" ht="29.25" x14ac:dyDescent="0.25">
      <c r="D60" s="4" t="s">
        <v>43</v>
      </c>
      <c r="E60" s="8">
        <f>[5]MVTAOUT!$E$52</f>
        <v>32000</v>
      </c>
    </row>
    <row r="61" spans="4:15" ht="18" x14ac:dyDescent="0.25">
      <c r="D61" s="4" t="s">
        <v>44</v>
      </c>
      <c r="E61" s="8">
        <f>[5]MVTAOUT!$E$53</f>
        <v>80000</v>
      </c>
    </row>
    <row r="62" spans="4:15" ht="18" x14ac:dyDescent="0.25">
      <c r="D62" s="4" t="s">
        <v>52</v>
      </c>
      <c r="E62" s="8">
        <f>[5]MVTAOUT!$E$55</f>
        <v>0</v>
      </c>
    </row>
    <row r="63" spans="4:15" ht="18" x14ac:dyDescent="0.25">
      <c r="D63" s="4" t="s">
        <v>48</v>
      </c>
      <c r="E63" s="8">
        <f>[5]MVTAOUT!$E$56</f>
        <v>19735000</v>
      </c>
    </row>
    <row r="64" spans="4:15" ht="18" x14ac:dyDescent="0.25">
      <c r="D64" s="4" t="s">
        <v>49</v>
      </c>
      <c r="E64" s="8">
        <f>[5]MVTAOUT!$E$57</f>
        <v>1586800</v>
      </c>
    </row>
    <row r="65" spans="1:18" ht="29.25" x14ac:dyDescent="0.25">
      <c r="D65" s="4" t="s">
        <v>50</v>
      </c>
      <c r="E65" s="8">
        <f>[5]MVTAOUT!$E$58</f>
        <v>13794800</v>
      </c>
    </row>
    <row r="66" spans="1:18" s="2" customFormat="1" ht="29.25" x14ac:dyDescent="0.25">
      <c r="A66"/>
      <c r="B66"/>
      <c r="C66"/>
      <c r="D66" s="4" t="s">
        <v>87</v>
      </c>
      <c r="E66" s="8">
        <f>[5]MVTAOUT!$E$59</f>
        <v>0</v>
      </c>
      <c r="F66"/>
      <c r="H66"/>
      <c r="I66" s="3"/>
      <c r="J66" s="3"/>
      <c r="K66" s="3"/>
      <c r="M66"/>
      <c r="N66"/>
      <c r="O66" s="3"/>
      <c r="R66"/>
    </row>
    <row r="67" spans="1:18" s="2" customFormat="1" ht="18" x14ac:dyDescent="0.25">
      <c r="A67"/>
      <c r="B67"/>
      <c r="C67"/>
      <c r="D67" s="4" t="s">
        <v>53</v>
      </c>
      <c r="E67" s="8">
        <f>[5]MVTAOUT!$E$60</f>
        <v>0</v>
      </c>
      <c r="F67"/>
      <c r="H67"/>
      <c r="I67" s="3"/>
      <c r="J67" s="3"/>
      <c r="K67" s="3"/>
      <c r="M67"/>
      <c r="N67"/>
      <c r="O67" s="3"/>
      <c r="R67"/>
    </row>
    <row r="68" spans="1:18" s="2" customFormat="1" ht="18" x14ac:dyDescent="0.25">
      <c r="A68"/>
      <c r="B68"/>
      <c r="C68"/>
      <c r="D68" s="4"/>
      <c r="E68" s="8"/>
      <c r="F68"/>
      <c r="H68"/>
      <c r="I68" s="3"/>
      <c r="J68" s="3"/>
      <c r="K68" s="3"/>
      <c r="M68"/>
      <c r="N68"/>
      <c r="O68" s="3"/>
      <c r="R68"/>
    </row>
    <row r="69" spans="1:18" s="2" customFormat="1" ht="43.5" x14ac:dyDescent="0.25">
      <c r="A69"/>
      <c r="B69"/>
      <c r="C69"/>
      <c r="D69" s="4" t="s">
        <v>6</v>
      </c>
      <c r="E69"/>
      <c r="F69" s="4" t="s">
        <v>73</v>
      </c>
      <c r="G69" s="4" t="s">
        <v>68</v>
      </c>
      <c r="H69" s="4" t="s">
        <v>55</v>
      </c>
      <c r="I69" s="4" t="s">
        <v>60</v>
      </c>
      <c r="J69" s="4" t="s">
        <v>62</v>
      </c>
      <c r="K69" s="4"/>
      <c r="L69" s="4" t="s">
        <v>63</v>
      </c>
      <c r="M69" s="4"/>
      <c r="N69"/>
      <c r="O69" s="4"/>
      <c r="R69"/>
    </row>
    <row r="70" spans="1:18" s="2" customFormat="1" ht="18" x14ac:dyDescent="0.25">
      <c r="A70"/>
      <c r="B70"/>
      <c r="C70"/>
      <c r="D70" s="8">
        <f>SUMIFS(D7:D45,F7:F45,"ESPECES")</f>
        <v>200000</v>
      </c>
      <c r="E70" s="8" t="s">
        <v>45</v>
      </c>
      <c r="F70" s="8">
        <f>SUMIFS(G7:G45,F7:F45,"ESPECES")</f>
        <v>295000</v>
      </c>
      <c r="G70" s="8">
        <f>+E46</f>
        <v>30000</v>
      </c>
      <c r="H70" s="8">
        <f>SUMIFS(L7:L45,M7:M45,"ESPECES")</f>
        <v>71500</v>
      </c>
      <c r="I70" s="8">
        <f>SUMIFS(H7:H45,J7:J45,"ESPECES")</f>
        <v>0</v>
      </c>
      <c r="J70" s="8">
        <f>SUMIFS(P7:P45,N7:N45,"ESPECES")</f>
        <v>0</v>
      </c>
      <c r="K70" s="8"/>
      <c r="L70" s="8">
        <f>F70+H70+G70-I70-J70</f>
        <v>396500</v>
      </c>
      <c r="M70" s="8"/>
      <c r="N70" s="4"/>
      <c r="O70" s="8"/>
      <c r="R70"/>
    </row>
    <row r="71" spans="1:18" s="2" customFormat="1" ht="18" x14ac:dyDescent="0.25">
      <c r="A71"/>
      <c r="B71"/>
      <c r="C71"/>
      <c r="D71" s="8">
        <f>SUMIFS(D7:D45,F7:F45,"BANQUE")</f>
        <v>440000</v>
      </c>
      <c r="E71" s="8" t="s">
        <v>46</v>
      </c>
      <c r="F71" s="8">
        <f>SUMIFS(G7:G45,F7:F45,"BANQUE")</f>
        <v>665000</v>
      </c>
      <c r="H71" s="8">
        <f>SUMIFS(L7:L45,M7:M45,"BANQUE")</f>
        <v>27000</v>
      </c>
      <c r="I71" s="8">
        <f>SUMIFS(H7:H45,J7:J45,"BANQUE")</f>
        <v>0</v>
      </c>
      <c r="J71" s="8">
        <f>SUMIFS(P7:P45,M7:M45,"BANQUE")</f>
        <v>0</v>
      </c>
      <c r="K71" s="8"/>
      <c r="L71" s="8">
        <f>F71+H71-I71-J71</f>
        <v>692000</v>
      </c>
      <c r="M71" s="8"/>
      <c r="N71" s="8"/>
      <c r="O71" s="8"/>
      <c r="R71"/>
    </row>
    <row r="72" spans="1:18" s="2" customFormat="1" ht="18" x14ac:dyDescent="0.25">
      <c r="A72"/>
      <c r="B72"/>
      <c r="C72"/>
      <c r="D72" s="8"/>
      <c r="E72" s="8"/>
      <c r="F72" s="8"/>
      <c r="H72" s="8"/>
      <c r="I72" s="8"/>
      <c r="J72" s="8"/>
      <c r="K72" s="8"/>
      <c r="L72" s="8"/>
      <c r="M72" s="8"/>
      <c r="N72" s="8"/>
      <c r="O72" s="8"/>
      <c r="R72"/>
    </row>
    <row r="73" spans="1:18" s="2" customFormat="1" ht="18" x14ac:dyDescent="0.25">
      <c r="A73"/>
      <c r="B73"/>
      <c r="C73"/>
      <c r="D73" s="8">
        <f>D70+D71</f>
        <v>640000</v>
      </c>
      <c r="E73" s="8" t="s">
        <v>39</v>
      </c>
      <c r="F73" s="8">
        <f>F70+F71</f>
        <v>960000</v>
      </c>
      <c r="H73" s="8">
        <f>H70+H71</f>
        <v>98500</v>
      </c>
      <c r="I73" s="8">
        <f>I70+I71</f>
        <v>0</v>
      </c>
      <c r="J73" s="8">
        <v>0</v>
      </c>
      <c r="K73" s="8"/>
      <c r="L73" s="8">
        <f>F73+H73-I73-J73</f>
        <v>1058500</v>
      </c>
      <c r="M73" s="8"/>
      <c r="N73" s="8"/>
      <c r="O73" s="8"/>
      <c r="R73"/>
    </row>
    <row r="74" spans="1:18" s="2" customFormat="1" ht="18" x14ac:dyDescent="0.25">
      <c r="A74"/>
      <c r="B74"/>
      <c r="C74"/>
      <c r="D74" s="8">
        <f>D73+R46</f>
        <v>640000</v>
      </c>
      <c r="E74" s="8" t="s">
        <v>82</v>
      </c>
      <c r="F74"/>
      <c r="H74"/>
      <c r="I74" s="3"/>
      <c r="J74" s="3"/>
      <c r="K74" s="3"/>
      <c r="M74"/>
      <c r="N74" s="8"/>
      <c r="O74" s="3"/>
      <c r="R74"/>
    </row>
    <row r="75" spans="1:18" s="2" customFormat="1" ht="18" x14ac:dyDescent="0.25">
      <c r="A75"/>
      <c r="B75"/>
      <c r="C75"/>
      <c r="D75" s="4" t="s">
        <v>6</v>
      </c>
      <c r="E75" s="8">
        <v>300000</v>
      </c>
      <c r="F75"/>
      <c r="H75"/>
      <c r="I75" s="3"/>
      <c r="J75" s="3"/>
      <c r="K75" s="3"/>
      <c r="M75"/>
      <c r="N75"/>
      <c r="O75" s="3"/>
      <c r="R75"/>
    </row>
    <row r="76" spans="1:18" s="2" customFormat="1" ht="29.25" x14ac:dyDescent="0.25">
      <c r="A76"/>
      <c r="B76"/>
      <c r="C76"/>
      <c r="D76" s="10" t="s">
        <v>64</v>
      </c>
      <c r="E76" s="11">
        <f>L46+Q46</f>
        <v>194000</v>
      </c>
      <c r="F76"/>
      <c r="H76"/>
      <c r="I76" s="3"/>
      <c r="J76" s="3"/>
      <c r="K76" s="3"/>
      <c r="M76"/>
      <c r="N76"/>
      <c r="O76" s="3"/>
      <c r="R76"/>
    </row>
    <row r="78" spans="1:18" x14ac:dyDescent="0.25">
      <c r="E78" s="2"/>
    </row>
  </sheetData>
  <autoFilter ref="A5:R39">
    <sortState ref="A5:L48">
      <sortCondition ref="B5:B48"/>
    </sortState>
  </autoFilter>
  <mergeCells count="1">
    <mergeCell ref="C4:I4"/>
  </mergeCells>
  <dataValidations count="1">
    <dataValidation type="list" allowBlank="1" showInputMessage="1" showErrorMessage="1" sqref="J6:K43 F6:F43 M41:M43 N6:O43">
      <formula1>MODEVERSEMENTS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8"/>
  <sheetViews>
    <sheetView workbookViewId="0">
      <pane xSplit="2" ySplit="5" topLeftCell="C51" activePane="bottomRight" state="frozen"/>
      <selection activeCell="I54" sqref="I54"/>
      <selection pane="topRight" activeCell="I54" sqref="I54"/>
      <selection pane="bottomLeft" activeCell="I54" sqref="I54"/>
      <selection pane="bottomRight" activeCell="I54" sqref="I54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15" bestFit="1" customWidth="1"/>
    <col min="4" max="4" width="21" customWidth="1"/>
    <col min="5" max="6" width="16.7109375" customWidth="1"/>
    <col min="7" max="7" width="15" style="2" bestFit="1" customWidth="1"/>
    <col min="8" max="8" width="15" bestFit="1" customWidth="1"/>
    <col min="9" max="9" width="17.5703125" style="3" bestFit="1" customWidth="1"/>
    <col min="10" max="10" width="17.5703125" style="3" customWidth="1"/>
    <col min="11" max="11" width="16" style="3" customWidth="1"/>
    <col min="12" max="12" width="15.7109375" style="2" customWidth="1"/>
    <col min="13" max="14" width="13" customWidth="1"/>
    <col min="15" max="15" width="15.5703125" style="3" customWidth="1"/>
    <col min="16" max="17" width="18.140625" style="2" bestFit="1" customWidth="1"/>
    <col min="18" max="18" width="12.5703125" bestFit="1" customWidth="1"/>
  </cols>
  <sheetData>
    <row r="1" spans="1:18" x14ac:dyDescent="0.25">
      <c r="A1" s="1" t="s">
        <v>0</v>
      </c>
      <c r="B1" s="1" t="s">
        <v>1</v>
      </c>
      <c r="C1" s="1"/>
      <c r="D1" s="1"/>
      <c r="E1" s="1"/>
      <c r="F1" s="1"/>
      <c r="M1" s="1"/>
      <c r="N1" s="1"/>
    </row>
    <row r="2" spans="1:18" x14ac:dyDescent="0.25">
      <c r="A2" s="1" t="s">
        <v>2</v>
      </c>
      <c r="B2" s="1" t="s">
        <v>80</v>
      </c>
      <c r="C2" s="1"/>
      <c r="D2" s="1"/>
      <c r="E2" s="1"/>
      <c r="F2" s="1"/>
      <c r="M2" s="1"/>
      <c r="N2" s="1"/>
    </row>
    <row r="3" spans="1:18" x14ac:dyDescent="0.25">
      <c r="A3" s="1" t="s">
        <v>3</v>
      </c>
      <c r="B3" s="6">
        <v>30000</v>
      </c>
      <c r="C3" s="1"/>
      <c r="D3" s="1"/>
      <c r="E3" s="1"/>
      <c r="F3" s="1"/>
      <c r="M3" s="1"/>
      <c r="N3" s="1"/>
    </row>
    <row r="4" spans="1:18" ht="18" x14ac:dyDescent="0.25">
      <c r="B4" s="13"/>
      <c r="C4" s="20">
        <v>44094</v>
      </c>
      <c r="D4" s="21"/>
      <c r="E4" s="21"/>
      <c r="F4" s="21"/>
      <c r="G4" s="21"/>
      <c r="H4" s="21"/>
      <c r="I4" s="21"/>
      <c r="J4" s="16"/>
      <c r="K4" s="16"/>
      <c r="L4" s="16"/>
      <c r="M4" s="16"/>
      <c r="O4" s="16"/>
      <c r="P4"/>
      <c r="Q4"/>
    </row>
    <row r="5" spans="1:18" ht="57.75" x14ac:dyDescent="0.25">
      <c r="A5" s="1" t="s">
        <v>4</v>
      </c>
      <c r="B5" s="1" t="s">
        <v>5</v>
      </c>
      <c r="C5" s="1" t="s">
        <v>40</v>
      </c>
      <c r="D5" s="4" t="s">
        <v>6</v>
      </c>
      <c r="E5" s="1" t="s">
        <v>65</v>
      </c>
      <c r="F5" s="5" t="s">
        <v>7</v>
      </c>
      <c r="G5" s="4" t="s">
        <v>8</v>
      </c>
      <c r="H5" s="6" t="s">
        <v>60</v>
      </c>
      <c r="I5" s="4" t="s">
        <v>57</v>
      </c>
      <c r="J5" s="4" t="s">
        <v>61</v>
      </c>
      <c r="K5" s="14" t="s">
        <v>77</v>
      </c>
      <c r="L5" s="4" t="s">
        <v>55</v>
      </c>
      <c r="M5" s="4" t="s">
        <v>54</v>
      </c>
      <c r="N5" s="4" t="s">
        <v>58</v>
      </c>
      <c r="O5" s="4" t="s">
        <v>77</v>
      </c>
      <c r="P5" s="4" t="s">
        <v>56</v>
      </c>
      <c r="Q5" s="6" t="s">
        <v>59</v>
      </c>
      <c r="R5" s="4" t="s">
        <v>81</v>
      </c>
    </row>
    <row r="6" spans="1:18" x14ac:dyDescent="0.25">
      <c r="A6" s="1" t="s">
        <v>69</v>
      </c>
      <c r="B6" s="1" t="str">
        <f>VLOOKUP(A6,[4]LISTADHERENT!A$5:H$60,3,0)</f>
        <v>ASELBY</v>
      </c>
      <c r="C6" s="7">
        <f t="shared" ref="C6:C39" si="0">IF(G6=0,0,G6-D6)</f>
        <v>0</v>
      </c>
      <c r="D6" s="7">
        <f t="shared" ref="D6:D39" si="1">IF(F6="ECHEC",0,IF(F6="",0,20000))</f>
        <v>0</v>
      </c>
      <c r="E6" s="7">
        <f t="shared" ref="E6:E39" si="2">IF(F6="ESPECES",3000,0)</f>
        <v>0</v>
      </c>
      <c r="F6" s="5"/>
      <c r="G6" s="7">
        <f t="shared" ref="G6:G39" si="3">IF(F6="BANQUE",30000,IF(F6="ESPECES",30000,0))</f>
        <v>0</v>
      </c>
      <c r="H6" s="7"/>
      <c r="I6" s="7"/>
      <c r="J6" s="5"/>
      <c r="K6" s="5"/>
      <c r="L6" s="4">
        <f>TONTAOUT!H6+TONTAOUT!I6</f>
        <v>0</v>
      </c>
      <c r="M6" s="4"/>
      <c r="N6" s="5"/>
      <c r="O6" s="5"/>
      <c r="P6" s="7">
        <f>IF(Q6=0,0,($E$76-Q6))</f>
        <v>0</v>
      </c>
      <c r="Q6" s="7"/>
      <c r="R6" s="7"/>
    </row>
    <row r="7" spans="1:18" x14ac:dyDescent="0.25">
      <c r="A7" s="1" t="s">
        <v>10</v>
      </c>
      <c r="B7" s="1" t="str">
        <f>VLOOKUP(A7,[4]LISTADHERENT!A$5:H$60,3,0)</f>
        <v>BOUTCHOUANG WILLIAM</v>
      </c>
      <c r="C7" s="7">
        <f t="shared" si="0"/>
        <v>10000</v>
      </c>
      <c r="D7" s="7">
        <f t="shared" si="1"/>
        <v>20000</v>
      </c>
      <c r="E7" s="7">
        <f t="shared" si="2"/>
        <v>0</v>
      </c>
      <c r="F7" s="5" t="s">
        <v>46</v>
      </c>
      <c r="G7" s="7">
        <f t="shared" si="3"/>
        <v>30000</v>
      </c>
      <c r="H7" s="7"/>
      <c r="I7" s="7"/>
      <c r="J7" s="5"/>
      <c r="K7" s="5"/>
      <c r="L7" s="4">
        <f>TONTAOUT!H7+TONTAOUT!I7</f>
        <v>0</v>
      </c>
      <c r="M7" s="4"/>
      <c r="N7" s="5"/>
      <c r="O7" s="5"/>
      <c r="P7" s="7">
        <f t="shared" ref="P7:P39" si="4">IF(Q7=0,0,($E$75-Q7))</f>
        <v>0</v>
      </c>
      <c r="Q7" s="7"/>
      <c r="R7" s="7"/>
    </row>
    <row r="8" spans="1:18" x14ac:dyDescent="0.25">
      <c r="A8" s="1" t="s">
        <v>11</v>
      </c>
      <c r="B8" s="1" t="str">
        <f>VLOOKUP(A8,[4]LISTADHERENT!A$5:H$60,3,0)</f>
        <v xml:space="preserve">DJOMO JEAN PAUL </v>
      </c>
      <c r="C8" s="7">
        <f t="shared" si="0"/>
        <v>10000</v>
      </c>
      <c r="D8" s="7">
        <f t="shared" si="1"/>
        <v>20000</v>
      </c>
      <c r="E8" s="7">
        <f t="shared" si="2"/>
        <v>0</v>
      </c>
      <c r="F8" s="5" t="s">
        <v>46</v>
      </c>
      <c r="G8" s="7">
        <f t="shared" si="3"/>
        <v>30000</v>
      </c>
      <c r="H8" s="7"/>
      <c r="I8" s="7"/>
      <c r="J8" s="5"/>
      <c r="K8" s="5"/>
      <c r="L8" s="4">
        <f>TONTAOUT!H8+TONTAOUT!I8</f>
        <v>0</v>
      </c>
      <c r="M8" s="4"/>
      <c r="N8" s="5"/>
      <c r="O8" s="5"/>
      <c r="P8" s="7">
        <f t="shared" si="4"/>
        <v>0</v>
      </c>
      <c r="Q8" s="7"/>
      <c r="R8" s="7"/>
    </row>
    <row r="9" spans="1:18" x14ac:dyDescent="0.25">
      <c r="A9" s="1" t="s">
        <v>83</v>
      </c>
      <c r="B9" s="1" t="str">
        <f>VLOOKUP(A9,[4]LISTADHERENT!A$5:H$60,3,0)</f>
        <v>DJOMOU TCHANDA</v>
      </c>
      <c r="C9" s="7">
        <f t="shared" si="0"/>
        <v>10000</v>
      </c>
      <c r="D9" s="7">
        <f t="shared" si="1"/>
        <v>20000</v>
      </c>
      <c r="E9" s="7">
        <f t="shared" si="2"/>
        <v>0</v>
      </c>
      <c r="F9" s="5" t="s">
        <v>46</v>
      </c>
      <c r="G9" s="7">
        <f t="shared" si="3"/>
        <v>30000</v>
      </c>
      <c r="H9" s="7"/>
      <c r="I9" s="7"/>
      <c r="J9" s="5"/>
      <c r="K9" s="5"/>
      <c r="L9" s="4">
        <f>TONTAOUT!H9+TONTAOUT!I9</f>
        <v>0</v>
      </c>
      <c r="M9" s="4"/>
      <c r="N9" s="5"/>
      <c r="O9" s="5"/>
      <c r="P9" s="7">
        <f t="shared" si="4"/>
        <v>0</v>
      </c>
      <c r="Q9" s="7"/>
      <c r="R9" s="7"/>
    </row>
    <row r="10" spans="1:18" x14ac:dyDescent="0.25">
      <c r="A10" s="1" t="s">
        <v>12</v>
      </c>
      <c r="B10" s="1" t="str">
        <f>VLOOKUP(A10,[4]LISTADHERENT!A$5:H$60,3,0)</f>
        <v>DJOUKWE NANGUEN GUY BLAISE</v>
      </c>
      <c r="C10" s="7">
        <f t="shared" si="0"/>
        <v>19000</v>
      </c>
      <c r="D10" s="7">
        <f t="shared" si="1"/>
        <v>20000</v>
      </c>
      <c r="E10" s="7">
        <f t="shared" si="2"/>
        <v>0</v>
      </c>
      <c r="F10" s="5" t="s">
        <v>46</v>
      </c>
      <c r="G10" s="7">
        <f>IF(F10="BANQUE",30000,IF(F10="ESPECES",30000,0))+9000</f>
        <v>39000</v>
      </c>
      <c r="H10" s="7"/>
      <c r="I10" s="7"/>
      <c r="J10" s="5"/>
      <c r="K10" s="5"/>
      <c r="L10" s="4">
        <f>TONTAOUT!H10+TONTAOUT!I10</f>
        <v>0</v>
      </c>
      <c r="M10" s="4"/>
      <c r="N10" s="5"/>
      <c r="O10" s="5"/>
      <c r="P10" s="7">
        <f t="shared" si="4"/>
        <v>0</v>
      </c>
      <c r="Q10" s="7"/>
      <c r="R10" s="7"/>
    </row>
    <row r="11" spans="1:18" x14ac:dyDescent="0.25">
      <c r="A11" s="1" t="s">
        <v>13</v>
      </c>
      <c r="B11" s="1" t="str">
        <f>VLOOKUP(A11,[4]LISTADHERENT!A$5:H$60,3,0)</f>
        <v>DJUOMBESSY ANTOINE</v>
      </c>
      <c r="C11" s="7">
        <f t="shared" si="0"/>
        <v>10000</v>
      </c>
      <c r="D11" s="7">
        <f t="shared" si="1"/>
        <v>20000</v>
      </c>
      <c r="E11" s="7">
        <f t="shared" si="2"/>
        <v>0</v>
      </c>
      <c r="F11" s="5" t="s">
        <v>46</v>
      </c>
      <c r="G11" s="7">
        <f t="shared" si="3"/>
        <v>30000</v>
      </c>
      <c r="H11" s="7">
        <v>60000</v>
      </c>
      <c r="I11" s="7">
        <v>1500</v>
      </c>
      <c r="J11" s="5"/>
      <c r="K11" s="5"/>
      <c r="L11" s="4">
        <f>TONTAOUT!H11+TONTAOUT!I11</f>
        <v>0</v>
      </c>
      <c r="M11" s="4"/>
      <c r="N11" s="5"/>
      <c r="O11" s="5"/>
      <c r="P11" s="7">
        <f t="shared" si="4"/>
        <v>0</v>
      </c>
      <c r="Q11" s="7"/>
      <c r="R11" s="7"/>
    </row>
    <row r="12" spans="1:18" x14ac:dyDescent="0.25">
      <c r="A12" s="1" t="s">
        <v>71</v>
      </c>
      <c r="B12" s="1" t="str">
        <f>VLOOKUP(A12,[4]LISTADHERENT!A$5:H$60,3,0)</f>
        <v>DOMOU FABIEN</v>
      </c>
      <c r="C12" s="7">
        <f t="shared" si="0"/>
        <v>10000</v>
      </c>
      <c r="D12" s="7">
        <f t="shared" si="1"/>
        <v>20000</v>
      </c>
      <c r="E12" s="7">
        <f t="shared" si="2"/>
        <v>0</v>
      </c>
      <c r="F12" s="5" t="s">
        <v>46</v>
      </c>
      <c r="G12" s="7">
        <f t="shared" si="3"/>
        <v>30000</v>
      </c>
      <c r="H12" s="7"/>
      <c r="I12" s="7"/>
      <c r="J12" s="5"/>
      <c r="K12" s="5"/>
      <c r="L12" s="4">
        <f>TONTAOUT!H12+TONTAOUT!I12</f>
        <v>0</v>
      </c>
      <c r="M12" s="4"/>
      <c r="N12" s="5"/>
      <c r="O12" s="5"/>
      <c r="P12" s="7">
        <f t="shared" si="4"/>
        <v>0</v>
      </c>
    </row>
    <row r="13" spans="1:18" x14ac:dyDescent="0.25">
      <c r="A13" s="1" t="s">
        <v>14</v>
      </c>
      <c r="B13" s="1" t="str">
        <f>VLOOKUP(A13,[4]LISTADHERENT!A$5:H$60,3,0)</f>
        <v>DONHOU DAVID</v>
      </c>
      <c r="C13" s="7">
        <f t="shared" si="0"/>
        <v>10000</v>
      </c>
      <c r="D13" s="7">
        <f t="shared" si="1"/>
        <v>20000</v>
      </c>
      <c r="E13" s="7">
        <f t="shared" si="2"/>
        <v>0</v>
      </c>
      <c r="F13" s="5" t="s">
        <v>46</v>
      </c>
      <c r="G13" s="7">
        <f t="shared" si="3"/>
        <v>30000</v>
      </c>
      <c r="H13" s="7"/>
      <c r="I13" s="7"/>
      <c r="J13" s="5"/>
      <c r="K13" s="5"/>
      <c r="L13" s="4">
        <f>TONTAOUT!H13+TONTAOUT!I13</f>
        <v>0</v>
      </c>
      <c r="M13" s="4"/>
      <c r="N13" s="5"/>
      <c r="O13" s="5"/>
      <c r="P13" s="7">
        <f t="shared" si="4"/>
        <v>0</v>
      </c>
      <c r="Q13" s="7"/>
      <c r="R13" s="7"/>
    </row>
    <row r="14" spans="1:18" x14ac:dyDescent="0.25">
      <c r="A14" s="1" t="s">
        <v>15</v>
      </c>
      <c r="B14" s="1" t="str">
        <f>VLOOKUP(A14,[4]LISTADHERENT!A$5:H$60,3,0)</f>
        <v>FOTSO THOMAS</v>
      </c>
      <c r="C14" s="7">
        <f t="shared" si="0"/>
        <v>10000</v>
      </c>
      <c r="D14" s="7">
        <f t="shared" si="1"/>
        <v>20000</v>
      </c>
      <c r="E14" s="7">
        <f t="shared" si="2"/>
        <v>0</v>
      </c>
      <c r="F14" s="5" t="s">
        <v>46</v>
      </c>
      <c r="G14" s="7">
        <f t="shared" si="3"/>
        <v>30000</v>
      </c>
      <c r="H14" s="7">
        <v>54500</v>
      </c>
      <c r="I14" s="7"/>
      <c r="J14" s="5"/>
      <c r="K14" s="5"/>
      <c r="L14" s="4">
        <f>TONTAOUT!H14+TONTAOUT!I14</f>
        <v>54500</v>
      </c>
      <c r="M14" s="4" t="s">
        <v>9</v>
      </c>
      <c r="N14" s="5"/>
      <c r="O14" s="5"/>
      <c r="P14" s="7">
        <f t="shared" si="4"/>
        <v>0</v>
      </c>
      <c r="Q14" s="7"/>
      <c r="R14" s="7"/>
    </row>
    <row r="15" spans="1:18" x14ac:dyDescent="0.25">
      <c r="A15" s="1" t="s">
        <v>16</v>
      </c>
      <c r="B15" s="1" t="str">
        <f>VLOOKUP(A15,[4]LISTADHERENT!A$5:H$60,3,0)</f>
        <v>HENGUE PAUL OMER</v>
      </c>
      <c r="C15" s="7">
        <f t="shared" si="0"/>
        <v>10000</v>
      </c>
      <c r="D15" s="7">
        <f t="shared" si="1"/>
        <v>20000</v>
      </c>
      <c r="E15" s="7">
        <f t="shared" si="2"/>
        <v>0</v>
      </c>
      <c r="F15" s="5" t="s">
        <v>46</v>
      </c>
      <c r="G15" s="7">
        <f t="shared" si="3"/>
        <v>30000</v>
      </c>
      <c r="H15" s="7"/>
      <c r="I15" s="7"/>
      <c r="J15" s="5"/>
      <c r="K15" s="5"/>
      <c r="L15" s="4">
        <f>TONTAOUT!H15+TONTAOUT!I15</f>
        <v>0</v>
      </c>
      <c r="M15" s="4"/>
      <c r="N15" s="5"/>
      <c r="O15" s="5"/>
      <c r="P15" s="7">
        <f t="shared" si="4"/>
        <v>0</v>
      </c>
      <c r="Q15" s="7"/>
      <c r="R15" s="7"/>
    </row>
    <row r="16" spans="1:18" x14ac:dyDescent="0.25">
      <c r="A16" s="1" t="s">
        <v>17</v>
      </c>
      <c r="B16" s="1" t="str">
        <f>VLOOKUP(A16,[4]LISTADHERENT!A$5:H$60,3,0)</f>
        <v>HOTCHO BENJAMIN</v>
      </c>
      <c r="C16" s="7">
        <f t="shared" si="0"/>
        <v>45000</v>
      </c>
      <c r="D16" s="7">
        <f t="shared" si="1"/>
        <v>20000</v>
      </c>
      <c r="E16" s="7">
        <f t="shared" si="2"/>
        <v>0</v>
      </c>
      <c r="F16" s="5" t="s">
        <v>46</v>
      </c>
      <c r="G16" s="7">
        <f>IF(F16="BANQUE",30000,IF(F16="ESPECES",30000,0))+35000</f>
        <v>65000</v>
      </c>
      <c r="H16" s="7"/>
      <c r="I16" s="7"/>
      <c r="J16" s="5"/>
      <c r="K16" s="5"/>
      <c r="L16" s="4">
        <f>TONTAOUT!H16+TONTAOUT!I16</f>
        <v>0</v>
      </c>
      <c r="M16" s="4"/>
      <c r="N16" s="5"/>
      <c r="O16" s="5"/>
      <c r="P16" s="7">
        <f t="shared" si="4"/>
        <v>0</v>
      </c>
      <c r="Q16" s="7"/>
      <c r="R16" s="7"/>
    </row>
    <row r="17" spans="1:18" x14ac:dyDescent="0.25">
      <c r="A17" s="1" t="s">
        <v>19</v>
      </c>
      <c r="B17" s="1" t="str">
        <f>VLOOKUP(A17,[4]LISTADHERENT!A$5:H$60,3,0)</f>
        <v>KEPSEU FRANCIS</v>
      </c>
      <c r="C17" s="7">
        <f t="shared" si="0"/>
        <v>0</v>
      </c>
      <c r="D17" s="7">
        <f t="shared" si="1"/>
        <v>0</v>
      </c>
      <c r="E17" s="7">
        <f t="shared" si="2"/>
        <v>0</v>
      </c>
      <c r="F17" s="5" t="s">
        <v>9</v>
      </c>
      <c r="G17" s="7">
        <f t="shared" si="3"/>
        <v>0</v>
      </c>
      <c r="H17" s="7"/>
      <c r="I17" s="7"/>
      <c r="J17" s="5"/>
      <c r="K17" s="5"/>
      <c r="L17" s="4">
        <f>TONTAOUT!H17+TONTAOUT!I17</f>
        <v>0</v>
      </c>
      <c r="M17" s="4"/>
      <c r="N17" s="5"/>
      <c r="O17" s="5"/>
      <c r="P17" s="7">
        <f t="shared" si="4"/>
        <v>0</v>
      </c>
      <c r="Q17" s="7"/>
      <c r="R17" s="7"/>
    </row>
    <row r="18" spans="1:18" x14ac:dyDescent="0.25">
      <c r="A18" s="1" t="s">
        <v>21</v>
      </c>
      <c r="B18" s="1" t="str">
        <f>VLOOKUP(A18,[4]LISTADHERENT!A$5:H$60,3,0)</f>
        <v>KOUAMO VICTOR PEGUY</v>
      </c>
      <c r="C18" s="7">
        <f t="shared" si="0"/>
        <v>0</v>
      </c>
      <c r="D18" s="7">
        <f t="shared" si="1"/>
        <v>0</v>
      </c>
      <c r="E18" s="7">
        <f t="shared" si="2"/>
        <v>0</v>
      </c>
      <c r="F18" s="5" t="s">
        <v>9</v>
      </c>
      <c r="G18" s="7">
        <f t="shared" si="3"/>
        <v>0</v>
      </c>
      <c r="H18" s="7"/>
      <c r="I18" s="7"/>
      <c r="J18" s="5"/>
      <c r="K18" s="5"/>
      <c r="L18" s="4">
        <f>TONTAOUT!H18+TONTAOUT!I18</f>
        <v>0</v>
      </c>
      <c r="M18" s="4"/>
      <c r="N18" s="5"/>
      <c r="O18" s="5"/>
      <c r="P18" s="7">
        <f t="shared" si="4"/>
        <v>0</v>
      </c>
      <c r="Q18" s="7"/>
      <c r="R18" s="7"/>
    </row>
    <row r="19" spans="1:18" x14ac:dyDescent="0.25">
      <c r="A19" s="1" t="s">
        <v>20</v>
      </c>
      <c r="B19" s="1" t="str">
        <f>VLOOKUP(A19,[4]LISTADHERENT!A$5:H$60,3,0)</f>
        <v>KOUAMOU MOISE</v>
      </c>
      <c r="C19" s="7">
        <f t="shared" si="0"/>
        <v>10000</v>
      </c>
      <c r="D19" s="7">
        <f t="shared" si="1"/>
        <v>20000</v>
      </c>
      <c r="E19" s="7">
        <f t="shared" si="2"/>
        <v>0</v>
      </c>
      <c r="F19" s="5" t="s">
        <v>46</v>
      </c>
      <c r="G19" s="7">
        <f t="shared" si="3"/>
        <v>30000</v>
      </c>
      <c r="H19" s="7">
        <v>1000</v>
      </c>
      <c r="I19" s="7"/>
      <c r="J19" s="5"/>
      <c r="K19" s="5"/>
      <c r="L19" s="4">
        <f>TONTAOUT!H19+TONTAOUT!I19</f>
        <v>1000</v>
      </c>
      <c r="M19" s="4" t="s">
        <v>9</v>
      </c>
      <c r="N19" s="5"/>
      <c r="O19" s="5"/>
      <c r="P19" s="7">
        <f t="shared" si="4"/>
        <v>0</v>
      </c>
      <c r="Q19" s="7"/>
      <c r="R19" s="7"/>
    </row>
    <row r="20" spans="1:18" x14ac:dyDescent="0.25">
      <c r="A20" s="1" t="s">
        <v>22</v>
      </c>
      <c r="B20" s="1" t="str">
        <f>VLOOKUP(A20,[4]LISTADHERENT!A$5:H$60,3,0)</f>
        <v>KOUATCHO MESSACK</v>
      </c>
      <c r="C20" s="7">
        <f t="shared" si="0"/>
        <v>10000</v>
      </c>
      <c r="D20" s="7">
        <f t="shared" si="1"/>
        <v>20000</v>
      </c>
      <c r="E20" s="7">
        <v>3000</v>
      </c>
      <c r="F20" s="5" t="s">
        <v>46</v>
      </c>
      <c r="G20" s="7">
        <f t="shared" si="3"/>
        <v>30000</v>
      </c>
      <c r="H20" s="7">
        <v>30000</v>
      </c>
      <c r="I20" s="7">
        <v>500</v>
      </c>
      <c r="J20" s="5"/>
      <c r="K20" s="5"/>
      <c r="L20" s="4">
        <f>TONTAOUT!H20+TONTAOUT!I20</f>
        <v>31500</v>
      </c>
      <c r="M20" s="4" t="s">
        <v>45</v>
      </c>
      <c r="N20" s="5"/>
      <c r="O20" s="5"/>
      <c r="P20" s="7">
        <f t="shared" si="4"/>
        <v>0</v>
      </c>
      <c r="Q20" s="7"/>
      <c r="R20" s="7"/>
    </row>
    <row r="21" spans="1:18" x14ac:dyDescent="0.25">
      <c r="A21" s="1" t="s">
        <v>23</v>
      </c>
      <c r="B21" s="1" t="str">
        <f>VLOOKUP(A21,[4]LISTADHERENT!A$5:H$60,3,0)</f>
        <v>LOWE JEAN</v>
      </c>
      <c r="C21" s="7">
        <f t="shared" si="0"/>
        <v>10000</v>
      </c>
      <c r="D21" s="7">
        <f t="shared" si="1"/>
        <v>20000</v>
      </c>
      <c r="E21" s="7">
        <f t="shared" si="2"/>
        <v>0</v>
      </c>
      <c r="F21" s="5" t="s">
        <v>46</v>
      </c>
      <c r="G21" s="7">
        <f t="shared" si="3"/>
        <v>30000</v>
      </c>
      <c r="H21" s="7"/>
      <c r="I21" s="7"/>
      <c r="J21" s="5"/>
      <c r="K21" s="5"/>
      <c r="L21" s="4">
        <f>TONTAOUT!H21+TONTAOUT!I21</f>
        <v>0</v>
      </c>
      <c r="M21" s="4"/>
      <c r="N21" s="5"/>
      <c r="O21" s="5"/>
      <c r="P21" s="7">
        <f t="shared" si="4"/>
        <v>0</v>
      </c>
      <c r="Q21" s="7"/>
      <c r="R21" s="7"/>
    </row>
    <row r="22" spans="1:18" x14ac:dyDescent="0.25">
      <c r="A22" s="1" t="s">
        <v>70</v>
      </c>
      <c r="B22" s="1" t="str">
        <f>VLOOKUP(A22,[4]LISTADHERENT!A$5:H$60,3,0)</f>
        <v>MBOGNING TUGMA GUY</v>
      </c>
      <c r="C22" s="7">
        <f t="shared" si="0"/>
        <v>10000</v>
      </c>
      <c r="D22" s="7">
        <f t="shared" si="1"/>
        <v>20000</v>
      </c>
      <c r="E22" s="7">
        <f t="shared" si="2"/>
        <v>0</v>
      </c>
      <c r="F22" s="5" t="s">
        <v>46</v>
      </c>
      <c r="G22" s="7">
        <f t="shared" si="3"/>
        <v>30000</v>
      </c>
      <c r="H22" s="7"/>
      <c r="I22" s="7"/>
      <c r="J22" s="5"/>
      <c r="K22" s="5"/>
      <c r="L22" s="4">
        <f>TONTAOUT!H22+TONTAOUT!I22</f>
        <v>0</v>
      </c>
      <c r="M22" s="4"/>
      <c r="N22" s="5"/>
      <c r="O22" s="5"/>
      <c r="P22" s="7">
        <f t="shared" si="4"/>
        <v>0</v>
      </c>
      <c r="R22" s="7"/>
    </row>
    <row r="23" spans="1:18" x14ac:dyDescent="0.25">
      <c r="A23" s="1" t="s">
        <v>34</v>
      </c>
      <c r="B23" s="1" t="str">
        <f>VLOOKUP(A23,[4]LISTADHERENT!A$5:H$60,3,0)</f>
        <v>NANGUEN MARTIN</v>
      </c>
      <c r="C23" s="7">
        <f t="shared" si="0"/>
        <v>10000</v>
      </c>
      <c r="D23" s="7">
        <f t="shared" si="1"/>
        <v>20000</v>
      </c>
      <c r="E23" s="7">
        <f t="shared" si="2"/>
        <v>0</v>
      </c>
      <c r="F23" s="5" t="s">
        <v>46</v>
      </c>
      <c r="G23" s="7">
        <f t="shared" si="3"/>
        <v>30000</v>
      </c>
      <c r="H23" s="7"/>
      <c r="I23" s="7"/>
      <c r="J23" s="5"/>
      <c r="K23" s="5"/>
      <c r="L23" s="4">
        <f>TONTAOUT!H23+TONTAOUT!I23</f>
        <v>0</v>
      </c>
      <c r="M23" s="4"/>
      <c r="N23" s="5"/>
      <c r="O23" s="5"/>
      <c r="P23" s="7">
        <f t="shared" si="4"/>
        <v>0</v>
      </c>
      <c r="Q23" s="7"/>
      <c r="R23" s="7"/>
    </row>
    <row r="24" spans="1:18" x14ac:dyDescent="0.25">
      <c r="A24" s="1" t="s">
        <v>24</v>
      </c>
      <c r="B24" s="1" t="str">
        <f>VLOOKUP(A24,[4]LISTADHERENT!A$5:H$60,3,0)</f>
        <v>NANKAM APPOLINAIRE</v>
      </c>
      <c r="C24" s="7">
        <f t="shared" si="0"/>
        <v>10000</v>
      </c>
      <c r="D24" s="7">
        <f t="shared" si="1"/>
        <v>20000</v>
      </c>
      <c r="E24" s="7">
        <f t="shared" si="2"/>
        <v>0</v>
      </c>
      <c r="F24" s="5" t="s">
        <v>46</v>
      </c>
      <c r="G24" s="7">
        <f t="shared" si="3"/>
        <v>30000</v>
      </c>
      <c r="H24" s="7"/>
      <c r="I24" s="7"/>
      <c r="J24" s="5"/>
      <c r="K24" s="5"/>
      <c r="L24" s="4">
        <f>TONTAOUT!H24+TONTAOUT!I24</f>
        <v>0</v>
      </c>
      <c r="M24" s="4"/>
      <c r="N24" s="5"/>
      <c r="O24" s="5"/>
      <c r="P24" s="7">
        <f t="shared" si="4"/>
        <v>0</v>
      </c>
      <c r="Q24" s="7"/>
      <c r="R24" s="7"/>
    </row>
    <row r="25" spans="1:18" x14ac:dyDescent="0.25">
      <c r="A25" s="1" t="s">
        <v>25</v>
      </c>
      <c r="B25" s="1" t="str">
        <f>VLOOKUP(A25,[4]LISTADHERENT!A$5:H$60,3,0)</f>
        <v>NDJOMO ETIENNE</v>
      </c>
      <c r="C25" s="7">
        <f t="shared" si="0"/>
        <v>14000</v>
      </c>
      <c r="D25" s="7">
        <f t="shared" si="1"/>
        <v>20000</v>
      </c>
      <c r="E25" s="7">
        <f t="shared" si="2"/>
        <v>0</v>
      </c>
      <c r="F25" s="5" t="s">
        <v>46</v>
      </c>
      <c r="G25" s="7">
        <f>IF(F25="BANQUE",30000,IF(F25="ESPECES",30000,0))+4000</f>
        <v>34000</v>
      </c>
      <c r="H25" s="7">
        <v>23500</v>
      </c>
      <c r="I25" s="7">
        <v>500</v>
      </c>
      <c r="J25" s="5"/>
      <c r="K25" s="5"/>
      <c r="L25" s="4">
        <f>TONTAOUT!H25+TONTAOUT!I25</f>
        <v>29500</v>
      </c>
      <c r="M25" s="4" t="s">
        <v>45</v>
      </c>
      <c r="N25" s="5"/>
      <c r="O25" s="5"/>
      <c r="P25" s="7">
        <f t="shared" si="4"/>
        <v>0</v>
      </c>
      <c r="Q25" s="7"/>
      <c r="R25" s="7"/>
    </row>
    <row r="26" spans="1:18" x14ac:dyDescent="0.25">
      <c r="A26" s="1" t="s">
        <v>26</v>
      </c>
      <c r="B26" s="1" t="str">
        <f>VLOOKUP(A26,[4]LISTADHERENT!A$5:H$60,3,0)</f>
        <v>NGONDIEP CLAUDE</v>
      </c>
      <c r="C26" s="7">
        <f t="shared" si="0"/>
        <v>10000</v>
      </c>
      <c r="D26" s="7">
        <f t="shared" si="1"/>
        <v>20000</v>
      </c>
      <c r="E26" s="7">
        <f t="shared" si="2"/>
        <v>0</v>
      </c>
      <c r="F26" s="5" t="s">
        <v>46</v>
      </c>
      <c r="G26" s="7">
        <f t="shared" si="3"/>
        <v>30000</v>
      </c>
      <c r="H26" s="7"/>
      <c r="I26" s="7"/>
      <c r="J26" s="5"/>
      <c r="K26" s="5"/>
      <c r="L26" s="4">
        <f>TONTAOUT!H26+TONTAOUT!I26</f>
        <v>0</v>
      </c>
      <c r="M26" s="4"/>
      <c r="N26" s="5"/>
      <c r="O26" s="5"/>
      <c r="P26" s="7">
        <f t="shared" si="4"/>
        <v>0</v>
      </c>
      <c r="Q26" s="7"/>
      <c r="R26" s="7"/>
    </row>
    <row r="27" spans="1:18" x14ac:dyDescent="0.25">
      <c r="A27" s="1" t="s">
        <v>27</v>
      </c>
      <c r="B27" s="1" t="str">
        <f>VLOOKUP(A27,[4]LISTADHERENT!A$5:H$60,3,0)</f>
        <v>NGUIEMEGNI MATHIEU BLAISE</v>
      </c>
      <c r="C27" s="7">
        <f t="shared" si="0"/>
        <v>10000</v>
      </c>
      <c r="D27" s="7">
        <f t="shared" si="1"/>
        <v>20000</v>
      </c>
      <c r="E27" s="7">
        <f t="shared" si="2"/>
        <v>0</v>
      </c>
      <c r="F27" s="5" t="s">
        <v>46</v>
      </c>
      <c r="G27" s="7">
        <f t="shared" si="3"/>
        <v>30000</v>
      </c>
      <c r="H27" s="7"/>
      <c r="I27" s="7"/>
      <c r="J27" s="5"/>
      <c r="K27" s="5"/>
      <c r="L27" s="4">
        <f>TONTAOUT!H27+TONTAOUT!I27</f>
        <v>0</v>
      </c>
      <c r="M27" s="4"/>
      <c r="N27" s="5"/>
      <c r="O27" s="5"/>
      <c r="P27" s="7">
        <f t="shared" si="4"/>
        <v>0</v>
      </c>
      <c r="Q27" s="7"/>
      <c r="R27" s="7"/>
    </row>
    <row r="28" spans="1:18" x14ac:dyDescent="0.25">
      <c r="A28" s="1" t="s">
        <v>28</v>
      </c>
      <c r="B28" s="1" t="str">
        <f>VLOOKUP(A28,[4]LISTADHERENT!A$5:H$60,3,0)</f>
        <v>NKAMGANG JUSTIN DEJOLIE</v>
      </c>
      <c r="C28" s="7">
        <f t="shared" si="0"/>
        <v>10000</v>
      </c>
      <c r="D28" s="7">
        <f t="shared" si="1"/>
        <v>20000</v>
      </c>
      <c r="E28" s="7">
        <f t="shared" si="2"/>
        <v>3000</v>
      </c>
      <c r="F28" s="5" t="s">
        <v>45</v>
      </c>
      <c r="G28" s="7">
        <f t="shared" si="3"/>
        <v>30000</v>
      </c>
      <c r="H28" s="7"/>
      <c r="I28" s="7"/>
      <c r="J28" s="5"/>
      <c r="K28" s="5"/>
      <c r="L28" s="4">
        <f>TONTAOUT!H28+TONTAOUT!I28</f>
        <v>62500</v>
      </c>
      <c r="M28" s="4" t="s">
        <v>45</v>
      </c>
      <c r="N28" s="5"/>
      <c r="O28" s="5"/>
      <c r="P28" s="7">
        <f t="shared" si="4"/>
        <v>0</v>
      </c>
      <c r="Q28" s="7"/>
      <c r="R28" s="7"/>
    </row>
    <row r="29" spans="1:18" x14ac:dyDescent="0.25">
      <c r="A29" s="1" t="s">
        <v>18</v>
      </c>
      <c r="B29" s="1" t="str">
        <f>VLOOKUP(A29,[4]LISTADHERENT!A$5:H$60,3,0)</f>
        <v>NKEHE DAVID</v>
      </c>
      <c r="C29" s="7">
        <f t="shared" si="0"/>
        <v>7000</v>
      </c>
      <c r="D29" s="7">
        <f t="shared" si="1"/>
        <v>20000</v>
      </c>
      <c r="E29" s="7">
        <f t="shared" si="2"/>
        <v>3000</v>
      </c>
      <c r="F29" s="5" t="s">
        <v>45</v>
      </c>
      <c r="G29" s="7">
        <f>IF(F29="BANQUE",30000,IF(F29="ESPECES",30000,0))-3000</f>
        <v>27000</v>
      </c>
      <c r="H29" s="7"/>
      <c r="I29" s="7"/>
      <c r="J29" s="5"/>
      <c r="K29" s="5"/>
      <c r="L29" s="4">
        <f>TONTAOUT!H29+TONTAOUT!I29</f>
        <v>0</v>
      </c>
      <c r="M29" s="4"/>
      <c r="N29" s="5"/>
      <c r="O29" s="5"/>
      <c r="P29" s="7">
        <f t="shared" si="4"/>
        <v>0</v>
      </c>
      <c r="Q29" s="7"/>
      <c r="R29" s="7"/>
    </row>
    <row r="30" spans="1:18" x14ac:dyDescent="0.25">
      <c r="A30" s="1" t="s">
        <v>29</v>
      </c>
      <c r="B30" s="1" t="str">
        <f>VLOOKUP(A30,[4]LISTADHERENT!A$5:H$60,3,0)</f>
        <v>NKEPSEU DIEUDONNE</v>
      </c>
      <c r="C30" s="7">
        <f t="shared" si="0"/>
        <v>10000</v>
      </c>
      <c r="D30" s="7">
        <f t="shared" si="1"/>
        <v>20000</v>
      </c>
      <c r="E30" s="7">
        <f t="shared" si="2"/>
        <v>0</v>
      </c>
      <c r="F30" s="5" t="s">
        <v>46</v>
      </c>
      <c r="G30" s="7">
        <f t="shared" si="3"/>
        <v>30000</v>
      </c>
      <c r="H30" s="7">
        <v>30000</v>
      </c>
      <c r="I30" s="7">
        <v>500</v>
      </c>
      <c r="J30" s="5"/>
      <c r="K30" s="5"/>
      <c r="L30" s="4">
        <f>TONTAOUT!H30+TONTAOUT!I30</f>
        <v>0</v>
      </c>
      <c r="M30" s="4"/>
      <c r="N30" s="5"/>
      <c r="O30" s="5"/>
      <c r="P30" s="7">
        <f t="shared" si="4"/>
        <v>0</v>
      </c>
      <c r="Q30" s="7"/>
      <c r="R30" s="7"/>
    </row>
    <row r="31" spans="1:18" x14ac:dyDescent="0.25">
      <c r="A31" s="1" t="s">
        <v>30</v>
      </c>
      <c r="B31" s="1" t="str">
        <f>VLOOKUP(A31,[4]LISTADHERENT!A$5:H$60,3,0)</f>
        <v>PATEGO NJOSSU GUSTAVE</v>
      </c>
      <c r="C31" s="7">
        <f t="shared" si="0"/>
        <v>10000</v>
      </c>
      <c r="D31" s="7">
        <f t="shared" si="1"/>
        <v>20000</v>
      </c>
      <c r="E31" s="7">
        <f t="shared" si="2"/>
        <v>0</v>
      </c>
      <c r="F31" s="5" t="s">
        <v>46</v>
      </c>
      <c r="G31" s="7">
        <f t="shared" si="3"/>
        <v>30000</v>
      </c>
      <c r="H31" s="7"/>
      <c r="I31" s="7"/>
      <c r="J31" s="5"/>
      <c r="K31" s="5"/>
      <c r="L31" s="4">
        <f>TONTAOUT!H31+TONTAOUT!I31</f>
        <v>0</v>
      </c>
      <c r="M31" s="4"/>
      <c r="N31" s="5"/>
      <c r="O31" s="5"/>
      <c r="P31" s="7">
        <f t="shared" si="4"/>
        <v>280000</v>
      </c>
      <c r="Q31" s="7">
        <v>20000</v>
      </c>
      <c r="R31" s="7"/>
    </row>
    <row r="32" spans="1:18" x14ac:dyDescent="0.25">
      <c r="A32" s="1" t="s">
        <v>72</v>
      </c>
      <c r="B32" s="1" t="str">
        <f>VLOOKUP(A32,[4]LISTADHERENT!A$5:H$60,3,0)</f>
        <v>SIME BRICE</v>
      </c>
      <c r="C32" s="7">
        <f t="shared" si="0"/>
        <v>20000</v>
      </c>
      <c r="D32" s="7">
        <f t="shared" si="1"/>
        <v>20000</v>
      </c>
      <c r="E32" s="7">
        <f t="shared" si="2"/>
        <v>0</v>
      </c>
      <c r="F32" s="5" t="s">
        <v>46</v>
      </c>
      <c r="G32" s="7">
        <f>IF(F32="BANQUE",30000,IF(F32="ESPECES",30000,0))+10000</f>
        <v>40000</v>
      </c>
      <c r="H32" s="7"/>
      <c r="I32" s="7"/>
      <c r="J32" s="5"/>
      <c r="K32" s="5"/>
      <c r="L32" s="4">
        <f>TONTAOUT!H32+TONTAOUT!I32</f>
        <v>0</v>
      </c>
      <c r="M32" s="4"/>
      <c r="N32" s="5"/>
      <c r="O32" s="5"/>
      <c r="P32" s="7">
        <f t="shared" si="4"/>
        <v>0</v>
      </c>
    </row>
    <row r="33" spans="1:18" x14ac:dyDescent="0.25">
      <c r="A33" s="1" t="s">
        <v>31</v>
      </c>
      <c r="B33" s="1" t="str">
        <f>VLOOKUP(A33,[4]LISTADHERENT!A$5:H$60,3,0)</f>
        <v>SIMO FONGANG ERIC</v>
      </c>
      <c r="C33" s="7">
        <f t="shared" si="0"/>
        <v>10000</v>
      </c>
      <c r="D33" s="7">
        <f t="shared" si="1"/>
        <v>20000</v>
      </c>
      <c r="E33" s="7">
        <f t="shared" si="2"/>
        <v>0</v>
      </c>
      <c r="F33" s="5" t="s">
        <v>46</v>
      </c>
      <c r="G33" s="7">
        <f t="shared" si="3"/>
        <v>30000</v>
      </c>
      <c r="H33" s="7"/>
      <c r="I33" s="7"/>
      <c r="J33" s="5"/>
      <c r="K33" s="5"/>
      <c r="L33" s="4">
        <f>TONTAOUT!H33+TONTAOUT!I33</f>
        <v>0</v>
      </c>
      <c r="M33" s="4"/>
      <c r="N33" s="5"/>
      <c r="O33" s="5"/>
      <c r="P33" s="7">
        <f t="shared" si="4"/>
        <v>0</v>
      </c>
      <c r="Q33" s="7"/>
      <c r="R33" s="7"/>
    </row>
    <row r="34" spans="1:18" x14ac:dyDescent="0.25">
      <c r="A34" s="1" t="s">
        <v>32</v>
      </c>
      <c r="B34" s="1" t="str">
        <f>VLOOKUP(A34,[4]LISTADHERENT!A$5:H$60,3,0)</f>
        <v>SIME MATHIEU</v>
      </c>
      <c r="C34" s="7">
        <f t="shared" si="0"/>
        <v>10000</v>
      </c>
      <c r="D34" s="7">
        <f t="shared" si="1"/>
        <v>20000</v>
      </c>
      <c r="E34" s="7">
        <f t="shared" si="2"/>
        <v>0</v>
      </c>
      <c r="F34" s="5" t="s">
        <v>46</v>
      </c>
      <c r="G34" s="7">
        <f t="shared" si="3"/>
        <v>30000</v>
      </c>
      <c r="H34" s="7"/>
      <c r="I34" s="7"/>
      <c r="J34" s="5"/>
      <c r="K34" s="5"/>
      <c r="L34" s="4">
        <f>TONTAOUT!H34+TONTAOUT!I34</f>
        <v>0</v>
      </c>
      <c r="M34" s="4"/>
      <c r="N34" s="5"/>
      <c r="O34" s="5"/>
      <c r="P34" s="7">
        <f t="shared" si="4"/>
        <v>280000</v>
      </c>
      <c r="Q34" s="7">
        <v>20000</v>
      </c>
      <c r="R34" s="7"/>
    </row>
    <row r="35" spans="1:18" x14ac:dyDescent="0.25">
      <c r="A35" s="1" t="s">
        <v>33</v>
      </c>
      <c r="B35" s="1" t="str">
        <f>VLOOKUP(A35,[4]LISTADHERENT!A$5:H$60,3,0)</f>
        <v>SIMO PIERRE</v>
      </c>
      <c r="C35" s="7">
        <f t="shared" si="0"/>
        <v>10000</v>
      </c>
      <c r="D35" s="7">
        <f t="shared" si="1"/>
        <v>20000</v>
      </c>
      <c r="E35" s="7">
        <f t="shared" si="2"/>
        <v>0</v>
      </c>
      <c r="F35" s="5" t="s">
        <v>46</v>
      </c>
      <c r="G35" s="7">
        <f t="shared" si="3"/>
        <v>30000</v>
      </c>
      <c r="H35" s="7"/>
      <c r="I35" s="7"/>
      <c r="J35" s="5"/>
      <c r="K35" s="5"/>
      <c r="L35" s="4">
        <f>TONTAOUT!H35+TONTAOUT!I35</f>
        <v>0</v>
      </c>
      <c r="M35" s="4"/>
      <c r="N35" s="5"/>
      <c r="O35" s="5"/>
      <c r="P35" s="7">
        <f t="shared" si="4"/>
        <v>0</v>
      </c>
      <c r="Q35" s="7"/>
      <c r="R35" s="7"/>
    </row>
    <row r="36" spans="1:18" x14ac:dyDescent="0.25">
      <c r="A36" s="1" t="s">
        <v>35</v>
      </c>
      <c r="B36" s="1" t="str">
        <f>VLOOKUP(A36,[4]LISTADHERENT!A$5:H$60,3,0)</f>
        <v>TCHOUAMOU MATHIEU</v>
      </c>
      <c r="C36" s="7">
        <f t="shared" si="0"/>
        <v>10000</v>
      </c>
      <c r="D36" s="7">
        <f t="shared" si="1"/>
        <v>20000</v>
      </c>
      <c r="E36" s="7">
        <f t="shared" si="2"/>
        <v>0</v>
      </c>
      <c r="F36" s="5" t="s">
        <v>46</v>
      </c>
      <c r="G36" s="7">
        <f t="shared" si="3"/>
        <v>30000</v>
      </c>
      <c r="H36" s="7"/>
      <c r="I36" s="7"/>
      <c r="J36" s="5"/>
      <c r="K36" s="5"/>
      <c r="L36" s="4">
        <f>TONTAOUT!H36+TONTAOUT!I36</f>
        <v>0</v>
      </c>
      <c r="M36" s="4"/>
      <c r="N36" s="5"/>
      <c r="O36" s="5"/>
      <c r="P36" s="7">
        <f t="shared" si="4"/>
        <v>0</v>
      </c>
      <c r="Q36" s="7"/>
      <c r="R36" s="7"/>
    </row>
    <row r="37" spans="1:18" x14ac:dyDescent="0.25">
      <c r="A37" s="1" t="s">
        <v>36</v>
      </c>
      <c r="B37" s="1" t="str">
        <f>VLOOKUP(A37,[4]LISTADHERENT!A$5:H$60,3,0)</f>
        <v>TIEYAM ERNEST</v>
      </c>
      <c r="C37" s="7">
        <f t="shared" si="0"/>
        <v>0</v>
      </c>
      <c r="D37" s="7">
        <f t="shared" si="1"/>
        <v>0</v>
      </c>
      <c r="E37" s="7">
        <f t="shared" si="2"/>
        <v>0</v>
      </c>
      <c r="F37" s="5" t="s">
        <v>9</v>
      </c>
      <c r="G37" s="7">
        <f t="shared" si="3"/>
        <v>0</v>
      </c>
      <c r="H37" s="7">
        <v>62500</v>
      </c>
      <c r="I37" s="7">
        <v>5000</v>
      </c>
      <c r="J37" s="5"/>
      <c r="K37" s="5"/>
      <c r="L37" s="4">
        <f>TONTAOUT!H37+TONTAOUT!I37</f>
        <v>62500</v>
      </c>
      <c r="M37" s="4" t="s">
        <v>9</v>
      </c>
      <c r="N37" s="5"/>
      <c r="O37" s="5"/>
      <c r="P37" s="7">
        <f t="shared" si="4"/>
        <v>0</v>
      </c>
      <c r="Q37" s="7"/>
      <c r="R37" s="7"/>
    </row>
    <row r="38" spans="1:18" x14ac:dyDescent="0.25">
      <c r="A38" s="1" t="s">
        <v>37</v>
      </c>
      <c r="B38" s="1" t="str">
        <f>VLOOKUP(A38,[4]LISTADHERENT!A$5:H$60,3,0)</f>
        <v>YEPMOU JEAN JACQUES</v>
      </c>
      <c r="C38" s="7">
        <f t="shared" si="0"/>
        <v>10000</v>
      </c>
      <c r="D38" s="7">
        <f t="shared" si="1"/>
        <v>20000</v>
      </c>
      <c r="E38" s="7">
        <f t="shared" si="2"/>
        <v>3000</v>
      </c>
      <c r="F38" s="5" t="s">
        <v>45</v>
      </c>
      <c r="G38" s="7">
        <f t="shared" si="3"/>
        <v>30000</v>
      </c>
      <c r="H38" s="7"/>
      <c r="I38" s="7"/>
      <c r="J38" s="5"/>
      <c r="K38" s="5"/>
      <c r="L38" s="4">
        <f>TONTAOUT!H38+TONTAOUT!I38</f>
        <v>0</v>
      </c>
      <c r="M38" s="4"/>
      <c r="N38" s="5"/>
      <c r="O38" s="5"/>
      <c r="P38" s="7">
        <f t="shared" si="4"/>
        <v>0</v>
      </c>
      <c r="Q38" s="7"/>
      <c r="R38" s="7"/>
    </row>
    <row r="39" spans="1:18" x14ac:dyDescent="0.25">
      <c r="A39" s="1" t="s">
        <v>38</v>
      </c>
      <c r="B39" s="1" t="str">
        <f>VLOOKUP(A39,[4]LISTADHERENT!A$5:H$60,3,0)</f>
        <v>YOUMBI EMMANUEL</v>
      </c>
      <c r="C39" s="7">
        <f t="shared" si="0"/>
        <v>10000</v>
      </c>
      <c r="D39" s="7">
        <f t="shared" si="1"/>
        <v>20000</v>
      </c>
      <c r="E39" s="7">
        <f t="shared" si="2"/>
        <v>0</v>
      </c>
      <c r="F39" s="5" t="s">
        <v>46</v>
      </c>
      <c r="G39" s="7">
        <f t="shared" si="3"/>
        <v>30000</v>
      </c>
      <c r="H39" s="7"/>
      <c r="I39" s="7"/>
      <c r="J39" s="5"/>
      <c r="K39" s="5"/>
      <c r="L39" s="4">
        <f>TONTAOUT!H39+TONTAOUT!I39</f>
        <v>0</v>
      </c>
      <c r="M39" s="4"/>
      <c r="N39" s="5"/>
      <c r="O39" s="5"/>
      <c r="P39" s="7">
        <f t="shared" si="4"/>
        <v>0</v>
      </c>
      <c r="Q39" s="7"/>
      <c r="R39" s="7"/>
    </row>
    <row r="40" spans="1:18" x14ac:dyDescent="0.25">
      <c r="A40" s="1" t="s">
        <v>92</v>
      </c>
      <c r="B40" s="1" t="str">
        <f>VLOOKUP(A40,[4]LISTADHERENT!A$5:H$60,3,0)</f>
        <v>TCHEMHOU EMMANUEL</v>
      </c>
      <c r="C40" s="7">
        <f t="shared" ref="C40" si="5">IF(G40=0,0,G40-D40)</f>
        <v>35000</v>
      </c>
      <c r="D40" s="7"/>
      <c r="E40" s="7">
        <f t="shared" ref="E40" si="6">IF(F40="ESPECES",3000,0)</f>
        <v>0</v>
      </c>
      <c r="F40" s="5" t="s">
        <v>46</v>
      </c>
      <c r="G40" s="7">
        <v>35000</v>
      </c>
      <c r="H40" s="7"/>
      <c r="I40" s="7"/>
      <c r="J40" s="5"/>
      <c r="K40" s="5"/>
      <c r="L40" s="7"/>
      <c r="M40" s="4"/>
      <c r="N40" s="5"/>
      <c r="O40" s="5"/>
      <c r="P40" s="7"/>
    </row>
    <row r="41" spans="1:18" x14ac:dyDescent="0.25">
      <c r="A41" s="1"/>
      <c r="B41" s="1"/>
      <c r="C41" s="7"/>
      <c r="D41" s="7"/>
      <c r="E41" s="7"/>
      <c r="F41" s="5"/>
      <c r="G41" s="7"/>
      <c r="H41" s="7"/>
      <c r="I41" s="7"/>
      <c r="J41" s="5"/>
      <c r="K41" s="5"/>
      <c r="L41" s="7"/>
      <c r="M41" s="5"/>
      <c r="N41" s="5"/>
      <c r="O41" s="5"/>
      <c r="P41" s="7"/>
    </row>
    <row r="42" spans="1:18" x14ac:dyDescent="0.25">
      <c r="A42" s="1"/>
      <c r="B42" s="1"/>
      <c r="C42" s="7"/>
      <c r="D42" s="7"/>
      <c r="E42" s="7"/>
      <c r="F42" s="5"/>
      <c r="G42" s="7"/>
      <c r="H42" s="7"/>
      <c r="I42" s="7"/>
      <c r="J42" s="5"/>
      <c r="K42" s="5"/>
      <c r="L42" s="7"/>
      <c r="M42" s="5"/>
      <c r="N42" s="5"/>
      <c r="O42" s="5"/>
      <c r="P42" s="7"/>
    </row>
    <row r="43" spans="1:18" x14ac:dyDescent="0.25">
      <c r="A43" s="1"/>
      <c r="B43" s="1"/>
      <c r="C43" s="7"/>
      <c r="D43" s="7"/>
      <c r="E43" s="7"/>
      <c r="F43" s="5"/>
      <c r="G43" s="7"/>
      <c r="H43" s="7"/>
      <c r="I43" s="7"/>
      <c r="J43" s="5"/>
      <c r="K43" s="5"/>
      <c r="L43" s="7"/>
      <c r="M43" s="5"/>
      <c r="N43" s="5"/>
      <c r="O43" s="5"/>
      <c r="P43" s="7"/>
    </row>
    <row r="44" spans="1:18" x14ac:dyDescent="0.25">
      <c r="A44" s="1"/>
      <c r="B44" s="1"/>
      <c r="C44" s="1"/>
      <c r="D44" s="1"/>
      <c r="E44" s="1"/>
      <c r="F44" s="1"/>
      <c r="M44" s="1"/>
      <c r="N44" s="1"/>
    </row>
    <row r="45" spans="1:18" x14ac:dyDescent="0.25">
      <c r="A45" s="1"/>
      <c r="B45" s="1"/>
      <c r="C45" s="1"/>
      <c r="D45" s="1"/>
      <c r="E45" s="1"/>
      <c r="F45" s="1"/>
      <c r="M45" s="1"/>
      <c r="N45" s="1"/>
    </row>
    <row r="46" spans="1:18" ht="18" x14ac:dyDescent="0.25">
      <c r="A46" s="1" t="s">
        <v>39</v>
      </c>
      <c r="B46" s="1"/>
      <c r="C46" s="8">
        <f>SUM(C7:C45)</f>
        <v>390000</v>
      </c>
      <c r="D46" s="8">
        <f t="shared" ref="D46:R46" si="7">SUM(D7:D45)</f>
        <v>600000</v>
      </c>
      <c r="E46" s="8">
        <f t="shared" si="7"/>
        <v>12000</v>
      </c>
      <c r="F46" s="8">
        <f t="shared" si="7"/>
        <v>0</v>
      </c>
      <c r="G46" s="8">
        <f t="shared" si="7"/>
        <v>990000</v>
      </c>
      <c r="H46" s="8">
        <f t="shared" si="7"/>
        <v>261500</v>
      </c>
      <c r="I46" s="8">
        <f t="shared" si="7"/>
        <v>8000</v>
      </c>
      <c r="J46" s="8">
        <f t="shared" si="7"/>
        <v>0</v>
      </c>
      <c r="K46" s="8">
        <f t="shared" si="7"/>
        <v>0</v>
      </c>
      <c r="L46" s="8">
        <f t="shared" si="7"/>
        <v>241500</v>
      </c>
      <c r="M46" s="8">
        <f t="shared" si="7"/>
        <v>0</v>
      </c>
      <c r="N46" s="8">
        <f t="shared" si="7"/>
        <v>0</v>
      </c>
      <c r="O46" s="8">
        <f t="shared" si="7"/>
        <v>0</v>
      </c>
      <c r="P46" s="8">
        <f t="shared" si="7"/>
        <v>560000</v>
      </c>
      <c r="Q46" s="8">
        <f t="shared" si="7"/>
        <v>40000</v>
      </c>
      <c r="R46" s="8">
        <f t="shared" si="7"/>
        <v>0</v>
      </c>
    </row>
    <row r="48" spans="1:18" x14ac:dyDescent="0.25">
      <c r="I48" s="9"/>
    </row>
    <row r="49" spans="4:15" ht="18" x14ac:dyDescent="0.25">
      <c r="G49" s="8" t="s">
        <v>75</v>
      </c>
      <c r="H49" s="8">
        <f>D73+H73+Q46</f>
        <v>763500</v>
      </c>
      <c r="I49" s="8"/>
      <c r="J49" s="8"/>
      <c r="K49" s="8"/>
      <c r="O49" s="8"/>
    </row>
    <row r="50" spans="4:15" ht="18" x14ac:dyDescent="0.25">
      <c r="G50" s="8" t="s">
        <v>76</v>
      </c>
      <c r="H50" s="8">
        <f>IF(H49&gt;=900000,300000*3,300000*2)</f>
        <v>600000</v>
      </c>
      <c r="I50" s="9"/>
    </row>
    <row r="51" spans="4:15" ht="18" x14ac:dyDescent="0.25">
      <c r="D51" s="4" t="s">
        <v>47</v>
      </c>
      <c r="E51" s="8">
        <f>+D46</f>
        <v>600000</v>
      </c>
      <c r="I51" s="8"/>
      <c r="J51" s="8"/>
      <c r="K51" s="8"/>
      <c r="O51" s="8"/>
    </row>
    <row r="52" spans="4:15" ht="43.5" x14ac:dyDescent="0.25">
      <c r="D52" s="4" t="s">
        <v>65</v>
      </c>
      <c r="E52" s="8">
        <f>E46</f>
        <v>12000</v>
      </c>
      <c r="F52" s="8"/>
      <c r="G52" s="8" t="s">
        <v>74</v>
      </c>
      <c r="H52" s="8">
        <f>H49-H50</f>
        <v>163500</v>
      </c>
      <c r="L52" s="12"/>
      <c r="M52" s="8"/>
      <c r="N52" s="8"/>
    </row>
    <row r="53" spans="4:15" ht="18" x14ac:dyDescent="0.25">
      <c r="D53" s="4" t="s">
        <v>60</v>
      </c>
      <c r="E53" s="8">
        <f>+H46</f>
        <v>261500</v>
      </c>
    </row>
    <row r="54" spans="4:15" ht="29.25" x14ac:dyDescent="0.25">
      <c r="D54" s="4" t="s">
        <v>79</v>
      </c>
      <c r="E54" s="8">
        <f>+I46</f>
        <v>8000</v>
      </c>
      <c r="G54" s="8" t="s">
        <v>78</v>
      </c>
      <c r="H54" s="8">
        <f>H52-H46</f>
        <v>-98000</v>
      </c>
      <c r="I54" s="3" t="s">
        <v>94</v>
      </c>
    </row>
    <row r="55" spans="4:15" ht="29.25" x14ac:dyDescent="0.25">
      <c r="D55" s="4" t="s">
        <v>66</v>
      </c>
      <c r="E55" s="8">
        <f>H73</f>
        <v>123500</v>
      </c>
    </row>
    <row r="56" spans="4:15" ht="29.25" x14ac:dyDescent="0.25">
      <c r="D56" s="4" t="s">
        <v>67</v>
      </c>
      <c r="E56" s="8">
        <f>+Q46</f>
        <v>40000</v>
      </c>
    </row>
    <row r="57" spans="4:15" ht="18" x14ac:dyDescent="0.25">
      <c r="D57" s="4" t="s">
        <v>51</v>
      </c>
      <c r="E57" s="8">
        <f>[5]MVTSEPT!$E$49</f>
        <v>0</v>
      </c>
    </row>
    <row r="58" spans="4:15" ht="18" x14ac:dyDescent="0.25">
      <c r="D58" s="4" t="s">
        <v>41</v>
      </c>
      <c r="E58" s="8">
        <f>[5]MVTSEPT!$E$50</f>
        <v>266000</v>
      </c>
    </row>
    <row r="59" spans="4:15" ht="29.25" x14ac:dyDescent="0.25">
      <c r="D59" s="4" t="s">
        <v>42</v>
      </c>
      <c r="E59" s="8">
        <f>[5]MVTSEPT!$E$51</f>
        <v>15500</v>
      </c>
    </row>
    <row r="60" spans="4:15" ht="29.25" x14ac:dyDescent="0.25">
      <c r="D60" s="4" t="s">
        <v>43</v>
      </c>
      <c r="E60" s="8">
        <f>[5]MVTSEPT!$E$52</f>
        <v>31000</v>
      </c>
    </row>
    <row r="61" spans="4:15" ht="18" x14ac:dyDescent="0.25">
      <c r="D61" s="4" t="s">
        <v>44</v>
      </c>
      <c r="E61" s="8">
        <f>[5]MVTSEPT!$E$53</f>
        <v>77500</v>
      </c>
    </row>
    <row r="62" spans="4:15" ht="18" x14ac:dyDescent="0.25">
      <c r="D62" s="4" t="s">
        <v>52</v>
      </c>
      <c r="E62" s="8">
        <f>[5]MVTSEPT!$E$55</f>
        <v>0</v>
      </c>
    </row>
    <row r="63" spans="4:15" ht="18" x14ac:dyDescent="0.25">
      <c r="D63" s="4" t="s">
        <v>48</v>
      </c>
      <c r="E63" s="8">
        <f>[5]MVTSEPT!$E$56</f>
        <v>500000</v>
      </c>
    </row>
    <row r="64" spans="4:15" ht="18" x14ac:dyDescent="0.25">
      <c r="D64" s="4" t="s">
        <v>49</v>
      </c>
      <c r="E64" s="8">
        <f>[5]MVTSEPT!$E$57</f>
        <v>25000</v>
      </c>
    </row>
    <row r="65" spans="1:18" ht="29.25" x14ac:dyDescent="0.25">
      <c r="D65" s="4" t="s">
        <v>50</v>
      </c>
      <c r="E65" s="8">
        <f>[5]MVTSEPT!$E$58</f>
        <v>350000</v>
      </c>
    </row>
    <row r="66" spans="1:18" s="2" customFormat="1" ht="29.25" x14ac:dyDescent="0.25">
      <c r="A66"/>
      <c r="B66"/>
      <c r="C66"/>
      <c r="D66" s="4" t="s">
        <v>87</v>
      </c>
      <c r="E66" s="8">
        <f>[5]MVTSEPT!$E$59</f>
        <v>0</v>
      </c>
      <c r="F66"/>
      <c r="H66"/>
      <c r="I66" s="3"/>
      <c r="J66" s="3"/>
      <c r="K66" s="3"/>
      <c r="M66"/>
      <c r="N66"/>
      <c r="O66" s="3"/>
      <c r="R66"/>
    </row>
    <row r="67" spans="1:18" s="2" customFormat="1" ht="18" x14ac:dyDescent="0.25">
      <c r="A67"/>
      <c r="B67"/>
      <c r="C67"/>
      <c r="D67" s="4" t="s">
        <v>53</v>
      </c>
      <c r="E67" s="8">
        <f>[5]MVTSEPT!$E$60</f>
        <v>0</v>
      </c>
      <c r="F67"/>
      <c r="H67"/>
      <c r="I67" s="3"/>
      <c r="J67" s="3"/>
      <c r="K67" s="3"/>
      <c r="M67"/>
      <c r="N67"/>
      <c r="O67" s="3"/>
      <c r="R67"/>
    </row>
    <row r="68" spans="1:18" s="2" customFormat="1" ht="18" x14ac:dyDescent="0.25">
      <c r="A68"/>
      <c r="B68"/>
      <c r="C68"/>
      <c r="D68" s="4"/>
      <c r="E68" s="8"/>
      <c r="F68"/>
      <c r="H68"/>
      <c r="I68" s="3"/>
      <c r="J68" s="3"/>
      <c r="K68" s="3"/>
      <c r="M68"/>
      <c r="N68"/>
      <c r="O68" s="3"/>
      <c r="R68"/>
    </row>
    <row r="69" spans="1:18" s="2" customFormat="1" ht="43.5" x14ac:dyDescent="0.25">
      <c r="A69"/>
      <c r="B69"/>
      <c r="C69"/>
      <c r="D69" s="4" t="s">
        <v>6</v>
      </c>
      <c r="E69"/>
      <c r="F69" s="4" t="s">
        <v>73</v>
      </c>
      <c r="G69" s="4" t="s">
        <v>68</v>
      </c>
      <c r="H69" s="4" t="s">
        <v>55</v>
      </c>
      <c r="I69" s="4" t="s">
        <v>60</v>
      </c>
      <c r="J69" s="4" t="s">
        <v>62</v>
      </c>
      <c r="K69" s="4"/>
      <c r="L69" s="4" t="s">
        <v>63</v>
      </c>
      <c r="M69" s="4"/>
      <c r="N69"/>
      <c r="O69" s="4"/>
      <c r="R69"/>
    </row>
    <row r="70" spans="1:18" s="2" customFormat="1" ht="18" x14ac:dyDescent="0.25">
      <c r="A70"/>
      <c r="B70"/>
      <c r="C70"/>
      <c r="D70" s="8">
        <f>SUMIFS(D7:D45,F7:F45,"ESPECES")</f>
        <v>60000</v>
      </c>
      <c r="E70" s="8" t="s">
        <v>45</v>
      </c>
      <c r="F70" s="8">
        <f>SUMIFS(G7:G45,F7:F45,"ESPECES")</f>
        <v>87000</v>
      </c>
      <c r="G70" s="8">
        <f>+E46</f>
        <v>12000</v>
      </c>
      <c r="H70" s="8">
        <f>SUMIFS(L7:L45,M7:M45,"ESPECES")</f>
        <v>123500</v>
      </c>
      <c r="I70" s="8">
        <f>SUMIFS(H7:H45,J7:J45,"ESPECES")</f>
        <v>0</v>
      </c>
      <c r="J70" s="8">
        <f>SUMIFS(P7:P45,N7:N45,"ESPECES")</f>
        <v>0</v>
      </c>
      <c r="K70" s="8"/>
      <c r="L70" s="8">
        <f>F70+H70+G70-I70-J70</f>
        <v>222500</v>
      </c>
      <c r="M70" s="8"/>
      <c r="N70" s="4"/>
      <c r="O70" s="8"/>
      <c r="R70"/>
    </row>
    <row r="71" spans="1:18" s="2" customFormat="1" ht="18" x14ac:dyDescent="0.25">
      <c r="A71"/>
      <c r="B71"/>
      <c r="C71"/>
      <c r="D71" s="8">
        <f>SUMIFS(D7:D45,F7:F45,"BANQUE")</f>
        <v>540000</v>
      </c>
      <c r="E71" s="8" t="s">
        <v>46</v>
      </c>
      <c r="F71" s="8">
        <f>SUMIFS(G7:G45,F7:F45,"BANQUE")</f>
        <v>903000</v>
      </c>
      <c r="H71" s="8">
        <f>SUMIFS(L7:L45,M7:M45,"BANQUE")</f>
        <v>0</v>
      </c>
      <c r="I71" s="8">
        <f>SUMIFS(H7:H45,J7:J45,"BANQUE")</f>
        <v>0</v>
      </c>
      <c r="J71" s="8">
        <f>SUMIFS(P7:P45,M7:M45,"BANQUE")</f>
        <v>0</v>
      </c>
      <c r="K71" s="8"/>
      <c r="L71" s="8">
        <f>F71+H71-I71-J71</f>
        <v>903000</v>
      </c>
      <c r="M71" s="8"/>
      <c r="N71" s="8"/>
      <c r="O71" s="8"/>
      <c r="R71"/>
    </row>
    <row r="72" spans="1:18" s="2" customFormat="1" ht="18" x14ac:dyDescent="0.25">
      <c r="A72"/>
      <c r="B72"/>
      <c r="C72"/>
      <c r="D72" s="8"/>
      <c r="E72" s="8"/>
      <c r="F72" s="8"/>
      <c r="H72" s="8"/>
      <c r="I72" s="8"/>
      <c r="J72" s="8"/>
      <c r="K72" s="8"/>
      <c r="L72" s="8"/>
      <c r="M72" s="8"/>
      <c r="N72" s="8"/>
      <c r="O72" s="8"/>
      <c r="R72"/>
    </row>
    <row r="73" spans="1:18" s="2" customFormat="1" ht="18" x14ac:dyDescent="0.25">
      <c r="A73"/>
      <c r="B73"/>
      <c r="C73"/>
      <c r="D73" s="8">
        <f>D70+D71</f>
        <v>600000</v>
      </c>
      <c r="E73" s="8" t="s">
        <v>39</v>
      </c>
      <c r="F73" s="8">
        <f>F70+F71</f>
        <v>990000</v>
      </c>
      <c r="H73" s="8">
        <f>H70+H71</f>
        <v>123500</v>
      </c>
      <c r="I73" s="8">
        <f>I70+I71</f>
        <v>0</v>
      </c>
      <c r="J73" s="8">
        <v>0</v>
      </c>
      <c r="K73" s="8"/>
      <c r="L73" s="8">
        <f>F73+H73-I73-J73</f>
        <v>1113500</v>
      </c>
      <c r="M73" s="8"/>
      <c r="N73" s="8"/>
      <c r="O73" s="8"/>
      <c r="R73"/>
    </row>
    <row r="74" spans="1:18" s="2" customFormat="1" ht="18" x14ac:dyDescent="0.25">
      <c r="A74"/>
      <c r="B74"/>
      <c r="C74"/>
      <c r="D74" s="8">
        <f>D73+R46</f>
        <v>600000</v>
      </c>
      <c r="E74" s="8" t="s">
        <v>82</v>
      </c>
      <c r="F74"/>
      <c r="H74"/>
      <c r="I74" s="3"/>
      <c r="J74" s="3"/>
      <c r="K74" s="3"/>
      <c r="M74"/>
      <c r="N74" s="8"/>
      <c r="O74" s="3"/>
      <c r="R74"/>
    </row>
    <row r="75" spans="1:18" s="2" customFormat="1" ht="18" x14ac:dyDescent="0.25">
      <c r="A75"/>
      <c r="B75"/>
      <c r="C75"/>
      <c r="D75" s="4" t="s">
        <v>6</v>
      </c>
      <c r="E75" s="8">
        <v>300000</v>
      </c>
      <c r="F75"/>
      <c r="H75"/>
      <c r="I75" s="3"/>
      <c r="J75" s="3"/>
      <c r="K75" s="3"/>
      <c r="M75"/>
      <c r="N75"/>
      <c r="O75" s="3"/>
      <c r="R75"/>
    </row>
    <row r="76" spans="1:18" s="2" customFormat="1" ht="29.25" x14ac:dyDescent="0.25">
      <c r="A76"/>
      <c r="B76"/>
      <c r="C76"/>
      <c r="D76" s="10" t="s">
        <v>64</v>
      </c>
      <c r="E76" s="11">
        <f>L46+Q46</f>
        <v>281500</v>
      </c>
      <c r="F76"/>
      <c r="H76"/>
      <c r="I76" s="3"/>
      <c r="J76" s="3"/>
      <c r="K76" s="3"/>
      <c r="M76"/>
      <c r="N76"/>
      <c r="O76" s="3"/>
      <c r="R76"/>
    </row>
    <row r="78" spans="1:18" x14ac:dyDescent="0.25">
      <c r="E78" s="2"/>
    </row>
  </sheetData>
  <autoFilter ref="A5:R39">
    <sortState ref="A5:L48">
      <sortCondition ref="B5:B48"/>
    </sortState>
  </autoFilter>
  <mergeCells count="1">
    <mergeCell ref="C4:I4"/>
  </mergeCells>
  <dataValidations count="1">
    <dataValidation type="list" allowBlank="1" showInputMessage="1" showErrorMessage="1" sqref="M41:M43 N6:O43 J6:K43 F6:F43">
      <formula1>MODEVERSEMENTS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8"/>
  <sheetViews>
    <sheetView workbookViewId="0">
      <pane xSplit="2" ySplit="5" topLeftCell="C51" activePane="bottomRight" state="frozen"/>
      <selection activeCell="I54" sqref="I54"/>
      <selection pane="topRight" activeCell="I54" sqref="I54"/>
      <selection pane="bottomLeft" activeCell="I54" sqref="I54"/>
      <selection pane="bottomRight" activeCell="I54" sqref="I54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15" bestFit="1" customWidth="1"/>
    <col min="4" max="4" width="21" customWidth="1"/>
    <col min="5" max="6" width="16.7109375" customWidth="1"/>
    <col min="7" max="7" width="15" style="2" bestFit="1" customWidth="1"/>
    <col min="8" max="8" width="15" bestFit="1" customWidth="1"/>
    <col min="9" max="9" width="17.5703125" style="3" bestFit="1" customWidth="1"/>
    <col min="10" max="10" width="17.5703125" style="3" customWidth="1"/>
    <col min="11" max="11" width="16" style="3" customWidth="1"/>
    <col min="12" max="12" width="15.7109375" style="2" customWidth="1"/>
    <col min="13" max="14" width="13" customWidth="1"/>
    <col min="15" max="15" width="15.5703125" style="3" customWidth="1"/>
    <col min="16" max="17" width="18.140625" style="2" bestFit="1" customWidth="1"/>
    <col min="18" max="18" width="12.5703125" bestFit="1" customWidth="1"/>
    <col min="19" max="19" width="15" bestFit="1" customWidth="1"/>
  </cols>
  <sheetData>
    <row r="1" spans="1:20" x14ac:dyDescent="0.25">
      <c r="A1" s="1" t="s">
        <v>0</v>
      </c>
      <c r="B1" s="1" t="s">
        <v>1</v>
      </c>
      <c r="C1" s="1"/>
      <c r="D1" s="1"/>
      <c r="E1" s="1"/>
      <c r="F1" s="1"/>
      <c r="M1" s="1"/>
      <c r="N1" s="1"/>
    </row>
    <row r="2" spans="1:20" x14ac:dyDescent="0.25">
      <c r="A2" s="1" t="s">
        <v>2</v>
      </c>
      <c r="B2" s="1" t="s">
        <v>80</v>
      </c>
      <c r="C2" s="1"/>
      <c r="D2" s="1"/>
      <c r="E2" s="1"/>
      <c r="F2" s="1"/>
      <c r="M2" s="1"/>
      <c r="N2" s="1"/>
    </row>
    <row r="3" spans="1:20" x14ac:dyDescent="0.25">
      <c r="A3" s="1" t="s">
        <v>3</v>
      </c>
      <c r="B3" s="6">
        <v>30000</v>
      </c>
      <c r="C3" s="1"/>
      <c r="D3" s="1"/>
      <c r="E3" s="1"/>
      <c r="F3" s="1"/>
      <c r="M3" s="1"/>
      <c r="N3" s="1"/>
    </row>
    <row r="4" spans="1:20" ht="18" x14ac:dyDescent="0.25">
      <c r="B4" s="13"/>
      <c r="C4" s="20">
        <v>44122</v>
      </c>
      <c r="D4" s="21"/>
      <c r="E4" s="21"/>
      <c r="F4" s="21"/>
      <c r="G4" s="21"/>
      <c r="H4" s="21"/>
      <c r="I4" s="21"/>
      <c r="J4" s="16"/>
      <c r="K4" s="16"/>
      <c r="L4" s="16"/>
      <c r="M4" s="16"/>
      <c r="O4" s="16"/>
      <c r="P4"/>
      <c r="Q4"/>
    </row>
    <row r="5" spans="1:20" ht="57.75" x14ac:dyDescent="0.25">
      <c r="A5" s="1" t="s">
        <v>4</v>
      </c>
      <c r="B5" s="1" t="s">
        <v>5</v>
      </c>
      <c r="C5" s="1" t="s">
        <v>40</v>
      </c>
      <c r="D5" s="4" t="s">
        <v>6</v>
      </c>
      <c r="E5" s="1" t="s">
        <v>65</v>
      </c>
      <c r="F5" s="5" t="s">
        <v>7</v>
      </c>
      <c r="G5" s="4" t="s">
        <v>8</v>
      </c>
      <c r="H5" s="6" t="s">
        <v>60</v>
      </c>
      <c r="I5" s="4" t="s">
        <v>57</v>
      </c>
      <c r="J5" s="4" t="s">
        <v>61</v>
      </c>
      <c r="K5" s="14" t="s">
        <v>77</v>
      </c>
      <c r="L5" s="4" t="s">
        <v>55</v>
      </c>
      <c r="M5" s="4" t="s">
        <v>54</v>
      </c>
      <c r="N5" s="4" t="s">
        <v>58</v>
      </c>
      <c r="O5" s="4" t="s">
        <v>77</v>
      </c>
      <c r="P5" s="4" t="s">
        <v>56</v>
      </c>
      <c r="Q5" s="6" t="s">
        <v>59</v>
      </c>
      <c r="R5" s="4" t="s">
        <v>81</v>
      </c>
    </row>
    <row r="6" spans="1:20" x14ac:dyDescent="0.25">
      <c r="A6" s="1" t="s">
        <v>69</v>
      </c>
      <c r="B6" s="1" t="str">
        <f>VLOOKUP(A6,[4]LISTADHERENT!A$5:H$60,3,0)</f>
        <v>ASELBY</v>
      </c>
      <c r="C6" s="7">
        <f t="shared" ref="C6:C39" si="0">IF(G6=0,0,G6-D6)</f>
        <v>0</v>
      </c>
      <c r="D6" s="7">
        <f t="shared" ref="D6:D39" si="1">IF(F6="ECHEC",0,IF(F6="",0,20000))</f>
        <v>0</v>
      </c>
      <c r="E6" s="7">
        <f t="shared" ref="E6:E39" si="2">IF(F6="ESPECES",3000,0)</f>
        <v>0</v>
      </c>
      <c r="F6" s="5" t="s">
        <v>9</v>
      </c>
      <c r="G6" s="7">
        <f t="shared" ref="G6:G39" si="3">IF(F6="BANQUE",30000,IF(F6="ESPECES",30000,0))</f>
        <v>0</v>
      </c>
      <c r="H6" s="7"/>
      <c r="I6" s="7"/>
      <c r="J6" s="5"/>
      <c r="K6" s="5"/>
      <c r="L6" s="4">
        <f>TONTSEPT!H6+TONTSEPT!I6</f>
        <v>0</v>
      </c>
      <c r="M6" s="4"/>
      <c r="N6" s="5"/>
      <c r="O6" s="5"/>
      <c r="P6" s="7">
        <f>IF(Q6=0,0,($E$76-Q6))</f>
        <v>0</v>
      </c>
      <c r="Q6" s="7"/>
      <c r="R6" s="7"/>
      <c r="S6" s="7"/>
    </row>
    <row r="7" spans="1:20" x14ac:dyDescent="0.25">
      <c r="A7" s="1" t="s">
        <v>10</v>
      </c>
      <c r="B7" s="1" t="str">
        <f>VLOOKUP(A7,[4]LISTADHERENT!A$5:H$60,3,0)</f>
        <v>BOUTCHOUANG WILLIAM</v>
      </c>
      <c r="C7" s="7">
        <f t="shared" si="0"/>
        <v>10000</v>
      </c>
      <c r="D7" s="7">
        <f t="shared" si="1"/>
        <v>20000</v>
      </c>
      <c r="E7" s="7">
        <f t="shared" si="2"/>
        <v>0</v>
      </c>
      <c r="F7" s="5" t="s">
        <v>46</v>
      </c>
      <c r="G7" s="7">
        <f t="shared" si="3"/>
        <v>30000</v>
      </c>
      <c r="H7" s="7"/>
      <c r="I7" s="7"/>
      <c r="J7" s="5"/>
      <c r="K7" s="5"/>
      <c r="L7" s="4">
        <f>TONTSEPT!H7+TONTSEPT!I7</f>
        <v>0</v>
      </c>
      <c r="M7" s="4"/>
      <c r="N7" s="5"/>
      <c r="O7" s="5"/>
      <c r="P7" s="7">
        <f t="shared" ref="P7:P39" si="4">IF(Q7=0,0,($E$75-Q7))</f>
        <v>0</v>
      </c>
      <c r="Q7" s="7"/>
      <c r="R7" s="7"/>
      <c r="S7" s="7">
        <v>105000</v>
      </c>
    </row>
    <row r="8" spans="1:20" x14ac:dyDescent="0.25">
      <c r="A8" s="1" t="s">
        <v>11</v>
      </c>
      <c r="B8" s="1" t="str">
        <f>VLOOKUP(A8,[4]LISTADHERENT!A$5:H$60,3,0)</f>
        <v xml:space="preserve">DJOMO JEAN PAUL </v>
      </c>
      <c r="C8" s="7">
        <f t="shared" si="0"/>
        <v>19000</v>
      </c>
      <c r="D8" s="7">
        <f t="shared" si="1"/>
        <v>20000</v>
      </c>
      <c r="E8" s="7">
        <f t="shared" si="2"/>
        <v>0</v>
      </c>
      <c r="F8" s="5" t="s">
        <v>46</v>
      </c>
      <c r="G8" s="7">
        <f>IF(F8="BANQUE",30000,IF(F8="ESPECES",30000,0))+9000</f>
        <v>39000</v>
      </c>
      <c r="H8" s="7"/>
      <c r="I8" s="7"/>
      <c r="J8" s="5"/>
      <c r="K8" s="5"/>
      <c r="L8" s="4">
        <f>TONTSEPT!H8+TONTSEPT!I8</f>
        <v>0</v>
      </c>
      <c r="M8" s="4"/>
      <c r="N8" s="5"/>
      <c r="O8" s="5"/>
      <c r="P8" s="7">
        <f t="shared" si="4"/>
        <v>0</v>
      </c>
      <c r="Q8" s="7"/>
      <c r="R8" s="7"/>
      <c r="S8" s="7">
        <v>165000</v>
      </c>
    </row>
    <row r="9" spans="1:20" x14ac:dyDescent="0.25">
      <c r="A9" s="1" t="s">
        <v>83</v>
      </c>
      <c r="B9" s="1" t="str">
        <f>VLOOKUP(A9,[4]LISTADHERENT!A$5:H$60,3,0)</f>
        <v>DJOMOU TCHANDA</v>
      </c>
      <c r="C9" s="7">
        <f t="shared" si="0"/>
        <v>0</v>
      </c>
      <c r="D9" s="7">
        <f t="shared" si="1"/>
        <v>0</v>
      </c>
      <c r="E9" s="7">
        <f t="shared" si="2"/>
        <v>0</v>
      </c>
      <c r="F9" s="5" t="s">
        <v>9</v>
      </c>
      <c r="G9" s="7">
        <f t="shared" si="3"/>
        <v>0</v>
      </c>
      <c r="H9" s="7"/>
      <c r="I9" s="7"/>
      <c r="J9" s="5"/>
      <c r="K9" s="5"/>
      <c r="L9" s="4">
        <f>TONTSEPT!H9+TONTSEPT!I9</f>
        <v>0</v>
      </c>
      <c r="M9" s="4"/>
      <c r="N9" s="5"/>
      <c r="O9" s="5"/>
      <c r="P9" s="7">
        <f t="shared" si="4"/>
        <v>0</v>
      </c>
      <c r="Q9" s="7"/>
      <c r="R9" s="7"/>
      <c r="S9" s="7"/>
      <c r="T9" t="s">
        <v>9</v>
      </c>
    </row>
    <row r="10" spans="1:20" x14ac:dyDescent="0.25">
      <c r="A10" s="1" t="s">
        <v>12</v>
      </c>
      <c r="B10" s="1" t="str">
        <f>VLOOKUP(A10,[4]LISTADHERENT!A$5:H$60,3,0)</f>
        <v>DJOUKWE NANGUEN GUY BLAISE</v>
      </c>
      <c r="C10" s="7">
        <f t="shared" si="0"/>
        <v>14000</v>
      </c>
      <c r="D10" s="7">
        <f t="shared" si="1"/>
        <v>20000</v>
      </c>
      <c r="E10" s="7">
        <f t="shared" si="2"/>
        <v>0</v>
      </c>
      <c r="F10" s="5" t="s">
        <v>46</v>
      </c>
      <c r="G10" s="7">
        <f>IF(F10="BANQUE",30000,IF(F10="ESPECES",30000,0))+4000</f>
        <v>34000</v>
      </c>
      <c r="H10" s="7">
        <v>30000</v>
      </c>
      <c r="I10" s="7">
        <v>500</v>
      </c>
      <c r="J10" s="5"/>
      <c r="K10" s="5"/>
      <c r="L10" s="4">
        <f>TONTSEPT!H10+TONTSEPT!I10</f>
        <v>0</v>
      </c>
      <c r="M10" s="4"/>
      <c r="N10" s="5"/>
      <c r="O10" s="5"/>
      <c r="P10" s="7">
        <f t="shared" si="4"/>
        <v>0</v>
      </c>
      <c r="Q10" s="7"/>
      <c r="R10" s="7"/>
      <c r="S10" s="7">
        <v>85000</v>
      </c>
    </row>
    <row r="11" spans="1:20" x14ac:dyDescent="0.25">
      <c r="A11" s="1" t="s">
        <v>13</v>
      </c>
      <c r="B11" s="1" t="str">
        <f>VLOOKUP(A11,[4]LISTADHERENT!A$5:H$60,3,0)</f>
        <v>DJUOMBESSY ANTOINE</v>
      </c>
      <c r="C11" s="7">
        <f t="shared" si="0"/>
        <v>10000</v>
      </c>
      <c r="D11" s="7">
        <f t="shared" si="1"/>
        <v>20000</v>
      </c>
      <c r="E11" s="7">
        <f t="shared" si="2"/>
        <v>0</v>
      </c>
      <c r="F11" s="5" t="s">
        <v>46</v>
      </c>
      <c r="G11" s="7">
        <f t="shared" si="3"/>
        <v>30000</v>
      </c>
      <c r="H11" s="7"/>
      <c r="I11" s="7"/>
      <c r="J11" s="5"/>
      <c r="K11" s="5"/>
      <c r="L11" s="4">
        <f>TONTSEPT!H11+TONTSEPT!I11</f>
        <v>61500</v>
      </c>
      <c r="M11" s="4" t="s">
        <v>46</v>
      </c>
      <c r="N11" s="5"/>
      <c r="O11" s="5"/>
      <c r="P11" s="7">
        <f t="shared" si="4"/>
        <v>0</v>
      </c>
      <c r="Q11" s="7"/>
      <c r="R11" s="7"/>
      <c r="S11" s="7">
        <v>190000</v>
      </c>
    </row>
    <row r="12" spans="1:20" x14ac:dyDescent="0.25">
      <c r="A12" s="1" t="s">
        <v>71</v>
      </c>
      <c r="B12" s="1" t="str">
        <f>VLOOKUP(A12,[4]LISTADHERENT!A$5:H$60,3,0)</f>
        <v>DOMOU FABIEN</v>
      </c>
      <c r="C12" s="7">
        <f t="shared" si="0"/>
        <v>10000</v>
      </c>
      <c r="D12" s="7">
        <f t="shared" si="1"/>
        <v>20000</v>
      </c>
      <c r="E12" s="7">
        <f t="shared" si="2"/>
        <v>0</v>
      </c>
      <c r="F12" s="5" t="s">
        <v>46</v>
      </c>
      <c r="G12" s="7">
        <f t="shared" si="3"/>
        <v>30000</v>
      </c>
      <c r="H12" s="7"/>
      <c r="I12" s="7"/>
      <c r="J12" s="5"/>
      <c r="K12" s="5"/>
      <c r="L12" s="4">
        <f>TONTSEPT!H12+TONTSEPT!I12</f>
        <v>0</v>
      </c>
      <c r="M12" s="4"/>
      <c r="N12" s="5"/>
      <c r="O12" s="5"/>
      <c r="P12" s="7">
        <f t="shared" si="4"/>
        <v>0</v>
      </c>
      <c r="S12" s="7">
        <v>30000</v>
      </c>
    </row>
    <row r="13" spans="1:20" x14ac:dyDescent="0.25">
      <c r="A13" s="1" t="s">
        <v>14</v>
      </c>
      <c r="B13" s="1" t="str">
        <f>VLOOKUP(A13,[4]LISTADHERENT!A$5:H$60,3,0)</f>
        <v>DONHOU DAVID</v>
      </c>
      <c r="C13" s="7">
        <f t="shared" si="0"/>
        <v>10000</v>
      </c>
      <c r="D13" s="7">
        <f t="shared" si="1"/>
        <v>20000</v>
      </c>
      <c r="E13" s="7">
        <f t="shared" si="2"/>
        <v>0</v>
      </c>
      <c r="F13" s="5" t="s">
        <v>46</v>
      </c>
      <c r="G13" s="7">
        <f t="shared" si="3"/>
        <v>30000</v>
      </c>
      <c r="H13" s="7"/>
      <c r="I13" s="7"/>
      <c r="J13" s="5"/>
      <c r="K13" s="5"/>
      <c r="L13" s="4">
        <f>TONTSEPT!H13+TONTSEPT!I13</f>
        <v>0</v>
      </c>
      <c r="M13" s="4"/>
      <c r="N13" s="5"/>
      <c r="O13" s="5"/>
      <c r="P13" s="7">
        <f t="shared" si="4"/>
        <v>0</v>
      </c>
      <c r="Q13" s="7"/>
      <c r="R13" s="7"/>
      <c r="S13" s="7">
        <v>30000</v>
      </c>
    </row>
    <row r="14" spans="1:20" x14ac:dyDescent="0.25">
      <c r="A14" s="1" t="s">
        <v>15</v>
      </c>
      <c r="B14" s="1" t="str">
        <f>VLOOKUP(A14,[4]LISTADHERENT!A$5:H$60,3,0)</f>
        <v>FOTSO THOMAS</v>
      </c>
      <c r="C14" s="7">
        <f t="shared" si="0"/>
        <v>7000</v>
      </c>
      <c r="D14" s="7">
        <f t="shared" si="1"/>
        <v>20000</v>
      </c>
      <c r="E14" s="7">
        <f t="shared" si="2"/>
        <v>3000</v>
      </c>
      <c r="F14" s="5" t="s">
        <v>45</v>
      </c>
      <c r="G14" s="7">
        <f>IF(F14="BANQUE",30000,IF(F14="ESPECES",30000,0))-3000</f>
        <v>27000</v>
      </c>
      <c r="H14" s="7">
        <v>54500</v>
      </c>
      <c r="I14" s="7"/>
      <c r="J14" s="5"/>
      <c r="K14" s="5"/>
      <c r="L14" s="4">
        <f>TONTSEPT!H14+TONTSEPT!I14</f>
        <v>54500</v>
      </c>
      <c r="M14" s="4" t="s">
        <v>9</v>
      </c>
      <c r="N14" s="5"/>
      <c r="O14" s="5"/>
      <c r="P14" s="7">
        <f t="shared" si="4"/>
        <v>0</v>
      </c>
      <c r="Q14" s="7"/>
      <c r="R14" s="7"/>
      <c r="S14" s="7"/>
      <c r="T14" t="s">
        <v>45</v>
      </c>
    </row>
    <row r="15" spans="1:20" x14ac:dyDescent="0.25">
      <c r="A15" s="1" t="s">
        <v>16</v>
      </c>
      <c r="B15" s="1" t="str">
        <f>VLOOKUP(A15,[4]LISTADHERENT!A$5:H$60,3,0)</f>
        <v>HENGUE PAUL OMER</v>
      </c>
      <c r="C15" s="7">
        <f t="shared" si="0"/>
        <v>10000</v>
      </c>
      <c r="D15" s="7">
        <f t="shared" si="1"/>
        <v>20000</v>
      </c>
      <c r="E15" s="7">
        <f t="shared" si="2"/>
        <v>0</v>
      </c>
      <c r="F15" s="5" t="s">
        <v>46</v>
      </c>
      <c r="G15" s="7">
        <f t="shared" si="3"/>
        <v>30000</v>
      </c>
      <c r="H15" s="7"/>
      <c r="I15" s="7"/>
      <c r="J15" s="5"/>
      <c r="K15" s="5"/>
      <c r="L15" s="4">
        <f>TONTSEPT!H15+TONTSEPT!I15</f>
        <v>0</v>
      </c>
      <c r="M15" s="4"/>
      <c r="N15" s="5"/>
      <c r="O15" s="5"/>
      <c r="P15" s="7">
        <f t="shared" si="4"/>
        <v>0</v>
      </c>
      <c r="Q15" s="7"/>
      <c r="R15" s="7"/>
      <c r="S15" s="7">
        <v>105000</v>
      </c>
    </row>
    <row r="16" spans="1:20" x14ac:dyDescent="0.25">
      <c r="A16" s="1" t="s">
        <v>17</v>
      </c>
      <c r="B16" s="1" t="str">
        <f>VLOOKUP(A16,[4]LISTADHERENT!A$5:H$60,3,0)</f>
        <v>HOTCHO BENJAMIN</v>
      </c>
      <c r="C16" s="7">
        <f t="shared" si="0"/>
        <v>45000</v>
      </c>
      <c r="D16" s="7">
        <f t="shared" si="1"/>
        <v>20000</v>
      </c>
      <c r="E16" s="7">
        <f t="shared" si="2"/>
        <v>0</v>
      </c>
      <c r="F16" s="5" t="s">
        <v>46</v>
      </c>
      <c r="G16" s="7">
        <f>IF(F16="BANQUE",30000,IF(F16="ESPECES",30000,0))+35000</f>
        <v>65000</v>
      </c>
      <c r="H16" s="7"/>
      <c r="I16" s="7"/>
      <c r="J16" s="5"/>
      <c r="K16" s="5"/>
      <c r="L16" s="4">
        <f>TONTSEPT!H16+TONTSEPT!I16</f>
        <v>0</v>
      </c>
      <c r="M16" s="4"/>
      <c r="N16" s="5"/>
      <c r="O16" s="5"/>
      <c r="P16" s="7">
        <f t="shared" si="4"/>
        <v>280000</v>
      </c>
      <c r="Q16" s="7">
        <v>20000</v>
      </c>
      <c r="R16" s="7"/>
      <c r="S16" s="7">
        <v>240000</v>
      </c>
    </row>
    <row r="17" spans="1:20" x14ac:dyDescent="0.25">
      <c r="A17" s="1" t="s">
        <v>19</v>
      </c>
      <c r="B17" s="1" t="str">
        <f>VLOOKUP(A17,[4]LISTADHERENT!A$5:H$60,3,0)</f>
        <v>KEPSEU FRANCIS</v>
      </c>
      <c r="C17" s="7">
        <f t="shared" si="0"/>
        <v>0</v>
      </c>
      <c r="D17" s="7">
        <f t="shared" si="1"/>
        <v>0</v>
      </c>
      <c r="E17" s="7">
        <f t="shared" si="2"/>
        <v>0</v>
      </c>
      <c r="F17" s="5" t="s">
        <v>9</v>
      </c>
      <c r="G17" s="7">
        <f t="shared" si="3"/>
        <v>0</v>
      </c>
      <c r="H17" s="7"/>
      <c r="I17" s="7"/>
      <c r="J17" s="5"/>
      <c r="K17" s="5"/>
      <c r="L17" s="4">
        <f>TONTSEPT!H17+TONTSEPT!I17</f>
        <v>0</v>
      </c>
      <c r="M17" s="4"/>
      <c r="N17" s="5"/>
      <c r="O17" s="5"/>
      <c r="P17" s="7">
        <f t="shared" si="4"/>
        <v>0</v>
      </c>
      <c r="Q17" s="7"/>
      <c r="R17" s="7"/>
      <c r="S17" s="7"/>
      <c r="T17" t="s">
        <v>9</v>
      </c>
    </row>
    <row r="18" spans="1:20" x14ac:dyDescent="0.25">
      <c r="A18" s="1" t="s">
        <v>21</v>
      </c>
      <c r="B18" s="1" t="str">
        <f>VLOOKUP(A18,[4]LISTADHERENT!A$5:H$60,3,0)</f>
        <v>KOUAMO VICTOR PEGUY</v>
      </c>
      <c r="C18" s="7">
        <f t="shared" si="0"/>
        <v>0</v>
      </c>
      <c r="D18" s="7">
        <f t="shared" si="1"/>
        <v>0</v>
      </c>
      <c r="E18" s="7">
        <f t="shared" si="2"/>
        <v>0</v>
      </c>
      <c r="F18" s="5" t="s">
        <v>9</v>
      </c>
      <c r="G18" s="7">
        <f t="shared" si="3"/>
        <v>0</v>
      </c>
      <c r="H18" s="7"/>
      <c r="I18" s="7"/>
      <c r="J18" s="5"/>
      <c r="K18" s="5"/>
      <c r="L18" s="4">
        <f>TONTSEPT!H18+TONTSEPT!I18</f>
        <v>0</v>
      </c>
      <c r="M18" s="4"/>
      <c r="N18" s="5"/>
      <c r="O18" s="5"/>
      <c r="P18" s="7">
        <f t="shared" si="4"/>
        <v>0</v>
      </c>
      <c r="Q18" s="7"/>
      <c r="R18" s="7"/>
      <c r="S18" s="7"/>
      <c r="T18" t="s">
        <v>9</v>
      </c>
    </row>
    <row r="19" spans="1:20" x14ac:dyDescent="0.25">
      <c r="A19" s="1" t="s">
        <v>20</v>
      </c>
      <c r="B19" s="1" t="str">
        <f>VLOOKUP(A19,[4]LISTADHERENT!A$5:H$60,3,0)</f>
        <v>KOUAMOU MOISE</v>
      </c>
      <c r="C19" s="7">
        <f t="shared" si="0"/>
        <v>10000</v>
      </c>
      <c r="D19" s="7">
        <f t="shared" si="1"/>
        <v>20000</v>
      </c>
      <c r="E19" s="7">
        <f t="shared" si="2"/>
        <v>0</v>
      </c>
      <c r="F19" s="5" t="s">
        <v>46</v>
      </c>
      <c r="G19" s="7">
        <f t="shared" si="3"/>
        <v>30000</v>
      </c>
      <c r="H19" s="7">
        <v>1000</v>
      </c>
      <c r="I19" s="7"/>
      <c r="J19" s="5"/>
      <c r="K19" s="5"/>
      <c r="L19" s="4">
        <f>TONTSEPT!H19+TONTSEPT!I19</f>
        <v>1000</v>
      </c>
      <c r="M19" s="4" t="s">
        <v>9</v>
      </c>
      <c r="N19" s="5"/>
      <c r="O19" s="5"/>
      <c r="P19" s="7">
        <f t="shared" si="4"/>
        <v>0</v>
      </c>
      <c r="Q19" s="7"/>
      <c r="R19" s="7"/>
      <c r="S19" s="7">
        <v>130000</v>
      </c>
    </row>
    <row r="20" spans="1:20" x14ac:dyDescent="0.25">
      <c r="A20" s="1" t="s">
        <v>22</v>
      </c>
      <c r="B20" s="1" t="str">
        <f>VLOOKUP(A20,[4]LISTADHERENT!A$5:H$60,3,0)</f>
        <v>KOUATCHO MESSACK</v>
      </c>
      <c r="C20" s="7">
        <f t="shared" si="0"/>
        <v>10000</v>
      </c>
      <c r="D20" s="7">
        <f t="shared" si="1"/>
        <v>20000</v>
      </c>
      <c r="E20" s="7">
        <f t="shared" si="2"/>
        <v>0</v>
      </c>
      <c r="F20" s="5" t="s">
        <v>46</v>
      </c>
      <c r="G20" s="7">
        <f t="shared" si="3"/>
        <v>30000</v>
      </c>
      <c r="H20" s="7">
        <v>60000</v>
      </c>
      <c r="I20" s="7">
        <v>2000</v>
      </c>
      <c r="J20" s="5"/>
      <c r="K20" s="5"/>
      <c r="L20" s="4">
        <f>TONTSEPT!H20+TONTSEPT!I20</f>
        <v>30500</v>
      </c>
      <c r="M20" s="4" t="s">
        <v>45</v>
      </c>
      <c r="N20" s="5"/>
      <c r="O20" s="5"/>
      <c r="P20" s="7">
        <f t="shared" si="4"/>
        <v>0</v>
      </c>
      <c r="Q20" s="7"/>
      <c r="R20" s="7"/>
      <c r="S20" s="7">
        <v>332000</v>
      </c>
    </row>
    <row r="21" spans="1:20" x14ac:dyDescent="0.25">
      <c r="A21" s="1" t="s">
        <v>23</v>
      </c>
      <c r="B21" s="1" t="str">
        <f>VLOOKUP(A21,[4]LISTADHERENT!A$5:H$60,3,0)</f>
        <v>LOWE JEAN</v>
      </c>
      <c r="C21" s="7">
        <f t="shared" si="0"/>
        <v>10000</v>
      </c>
      <c r="D21" s="7">
        <f t="shared" si="1"/>
        <v>20000</v>
      </c>
      <c r="E21" s="7">
        <f t="shared" si="2"/>
        <v>3000</v>
      </c>
      <c r="F21" s="5" t="s">
        <v>45</v>
      </c>
      <c r="G21" s="7">
        <f t="shared" si="3"/>
        <v>30000</v>
      </c>
      <c r="H21" s="7"/>
      <c r="I21" s="7"/>
      <c r="J21" s="5"/>
      <c r="K21" s="5"/>
      <c r="L21" s="4">
        <f>TONTSEPT!H21+TONTSEPT!I21</f>
        <v>0</v>
      </c>
      <c r="M21" s="4"/>
      <c r="N21" s="5"/>
      <c r="O21" s="5"/>
      <c r="P21" s="7">
        <f t="shared" si="4"/>
        <v>0</v>
      </c>
      <c r="Q21" s="7"/>
      <c r="R21" s="7"/>
      <c r="S21" s="7"/>
      <c r="T21" t="s">
        <v>45</v>
      </c>
    </row>
    <row r="22" spans="1:20" x14ac:dyDescent="0.25">
      <c r="A22" s="1" t="s">
        <v>70</v>
      </c>
      <c r="B22" s="1" t="str">
        <f>VLOOKUP(A22,[4]LISTADHERENT!A$5:H$60,3,0)</f>
        <v>MBOGNING TUGMA GUY</v>
      </c>
      <c r="C22" s="7">
        <f t="shared" si="0"/>
        <v>10000</v>
      </c>
      <c r="D22" s="7">
        <f t="shared" si="1"/>
        <v>20000</v>
      </c>
      <c r="E22" s="7">
        <f t="shared" si="2"/>
        <v>0</v>
      </c>
      <c r="F22" s="5" t="s">
        <v>46</v>
      </c>
      <c r="G22" s="7">
        <f t="shared" si="3"/>
        <v>30000</v>
      </c>
      <c r="H22" s="7"/>
      <c r="I22" s="7"/>
      <c r="J22" s="5"/>
      <c r="K22" s="5"/>
      <c r="L22" s="4">
        <f>TONTSEPT!H22+TONTSEPT!I22</f>
        <v>0</v>
      </c>
      <c r="M22" s="4"/>
      <c r="N22" s="5"/>
      <c r="O22" s="5"/>
      <c r="P22" s="7">
        <f t="shared" si="4"/>
        <v>0</v>
      </c>
      <c r="R22" s="7"/>
      <c r="S22" s="7">
        <v>608000</v>
      </c>
    </row>
    <row r="23" spans="1:20" x14ac:dyDescent="0.25">
      <c r="A23" s="1" t="s">
        <v>34</v>
      </c>
      <c r="B23" s="1" t="str">
        <f>VLOOKUP(A23,[4]LISTADHERENT!A$5:H$60,3,0)</f>
        <v>NANGUEN MARTIN</v>
      </c>
      <c r="C23" s="7">
        <f t="shared" si="0"/>
        <v>10000</v>
      </c>
      <c r="D23" s="7">
        <f t="shared" si="1"/>
        <v>20000</v>
      </c>
      <c r="E23" s="7">
        <f t="shared" si="2"/>
        <v>0</v>
      </c>
      <c r="F23" s="5" t="s">
        <v>46</v>
      </c>
      <c r="G23" s="7">
        <f t="shared" si="3"/>
        <v>30000</v>
      </c>
      <c r="H23" s="7"/>
      <c r="I23" s="7"/>
      <c r="J23" s="5"/>
      <c r="K23" s="5"/>
      <c r="L23" s="4">
        <f>TONTSEPT!H23+TONTSEPT!I23</f>
        <v>0</v>
      </c>
      <c r="M23" s="4"/>
      <c r="N23" s="5"/>
      <c r="O23" s="5"/>
      <c r="P23" s="7">
        <f t="shared" si="4"/>
        <v>0</v>
      </c>
      <c r="Q23" s="7"/>
      <c r="R23" s="7"/>
      <c r="S23" s="7">
        <v>130000</v>
      </c>
    </row>
    <row r="24" spans="1:20" x14ac:dyDescent="0.25">
      <c r="A24" s="1" t="s">
        <v>24</v>
      </c>
      <c r="B24" s="1" t="str">
        <f>VLOOKUP(A24,[4]LISTADHERENT!A$5:H$60,3,0)</f>
        <v>NANKAM APPOLINAIRE</v>
      </c>
      <c r="C24" s="7">
        <f t="shared" si="0"/>
        <v>10000</v>
      </c>
      <c r="D24" s="7">
        <f t="shared" si="1"/>
        <v>20000</v>
      </c>
      <c r="E24" s="7">
        <f t="shared" si="2"/>
        <v>0</v>
      </c>
      <c r="F24" s="5" t="s">
        <v>46</v>
      </c>
      <c r="G24" s="7">
        <f t="shared" si="3"/>
        <v>30000</v>
      </c>
      <c r="H24" s="7"/>
      <c r="I24" s="7"/>
      <c r="J24" s="5"/>
      <c r="K24" s="5"/>
      <c r="L24" s="4">
        <f>TONTSEPT!H24+TONTSEPT!I24</f>
        <v>0</v>
      </c>
      <c r="M24" s="4"/>
      <c r="N24" s="5"/>
      <c r="O24" s="5"/>
      <c r="P24" s="7">
        <f t="shared" si="4"/>
        <v>0</v>
      </c>
      <c r="Q24" s="7"/>
      <c r="R24" s="7"/>
      <c r="S24" s="7">
        <v>105000</v>
      </c>
    </row>
    <row r="25" spans="1:20" x14ac:dyDescent="0.25">
      <c r="A25" s="1" t="s">
        <v>25</v>
      </c>
      <c r="B25" s="1" t="str">
        <f>VLOOKUP(A25,[4]LISTADHERENT!A$5:H$60,3,0)</f>
        <v>NDJOMO ETIENNE</v>
      </c>
      <c r="C25" s="7">
        <f t="shared" si="0"/>
        <v>14000</v>
      </c>
      <c r="D25" s="7">
        <f t="shared" si="1"/>
        <v>20000</v>
      </c>
      <c r="E25" s="7">
        <f t="shared" si="2"/>
        <v>0</v>
      </c>
      <c r="F25" s="5" t="s">
        <v>46</v>
      </c>
      <c r="G25" s="7">
        <f>IF(F25="BANQUE",30000,IF(F25="ESPECES",30000,0))+4000</f>
        <v>34000</v>
      </c>
      <c r="H25" s="7"/>
      <c r="I25" s="7"/>
      <c r="J25" s="5"/>
      <c r="K25" s="5"/>
      <c r="L25" s="4">
        <f>TONTSEPT!H25+TONTSEPT!I25</f>
        <v>24000</v>
      </c>
      <c r="M25" s="4" t="s">
        <v>46</v>
      </c>
      <c r="N25" s="5"/>
      <c r="O25" s="5"/>
      <c r="P25" s="7">
        <f t="shared" si="4"/>
        <v>0</v>
      </c>
      <c r="Q25" s="7"/>
      <c r="R25" s="7"/>
      <c r="S25" s="7">
        <v>158000</v>
      </c>
    </row>
    <row r="26" spans="1:20" x14ac:dyDescent="0.25">
      <c r="A26" s="1" t="s">
        <v>26</v>
      </c>
      <c r="B26" s="1" t="str">
        <f>VLOOKUP(A26,[4]LISTADHERENT!A$5:H$60,3,0)</f>
        <v>NGONDIEP CLAUDE</v>
      </c>
      <c r="C26" s="7">
        <f t="shared" si="0"/>
        <v>20000</v>
      </c>
      <c r="D26" s="7">
        <f t="shared" si="1"/>
        <v>20000</v>
      </c>
      <c r="E26" s="7">
        <f t="shared" si="2"/>
        <v>0</v>
      </c>
      <c r="F26" s="5" t="s">
        <v>46</v>
      </c>
      <c r="G26" s="7">
        <f>IF(F26="BANQUE",30000,IF(F26="ESPECES",30000,0))+10000</f>
        <v>40000</v>
      </c>
      <c r="H26" s="7"/>
      <c r="I26" s="7"/>
      <c r="J26" s="5"/>
      <c r="K26" s="5"/>
      <c r="L26" s="4">
        <f>TONTSEPT!H26+TONTSEPT!I26</f>
        <v>0</v>
      </c>
      <c r="M26" s="4"/>
      <c r="N26" s="5"/>
      <c r="O26" s="5"/>
      <c r="P26" s="7">
        <f t="shared" si="4"/>
        <v>0</v>
      </c>
      <c r="Q26" s="7"/>
      <c r="R26" s="7"/>
      <c r="S26" s="7">
        <v>140000</v>
      </c>
    </row>
    <row r="27" spans="1:20" x14ac:dyDescent="0.25">
      <c r="A27" s="1" t="s">
        <v>27</v>
      </c>
      <c r="B27" s="1" t="str">
        <f>VLOOKUP(A27,[4]LISTADHERENT!A$5:H$60,3,0)</f>
        <v>NGUIEMEGNI MATHIEU BLAISE</v>
      </c>
      <c r="C27" s="7">
        <f t="shared" si="0"/>
        <v>10000</v>
      </c>
      <c r="D27" s="7">
        <f t="shared" si="1"/>
        <v>20000</v>
      </c>
      <c r="E27" s="7">
        <f t="shared" si="2"/>
        <v>0</v>
      </c>
      <c r="F27" s="5" t="s">
        <v>46</v>
      </c>
      <c r="G27" s="7">
        <f t="shared" si="3"/>
        <v>30000</v>
      </c>
      <c r="H27" s="7"/>
      <c r="I27" s="7"/>
      <c r="J27" s="5"/>
      <c r="K27" s="5"/>
      <c r="L27" s="4">
        <f>TONTSEPT!H27+TONTSEPT!I27</f>
        <v>0</v>
      </c>
      <c r="M27" s="4"/>
      <c r="N27" s="5"/>
      <c r="O27" s="5"/>
      <c r="P27" s="7">
        <f t="shared" si="4"/>
        <v>0</v>
      </c>
      <c r="Q27" s="7"/>
      <c r="R27" s="7"/>
      <c r="S27" s="7">
        <v>280000</v>
      </c>
    </row>
    <row r="28" spans="1:20" x14ac:dyDescent="0.25">
      <c r="A28" s="1" t="s">
        <v>28</v>
      </c>
      <c r="B28" s="1" t="str">
        <f>VLOOKUP(A28,[4]LISTADHERENT!A$5:H$60,3,0)</f>
        <v>NKAMGANG JUSTIN DEJOLIE</v>
      </c>
      <c r="C28" s="7">
        <f t="shared" si="0"/>
        <v>10000</v>
      </c>
      <c r="D28" s="7">
        <f t="shared" si="1"/>
        <v>20000</v>
      </c>
      <c r="E28" s="7">
        <f t="shared" si="2"/>
        <v>3000</v>
      </c>
      <c r="F28" s="5" t="s">
        <v>45</v>
      </c>
      <c r="G28" s="7">
        <f t="shared" si="3"/>
        <v>30000</v>
      </c>
      <c r="H28" s="7">
        <v>56500</v>
      </c>
      <c r="I28" s="7">
        <v>1500</v>
      </c>
      <c r="J28" s="5"/>
      <c r="K28" s="5"/>
      <c r="L28" s="4">
        <f>TONTSEPT!H28+TONTSEPT!I28</f>
        <v>0</v>
      </c>
      <c r="M28" s="4"/>
      <c r="N28" s="5"/>
      <c r="O28" s="5"/>
      <c r="P28" s="7">
        <f t="shared" si="4"/>
        <v>0</v>
      </c>
      <c r="Q28" s="7"/>
      <c r="R28" s="7"/>
      <c r="S28" s="7"/>
      <c r="T28" t="s">
        <v>45</v>
      </c>
    </row>
    <row r="29" spans="1:20" x14ac:dyDescent="0.25">
      <c r="A29" s="1" t="s">
        <v>18</v>
      </c>
      <c r="B29" s="1" t="str">
        <f>VLOOKUP(A29,[4]LISTADHERENT!A$5:H$60,3,0)</f>
        <v>NKEHE DAVID</v>
      </c>
      <c r="C29" s="7">
        <f t="shared" si="0"/>
        <v>0</v>
      </c>
      <c r="D29" s="7">
        <f t="shared" si="1"/>
        <v>0</v>
      </c>
      <c r="E29" s="7">
        <f t="shared" si="2"/>
        <v>0</v>
      </c>
      <c r="F29" s="5" t="s">
        <v>9</v>
      </c>
      <c r="G29" s="7">
        <f t="shared" si="3"/>
        <v>0</v>
      </c>
      <c r="H29" s="7"/>
      <c r="I29" s="7"/>
      <c r="J29" s="5"/>
      <c r="K29" s="5"/>
      <c r="L29" s="4">
        <f>TONTSEPT!H29+TONTSEPT!I29</f>
        <v>0</v>
      </c>
      <c r="M29" s="4"/>
      <c r="N29" s="5"/>
      <c r="O29" s="5"/>
      <c r="P29" s="7">
        <f t="shared" si="4"/>
        <v>0</v>
      </c>
      <c r="Q29" s="7"/>
      <c r="R29" s="7"/>
      <c r="S29" s="7"/>
      <c r="T29" t="s">
        <v>9</v>
      </c>
    </row>
    <row r="30" spans="1:20" x14ac:dyDescent="0.25">
      <c r="A30" s="1" t="s">
        <v>29</v>
      </c>
      <c r="B30" s="1" t="str">
        <f>VLOOKUP(A30,[4]LISTADHERENT!A$5:H$60,3,0)</f>
        <v>NKEPSEU DIEUDONNE</v>
      </c>
      <c r="C30" s="7">
        <f t="shared" si="0"/>
        <v>10500</v>
      </c>
      <c r="D30" s="7">
        <f t="shared" si="1"/>
        <v>20000</v>
      </c>
      <c r="E30" s="7">
        <f t="shared" si="2"/>
        <v>0</v>
      </c>
      <c r="F30" s="5" t="s">
        <v>46</v>
      </c>
      <c r="G30" s="7">
        <f>IF(F30="BANQUE",30000,IF(F30="ESPECES",30000,0))+500</f>
        <v>30500</v>
      </c>
      <c r="H30" s="7"/>
      <c r="I30" s="7"/>
      <c r="J30" s="5"/>
      <c r="K30" s="5"/>
      <c r="L30" s="4">
        <f>TONTSEPT!H30+TONTSEPT!I30</f>
        <v>30500</v>
      </c>
      <c r="M30" s="4" t="s">
        <v>46</v>
      </c>
      <c r="N30" s="5"/>
      <c r="O30" s="5"/>
      <c r="P30" s="7">
        <f t="shared" si="4"/>
        <v>0</v>
      </c>
      <c r="Q30" s="7"/>
      <c r="R30" s="7"/>
      <c r="S30" s="7">
        <v>261000</v>
      </c>
    </row>
    <row r="31" spans="1:20" x14ac:dyDescent="0.25">
      <c r="A31" s="1" t="s">
        <v>30</v>
      </c>
      <c r="B31" s="1" t="str">
        <f>VLOOKUP(A31,[4]LISTADHERENT!A$5:H$60,3,0)</f>
        <v>PATEGO NJOSSU GUSTAVE</v>
      </c>
      <c r="C31" s="7">
        <f t="shared" si="0"/>
        <v>10000</v>
      </c>
      <c r="D31" s="7">
        <f t="shared" si="1"/>
        <v>20000</v>
      </c>
      <c r="E31" s="7">
        <f t="shared" si="2"/>
        <v>0</v>
      </c>
      <c r="F31" s="5" t="s">
        <v>46</v>
      </c>
      <c r="G31" s="7">
        <f t="shared" si="3"/>
        <v>30000</v>
      </c>
      <c r="H31" s="7"/>
      <c r="I31" s="7"/>
      <c r="J31" s="5"/>
      <c r="K31" s="5"/>
      <c r="L31" s="4">
        <f>TONTSEPT!H31+TONTSEPT!I31</f>
        <v>0</v>
      </c>
      <c r="M31" s="4"/>
      <c r="N31" s="5"/>
      <c r="O31" s="5"/>
      <c r="P31" s="7">
        <f t="shared" si="4"/>
        <v>0</v>
      </c>
      <c r="Q31" s="7"/>
      <c r="R31" s="7"/>
      <c r="S31" s="7">
        <v>105000</v>
      </c>
    </row>
    <row r="32" spans="1:20" x14ac:dyDescent="0.25">
      <c r="A32" s="1" t="s">
        <v>72</v>
      </c>
      <c r="B32" s="1" t="str">
        <f>VLOOKUP(A32,[4]LISTADHERENT!A$5:H$60,3,0)</f>
        <v>SIME BRICE</v>
      </c>
      <c r="C32" s="7">
        <f t="shared" si="0"/>
        <v>20000</v>
      </c>
      <c r="D32" s="7">
        <f t="shared" si="1"/>
        <v>20000</v>
      </c>
      <c r="E32" s="7">
        <f t="shared" si="2"/>
        <v>0</v>
      </c>
      <c r="F32" s="5" t="s">
        <v>46</v>
      </c>
      <c r="G32" s="7">
        <f>IF(F32="BANQUE",30000,IF(F32="ESPECES",30000,0))+10000</f>
        <v>40000</v>
      </c>
      <c r="H32" s="7"/>
      <c r="I32" s="7"/>
      <c r="J32" s="5"/>
      <c r="K32" s="5"/>
      <c r="L32" s="4">
        <f>TONTSEPT!H32+TONTSEPT!I32</f>
        <v>0</v>
      </c>
      <c r="M32" s="4"/>
      <c r="N32" s="5"/>
      <c r="O32" s="5"/>
      <c r="P32" s="7">
        <f t="shared" si="4"/>
        <v>0</v>
      </c>
      <c r="S32" s="7">
        <v>40000</v>
      </c>
    </row>
    <row r="33" spans="1:20" x14ac:dyDescent="0.25">
      <c r="A33" s="1" t="s">
        <v>31</v>
      </c>
      <c r="B33" s="1" t="str">
        <f>VLOOKUP(A33,[4]LISTADHERENT!A$5:H$60,3,0)</f>
        <v>SIMO FONGANG ERIC</v>
      </c>
      <c r="C33" s="7">
        <f t="shared" si="0"/>
        <v>7000</v>
      </c>
      <c r="D33" s="7">
        <f t="shared" si="1"/>
        <v>20000</v>
      </c>
      <c r="E33" s="7">
        <f t="shared" si="2"/>
        <v>3000</v>
      </c>
      <c r="F33" s="5" t="s">
        <v>45</v>
      </c>
      <c r="G33" s="7">
        <f>IF(F33="BANQUE",30000,IF(F33="ESPECES",30000,0))-3000</f>
        <v>27000</v>
      </c>
      <c r="H33" s="7"/>
      <c r="I33" s="7"/>
      <c r="J33" s="5"/>
      <c r="K33" s="5"/>
      <c r="L33" s="4">
        <f>TONTSEPT!H33+TONTSEPT!I33</f>
        <v>0</v>
      </c>
      <c r="M33" s="4"/>
      <c r="N33" s="5"/>
      <c r="O33" s="5"/>
      <c r="P33" s="7">
        <f t="shared" si="4"/>
        <v>0</v>
      </c>
      <c r="Q33" s="7"/>
      <c r="R33" s="7"/>
      <c r="S33" s="7"/>
      <c r="T33" t="s">
        <v>45</v>
      </c>
    </row>
    <row r="34" spans="1:20" x14ac:dyDescent="0.25">
      <c r="A34" s="1" t="s">
        <v>32</v>
      </c>
      <c r="B34" s="1" t="str">
        <f>VLOOKUP(A34,[4]LISTADHERENT!A$5:H$60,3,0)</f>
        <v>SIME MATHIEU</v>
      </c>
      <c r="C34" s="7">
        <f t="shared" si="0"/>
        <v>10000</v>
      </c>
      <c r="D34" s="7">
        <f t="shared" si="1"/>
        <v>20000</v>
      </c>
      <c r="E34" s="7">
        <f t="shared" si="2"/>
        <v>0</v>
      </c>
      <c r="F34" s="5" t="s">
        <v>46</v>
      </c>
      <c r="G34" s="7">
        <f t="shared" si="3"/>
        <v>30000</v>
      </c>
      <c r="H34" s="7"/>
      <c r="I34" s="7"/>
      <c r="J34" s="5"/>
      <c r="K34" s="5"/>
      <c r="L34" s="4">
        <f>TONTSEPT!H34+TONTSEPT!I34</f>
        <v>0</v>
      </c>
      <c r="M34" s="4"/>
      <c r="N34" s="5"/>
      <c r="O34" s="5"/>
      <c r="P34" s="7">
        <f t="shared" si="4"/>
        <v>0</v>
      </c>
      <c r="Q34" s="7"/>
      <c r="R34" s="7"/>
      <c r="S34" s="7">
        <v>230000</v>
      </c>
    </row>
    <row r="35" spans="1:20" x14ac:dyDescent="0.25">
      <c r="A35" s="1" t="s">
        <v>33</v>
      </c>
      <c r="B35" s="1" t="str">
        <f>VLOOKUP(A35,[4]LISTADHERENT!A$5:H$60,3,0)</f>
        <v>SIMO PIERRE</v>
      </c>
      <c r="C35" s="7">
        <f t="shared" si="0"/>
        <v>10000</v>
      </c>
      <c r="D35" s="7">
        <f t="shared" si="1"/>
        <v>20000</v>
      </c>
      <c r="E35" s="7">
        <f t="shared" si="2"/>
        <v>0</v>
      </c>
      <c r="F35" s="5" t="s">
        <v>46</v>
      </c>
      <c r="G35" s="7">
        <f t="shared" si="3"/>
        <v>30000</v>
      </c>
      <c r="H35" s="7"/>
      <c r="I35" s="7"/>
      <c r="J35" s="5"/>
      <c r="K35" s="5"/>
      <c r="L35" s="4">
        <f>TONTSEPT!H35+TONTSEPT!I35</f>
        <v>0</v>
      </c>
      <c r="M35" s="4"/>
      <c r="N35" s="5"/>
      <c r="O35" s="5"/>
      <c r="P35" s="7">
        <f t="shared" si="4"/>
        <v>0</v>
      </c>
      <c r="Q35" s="7"/>
      <c r="R35" s="7"/>
      <c r="S35" s="7">
        <v>105000</v>
      </c>
    </row>
    <row r="36" spans="1:20" x14ac:dyDescent="0.25">
      <c r="A36" s="1" t="s">
        <v>35</v>
      </c>
      <c r="B36" s="1" t="str">
        <f>VLOOKUP(A36,[4]LISTADHERENT!A$5:H$60,3,0)</f>
        <v>TCHOUAMOU MATHIEU</v>
      </c>
      <c r="C36" s="7">
        <f t="shared" si="0"/>
        <v>10000</v>
      </c>
      <c r="D36" s="7">
        <f t="shared" si="1"/>
        <v>20000</v>
      </c>
      <c r="E36" s="7">
        <f t="shared" si="2"/>
        <v>0</v>
      </c>
      <c r="F36" s="5" t="s">
        <v>46</v>
      </c>
      <c r="G36" s="7">
        <f t="shared" si="3"/>
        <v>30000</v>
      </c>
      <c r="H36" s="7">
        <v>67500</v>
      </c>
      <c r="I36" s="7"/>
      <c r="J36" s="5"/>
      <c r="K36" s="5"/>
      <c r="L36" s="4">
        <f>TONTSEPT!H36+TONTSEPT!I36</f>
        <v>0</v>
      </c>
      <c r="M36" s="4"/>
      <c r="N36" s="5"/>
      <c r="O36" s="5"/>
      <c r="P36" s="7">
        <f t="shared" si="4"/>
        <v>0</v>
      </c>
      <c r="Q36" s="7"/>
      <c r="R36" s="7"/>
      <c r="S36" s="7">
        <v>205000</v>
      </c>
    </row>
    <row r="37" spans="1:20" x14ac:dyDescent="0.25">
      <c r="A37" s="1" t="s">
        <v>36</v>
      </c>
      <c r="B37" s="1" t="str">
        <f>VLOOKUP(A37,[4]LISTADHERENT!A$5:H$60,3,0)</f>
        <v>TIEYAM ERNEST</v>
      </c>
      <c r="C37" s="7">
        <f t="shared" si="0"/>
        <v>0</v>
      </c>
      <c r="D37" s="7">
        <f t="shared" si="1"/>
        <v>0</v>
      </c>
      <c r="E37" s="7">
        <f t="shared" si="2"/>
        <v>0</v>
      </c>
      <c r="F37" s="5" t="s">
        <v>9</v>
      </c>
      <c r="G37" s="7">
        <f t="shared" si="3"/>
        <v>0</v>
      </c>
      <c r="H37" s="7"/>
      <c r="I37" s="7"/>
      <c r="J37" s="5"/>
      <c r="K37" s="5"/>
      <c r="L37" s="4">
        <f>TONTSEPT!H37+TONTSEPT!I37</f>
        <v>67500</v>
      </c>
      <c r="M37" s="4" t="s">
        <v>9</v>
      </c>
      <c r="N37" s="5"/>
      <c r="O37" s="5"/>
      <c r="P37" s="7">
        <f t="shared" si="4"/>
        <v>0</v>
      </c>
      <c r="Q37" s="7"/>
      <c r="R37" s="7"/>
      <c r="S37" s="7"/>
      <c r="T37" t="s">
        <v>9</v>
      </c>
    </row>
    <row r="38" spans="1:20" x14ac:dyDescent="0.25">
      <c r="A38" s="1" t="s">
        <v>37</v>
      </c>
      <c r="B38" s="1" t="str">
        <f>VLOOKUP(A38,[4]LISTADHERENT!A$5:H$60,3,0)</f>
        <v>YEPMOU JEAN JACQUES</v>
      </c>
      <c r="C38" s="7">
        <f t="shared" si="0"/>
        <v>10000</v>
      </c>
      <c r="D38" s="7">
        <f t="shared" si="1"/>
        <v>20000</v>
      </c>
      <c r="E38" s="7">
        <f t="shared" si="2"/>
        <v>3000</v>
      </c>
      <c r="F38" s="5" t="s">
        <v>45</v>
      </c>
      <c r="G38" s="7">
        <f t="shared" si="3"/>
        <v>30000</v>
      </c>
      <c r="H38" s="7"/>
      <c r="I38" s="7"/>
      <c r="J38" s="5"/>
      <c r="K38" s="5"/>
      <c r="L38" s="4">
        <f>TONTSEPT!H38+TONTSEPT!I38</f>
        <v>0</v>
      </c>
      <c r="M38" s="4"/>
      <c r="N38" s="5"/>
      <c r="O38" s="5"/>
      <c r="P38" s="7">
        <f t="shared" si="4"/>
        <v>0</v>
      </c>
      <c r="Q38" s="7"/>
      <c r="R38" s="7"/>
      <c r="S38" s="7"/>
      <c r="T38" t="s">
        <v>45</v>
      </c>
    </row>
    <row r="39" spans="1:20" x14ac:dyDescent="0.25">
      <c r="A39" s="1" t="s">
        <v>38</v>
      </c>
      <c r="B39" s="1" t="str">
        <f>VLOOKUP(A39,[4]LISTADHERENT!A$5:H$60,3,0)</f>
        <v>YOUMBI EMMANUEL</v>
      </c>
      <c r="C39" s="7">
        <f t="shared" si="0"/>
        <v>10000</v>
      </c>
      <c r="D39" s="7">
        <f t="shared" si="1"/>
        <v>20000</v>
      </c>
      <c r="E39" s="7">
        <f t="shared" si="2"/>
        <v>0</v>
      </c>
      <c r="F39" s="5" t="s">
        <v>46</v>
      </c>
      <c r="G39" s="7">
        <f t="shared" si="3"/>
        <v>30000</v>
      </c>
      <c r="H39" s="7"/>
      <c r="I39" s="7"/>
      <c r="J39" s="5"/>
      <c r="K39" s="5"/>
      <c r="L39" s="4">
        <f>TONTSEPT!H39+TONTSEPT!I39</f>
        <v>0</v>
      </c>
      <c r="M39" s="4"/>
      <c r="N39" s="5"/>
      <c r="O39" s="5"/>
      <c r="P39" s="7">
        <f t="shared" si="4"/>
        <v>280000</v>
      </c>
      <c r="Q39" s="7">
        <v>20000</v>
      </c>
      <c r="R39" s="7"/>
      <c r="S39" s="7">
        <v>280000</v>
      </c>
    </row>
    <row r="40" spans="1:20" x14ac:dyDescent="0.25">
      <c r="A40" s="1" t="s">
        <v>92</v>
      </c>
      <c r="B40" s="1" t="s">
        <v>91</v>
      </c>
      <c r="C40" s="7">
        <f t="shared" ref="C40" si="5">IF(G40=0,0,G40-D40)</f>
        <v>10000</v>
      </c>
      <c r="D40" s="7"/>
      <c r="E40" s="7">
        <f t="shared" ref="E40" si="6">IF(F40="ESPECES",3000,0)</f>
        <v>0</v>
      </c>
      <c r="F40" s="5" t="s">
        <v>46</v>
      </c>
      <c r="G40" s="7">
        <v>10000</v>
      </c>
      <c r="H40" s="7"/>
      <c r="I40" s="7"/>
      <c r="J40" s="5"/>
      <c r="K40" s="5"/>
      <c r="L40" s="7"/>
      <c r="M40" s="4"/>
      <c r="N40" s="5"/>
      <c r="O40" s="5"/>
      <c r="P40" s="7"/>
    </row>
    <row r="41" spans="1:20" x14ac:dyDescent="0.25">
      <c r="A41" s="1"/>
      <c r="B41" s="1"/>
      <c r="C41" s="7"/>
      <c r="D41" s="7"/>
      <c r="E41" s="7"/>
      <c r="F41" s="5"/>
      <c r="G41" s="7"/>
      <c r="H41" s="7"/>
      <c r="I41" s="7"/>
      <c r="J41" s="5"/>
      <c r="K41" s="5"/>
      <c r="L41" s="7"/>
      <c r="M41" s="5"/>
      <c r="N41" s="5"/>
      <c r="O41" s="5"/>
      <c r="P41" s="7"/>
    </row>
    <row r="42" spans="1:20" x14ac:dyDescent="0.25">
      <c r="A42" s="1"/>
      <c r="B42" s="1"/>
      <c r="C42" s="7"/>
      <c r="D42" s="7"/>
      <c r="E42" s="7"/>
      <c r="F42" s="5"/>
      <c r="G42" s="7"/>
      <c r="H42" s="7"/>
      <c r="I42" s="7"/>
      <c r="J42" s="5"/>
      <c r="K42" s="5"/>
      <c r="L42" s="7"/>
      <c r="M42" s="5"/>
      <c r="N42" s="5"/>
      <c r="O42" s="5"/>
      <c r="P42" s="7"/>
    </row>
    <row r="43" spans="1:20" x14ac:dyDescent="0.25">
      <c r="A43" s="1"/>
      <c r="B43" s="1"/>
      <c r="C43" s="7"/>
      <c r="D43" s="7"/>
      <c r="E43" s="7"/>
      <c r="F43" s="5"/>
      <c r="G43" s="7"/>
      <c r="H43" s="7"/>
      <c r="I43" s="7"/>
      <c r="J43" s="5"/>
      <c r="K43" s="5"/>
      <c r="L43" s="7"/>
      <c r="M43" s="5"/>
      <c r="N43" s="5"/>
      <c r="O43" s="5"/>
      <c r="P43" s="7"/>
    </row>
    <row r="44" spans="1:20" x14ac:dyDescent="0.25">
      <c r="A44" s="1"/>
      <c r="B44" s="1"/>
      <c r="C44" s="1"/>
      <c r="D44" s="1"/>
      <c r="E44" s="1"/>
      <c r="F44" s="1"/>
      <c r="M44" s="1"/>
      <c r="N44" s="1"/>
    </row>
    <row r="45" spans="1:20" x14ac:dyDescent="0.25">
      <c r="A45" s="1"/>
      <c r="B45" s="1"/>
      <c r="C45" s="1"/>
      <c r="D45" s="1"/>
      <c r="E45" s="1"/>
      <c r="F45" s="1"/>
      <c r="M45" s="1"/>
      <c r="N45" s="1"/>
    </row>
    <row r="46" spans="1:20" ht="18" x14ac:dyDescent="0.25">
      <c r="A46" s="1" t="s">
        <v>39</v>
      </c>
      <c r="B46" s="1"/>
      <c r="C46" s="8">
        <f>SUM(C7:C45)</f>
        <v>356500</v>
      </c>
      <c r="D46" s="8">
        <f t="shared" ref="D46:S46" si="7">SUM(D7:D45)</f>
        <v>560000</v>
      </c>
      <c r="E46" s="8">
        <f t="shared" si="7"/>
        <v>15000</v>
      </c>
      <c r="F46" s="8">
        <f t="shared" si="7"/>
        <v>0</v>
      </c>
      <c r="G46" s="8">
        <f t="shared" si="7"/>
        <v>916500</v>
      </c>
      <c r="H46" s="8">
        <f t="shared" si="7"/>
        <v>269500</v>
      </c>
      <c r="I46" s="8">
        <f t="shared" si="7"/>
        <v>4000</v>
      </c>
      <c r="J46" s="8">
        <f t="shared" si="7"/>
        <v>0</v>
      </c>
      <c r="K46" s="8">
        <f t="shared" si="7"/>
        <v>0</v>
      </c>
      <c r="L46" s="8">
        <f t="shared" si="7"/>
        <v>269500</v>
      </c>
      <c r="M46" s="8">
        <f t="shared" si="7"/>
        <v>0</v>
      </c>
      <c r="N46" s="8">
        <f t="shared" si="7"/>
        <v>0</v>
      </c>
      <c r="O46" s="8">
        <f t="shared" si="7"/>
        <v>0</v>
      </c>
      <c r="P46" s="8">
        <f t="shared" si="7"/>
        <v>560000</v>
      </c>
      <c r="Q46" s="8">
        <f t="shared" si="7"/>
        <v>40000</v>
      </c>
      <c r="R46" s="8">
        <f t="shared" si="7"/>
        <v>0</v>
      </c>
      <c r="S46" s="8">
        <f t="shared" si="7"/>
        <v>4059000</v>
      </c>
    </row>
    <row r="48" spans="1:20" x14ac:dyDescent="0.25">
      <c r="I48" s="9"/>
    </row>
    <row r="49" spans="4:15" ht="18" x14ac:dyDescent="0.25">
      <c r="G49" s="8" t="s">
        <v>75</v>
      </c>
      <c r="H49" s="8">
        <f>D73+H73+Q46</f>
        <v>746500</v>
      </c>
      <c r="I49" s="8"/>
      <c r="J49" s="8"/>
      <c r="K49" s="8"/>
      <c r="O49" s="8"/>
    </row>
    <row r="50" spans="4:15" ht="18" x14ac:dyDescent="0.25">
      <c r="G50" s="8" t="s">
        <v>76</v>
      </c>
      <c r="H50" s="8">
        <f>IF(H49&gt;=900000,300000*3,300000*2)</f>
        <v>600000</v>
      </c>
      <c r="I50" s="9"/>
    </row>
    <row r="51" spans="4:15" ht="18" x14ac:dyDescent="0.25">
      <c r="D51" s="4" t="s">
        <v>47</v>
      </c>
      <c r="E51" s="8">
        <f>+D46</f>
        <v>560000</v>
      </c>
      <c r="I51" s="8"/>
      <c r="J51" s="8"/>
      <c r="K51" s="8"/>
      <c r="O51" s="8"/>
    </row>
    <row r="52" spans="4:15" ht="43.5" x14ac:dyDescent="0.25">
      <c r="D52" s="4" t="s">
        <v>65</v>
      </c>
      <c r="E52" s="8">
        <f>E46</f>
        <v>15000</v>
      </c>
      <c r="F52" s="8"/>
      <c r="G52" s="8" t="s">
        <v>74</v>
      </c>
      <c r="H52" s="8">
        <f>H49-H50</f>
        <v>146500</v>
      </c>
      <c r="L52" s="12"/>
      <c r="M52" s="8"/>
      <c r="N52" s="8"/>
    </row>
    <row r="53" spans="4:15" ht="18" x14ac:dyDescent="0.25">
      <c r="D53" s="4" t="s">
        <v>60</v>
      </c>
      <c r="E53" s="8">
        <f>+H46</f>
        <v>269500</v>
      </c>
    </row>
    <row r="54" spans="4:15" ht="29.25" x14ac:dyDescent="0.25">
      <c r="D54" s="4" t="s">
        <v>79</v>
      </c>
      <c r="E54" s="8">
        <f>+I46</f>
        <v>4000</v>
      </c>
      <c r="G54" s="8" t="s">
        <v>78</v>
      </c>
      <c r="H54" s="8">
        <f>H52-H46</f>
        <v>-123000</v>
      </c>
      <c r="I54" s="3" t="s">
        <v>94</v>
      </c>
    </row>
    <row r="55" spans="4:15" ht="29.25" x14ac:dyDescent="0.25">
      <c r="D55" s="4" t="s">
        <v>66</v>
      </c>
      <c r="E55" s="8">
        <f>+L46</f>
        <v>269500</v>
      </c>
      <c r="H55" s="8">
        <f>13500+15000+5000+20000</f>
        <v>53500</v>
      </c>
      <c r="I55" s="3" t="s">
        <v>90</v>
      </c>
    </row>
    <row r="56" spans="4:15" ht="29.25" x14ac:dyDescent="0.25">
      <c r="D56" s="4" t="s">
        <v>67</v>
      </c>
      <c r="E56" s="8">
        <f>+Q46</f>
        <v>40000</v>
      </c>
    </row>
    <row r="57" spans="4:15" ht="18" x14ac:dyDescent="0.25">
      <c r="D57" s="4" t="s">
        <v>51</v>
      </c>
      <c r="E57" s="8">
        <f>[5]MVTOCT!$E$49</f>
        <v>0</v>
      </c>
    </row>
    <row r="58" spans="4:15" ht="18" x14ac:dyDescent="0.25">
      <c r="D58" s="4" t="s">
        <v>41</v>
      </c>
      <c r="E58" s="8">
        <f>[5]MVTOCT!$E$50</f>
        <v>240500</v>
      </c>
    </row>
    <row r="59" spans="4:15" ht="29.25" x14ac:dyDescent="0.25">
      <c r="D59" s="4" t="s">
        <v>42</v>
      </c>
      <c r="E59" s="8">
        <f>[5]MVTOCT!$E$51</f>
        <v>14500</v>
      </c>
    </row>
    <row r="60" spans="4:15" ht="29.25" x14ac:dyDescent="0.25">
      <c r="D60" s="4" t="s">
        <v>43</v>
      </c>
      <c r="E60" s="8">
        <f>[5]MVTOCT!$E$52</f>
        <v>29000</v>
      </c>
    </row>
    <row r="61" spans="4:15" ht="18" x14ac:dyDescent="0.25">
      <c r="D61" s="4" t="s">
        <v>44</v>
      </c>
      <c r="E61" s="8">
        <f>[5]MVTOCT!$E$53</f>
        <v>72500</v>
      </c>
    </row>
    <row r="62" spans="4:15" ht="18" x14ac:dyDescent="0.25">
      <c r="D62" s="4" t="s">
        <v>52</v>
      </c>
      <c r="E62" s="8">
        <f>[5]MVTOCT!$E$55</f>
        <v>0</v>
      </c>
    </row>
    <row r="63" spans="4:15" ht="18" x14ac:dyDescent="0.25">
      <c r="D63" s="4" t="s">
        <v>48</v>
      </c>
      <c r="E63" s="8">
        <f>[5]MVTOCT!$E$56</f>
        <v>0</v>
      </c>
    </row>
    <row r="64" spans="4:15" ht="18" x14ac:dyDescent="0.25">
      <c r="D64" s="4" t="s">
        <v>49</v>
      </c>
      <c r="E64" s="8">
        <f>[5]MVTOCT!$E$57</f>
        <v>0</v>
      </c>
    </row>
    <row r="65" spans="1:18" ht="29.25" x14ac:dyDescent="0.25">
      <c r="D65" s="4" t="s">
        <v>50</v>
      </c>
      <c r="E65" s="8">
        <f>[5]MVTOCT!$E$58</f>
        <v>0</v>
      </c>
    </row>
    <row r="66" spans="1:18" s="2" customFormat="1" ht="29.25" x14ac:dyDescent="0.25">
      <c r="A66"/>
      <c r="B66"/>
      <c r="C66"/>
      <c r="D66" s="4" t="s">
        <v>87</v>
      </c>
      <c r="E66" s="8">
        <f>[5]MVTOCT!$E$59</f>
        <v>0</v>
      </c>
      <c r="F66"/>
      <c r="H66"/>
      <c r="I66" s="3"/>
      <c r="J66" s="3"/>
      <c r="K66" s="3"/>
      <c r="M66"/>
      <c r="N66"/>
      <c r="O66" s="3"/>
      <c r="R66"/>
    </row>
    <row r="67" spans="1:18" s="2" customFormat="1" ht="18" x14ac:dyDescent="0.25">
      <c r="A67"/>
      <c r="B67"/>
      <c r="C67"/>
      <c r="D67" s="4" t="s">
        <v>53</v>
      </c>
      <c r="E67" s="8">
        <f>[5]MVTOCT!$E$60</f>
        <v>0</v>
      </c>
      <c r="F67"/>
      <c r="H67"/>
      <c r="I67" s="3"/>
      <c r="J67" s="3"/>
      <c r="K67" s="3"/>
      <c r="M67"/>
      <c r="N67"/>
      <c r="O67" s="3"/>
      <c r="R67"/>
    </row>
    <row r="68" spans="1:18" s="2" customFormat="1" ht="18" x14ac:dyDescent="0.25">
      <c r="A68"/>
      <c r="B68"/>
      <c r="C68"/>
      <c r="D68" s="4"/>
      <c r="E68" s="8"/>
      <c r="F68"/>
      <c r="H68"/>
      <c r="I68" s="3"/>
      <c r="J68" s="3"/>
      <c r="K68" s="3"/>
      <c r="M68"/>
      <c r="N68"/>
      <c r="O68" s="3"/>
      <c r="R68"/>
    </row>
    <row r="69" spans="1:18" s="2" customFormat="1" ht="43.5" x14ac:dyDescent="0.25">
      <c r="A69"/>
      <c r="B69"/>
      <c r="C69"/>
      <c r="D69" s="4" t="s">
        <v>6</v>
      </c>
      <c r="E69"/>
      <c r="F69" s="4" t="s">
        <v>73</v>
      </c>
      <c r="G69" s="4" t="s">
        <v>68</v>
      </c>
      <c r="H69" s="4" t="s">
        <v>55</v>
      </c>
      <c r="I69" s="4" t="s">
        <v>60</v>
      </c>
      <c r="J69" s="4" t="s">
        <v>62</v>
      </c>
      <c r="K69" s="4"/>
      <c r="L69" s="4" t="s">
        <v>63</v>
      </c>
      <c r="M69" s="4"/>
      <c r="N69"/>
      <c r="O69" s="4"/>
      <c r="R69"/>
    </row>
    <row r="70" spans="1:18" s="2" customFormat="1" ht="18" x14ac:dyDescent="0.25">
      <c r="A70"/>
      <c r="B70"/>
      <c r="C70"/>
      <c r="D70" s="8">
        <f>SUMIFS(D7:D45,F7:F45,"ESPECES")</f>
        <v>100000</v>
      </c>
      <c r="E70" s="8" t="s">
        <v>45</v>
      </c>
      <c r="F70" s="8">
        <f>SUMIFS(G7:G45,F7:F45,"ESPECES")</f>
        <v>144000</v>
      </c>
      <c r="G70" s="8">
        <f>+E46</f>
        <v>15000</v>
      </c>
      <c r="H70" s="8">
        <f>SUMIFS(L7:L45,M7:M45,"ESPECES")</f>
        <v>30500</v>
      </c>
      <c r="I70" s="8">
        <f>SUMIFS(H7:H45,J7:J45,"ESPECES")</f>
        <v>0</v>
      </c>
      <c r="J70" s="8">
        <f>SUMIFS(P7:P45,N7:N45,"ESPECES")</f>
        <v>0</v>
      </c>
      <c r="K70" s="8"/>
      <c r="L70" s="8">
        <f>F70+H70+G70-I70-J70</f>
        <v>189500</v>
      </c>
      <c r="M70" s="8"/>
      <c r="N70" s="4"/>
      <c r="O70" s="8"/>
      <c r="R70"/>
    </row>
    <row r="71" spans="1:18" s="2" customFormat="1" ht="18" x14ac:dyDescent="0.25">
      <c r="A71"/>
      <c r="B71"/>
      <c r="C71"/>
      <c r="D71" s="8">
        <f>SUMIFS(D7:D45,F7:F45,"BANQUE")</f>
        <v>460000</v>
      </c>
      <c r="E71" s="8" t="s">
        <v>46</v>
      </c>
      <c r="F71" s="8">
        <f>SUMIFS(G7:G45,F7:F45,"BANQUE")</f>
        <v>772500</v>
      </c>
      <c r="H71" s="8">
        <f>SUMIFS(L7:L45,M7:M45,"BANQUE")</f>
        <v>116000</v>
      </c>
      <c r="I71" s="8">
        <f>SUMIFS(H7:H45,J7:J45,"BANQUE")</f>
        <v>0</v>
      </c>
      <c r="J71" s="8">
        <f>SUMIFS(P7:P45,M7:M45,"BANQUE")</f>
        <v>0</v>
      </c>
      <c r="K71" s="8"/>
      <c r="L71" s="8">
        <f>F71+H71-I71-J71</f>
        <v>888500</v>
      </c>
      <c r="M71" s="8"/>
      <c r="N71" s="8"/>
      <c r="O71" s="8"/>
      <c r="R71"/>
    </row>
    <row r="72" spans="1:18" s="2" customFormat="1" ht="18" x14ac:dyDescent="0.25">
      <c r="A72"/>
      <c r="B72"/>
      <c r="C72"/>
      <c r="D72" s="8"/>
      <c r="E72" s="8"/>
      <c r="F72" s="8"/>
      <c r="H72" s="8"/>
      <c r="I72" s="8"/>
      <c r="J72" s="8"/>
      <c r="K72" s="8"/>
      <c r="L72" s="8"/>
      <c r="M72" s="8"/>
      <c r="N72" s="8"/>
      <c r="O72" s="8"/>
      <c r="R72"/>
    </row>
    <row r="73" spans="1:18" s="2" customFormat="1" ht="18" x14ac:dyDescent="0.25">
      <c r="A73"/>
      <c r="B73"/>
      <c r="C73"/>
      <c r="D73" s="8">
        <f>D70+D71</f>
        <v>560000</v>
      </c>
      <c r="E73" s="8" t="s">
        <v>39</v>
      </c>
      <c r="F73" s="8">
        <f>F70+F71</f>
        <v>916500</v>
      </c>
      <c r="H73" s="8">
        <f>H70+H71</f>
        <v>146500</v>
      </c>
      <c r="I73" s="8">
        <f>I70+I71</f>
        <v>0</v>
      </c>
      <c r="J73" s="8">
        <v>0</v>
      </c>
      <c r="K73" s="8"/>
      <c r="L73" s="8">
        <f>F73+H73-I73-J73</f>
        <v>1063000</v>
      </c>
      <c r="M73" s="8"/>
      <c r="N73" s="8"/>
      <c r="O73" s="8"/>
      <c r="R73"/>
    </row>
    <row r="74" spans="1:18" s="2" customFormat="1" ht="18" x14ac:dyDescent="0.25">
      <c r="A74"/>
      <c r="B74"/>
      <c r="C74"/>
      <c r="D74" s="8">
        <f>D73+R46</f>
        <v>560000</v>
      </c>
      <c r="E74" s="8" t="s">
        <v>82</v>
      </c>
      <c r="F74"/>
      <c r="H74"/>
      <c r="I74" s="3"/>
      <c r="J74" s="3"/>
      <c r="K74" s="3"/>
      <c r="M74"/>
      <c r="N74" s="8"/>
      <c r="O74" s="3"/>
      <c r="R74"/>
    </row>
    <row r="75" spans="1:18" s="2" customFormat="1" ht="18" x14ac:dyDescent="0.25">
      <c r="A75"/>
      <c r="B75"/>
      <c r="C75"/>
      <c r="D75" s="4" t="s">
        <v>6</v>
      </c>
      <c r="E75" s="8">
        <v>300000</v>
      </c>
      <c r="F75"/>
      <c r="H75"/>
      <c r="I75" s="3"/>
      <c r="J75" s="3"/>
      <c r="K75" s="3"/>
      <c r="M75"/>
      <c r="N75"/>
      <c r="O75" s="3"/>
      <c r="R75"/>
    </row>
    <row r="76" spans="1:18" s="2" customFormat="1" ht="29.25" x14ac:dyDescent="0.25">
      <c r="A76"/>
      <c r="B76"/>
      <c r="C76"/>
      <c r="D76" s="10" t="s">
        <v>64</v>
      </c>
      <c r="E76" s="11">
        <f>L46+Q46</f>
        <v>309500</v>
      </c>
      <c r="F76"/>
      <c r="H76"/>
      <c r="I76" s="3"/>
      <c r="J76" s="3"/>
      <c r="K76" s="3"/>
      <c r="M76"/>
      <c r="N76"/>
      <c r="O76" s="3"/>
      <c r="R76"/>
    </row>
    <row r="78" spans="1:18" x14ac:dyDescent="0.25">
      <c r="E78" s="2"/>
    </row>
  </sheetData>
  <autoFilter ref="A5:R39">
    <sortState ref="A5:L48">
      <sortCondition ref="B5:B48"/>
    </sortState>
  </autoFilter>
  <mergeCells count="1">
    <mergeCell ref="C4:I4"/>
  </mergeCells>
  <dataValidations count="1">
    <dataValidation type="list" allowBlank="1" showInputMessage="1" showErrorMessage="1" sqref="M41:M43 N6:O43 J6:K43 F6:F43">
      <formula1>MODEVERSEMENTS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8"/>
  <sheetViews>
    <sheetView workbookViewId="0">
      <pane xSplit="2" ySplit="5" topLeftCell="C6" activePane="bottomRight" state="frozen"/>
      <selection activeCell="I54" sqref="I54"/>
      <selection pane="topRight" activeCell="I54" sqref="I54"/>
      <selection pane="bottomLeft" activeCell="I54" sqref="I54"/>
      <selection pane="bottomRight" activeCell="I54" sqref="I54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15" bestFit="1" customWidth="1"/>
    <col min="4" max="4" width="21" customWidth="1"/>
    <col min="5" max="6" width="16.7109375" customWidth="1"/>
    <col min="7" max="7" width="15" style="2" bestFit="1" customWidth="1"/>
    <col min="8" max="8" width="15" bestFit="1" customWidth="1"/>
    <col min="9" max="9" width="17.5703125" style="3" bestFit="1" customWidth="1"/>
    <col min="10" max="10" width="17.5703125" style="3" customWidth="1"/>
    <col min="11" max="11" width="16" style="3" customWidth="1"/>
    <col min="12" max="12" width="15.7109375" style="2" customWidth="1"/>
    <col min="13" max="14" width="13" customWidth="1"/>
    <col min="15" max="15" width="15.5703125" style="3" customWidth="1"/>
    <col min="16" max="17" width="18.140625" style="2" bestFit="1" customWidth="1"/>
    <col min="18" max="18" width="12.5703125" bestFit="1" customWidth="1"/>
  </cols>
  <sheetData>
    <row r="1" spans="1:18" x14ac:dyDescent="0.25">
      <c r="A1" s="1" t="s">
        <v>0</v>
      </c>
      <c r="B1" s="1" t="s">
        <v>1</v>
      </c>
      <c r="C1" s="1"/>
      <c r="D1" s="1"/>
      <c r="E1" s="1"/>
      <c r="F1" s="1"/>
      <c r="M1" s="1"/>
      <c r="N1" s="1"/>
    </row>
    <row r="2" spans="1:18" x14ac:dyDescent="0.25">
      <c r="A2" s="1" t="s">
        <v>2</v>
      </c>
      <c r="B2" s="1" t="s">
        <v>80</v>
      </c>
      <c r="C2" s="1"/>
      <c r="D2" s="1"/>
      <c r="E2" s="1"/>
      <c r="F2" s="1"/>
      <c r="M2" s="1"/>
      <c r="N2" s="1"/>
    </row>
    <row r="3" spans="1:18" x14ac:dyDescent="0.25">
      <c r="A3" s="1" t="s">
        <v>3</v>
      </c>
      <c r="B3" s="6">
        <v>30000</v>
      </c>
      <c r="C3" s="1"/>
      <c r="D3" s="1"/>
      <c r="E3" s="1"/>
      <c r="F3" s="1"/>
      <c r="M3" s="1"/>
      <c r="N3" s="1"/>
    </row>
    <row r="4" spans="1:18" ht="18" x14ac:dyDescent="0.25">
      <c r="B4" s="13"/>
      <c r="C4" s="20">
        <v>44157</v>
      </c>
      <c r="D4" s="21"/>
      <c r="E4" s="21"/>
      <c r="F4" s="21"/>
      <c r="G4" s="21"/>
      <c r="H4" s="21"/>
      <c r="I4" s="21"/>
      <c r="J4" s="16"/>
      <c r="K4" s="16"/>
      <c r="L4" s="16"/>
      <c r="M4" s="16"/>
      <c r="O4" s="16"/>
      <c r="P4"/>
      <c r="Q4"/>
    </row>
    <row r="5" spans="1:18" ht="57.75" x14ac:dyDescent="0.25">
      <c r="A5" s="1" t="s">
        <v>4</v>
      </c>
      <c r="B5" s="1" t="s">
        <v>5</v>
      </c>
      <c r="C5" s="1" t="s">
        <v>40</v>
      </c>
      <c r="D5" s="4" t="s">
        <v>6</v>
      </c>
      <c r="E5" s="1" t="s">
        <v>65</v>
      </c>
      <c r="F5" s="5" t="s">
        <v>7</v>
      </c>
      <c r="G5" s="4" t="s">
        <v>8</v>
      </c>
      <c r="H5" s="6" t="s">
        <v>60</v>
      </c>
      <c r="I5" s="4" t="s">
        <v>57</v>
      </c>
      <c r="J5" s="4" t="s">
        <v>61</v>
      </c>
      <c r="K5" s="14" t="s">
        <v>77</v>
      </c>
      <c r="L5" s="4" t="s">
        <v>55</v>
      </c>
      <c r="M5" s="4" t="s">
        <v>54</v>
      </c>
      <c r="N5" s="4" t="s">
        <v>58</v>
      </c>
      <c r="O5" s="4" t="s">
        <v>77</v>
      </c>
      <c r="P5" s="4" t="s">
        <v>56</v>
      </c>
      <c r="Q5" s="6" t="s">
        <v>59</v>
      </c>
      <c r="R5" s="4" t="s">
        <v>81</v>
      </c>
    </row>
    <row r="6" spans="1:18" x14ac:dyDescent="0.25">
      <c r="A6" s="1" t="s">
        <v>69</v>
      </c>
      <c r="B6" s="1" t="str">
        <f>VLOOKUP(A6,[4]LISTADHERENT!A$5:H$60,3,0)</f>
        <v>ASELBY</v>
      </c>
      <c r="C6" s="7">
        <f t="shared" ref="C6:C40" si="0">IF(G6=0,0,G6-D6)</f>
        <v>0</v>
      </c>
      <c r="D6" s="7">
        <f t="shared" ref="D6:D40" si="1">IF(F6="ECHEC",0,IF(F6="",0,20000))</f>
        <v>0</v>
      </c>
      <c r="E6" s="7">
        <f t="shared" ref="E6:E40" si="2">IF(F6="ESPECES",3000,0)</f>
        <v>0</v>
      </c>
      <c r="F6" s="5" t="s">
        <v>9</v>
      </c>
      <c r="G6" s="7">
        <f t="shared" ref="G6:G40" si="3">IF(F6="BANQUE",30000,IF(F6="ESPECES",30000,0))</f>
        <v>0</v>
      </c>
      <c r="H6" s="7"/>
      <c r="I6" s="7"/>
      <c r="J6" s="5"/>
      <c r="K6" s="5"/>
      <c r="L6" s="4">
        <f>TONTOCT!H6+TONTOCT!I6</f>
        <v>0</v>
      </c>
      <c r="M6" s="4"/>
      <c r="N6" s="5"/>
      <c r="O6" s="5"/>
      <c r="P6" s="7">
        <f>IF(Q6=0,0,($E$76-Q6))</f>
        <v>0</v>
      </c>
      <c r="Q6" s="7"/>
      <c r="R6" s="7"/>
    </row>
    <row r="7" spans="1:18" x14ac:dyDescent="0.25">
      <c r="A7" s="1" t="s">
        <v>10</v>
      </c>
      <c r="B7" s="1" t="str">
        <f>VLOOKUP(A7,[4]LISTADHERENT!A$5:H$60,3,0)</f>
        <v>BOUTCHOUANG WILLIAM</v>
      </c>
      <c r="C7" s="7">
        <f t="shared" si="0"/>
        <v>0</v>
      </c>
      <c r="D7" s="7">
        <f t="shared" si="1"/>
        <v>0</v>
      </c>
      <c r="E7" s="7">
        <f t="shared" si="2"/>
        <v>0</v>
      </c>
      <c r="F7" s="5" t="s">
        <v>9</v>
      </c>
      <c r="G7" s="7">
        <f t="shared" si="3"/>
        <v>0</v>
      </c>
      <c r="H7" s="7"/>
      <c r="I7" s="7"/>
      <c r="J7" s="5"/>
      <c r="K7" s="5"/>
      <c r="L7" s="4">
        <f>TONTOCT!H7+TONTOCT!I7</f>
        <v>0</v>
      </c>
      <c r="M7" s="4"/>
      <c r="N7" s="5"/>
      <c r="O7" s="5"/>
      <c r="P7" s="7">
        <f t="shared" ref="P7:P39" si="4">IF(Q7=0,0,($E$75-Q7))</f>
        <v>0</v>
      </c>
      <c r="Q7" s="7"/>
      <c r="R7" s="7"/>
    </row>
    <row r="8" spans="1:18" x14ac:dyDescent="0.25">
      <c r="A8" s="1" t="s">
        <v>11</v>
      </c>
      <c r="B8" s="1" t="str">
        <f>VLOOKUP(A8,[4]LISTADHERENT!A$5:H$60,3,0)</f>
        <v xml:space="preserve">DJOMO JEAN PAUL </v>
      </c>
      <c r="C8" s="7">
        <f t="shared" si="0"/>
        <v>0</v>
      </c>
      <c r="D8" s="7">
        <f t="shared" si="1"/>
        <v>0</v>
      </c>
      <c r="E8" s="7">
        <f t="shared" si="2"/>
        <v>0</v>
      </c>
      <c r="F8" s="5" t="s">
        <v>9</v>
      </c>
      <c r="G8" s="7">
        <f t="shared" si="3"/>
        <v>0</v>
      </c>
      <c r="H8" s="7"/>
      <c r="I8" s="7"/>
      <c r="J8" s="5"/>
      <c r="K8" s="5"/>
      <c r="L8" s="4">
        <f>TONTOCT!H8+TONTOCT!I8</f>
        <v>0</v>
      </c>
      <c r="M8" s="4"/>
      <c r="N8" s="5"/>
      <c r="O8" s="5"/>
      <c r="P8" s="7">
        <f t="shared" si="4"/>
        <v>0</v>
      </c>
      <c r="Q8" s="7"/>
      <c r="R8" s="7"/>
    </row>
    <row r="9" spans="1:18" x14ac:dyDescent="0.25">
      <c r="A9" s="1" t="s">
        <v>83</v>
      </c>
      <c r="B9" s="1" t="str">
        <f>VLOOKUP(A9,[4]LISTADHERENT!A$5:H$60,3,0)</f>
        <v>DJOMOU TCHANDA</v>
      </c>
      <c r="C9" s="7">
        <f t="shared" si="0"/>
        <v>0</v>
      </c>
      <c r="D9" s="7">
        <f t="shared" si="1"/>
        <v>0</v>
      </c>
      <c r="E9" s="7">
        <f t="shared" si="2"/>
        <v>0</v>
      </c>
      <c r="F9" s="5" t="s">
        <v>9</v>
      </c>
      <c r="G9" s="7">
        <f t="shared" si="3"/>
        <v>0</v>
      </c>
      <c r="H9" s="7"/>
      <c r="I9" s="7"/>
      <c r="J9" s="5"/>
      <c r="K9" s="5"/>
      <c r="L9" s="4">
        <f>TONTOCT!H9+TONTOCT!I9</f>
        <v>0</v>
      </c>
      <c r="M9" s="4"/>
      <c r="N9" s="5"/>
      <c r="O9" s="5"/>
      <c r="P9" s="7">
        <f t="shared" si="4"/>
        <v>0</v>
      </c>
      <c r="Q9" s="7"/>
      <c r="R9" s="7"/>
    </row>
    <row r="10" spans="1:18" x14ac:dyDescent="0.25">
      <c r="A10" s="1" t="s">
        <v>12</v>
      </c>
      <c r="B10" s="1" t="str">
        <f>VLOOKUP(A10,[4]LISTADHERENT!A$5:H$60,3,0)</f>
        <v>DJOUKWE NANGUEN GUY BLAISE</v>
      </c>
      <c r="C10" s="7">
        <f t="shared" si="0"/>
        <v>0</v>
      </c>
      <c r="D10" s="7">
        <f t="shared" si="1"/>
        <v>0</v>
      </c>
      <c r="E10" s="7">
        <f t="shared" si="2"/>
        <v>0</v>
      </c>
      <c r="F10" s="5" t="s">
        <v>9</v>
      </c>
      <c r="G10" s="7">
        <f t="shared" si="3"/>
        <v>0</v>
      </c>
      <c r="H10" s="7"/>
      <c r="I10" s="7"/>
      <c r="J10" s="5"/>
      <c r="K10" s="5"/>
      <c r="L10" s="4">
        <f>TONTOCT!H10+TONTOCT!I10</f>
        <v>30500</v>
      </c>
      <c r="M10" s="4"/>
      <c r="N10" s="5"/>
      <c r="O10" s="5"/>
      <c r="P10" s="7">
        <f t="shared" si="4"/>
        <v>0</v>
      </c>
      <c r="Q10" s="7"/>
      <c r="R10" s="7"/>
    </row>
    <row r="11" spans="1:18" x14ac:dyDescent="0.25">
      <c r="A11" s="1" t="s">
        <v>13</v>
      </c>
      <c r="B11" s="1" t="str">
        <f>VLOOKUP(A11,[4]LISTADHERENT!A$5:H$60,3,0)</f>
        <v>DJUOMBESSY ANTOINE</v>
      </c>
      <c r="C11" s="7">
        <f t="shared" si="0"/>
        <v>0</v>
      </c>
      <c r="D11" s="7">
        <f t="shared" si="1"/>
        <v>0</v>
      </c>
      <c r="E11" s="7">
        <f t="shared" si="2"/>
        <v>0</v>
      </c>
      <c r="F11" s="5" t="s">
        <v>9</v>
      </c>
      <c r="G11" s="7">
        <f t="shared" si="3"/>
        <v>0</v>
      </c>
      <c r="H11" s="7"/>
      <c r="I11" s="7"/>
      <c r="J11" s="5"/>
      <c r="K11" s="5"/>
      <c r="L11" s="4">
        <f>TONTOCT!H11+TONTOCT!I11</f>
        <v>0</v>
      </c>
      <c r="M11" s="4"/>
      <c r="N11" s="5"/>
      <c r="O11" s="5"/>
      <c r="P11" s="7">
        <f t="shared" si="4"/>
        <v>0</v>
      </c>
      <c r="Q11" s="7"/>
      <c r="R11" s="7"/>
    </row>
    <row r="12" spans="1:18" x14ac:dyDescent="0.25">
      <c r="A12" s="1" t="s">
        <v>71</v>
      </c>
      <c r="B12" s="1" t="str">
        <f>VLOOKUP(A12,[4]LISTADHERENT!A$5:H$60,3,0)</f>
        <v>DOMOU FABIEN</v>
      </c>
      <c r="C12" s="7">
        <f t="shared" si="0"/>
        <v>0</v>
      </c>
      <c r="D12" s="7">
        <f t="shared" si="1"/>
        <v>0</v>
      </c>
      <c r="E12" s="7">
        <f t="shared" si="2"/>
        <v>0</v>
      </c>
      <c r="F12" s="5" t="s">
        <v>9</v>
      </c>
      <c r="G12" s="7">
        <f t="shared" si="3"/>
        <v>0</v>
      </c>
      <c r="H12" s="7"/>
      <c r="I12" s="7"/>
      <c r="J12" s="5"/>
      <c r="K12" s="5"/>
      <c r="L12" s="4">
        <f>TONTOCT!H12+TONTOCT!I12</f>
        <v>0</v>
      </c>
      <c r="M12" s="4"/>
      <c r="N12" s="5"/>
      <c r="O12" s="5"/>
      <c r="P12" s="7">
        <f t="shared" si="4"/>
        <v>0</v>
      </c>
    </row>
    <row r="13" spans="1:18" x14ac:dyDescent="0.25">
      <c r="A13" s="1" t="s">
        <v>14</v>
      </c>
      <c r="B13" s="1" t="str">
        <f>VLOOKUP(A13,[4]LISTADHERENT!A$5:H$60,3,0)</f>
        <v>DONHOU DAVID</v>
      </c>
      <c r="C13" s="7">
        <f t="shared" si="0"/>
        <v>0</v>
      </c>
      <c r="D13" s="7">
        <f t="shared" si="1"/>
        <v>0</v>
      </c>
      <c r="E13" s="7">
        <f t="shared" si="2"/>
        <v>0</v>
      </c>
      <c r="F13" s="5" t="s">
        <v>9</v>
      </c>
      <c r="G13" s="7">
        <f t="shared" si="3"/>
        <v>0</v>
      </c>
      <c r="H13" s="7"/>
      <c r="I13" s="7"/>
      <c r="J13" s="5"/>
      <c r="K13" s="5"/>
      <c r="L13" s="4">
        <f>TONTOCT!H13+TONTOCT!I13</f>
        <v>0</v>
      </c>
      <c r="M13" s="4"/>
      <c r="N13" s="5"/>
      <c r="O13" s="5"/>
      <c r="P13" s="7">
        <f t="shared" si="4"/>
        <v>0</v>
      </c>
      <c r="Q13" s="7"/>
      <c r="R13" s="7"/>
    </row>
    <row r="14" spans="1:18" x14ac:dyDescent="0.25">
      <c r="A14" s="1" t="s">
        <v>15</v>
      </c>
      <c r="B14" s="1" t="str">
        <f>VLOOKUP(A14,[4]LISTADHERENT!A$5:H$60,3,0)</f>
        <v>FOTSO THOMAS</v>
      </c>
      <c r="C14" s="7">
        <f t="shared" si="0"/>
        <v>0</v>
      </c>
      <c r="D14" s="7">
        <f t="shared" si="1"/>
        <v>0</v>
      </c>
      <c r="E14" s="7">
        <f t="shared" si="2"/>
        <v>0</v>
      </c>
      <c r="F14" s="5" t="s">
        <v>9</v>
      </c>
      <c r="G14" s="7">
        <f t="shared" si="3"/>
        <v>0</v>
      </c>
      <c r="H14" s="7"/>
      <c r="I14" s="7"/>
      <c r="J14" s="5"/>
      <c r="K14" s="5"/>
      <c r="L14" s="4">
        <f>TONTOCT!H14+TONTOCT!I14</f>
        <v>54500</v>
      </c>
      <c r="M14" s="4"/>
      <c r="N14" s="5"/>
      <c r="O14" s="5"/>
      <c r="P14" s="7">
        <f t="shared" si="4"/>
        <v>0</v>
      </c>
      <c r="Q14" s="7"/>
      <c r="R14" s="7"/>
    </row>
    <row r="15" spans="1:18" x14ac:dyDescent="0.25">
      <c r="A15" s="1" t="s">
        <v>16</v>
      </c>
      <c r="B15" s="1" t="str">
        <f>VLOOKUP(A15,[4]LISTADHERENT!A$5:H$60,3,0)</f>
        <v>HENGUE PAUL OMER</v>
      </c>
      <c r="C15" s="7">
        <f t="shared" si="0"/>
        <v>0</v>
      </c>
      <c r="D15" s="7">
        <f t="shared" si="1"/>
        <v>0</v>
      </c>
      <c r="E15" s="7">
        <f t="shared" si="2"/>
        <v>0</v>
      </c>
      <c r="F15" s="5" t="s">
        <v>9</v>
      </c>
      <c r="G15" s="7">
        <f t="shared" si="3"/>
        <v>0</v>
      </c>
      <c r="H15" s="7"/>
      <c r="I15" s="7"/>
      <c r="J15" s="5"/>
      <c r="K15" s="5"/>
      <c r="L15" s="4">
        <f>TONTOCT!H15+TONTOCT!I15</f>
        <v>0</v>
      </c>
      <c r="M15" s="4"/>
      <c r="N15" s="5"/>
      <c r="O15" s="5"/>
      <c r="P15" s="7">
        <f t="shared" si="4"/>
        <v>0</v>
      </c>
      <c r="Q15" s="7"/>
      <c r="R15" s="7"/>
    </row>
    <row r="16" spans="1:18" x14ac:dyDescent="0.25">
      <c r="A16" s="1" t="s">
        <v>17</v>
      </c>
      <c r="B16" s="1" t="str">
        <f>VLOOKUP(A16,[4]LISTADHERENT!A$5:H$60,3,0)</f>
        <v>HOTCHO BENJAMIN</v>
      </c>
      <c r="C16" s="7">
        <f t="shared" si="0"/>
        <v>0</v>
      </c>
      <c r="D16" s="7">
        <f t="shared" si="1"/>
        <v>0</v>
      </c>
      <c r="E16" s="7">
        <f t="shared" si="2"/>
        <v>0</v>
      </c>
      <c r="F16" s="5" t="s">
        <v>9</v>
      </c>
      <c r="G16" s="7">
        <f t="shared" si="3"/>
        <v>0</v>
      </c>
      <c r="H16" s="7"/>
      <c r="I16" s="7"/>
      <c r="J16" s="5"/>
      <c r="K16" s="5"/>
      <c r="L16" s="4">
        <f>TONTOCT!H16+TONTOCT!I16</f>
        <v>0</v>
      </c>
      <c r="M16" s="4"/>
      <c r="N16" s="5"/>
      <c r="O16" s="5"/>
      <c r="P16" s="7">
        <f t="shared" si="4"/>
        <v>0</v>
      </c>
      <c r="Q16" s="7"/>
      <c r="R16" s="7"/>
    </row>
    <row r="17" spans="1:18" x14ac:dyDescent="0.25">
      <c r="A17" s="1" t="s">
        <v>19</v>
      </c>
      <c r="B17" s="1" t="str">
        <f>VLOOKUP(A17,[4]LISTADHERENT!A$5:H$60,3,0)</f>
        <v>KEPSEU FRANCIS</v>
      </c>
      <c r="C17" s="7">
        <f t="shared" si="0"/>
        <v>0</v>
      </c>
      <c r="D17" s="7">
        <f t="shared" si="1"/>
        <v>0</v>
      </c>
      <c r="E17" s="7">
        <f t="shared" si="2"/>
        <v>0</v>
      </c>
      <c r="F17" s="5" t="s">
        <v>9</v>
      </c>
      <c r="G17" s="7">
        <f t="shared" si="3"/>
        <v>0</v>
      </c>
      <c r="H17" s="7"/>
      <c r="I17" s="7"/>
      <c r="J17" s="5"/>
      <c r="K17" s="5"/>
      <c r="L17" s="4">
        <f>TONTOCT!H17+TONTOCT!I17</f>
        <v>0</v>
      </c>
      <c r="M17" s="4"/>
      <c r="N17" s="5"/>
      <c r="O17" s="5"/>
      <c r="P17" s="7">
        <f t="shared" si="4"/>
        <v>0</v>
      </c>
      <c r="Q17" s="7"/>
      <c r="R17" s="7"/>
    </row>
    <row r="18" spans="1:18" x14ac:dyDescent="0.25">
      <c r="A18" s="1" t="s">
        <v>21</v>
      </c>
      <c r="B18" s="1" t="str">
        <f>VLOOKUP(A18,[4]LISTADHERENT!A$5:H$60,3,0)</f>
        <v>KOUAMO VICTOR PEGUY</v>
      </c>
      <c r="C18" s="7">
        <f t="shared" si="0"/>
        <v>0</v>
      </c>
      <c r="D18" s="7">
        <f t="shared" si="1"/>
        <v>0</v>
      </c>
      <c r="E18" s="7">
        <f t="shared" si="2"/>
        <v>0</v>
      </c>
      <c r="F18" s="5" t="s">
        <v>9</v>
      </c>
      <c r="G18" s="7">
        <f t="shared" si="3"/>
        <v>0</v>
      </c>
      <c r="H18" s="7"/>
      <c r="I18" s="7"/>
      <c r="J18" s="5"/>
      <c r="K18" s="5"/>
      <c r="L18" s="4">
        <f>TONTOCT!H18+TONTOCT!I18</f>
        <v>0</v>
      </c>
      <c r="M18" s="4"/>
      <c r="N18" s="5"/>
      <c r="O18" s="5"/>
      <c r="P18" s="7">
        <f t="shared" si="4"/>
        <v>0</v>
      </c>
      <c r="Q18" s="7"/>
      <c r="R18" s="7"/>
    </row>
    <row r="19" spans="1:18" x14ac:dyDescent="0.25">
      <c r="A19" s="1" t="s">
        <v>20</v>
      </c>
      <c r="B19" s="1" t="str">
        <f>VLOOKUP(A19,[4]LISTADHERENT!A$5:H$60,3,0)</f>
        <v>KOUAMOU MOISE</v>
      </c>
      <c r="C19" s="7">
        <f t="shared" si="0"/>
        <v>0</v>
      </c>
      <c r="D19" s="7">
        <f t="shared" si="1"/>
        <v>0</v>
      </c>
      <c r="E19" s="7">
        <f t="shared" si="2"/>
        <v>0</v>
      </c>
      <c r="F19" s="5" t="s">
        <v>9</v>
      </c>
      <c r="G19" s="7">
        <f t="shared" si="3"/>
        <v>0</v>
      </c>
      <c r="H19" s="7"/>
      <c r="I19" s="7"/>
      <c r="J19" s="5"/>
      <c r="K19" s="5"/>
      <c r="L19" s="4">
        <f>TONTOCT!H19+TONTOCT!I19</f>
        <v>1000</v>
      </c>
      <c r="M19" s="4"/>
      <c r="N19" s="5"/>
      <c r="O19" s="5"/>
      <c r="P19" s="7">
        <f t="shared" si="4"/>
        <v>0</v>
      </c>
      <c r="Q19" s="7"/>
      <c r="R19" s="7"/>
    </row>
    <row r="20" spans="1:18" x14ac:dyDescent="0.25">
      <c r="A20" s="1" t="s">
        <v>22</v>
      </c>
      <c r="B20" s="1" t="str">
        <f>VLOOKUP(A20,[4]LISTADHERENT!A$5:H$60,3,0)</f>
        <v>KOUATCHO MESSACK</v>
      </c>
      <c r="C20" s="7">
        <f t="shared" si="0"/>
        <v>0</v>
      </c>
      <c r="D20" s="7">
        <f t="shared" si="1"/>
        <v>0</v>
      </c>
      <c r="E20" s="7">
        <f t="shared" si="2"/>
        <v>0</v>
      </c>
      <c r="F20" s="5" t="s">
        <v>9</v>
      </c>
      <c r="G20" s="7">
        <f t="shared" si="3"/>
        <v>0</v>
      </c>
      <c r="H20" s="7"/>
      <c r="I20" s="7"/>
      <c r="J20" s="5"/>
      <c r="K20" s="5"/>
      <c r="L20" s="4">
        <f>TONTOCT!H20+TONTOCT!I20</f>
        <v>62000</v>
      </c>
      <c r="M20" s="4"/>
      <c r="N20" s="5"/>
      <c r="O20" s="5"/>
      <c r="P20" s="7">
        <f t="shared" si="4"/>
        <v>0</v>
      </c>
      <c r="Q20" s="7"/>
      <c r="R20" s="7"/>
    </row>
    <row r="21" spans="1:18" x14ac:dyDescent="0.25">
      <c r="A21" s="1" t="s">
        <v>23</v>
      </c>
      <c r="B21" s="1" t="str">
        <f>VLOOKUP(A21,[4]LISTADHERENT!A$5:H$60,3,0)</f>
        <v>LOWE JEAN</v>
      </c>
      <c r="C21" s="7">
        <f t="shared" si="0"/>
        <v>0</v>
      </c>
      <c r="D21" s="7">
        <f t="shared" si="1"/>
        <v>0</v>
      </c>
      <c r="E21" s="7">
        <f t="shared" si="2"/>
        <v>0</v>
      </c>
      <c r="F21" s="5" t="s">
        <v>9</v>
      </c>
      <c r="G21" s="7">
        <f t="shared" si="3"/>
        <v>0</v>
      </c>
      <c r="H21" s="7"/>
      <c r="I21" s="7"/>
      <c r="J21" s="5"/>
      <c r="K21" s="5"/>
      <c r="L21" s="4">
        <f>TONTOCT!H21+TONTOCT!I21</f>
        <v>0</v>
      </c>
      <c r="M21" s="4"/>
      <c r="N21" s="5"/>
      <c r="O21" s="5"/>
      <c r="P21" s="7">
        <f t="shared" si="4"/>
        <v>0</v>
      </c>
      <c r="Q21" s="7"/>
      <c r="R21" s="7"/>
    </row>
    <row r="22" spans="1:18" x14ac:dyDescent="0.25">
      <c r="A22" s="1" t="s">
        <v>70</v>
      </c>
      <c r="B22" s="1" t="str">
        <f>VLOOKUP(A22,[4]LISTADHERENT!A$5:H$60,3,0)</f>
        <v>MBOGNING TUGMA GUY</v>
      </c>
      <c r="C22" s="7">
        <f t="shared" si="0"/>
        <v>0</v>
      </c>
      <c r="D22" s="7">
        <f t="shared" si="1"/>
        <v>0</v>
      </c>
      <c r="E22" s="7">
        <f t="shared" si="2"/>
        <v>0</v>
      </c>
      <c r="F22" s="5" t="s">
        <v>9</v>
      </c>
      <c r="G22" s="7">
        <f t="shared" si="3"/>
        <v>0</v>
      </c>
      <c r="H22" s="7"/>
      <c r="I22" s="7"/>
      <c r="J22" s="5"/>
      <c r="K22" s="5"/>
      <c r="L22" s="4">
        <f>TONTOCT!H22+TONTOCT!I22</f>
        <v>0</v>
      </c>
      <c r="M22" s="4"/>
      <c r="N22" s="5"/>
      <c r="O22" s="5"/>
      <c r="P22" s="7">
        <f t="shared" si="4"/>
        <v>0</v>
      </c>
      <c r="R22" s="7"/>
    </row>
    <row r="23" spans="1:18" x14ac:dyDescent="0.25">
      <c r="A23" s="1" t="s">
        <v>34</v>
      </c>
      <c r="B23" s="1" t="str">
        <f>VLOOKUP(A23,[4]LISTADHERENT!A$5:H$60,3,0)</f>
        <v>NANGUEN MARTIN</v>
      </c>
      <c r="C23" s="7">
        <f t="shared" si="0"/>
        <v>0</v>
      </c>
      <c r="D23" s="7">
        <f t="shared" si="1"/>
        <v>0</v>
      </c>
      <c r="E23" s="7">
        <f t="shared" si="2"/>
        <v>0</v>
      </c>
      <c r="F23" s="5" t="s">
        <v>9</v>
      </c>
      <c r="G23" s="7">
        <f t="shared" si="3"/>
        <v>0</v>
      </c>
      <c r="H23" s="7"/>
      <c r="I23" s="7"/>
      <c r="J23" s="5"/>
      <c r="K23" s="5"/>
      <c r="L23" s="4">
        <f>TONTOCT!H23+TONTOCT!I23</f>
        <v>0</v>
      </c>
      <c r="M23" s="4"/>
      <c r="N23" s="5"/>
      <c r="O23" s="5"/>
      <c r="P23" s="7">
        <f t="shared" si="4"/>
        <v>0</v>
      </c>
      <c r="Q23" s="7"/>
      <c r="R23" s="7"/>
    </row>
    <row r="24" spans="1:18" x14ac:dyDescent="0.25">
      <c r="A24" s="1" t="s">
        <v>24</v>
      </c>
      <c r="B24" s="1" t="str">
        <f>VLOOKUP(A24,[4]LISTADHERENT!A$5:H$60,3,0)</f>
        <v>NANKAM APPOLINAIRE</v>
      </c>
      <c r="C24" s="7">
        <f t="shared" si="0"/>
        <v>0</v>
      </c>
      <c r="D24" s="7">
        <f t="shared" si="1"/>
        <v>0</v>
      </c>
      <c r="E24" s="7">
        <f t="shared" si="2"/>
        <v>0</v>
      </c>
      <c r="F24" s="5" t="s">
        <v>9</v>
      </c>
      <c r="G24" s="7">
        <f t="shared" si="3"/>
        <v>0</v>
      </c>
      <c r="H24" s="7"/>
      <c r="I24" s="7"/>
      <c r="J24" s="5"/>
      <c r="K24" s="5"/>
      <c r="L24" s="4">
        <f>TONTOCT!H24+TONTOCT!I24</f>
        <v>0</v>
      </c>
      <c r="M24" s="4"/>
      <c r="N24" s="5"/>
      <c r="O24" s="5"/>
      <c r="P24" s="7">
        <f t="shared" si="4"/>
        <v>0</v>
      </c>
      <c r="Q24" s="7"/>
      <c r="R24" s="7"/>
    </row>
    <row r="25" spans="1:18" x14ac:dyDescent="0.25">
      <c r="A25" s="1" t="s">
        <v>25</v>
      </c>
      <c r="B25" s="1" t="str">
        <f>VLOOKUP(A25,[4]LISTADHERENT!A$5:H$60,3,0)</f>
        <v>NDJOMO ETIENNE</v>
      </c>
      <c r="C25" s="7">
        <f t="shared" si="0"/>
        <v>0</v>
      </c>
      <c r="D25" s="7">
        <f t="shared" si="1"/>
        <v>0</v>
      </c>
      <c r="E25" s="7">
        <f t="shared" si="2"/>
        <v>0</v>
      </c>
      <c r="F25" s="5" t="s">
        <v>9</v>
      </c>
      <c r="G25" s="7">
        <f t="shared" si="3"/>
        <v>0</v>
      </c>
      <c r="H25" s="7"/>
      <c r="I25" s="7"/>
      <c r="J25" s="5"/>
      <c r="K25" s="5"/>
      <c r="L25" s="4">
        <f>TONTOCT!H25+TONTOCT!I25</f>
        <v>0</v>
      </c>
      <c r="M25" s="4"/>
      <c r="N25" s="5"/>
      <c r="O25" s="5"/>
      <c r="P25" s="7">
        <f t="shared" si="4"/>
        <v>0</v>
      </c>
      <c r="Q25" s="7"/>
      <c r="R25" s="7"/>
    </row>
    <row r="26" spans="1:18" x14ac:dyDescent="0.25">
      <c r="A26" s="1" t="s">
        <v>26</v>
      </c>
      <c r="B26" s="1" t="str">
        <f>VLOOKUP(A26,[4]LISTADHERENT!A$5:H$60,3,0)</f>
        <v>NGONDIEP CLAUDE</v>
      </c>
      <c r="C26" s="7">
        <f t="shared" si="0"/>
        <v>0</v>
      </c>
      <c r="D26" s="7">
        <f t="shared" si="1"/>
        <v>0</v>
      </c>
      <c r="E26" s="7">
        <f t="shared" si="2"/>
        <v>0</v>
      </c>
      <c r="F26" s="5" t="s">
        <v>9</v>
      </c>
      <c r="G26" s="7">
        <f t="shared" si="3"/>
        <v>0</v>
      </c>
      <c r="H26" s="7"/>
      <c r="I26" s="7"/>
      <c r="J26" s="5"/>
      <c r="K26" s="5"/>
      <c r="L26" s="4">
        <f>TONTOCT!H26+TONTOCT!I26</f>
        <v>0</v>
      </c>
      <c r="M26" s="4"/>
      <c r="N26" s="5"/>
      <c r="O26" s="5"/>
      <c r="P26" s="7">
        <f t="shared" si="4"/>
        <v>0</v>
      </c>
      <c r="Q26" s="7"/>
      <c r="R26" s="7"/>
    </row>
    <row r="27" spans="1:18" x14ac:dyDescent="0.25">
      <c r="A27" s="1" t="s">
        <v>27</v>
      </c>
      <c r="B27" s="1" t="str">
        <f>VLOOKUP(A27,[4]LISTADHERENT!A$5:H$60,3,0)</f>
        <v>NGUIEMEGNI MATHIEU BLAISE</v>
      </c>
      <c r="C27" s="7">
        <f t="shared" si="0"/>
        <v>0</v>
      </c>
      <c r="D27" s="7">
        <f t="shared" si="1"/>
        <v>0</v>
      </c>
      <c r="E27" s="7">
        <f t="shared" si="2"/>
        <v>0</v>
      </c>
      <c r="F27" s="5" t="s">
        <v>9</v>
      </c>
      <c r="G27" s="7">
        <f t="shared" si="3"/>
        <v>0</v>
      </c>
      <c r="H27" s="7"/>
      <c r="I27" s="7"/>
      <c r="J27" s="5"/>
      <c r="K27" s="5"/>
      <c r="L27" s="4">
        <f>TONTOCT!H27+TONTOCT!I27</f>
        <v>0</v>
      </c>
      <c r="M27" s="4"/>
      <c r="N27" s="5"/>
      <c r="O27" s="5"/>
      <c r="P27" s="7">
        <f t="shared" si="4"/>
        <v>0</v>
      </c>
      <c r="Q27" s="7"/>
      <c r="R27" s="7"/>
    </row>
    <row r="28" spans="1:18" x14ac:dyDescent="0.25">
      <c r="A28" s="1" t="s">
        <v>28</v>
      </c>
      <c r="B28" s="1" t="str">
        <f>VLOOKUP(A28,[4]LISTADHERENT!A$5:H$60,3,0)</f>
        <v>NKAMGANG JUSTIN DEJOLIE</v>
      </c>
      <c r="C28" s="7">
        <f t="shared" si="0"/>
        <v>0</v>
      </c>
      <c r="D28" s="7">
        <f t="shared" si="1"/>
        <v>0</v>
      </c>
      <c r="E28" s="7">
        <f t="shared" si="2"/>
        <v>0</v>
      </c>
      <c r="F28" s="5" t="s">
        <v>9</v>
      </c>
      <c r="G28" s="7">
        <f t="shared" si="3"/>
        <v>0</v>
      </c>
      <c r="H28" s="7"/>
      <c r="I28" s="7"/>
      <c r="J28" s="5"/>
      <c r="K28" s="5"/>
      <c r="L28" s="4">
        <f>TONTOCT!H28+TONTOCT!I28</f>
        <v>58000</v>
      </c>
      <c r="M28" s="4"/>
      <c r="N28" s="5"/>
      <c r="O28" s="5"/>
      <c r="P28" s="7">
        <f t="shared" si="4"/>
        <v>0</v>
      </c>
      <c r="Q28" s="7"/>
      <c r="R28" s="7"/>
    </row>
    <row r="29" spans="1:18" x14ac:dyDescent="0.25">
      <c r="A29" s="1" t="s">
        <v>18</v>
      </c>
      <c r="B29" s="1" t="str">
        <f>VLOOKUP(A29,[4]LISTADHERENT!A$5:H$60,3,0)</f>
        <v>NKEHE DAVID</v>
      </c>
      <c r="C29" s="7">
        <f t="shared" si="0"/>
        <v>0</v>
      </c>
      <c r="D29" s="7">
        <f t="shared" si="1"/>
        <v>0</v>
      </c>
      <c r="E29" s="7">
        <f t="shared" si="2"/>
        <v>0</v>
      </c>
      <c r="F29" s="5" t="s">
        <v>9</v>
      </c>
      <c r="G29" s="7">
        <f t="shared" si="3"/>
        <v>0</v>
      </c>
      <c r="H29" s="7"/>
      <c r="I29" s="7"/>
      <c r="J29" s="5"/>
      <c r="K29" s="5"/>
      <c r="L29" s="4">
        <f>TONTOCT!H29+TONTOCT!I29</f>
        <v>0</v>
      </c>
      <c r="M29" s="4"/>
      <c r="N29" s="5"/>
      <c r="O29" s="5"/>
      <c r="P29" s="7">
        <f t="shared" si="4"/>
        <v>0</v>
      </c>
      <c r="Q29" s="7"/>
      <c r="R29" s="7"/>
    </row>
    <row r="30" spans="1:18" x14ac:dyDescent="0.25">
      <c r="A30" s="1" t="s">
        <v>29</v>
      </c>
      <c r="B30" s="1" t="str">
        <f>VLOOKUP(A30,[4]LISTADHERENT!A$5:H$60,3,0)</f>
        <v>NKEPSEU DIEUDONNE</v>
      </c>
      <c r="C30" s="7">
        <f t="shared" si="0"/>
        <v>0</v>
      </c>
      <c r="D30" s="7">
        <f t="shared" si="1"/>
        <v>0</v>
      </c>
      <c r="E30" s="7">
        <f t="shared" si="2"/>
        <v>0</v>
      </c>
      <c r="F30" s="5" t="s">
        <v>9</v>
      </c>
      <c r="G30" s="7">
        <f t="shared" si="3"/>
        <v>0</v>
      </c>
      <c r="H30" s="7"/>
      <c r="I30" s="7"/>
      <c r="J30" s="5"/>
      <c r="K30" s="5"/>
      <c r="L30" s="4">
        <f>TONTOCT!H30+TONTOCT!I30</f>
        <v>0</v>
      </c>
      <c r="M30" s="4"/>
      <c r="N30" s="5"/>
      <c r="O30" s="5"/>
      <c r="P30" s="7">
        <f t="shared" si="4"/>
        <v>0</v>
      </c>
      <c r="Q30" s="7"/>
      <c r="R30" s="7"/>
    </row>
    <row r="31" spans="1:18" x14ac:dyDescent="0.25">
      <c r="A31" s="1" t="s">
        <v>30</v>
      </c>
      <c r="B31" s="1" t="str">
        <f>VLOOKUP(A31,[4]LISTADHERENT!A$5:H$60,3,0)</f>
        <v>PATEGO NJOSSU GUSTAVE</v>
      </c>
      <c r="C31" s="7">
        <f t="shared" si="0"/>
        <v>0</v>
      </c>
      <c r="D31" s="7">
        <f t="shared" si="1"/>
        <v>0</v>
      </c>
      <c r="E31" s="7">
        <f t="shared" si="2"/>
        <v>0</v>
      </c>
      <c r="F31" s="5" t="s">
        <v>9</v>
      </c>
      <c r="G31" s="7">
        <f t="shared" si="3"/>
        <v>0</v>
      </c>
      <c r="H31" s="7"/>
      <c r="I31" s="7"/>
      <c r="J31" s="5"/>
      <c r="K31" s="5"/>
      <c r="L31" s="4">
        <f>TONTOCT!H31+TONTOCT!I31</f>
        <v>0</v>
      </c>
      <c r="M31" s="4"/>
      <c r="N31" s="5"/>
      <c r="O31" s="5"/>
      <c r="P31" s="7">
        <f t="shared" si="4"/>
        <v>0</v>
      </c>
      <c r="Q31" s="7"/>
      <c r="R31" s="7"/>
    </row>
    <row r="32" spans="1:18" x14ac:dyDescent="0.25">
      <c r="A32" s="1" t="s">
        <v>72</v>
      </c>
      <c r="B32" s="1" t="str">
        <f>VLOOKUP(A32,[4]LISTADHERENT!A$5:H$60,3,0)</f>
        <v>SIME BRICE</v>
      </c>
      <c r="C32" s="7">
        <f t="shared" si="0"/>
        <v>0</v>
      </c>
      <c r="D32" s="7">
        <f t="shared" si="1"/>
        <v>0</v>
      </c>
      <c r="E32" s="7">
        <f t="shared" si="2"/>
        <v>0</v>
      </c>
      <c r="F32" s="5" t="s">
        <v>9</v>
      </c>
      <c r="G32" s="7">
        <f t="shared" si="3"/>
        <v>0</v>
      </c>
      <c r="H32" s="7"/>
      <c r="I32" s="7"/>
      <c r="J32" s="5"/>
      <c r="K32" s="5"/>
      <c r="L32" s="4">
        <f>TONTOCT!H32+TONTOCT!I32</f>
        <v>0</v>
      </c>
      <c r="M32" s="4"/>
      <c r="N32" s="5"/>
      <c r="O32" s="5"/>
      <c r="P32" s="7">
        <f t="shared" si="4"/>
        <v>0</v>
      </c>
    </row>
    <row r="33" spans="1:18" x14ac:dyDescent="0.25">
      <c r="A33" s="1" t="s">
        <v>31</v>
      </c>
      <c r="B33" s="1" t="str">
        <f>VLOOKUP(A33,[4]LISTADHERENT!A$5:H$60,3,0)</f>
        <v>SIMO FONGANG ERIC</v>
      </c>
      <c r="C33" s="7">
        <f t="shared" si="0"/>
        <v>0</v>
      </c>
      <c r="D33" s="7">
        <f t="shared" si="1"/>
        <v>0</v>
      </c>
      <c r="E33" s="7">
        <f t="shared" si="2"/>
        <v>0</v>
      </c>
      <c r="F33" s="5" t="s">
        <v>9</v>
      </c>
      <c r="G33" s="7">
        <f t="shared" si="3"/>
        <v>0</v>
      </c>
      <c r="H33" s="7"/>
      <c r="I33" s="7"/>
      <c r="J33" s="5"/>
      <c r="K33" s="5"/>
      <c r="L33" s="4">
        <f>TONTOCT!H33+TONTOCT!I33</f>
        <v>0</v>
      </c>
      <c r="M33" s="4"/>
      <c r="N33" s="5"/>
      <c r="O33" s="5"/>
      <c r="P33" s="7">
        <f t="shared" si="4"/>
        <v>0</v>
      </c>
      <c r="Q33" s="7"/>
      <c r="R33" s="7"/>
    </row>
    <row r="34" spans="1:18" x14ac:dyDescent="0.25">
      <c r="A34" s="1" t="s">
        <v>32</v>
      </c>
      <c r="B34" s="1" t="str">
        <f>VLOOKUP(A34,[4]LISTADHERENT!A$5:H$60,3,0)</f>
        <v>SIME MATHIEU</v>
      </c>
      <c r="C34" s="7">
        <f t="shared" si="0"/>
        <v>0</v>
      </c>
      <c r="D34" s="7">
        <f t="shared" si="1"/>
        <v>0</v>
      </c>
      <c r="E34" s="7">
        <f t="shared" si="2"/>
        <v>0</v>
      </c>
      <c r="F34" s="5" t="s">
        <v>9</v>
      </c>
      <c r="G34" s="7">
        <f t="shared" si="3"/>
        <v>0</v>
      </c>
      <c r="H34" s="7"/>
      <c r="I34" s="7"/>
      <c r="J34" s="5"/>
      <c r="K34" s="5"/>
      <c r="L34" s="4">
        <f>TONTOCT!H34+TONTOCT!I34</f>
        <v>0</v>
      </c>
      <c r="M34" s="4"/>
      <c r="N34" s="5"/>
      <c r="O34" s="5"/>
      <c r="P34" s="7">
        <f t="shared" si="4"/>
        <v>0</v>
      </c>
      <c r="Q34" s="7"/>
      <c r="R34" s="7"/>
    </row>
    <row r="35" spans="1:18" x14ac:dyDescent="0.25">
      <c r="A35" s="1" t="s">
        <v>33</v>
      </c>
      <c r="B35" s="1" t="str">
        <f>VLOOKUP(A35,[4]LISTADHERENT!A$5:H$60,3,0)</f>
        <v>SIMO PIERRE</v>
      </c>
      <c r="C35" s="7">
        <f t="shared" si="0"/>
        <v>0</v>
      </c>
      <c r="D35" s="7">
        <f t="shared" si="1"/>
        <v>0</v>
      </c>
      <c r="E35" s="7">
        <f t="shared" si="2"/>
        <v>0</v>
      </c>
      <c r="F35" s="5" t="s">
        <v>9</v>
      </c>
      <c r="G35" s="7">
        <f t="shared" si="3"/>
        <v>0</v>
      </c>
      <c r="H35" s="7"/>
      <c r="I35" s="7"/>
      <c r="J35" s="5"/>
      <c r="K35" s="5"/>
      <c r="L35" s="4">
        <f>TONTOCT!H35+TONTOCT!I35</f>
        <v>0</v>
      </c>
      <c r="M35" s="4"/>
      <c r="N35" s="5"/>
      <c r="O35" s="5"/>
      <c r="P35" s="7">
        <f t="shared" si="4"/>
        <v>0</v>
      </c>
      <c r="Q35" s="7"/>
      <c r="R35" s="7"/>
    </row>
    <row r="36" spans="1:18" x14ac:dyDescent="0.25">
      <c r="A36" s="1" t="s">
        <v>35</v>
      </c>
      <c r="B36" s="1" t="str">
        <f>VLOOKUP(A36,[4]LISTADHERENT!A$5:H$60,3,0)</f>
        <v>TCHOUAMOU MATHIEU</v>
      </c>
      <c r="C36" s="7">
        <f t="shared" si="0"/>
        <v>0</v>
      </c>
      <c r="D36" s="7">
        <f t="shared" si="1"/>
        <v>0</v>
      </c>
      <c r="E36" s="7">
        <f t="shared" si="2"/>
        <v>0</v>
      </c>
      <c r="F36" s="5" t="s">
        <v>9</v>
      </c>
      <c r="G36" s="7">
        <f t="shared" si="3"/>
        <v>0</v>
      </c>
      <c r="H36" s="7"/>
      <c r="I36" s="7"/>
      <c r="J36" s="5"/>
      <c r="K36" s="5"/>
      <c r="L36" s="4">
        <f>TONTOCT!H36+TONTOCT!I36</f>
        <v>67500</v>
      </c>
      <c r="M36" s="4"/>
      <c r="N36" s="5"/>
      <c r="O36" s="5"/>
      <c r="P36" s="7">
        <f t="shared" si="4"/>
        <v>0</v>
      </c>
      <c r="Q36" s="7"/>
      <c r="R36" s="7"/>
    </row>
    <row r="37" spans="1:18" x14ac:dyDescent="0.25">
      <c r="A37" s="1" t="s">
        <v>36</v>
      </c>
      <c r="B37" s="1" t="str">
        <f>VLOOKUP(A37,[4]LISTADHERENT!A$5:H$60,3,0)</f>
        <v>TIEYAM ERNEST</v>
      </c>
      <c r="C37" s="7">
        <f t="shared" si="0"/>
        <v>0</v>
      </c>
      <c r="D37" s="7">
        <f t="shared" si="1"/>
        <v>0</v>
      </c>
      <c r="E37" s="7">
        <f t="shared" si="2"/>
        <v>0</v>
      </c>
      <c r="F37" s="5" t="s">
        <v>9</v>
      </c>
      <c r="G37" s="7">
        <f t="shared" si="3"/>
        <v>0</v>
      </c>
      <c r="H37" s="7"/>
      <c r="I37" s="7"/>
      <c r="J37" s="5"/>
      <c r="K37" s="5"/>
      <c r="L37" s="4">
        <f>TONTOCT!H37+TONTOCT!I37</f>
        <v>0</v>
      </c>
      <c r="M37" s="4"/>
      <c r="N37" s="5"/>
      <c r="O37" s="5"/>
      <c r="P37" s="7">
        <f t="shared" si="4"/>
        <v>0</v>
      </c>
      <c r="Q37" s="7"/>
      <c r="R37" s="7"/>
    </row>
    <row r="38" spans="1:18" x14ac:dyDescent="0.25">
      <c r="A38" s="1" t="s">
        <v>37</v>
      </c>
      <c r="B38" s="1" t="str">
        <f>VLOOKUP(A38,[4]LISTADHERENT!A$5:H$60,3,0)</f>
        <v>YEPMOU JEAN JACQUES</v>
      </c>
      <c r="C38" s="7">
        <f t="shared" si="0"/>
        <v>0</v>
      </c>
      <c r="D38" s="7">
        <f t="shared" si="1"/>
        <v>0</v>
      </c>
      <c r="E38" s="7">
        <f t="shared" si="2"/>
        <v>0</v>
      </c>
      <c r="F38" s="5" t="s">
        <v>9</v>
      </c>
      <c r="G38" s="7">
        <f t="shared" si="3"/>
        <v>0</v>
      </c>
      <c r="H38" s="7"/>
      <c r="I38" s="7"/>
      <c r="J38" s="5"/>
      <c r="K38" s="5"/>
      <c r="L38" s="4">
        <f>TONTOCT!H38+TONTOCT!I38</f>
        <v>0</v>
      </c>
      <c r="M38" s="4"/>
      <c r="N38" s="5"/>
      <c r="O38" s="5"/>
      <c r="P38" s="7">
        <f t="shared" si="4"/>
        <v>0</v>
      </c>
      <c r="Q38" s="7"/>
      <c r="R38" s="7"/>
    </row>
    <row r="39" spans="1:18" x14ac:dyDescent="0.25">
      <c r="A39" s="1" t="s">
        <v>38</v>
      </c>
      <c r="B39" s="1" t="str">
        <f>VLOOKUP(A39,[4]LISTADHERENT!A$5:H$60,3,0)</f>
        <v>YOUMBI EMMANUEL</v>
      </c>
      <c r="C39" s="7">
        <f t="shared" si="0"/>
        <v>0</v>
      </c>
      <c r="D39" s="7">
        <f t="shared" si="1"/>
        <v>0</v>
      </c>
      <c r="E39" s="7">
        <f t="shared" si="2"/>
        <v>0</v>
      </c>
      <c r="F39" s="5" t="s">
        <v>9</v>
      </c>
      <c r="G39" s="7">
        <f t="shared" si="3"/>
        <v>0</v>
      </c>
      <c r="H39" s="7"/>
      <c r="I39" s="7"/>
      <c r="J39" s="5"/>
      <c r="K39" s="5"/>
      <c r="L39" s="4">
        <f>TONTOCT!H39+TONTOCT!I39</f>
        <v>0</v>
      </c>
      <c r="M39" s="4"/>
      <c r="N39" s="5"/>
      <c r="O39" s="5"/>
      <c r="P39" s="7">
        <f t="shared" si="4"/>
        <v>0</v>
      </c>
      <c r="Q39" s="7"/>
      <c r="R39" s="7"/>
    </row>
    <row r="40" spans="1:18" x14ac:dyDescent="0.25">
      <c r="A40" s="1" t="s">
        <v>92</v>
      </c>
      <c r="B40" s="1" t="s">
        <v>91</v>
      </c>
      <c r="C40" s="7">
        <f t="shared" si="0"/>
        <v>0</v>
      </c>
      <c r="D40" s="7">
        <f t="shared" si="1"/>
        <v>0</v>
      </c>
      <c r="E40" s="7">
        <f t="shared" si="2"/>
        <v>0</v>
      </c>
      <c r="F40" s="5" t="s">
        <v>9</v>
      </c>
      <c r="G40" s="7">
        <f t="shared" si="3"/>
        <v>0</v>
      </c>
      <c r="H40" s="7"/>
      <c r="I40" s="7"/>
      <c r="J40" s="5"/>
      <c r="K40" s="5"/>
      <c r="L40" s="7"/>
      <c r="M40" s="4"/>
      <c r="N40" s="5"/>
      <c r="O40" s="5"/>
      <c r="P40" s="7"/>
    </row>
    <row r="41" spans="1:18" x14ac:dyDescent="0.25">
      <c r="A41" s="1"/>
      <c r="B41" s="1"/>
      <c r="C41" s="7"/>
      <c r="D41" s="7"/>
      <c r="E41" s="7"/>
      <c r="F41" s="5"/>
      <c r="G41" s="7"/>
      <c r="H41" s="7"/>
      <c r="I41" s="7"/>
      <c r="J41" s="5"/>
      <c r="K41" s="5"/>
      <c r="L41" s="7"/>
      <c r="M41" s="5"/>
      <c r="N41" s="5"/>
      <c r="O41" s="5"/>
      <c r="P41" s="7"/>
    </row>
    <row r="42" spans="1:18" x14ac:dyDescent="0.25">
      <c r="A42" s="1"/>
      <c r="B42" s="1"/>
      <c r="C42" s="7"/>
      <c r="D42" s="7"/>
      <c r="E42" s="7"/>
      <c r="F42" s="5"/>
      <c r="G42" s="7"/>
      <c r="H42" s="7"/>
      <c r="I42" s="7"/>
      <c r="J42" s="5"/>
      <c r="K42" s="5"/>
      <c r="L42" s="7"/>
      <c r="M42" s="5"/>
      <c r="N42" s="5"/>
      <c r="O42" s="5"/>
      <c r="P42" s="7"/>
    </row>
    <row r="43" spans="1:18" x14ac:dyDescent="0.25">
      <c r="A43" s="1"/>
      <c r="B43" s="1"/>
      <c r="C43" s="7"/>
      <c r="D43" s="7"/>
      <c r="E43" s="7"/>
      <c r="F43" s="5"/>
      <c r="G43" s="7"/>
      <c r="H43" s="7"/>
      <c r="I43" s="7"/>
      <c r="J43" s="5"/>
      <c r="K43" s="5"/>
      <c r="L43" s="7"/>
      <c r="M43" s="5"/>
      <c r="N43" s="5"/>
      <c r="O43" s="5"/>
      <c r="P43" s="7"/>
    </row>
    <row r="44" spans="1:18" x14ac:dyDescent="0.25">
      <c r="A44" s="1"/>
      <c r="B44" s="1"/>
      <c r="C44" s="1"/>
      <c r="D44" s="1"/>
      <c r="E44" s="1"/>
      <c r="F44" s="1"/>
      <c r="M44" s="1"/>
      <c r="N44" s="1"/>
    </row>
    <row r="45" spans="1:18" x14ac:dyDescent="0.25">
      <c r="A45" s="1"/>
      <c r="B45" s="1"/>
      <c r="C45" s="1"/>
      <c r="D45" s="1"/>
      <c r="E45" s="1"/>
      <c r="F45" s="1"/>
      <c r="M45" s="1"/>
      <c r="N45" s="1"/>
    </row>
    <row r="46" spans="1:18" ht="18" x14ac:dyDescent="0.25">
      <c r="A46" s="1" t="s">
        <v>39</v>
      </c>
      <c r="B46" s="1"/>
      <c r="C46" s="8">
        <f>SUM(C7:C45)</f>
        <v>0</v>
      </c>
      <c r="D46" s="8">
        <f t="shared" ref="D46:R46" si="5">SUM(D7:D45)</f>
        <v>0</v>
      </c>
      <c r="E46" s="8">
        <f t="shared" si="5"/>
        <v>0</v>
      </c>
      <c r="F46" s="8">
        <f t="shared" si="5"/>
        <v>0</v>
      </c>
      <c r="G46" s="8">
        <f t="shared" si="5"/>
        <v>0</v>
      </c>
      <c r="H46" s="8">
        <f t="shared" si="5"/>
        <v>0</v>
      </c>
      <c r="I46" s="8">
        <f t="shared" si="5"/>
        <v>0</v>
      </c>
      <c r="J46" s="8">
        <f t="shared" si="5"/>
        <v>0</v>
      </c>
      <c r="K46" s="8">
        <f t="shared" si="5"/>
        <v>0</v>
      </c>
      <c r="L46" s="8">
        <f t="shared" si="5"/>
        <v>273500</v>
      </c>
      <c r="M46" s="8">
        <f t="shared" si="5"/>
        <v>0</v>
      </c>
      <c r="N46" s="8">
        <f t="shared" si="5"/>
        <v>0</v>
      </c>
      <c r="O46" s="8">
        <f t="shared" si="5"/>
        <v>0</v>
      </c>
      <c r="P46" s="8">
        <f t="shared" si="5"/>
        <v>0</v>
      </c>
      <c r="Q46" s="8">
        <f t="shared" si="5"/>
        <v>0</v>
      </c>
      <c r="R46" s="8">
        <f t="shared" si="5"/>
        <v>0</v>
      </c>
    </row>
    <row r="48" spans="1:18" x14ac:dyDescent="0.25">
      <c r="I48" s="9"/>
    </row>
    <row r="49" spans="4:15" ht="18" x14ac:dyDescent="0.25">
      <c r="G49" s="8" t="s">
        <v>75</v>
      </c>
      <c r="H49" s="8">
        <f>D73+H73+Q46</f>
        <v>0</v>
      </c>
      <c r="I49" s="8"/>
      <c r="J49" s="8"/>
      <c r="K49" s="8"/>
      <c r="O49" s="8"/>
    </row>
    <row r="50" spans="4:15" ht="18" x14ac:dyDescent="0.25">
      <c r="G50" s="8" t="s">
        <v>76</v>
      </c>
      <c r="H50" s="8">
        <f>IF(H49&gt;=900000,300000*3,300000*2)</f>
        <v>600000</v>
      </c>
      <c r="I50" s="9"/>
    </row>
    <row r="51" spans="4:15" ht="18" x14ac:dyDescent="0.25">
      <c r="D51" s="4" t="s">
        <v>47</v>
      </c>
      <c r="E51" s="8">
        <f>+D46</f>
        <v>0</v>
      </c>
      <c r="I51" s="8"/>
      <c r="J51" s="8"/>
      <c r="K51" s="8"/>
      <c r="O51" s="8"/>
    </row>
    <row r="52" spans="4:15" ht="43.5" x14ac:dyDescent="0.25">
      <c r="D52" s="4" t="s">
        <v>65</v>
      </c>
      <c r="E52" s="8">
        <f>E46</f>
        <v>0</v>
      </c>
      <c r="F52" s="8"/>
      <c r="G52" s="8" t="s">
        <v>74</v>
      </c>
      <c r="H52" s="8">
        <f>H49-H50</f>
        <v>-600000</v>
      </c>
      <c r="L52" s="12"/>
      <c r="M52" s="8"/>
      <c r="N52" s="8"/>
    </row>
    <row r="53" spans="4:15" ht="18" x14ac:dyDescent="0.25">
      <c r="D53" s="4" t="s">
        <v>60</v>
      </c>
      <c r="E53" s="8">
        <f>+H46</f>
        <v>0</v>
      </c>
    </row>
    <row r="54" spans="4:15" ht="29.25" x14ac:dyDescent="0.25">
      <c r="D54" s="4" t="s">
        <v>79</v>
      </c>
      <c r="E54" s="8">
        <f>+I46</f>
        <v>0</v>
      </c>
      <c r="G54" s="8" t="s">
        <v>78</v>
      </c>
      <c r="H54" s="8">
        <f>H52-H46</f>
        <v>-600000</v>
      </c>
      <c r="I54" s="3" t="s">
        <v>94</v>
      </c>
    </row>
    <row r="55" spans="4:15" ht="29.25" x14ac:dyDescent="0.25">
      <c r="D55" s="4" t="s">
        <v>66</v>
      </c>
      <c r="E55" s="8">
        <f>+L46</f>
        <v>273500</v>
      </c>
    </row>
    <row r="56" spans="4:15" ht="29.25" x14ac:dyDescent="0.25">
      <c r="D56" s="4" t="s">
        <v>67</v>
      </c>
      <c r="E56" s="8">
        <f>+Q46</f>
        <v>0</v>
      </c>
    </row>
    <row r="57" spans="4:15" ht="18" x14ac:dyDescent="0.25">
      <c r="D57" s="4" t="s">
        <v>51</v>
      </c>
      <c r="E57" s="8">
        <f>[5]MVTNOV20!$E$49</f>
        <v>0</v>
      </c>
    </row>
    <row r="58" spans="4:15" ht="18" x14ac:dyDescent="0.25">
      <c r="D58" s="4" t="s">
        <v>41</v>
      </c>
      <c r="E58" s="8">
        <f>[5]MVTNOV20!$E$50</f>
        <v>0</v>
      </c>
    </row>
    <row r="59" spans="4:15" ht="29.25" x14ac:dyDescent="0.25">
      <c r="D59" s="4" t="s">
        <v>42</v>
      </c>
      <c r="E59" s="8">
        <f>[5]MVTNOV20!$E$51</f>
        <v>0</v>
      </c>
    </row>
    <row r="60" spans="4:15" ht="29.25" x14ac:dyDescent="0.25">
      <c r="D60" s="4" t="s">
        <v>43</v>
      </c>
      <c r="E60" s="8">
        <f>[5]MVTNOV20!$E$52</f>
        <v>0</v>
      </c>
    </row>
    <row r="61" spans="4:15" ht="18" x14ac:dyDescent="0.25">
      <c r="D61" s="4" t="s">
        <v>44</v>
      </c>
      <c r="E61" s="8">
        <f>[5]MVTNOV20!$E$53</f>
        <v>0</v>
      </c>
    </row>
    <row r="62" spans="4:15" ht="18" x14ac:dyDescent="0.25">
      <c r="D62" s="4" t="s">
        <v>52</v>
      </c>
      <c r="E62" s="8">
        <f>[5]MVTNOV20!$E$55</f>
        <v>0</v>
      </c>
    </row>
    <row r="63" spans="4:15" ht="18" x14ac:dyDescent="0.25">
      <c r="D63" s="4" t="s">
        <v>48</v>
      </c>
      <c r="E63" s="8">
        <f>[5]MVTNOV20!$E$56</f>
        <v>0</v>
      </c>
    </row>
    <row r="64" spans="4:15" ht="18" x14ac:dyDescent="0.25">
      <c r="D64" s="4" t="s">
        <v>49</v>
      </c>
      <c r="E64" s="8">
        <f>[5]MVTNOV20!$E$57</f>
        <v>0</v>
      </c>
    </row>
    <row r="65" spans="1:18" ht="29.25" x14ac:dyDescent="0.25">
      <c r="D65" s="4" t="s">
        <v>50</v>
      </c>
      <c r="E65" s="8">
        <f>[5]MVTNOV20!$E$58</f>
        <v>0</v>
      </c>
    </row>
    <row r="66" spans="1:18" s="2" customFormat="1" ht="29.25" x14ac:dyDescent="0.25">
      <c r="A66"/>
      <c r="B66"/>
      <c r="C66"/>
      <c r="D66" s="4" t="s">
        <v>87</v>
      </c>
      <c r="E66" s="8">
        <f>[5]MVTNOV20!$E$59</f>
        <v>0</v>
      </c>
      <c r="F66"/>
      <c r="H66"/>
      <c r="I66" s="3"/>
      <c r="J66" s="3"/>
      <c r="K66" s="3"/>
      <c r="M66"/>
      <c r="N66"/>
      <c r="O66" s="3"/>
      <c r="R66"/>
    </row>
    <row r="67" spans="1:18" s="2" customFormat="1" ht="18" x14ac:dyDescent="0.25">
      <c r="A67"/>
      <c r="B67"/>
      <c r="C67"/>
      <c r="D67" s="4" t="s">
        <v>53</v>
      </c>
      <c r="E67" s="8">
        <f>[5]MVTNOV20!$E$60</f>
        <v>0</v>
      </c>
      <c r="F67"/>
      <c r="H67"/>
      <c r="I67" s="3"/>
      <c r="J67" s="3"/>
      <c r="K67" s="3"/>
      <c r="M67"/>
      <c r="N67"/>
      <c r="O67" s="3"/>
      <c r="R67"/>
    </row>
    <row r="68" spans="1:18" s="2" customFormat="1" ht="18" x14ac:dyDescent="0.25">
      <c r="A68"/>
      <c r="B68"/>
      <c r="C68"/>
      <c r="D68" s="4"/>
      <c r="E68" s="8"/>
      <c r="F68"/>
      <c r="H68"/>
      <c r="I68" s="3"/>
      <c r="J68" s="3"/>
      <c r="K68" s="3"/>
      <c r="M68"/>
      <c r="N68"/>
      <c r="O68" s="3"/>
      <c r="R68"/>
    </row>
    <row r="69" spans="1:18" s="2" customFormat="1" ht="43.5" x14ac:dyDescent="0.25">
      <c r="A69"/>
      <c r="B69"/>
      <c r="C69"/>
      <c r="D69" s="4" t="s">
        <v>6</v>
      </c>
      <c r="E69"/>
      <c r="F69" s="4" t="s">
        <v>73</v>
      </c>
      <c r="G69" s="4" t="s">
        <v>68</v>
      </c>
      <c r="H69" s="4" t="s">
        <v>55</v>
      </c>
      <c r="I69" s="4" t="s">
        <v>60</v>
      </c>
      <c r="J69" s="4" t="s">
        <v>62</v>
      </c>
      <c r="K69" s="4"/>
      <c r="L69" s="4" t="s">
        <v>63</v>
      </c>
      <c r="M69" s="4"/>
      <c r="N69"/>
      <c r="O69" s="4"/>
      <c r="R69"/>
    </row>
    <row r="70" spans="1:18" s="2" customFormat="1" ht="18" x14ac:dyDescent="0.25">
      <c r="A70"/>
      <c r="B70"/>
      <c r="C70"/>
      <c r="D70" s="8">
        <f>SUMIFS(D7:D45,F7:F45,"ESPECES")</f>
        <v>0</v>
      </c>
      <c r="E70" s="8" t="s">
        <v>45</v>
      </c>
      <c r="F70" s="8">
        <f>SUMIFS(G7:G45,F7:F45,"ESPECES")</f>
        <v>0</v>
      </c>
      <c r="G70" s="8">
        <f>+E46</f>
        <v>0</v>
      </c>
      <c r="H70" s="8">
        <f>SUMIFS(L7:L45,M7:M45,"ESPECES")</f>
        <v>0</v>
      </c>
      <c r="I70" s="8">
        <f>SUMIFS(H7:H45,J7:J45,"ESPECES")</f>
        <v>0</v>
      </c>
      <c r="J70" s="8">
        <f>SUMIFS(P7:P45,N7:N45,"ESPECES")</f>
        <v>0</v>
      </c>
      <c r="K70" s="8"/>
      <c r="L70" s="8">
        <f>F70+H70+G70-I70-J70</f>
        <v>0</v>
      </c>
      <c r="M70" s="8"/>
      <c r="N70" s="4"/>
      <c r="O70" s="8"/>
      <c r="R70"/>
    </row>
    <row r="71" spans="1:18" s="2" customFormat="1" ht="18" x14ac:dyDescent="0.25">
      <c r="A71"/>
      <c r="B71"/>
      <c r="C71"/>
      <c r="D71" s="8">
        <f>SUMIFS(D7:D45,F7:F45,"BANQUE")</f>
        <v>0</v>
      </c>
      <c r="E71" s="8" t="s">
        <v>46</v>
      </c>
      <c r="F71" s="8">
        <f>SUMIFS(G7:G45,F7:F45,"BANQUE")</f>
        <v>0</v>
      </c>
      <c r="H71" s="8">
        <f>SUMIFS(L7:L45,M7:M45,"BANQUE")</f>
        <v>0</v>
      </c>
      <c r="I71" s="8">
        <f>SUMIFS(H7:H45,J7:J45,"BANQUE")</f>
        <v>0</v>
      </c>
      <c r="J71" s="8">
        <f>SUMIFS(P7:P45,M7:M45,"BANQUE")</f>
        <v>0</v>
      </c>
      <c r="K71" s="8"/>
      <c r="L71" s="8">
        <f>F71+H71-I71-J71</f>
        <v>0</v>
      </c>
      <c r="M71" s="8"/>
      <c r="N71" s="8"/>
      <c r="O71" s="8"/>
      <c r="R71"/>
    </row>
    <row r="72" spans="1:18" s="2" customFormat="1" ht="18" x14ac:dyDescent="0.25">
      <c r="A72"/>
      <c r="B72"/>
      <c r="C72"/>
      <c r="D72" s="8"/>
      <c r="E72" s="8"/>
      <c r="F72" s="8"/>
      <c r="H72" s="8"/>
      <c r="I72" s="8"/>
      <c r="J72" s="8"/>
      <c r="K72" s="8"/>
      <c r="L72" s="8"/>
      <c r="M72" s="8"/>
      <c r="N72" s="8"/>
      <c r="O72" s="8"/>
      <c r="R72"/>
    </row>
    <row r="73" spans="1:18" s="2" customFormat="1" ht="18" x14ac:dyDescent="0.25">
      <c r="A73"/>
      <c r="B73"/>
      <c r="C73"/>
      <c r="D73" s="8">
        <f>D70+D71</f>
        <v>0</v>
      </c>
      <c r="E73" s="8" t="s">
        <v>39</v>
      </c>
      <c r="F73" s="8">
        <f>F70+F71</f>
        <v>0</v>
      </c>
      <c r="H73" s="8">
        <f>H70+H71</f>
        <v>0</v>
      </c>
      <c r="I73" s="8">
        <f>I70+I71</f>
        <v>0</v>
      </c>
      <c r="J73" s="8">
        <v>0</v>
      </c>
      <c r="K73" s="8"/>
      <c r="L73" s="8">
        <f>F73+H73-I73-J73</f>
        <v>0</v>
      </c>
      <c r="M73" s="8"/>
      <c r="N73" s="8"/>
      <c r="O73" s="8"/>
      <c r="R73"/>
    </row>
    <row r="74" spans="1:18" s="2" customFormat="1" ht="18" x14ac:dyDescent="0.25">
      <c r="A74"/>
      <c r="B74"/>
      <c r="C74"/>
      <c r="D74" s="8">
        <f>D73+R46</f>
        <v>0</v>
      </c>
      <c r="E74" s="8" t="s">
        <v>82</v>
      </c>
      <c r="F74"/>
      <c r="H74"/>
      <c r="I74" s="3"/>
      <c r="J74" s="3"/>
      <c r="K74" s="3"/>
      <c r="M74"/>
      <c r="N74" s="8"/>
      <c r="O74" s="3"/>
      <c r="R74"/>
    </row>
    <row r="75" spans="1:18" s="2" customFormat="1" ht="18" x14ac:dyDescent="0.25">
      <c r="A75"/>
      <c r="B75"/>
      <c r="C75"/>
      <c r="D75" s="4" t="s">
        <v>6</v>
      </c>
      <c r="E75" s="8">
        <v>300000</v>
      </c>
      <c r="F75"/>
      <c r="H75"/>
      <c r="I75" s="3"/>
      <c r="J75" s="3"/>
      <c r="K75" s="3"/>
      <c r="M75"/>
      <c r="N75"/>
      <c r="O75" s="3"/>
      <c r="R75"/>
    </row>
    <row r="76" spans="1:18" s="2" customFormat="1" ht="29.25" x14ac:dyDescent="0.25">
      <c r="A76"/>
      <c r="B76"/>
      <c r="C76"/>
      <c r="D76" s="10" t="s">
        <v>64</v>
      </c>
      <c r="E76" s="11">
        <f>L46+Q46</f>
        <v>273500</v>
      </c>
      <c r="F76"/>
      <c r="H76"/>
      <c r="I76" s="3"/>
      <c r="J76" s="3"/>
      <c r="K76" s="3"/>
      <c r="M76"/>
      <c r="N76"/>
      <c r="O76" s="3"/>
      <c r="R76"/>
    </row>
    <row r="78" spans="1:18" x14ac:dyDescent="0.25">
      <c r="E78" s="2"/>
    </row>
  </sheetData>
  <autoFilter ref="A5:R39">
    <sortState ref="A5:L48">
      <sortCondition ref="B5:B48"/>
    </sortState>
  </autoFilter>
  <mergeCells count="1">
    <mergeCell ref="C4:I4"/>
  </mergeCells>
  <dataValidations count="1">
    <dataValidation type="list" allowBlank="1" showInputMessage="1" showErrorMessage="1" sqref="M41:M43 F6:F43 J6:K43 N6:O43">
      <formula1>MODEVERSEMENTS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8"/>
  <sheetViews>
    <sheetView workbookViewId="0">
      <pane xSplit="2" ySplit="5" topLeftCell="C30" activePane="bottomRight" state="frozen"/>
      <selection activeCell="I54" sqref="I54"/>
      <selection pane="topRight" activeCell="I54" sqref="I54"/>
      <selection pane="bottomLeft" activeCell="I54" sqref="I54"/>
      <selection pane="bottomRight" activeCell="I54" sqref="I54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15" bestFit="1" customWidth="1"/>
    <col min="4" max="4" width="21" customWidth="1"/>
    <col min="5" max="6" width="16.7109375" customWidth="1"/>
    <col min="7" max="7" width="15" style="2" bestFit="1" customWidth="1"/>
    <col min="8" max="8" width="15" bestFit="1" customWidth="1"/>
    <col min="9" max="9" width="17.5703125" style="3" bestFit="1" customWidth="1"/>
    <col min="10" max="10" width="17.5703125" style="3" customWidth="1"/>
    <col min="11" max="11" width="16" style="3" customWidth="1"/>
    <col min="12" max="12" width="15.7109375" style="2" customWidth="1"/>
    <col min="13" max="14" width="13" customWidth="1"/>
    <col min="15" max="15" width="15.5703125" style="3" customWidth="1"/>
    <col min="16" max="17" width="18.140625" style="2" bestFit="1" customWidth="1"/>
    <col min="18" max="18" width="12.5703125" bestFit="1" customWidth="1"/>
  </cols>
  <sheetData>
    <row r="1" spans="1:18" x14ac:dyDescent="0.25">
      <c r="A1" s="1" t="s">
        <v>0</v>
      </c>
      <c r="B1" s="1" t="s">
        <v>1</v>
      </c>
      <c r="C1" s="1"/>
      <c r="D1" s="1"/>
      <c r="E1" s="1"/>
      <c r="F1" s="1"/>
      <c r="M1" s="1"/>
      <c r="N1" s="1"/>
    </row>
    <row r="2" spans="1:18" x14ac:dyDescent="0.25">
      <c r="A2" s="1" t="s">
        <v>2</v>
      </c>
      <c r="B2" s="1" t="s">
        <v>80</v>
      </c>
      <c r="C2" s="1"/>
      <c r="D2" s="1"/>
      <c r="E2" s="1"/>
      <c r="F2" s="1"/>
      <c r="M2" s="1"/>
      <c r="N2" s="1"/>
    </row>
    <row r="3" spans="1:18" x14ac:dyDescent="0.25">
      <c r="A3" s="1" t="s">
        <v>3</v>
      </c>
      <c r="B3" s="6">
        <v>30000</v>
      </c>
      <c r="C3" s="1"/>
      <c r="D3" s="1"/>
      <c r="E3" s="1"/>
      <c r="F3" s="1"/>
      <c r="M3" s="1"/>
      <c r="N3" s="1"/>
    </row>
    <row r="4" spans="1:18" ht="18" x14ac:dyDescent="0.25">
      <c r="B4" s="13"/>
      <c r="C4" s="20">
        <v>43850</v>
      </c>
      <c r="D4" s="21"/>
      <c r="E4" s="21"/>
      <c r="F4" s="21"/>
      <c r="G4" s="21"/>
      <c r="H4" s="21"/>
      <c r="I4" s="21"/>
      <c r="J4" s="16"/>
      <c r="K4" s="16"/>
      <c r="L4" s="16"/>
      <c r="M4" s="16"/>
      <c r="O4" s="16"/>
      <c r="P4"/>
      <c r="Q4"/>
    </row>
    <row r="5" spans="1:18" ht="57.75" x14ac:dyDescent="0.25">
      <c r="A5" s="1" t="s">
        <v>4</v>
      </c>
      <c r="B5" s="1" t="s">
        <v>5</v>
      </c>
      <c r="C5" s="1" t="s">
        <v>40</v>
      </c>
      <c r="D5" s="4" t="s">
        <v>6</v>
      </c>
      <c r="E5" s="1" t="s">
        <v>65</v>
      </c>
      <c r="F5" s="5" t="s">
        <v>7</v>
      </c>
      <c r="G5" s="4" t="s">
        <v>8</v>
      </c>
      <c r="H5" s="6" t="s">
        <v>60</v>
      </c>
      <c r="I5" s="4" t="s">
        <v>57</v>
      </c>
      <c r="J5" s="4" t="s">
        <v>61</v>
      </c>
      <c r="K5" s="14" t="s">
        <v>77</v>
      </c>
      <c r="L5" s="4" t="s">
        <v>55</v>
      </c>
      <c r="M5" s="4" t="s">
        <v>54</v>
      </c>
      <c r="N5" s="4" t="s">
        <v>58</v>
      </c>
      <c r="O5" s="4" t="s">
        <v>77</v>
      </c>
      <c r="P5" s="4" t="s">
        <v>56</v>
      </c>
      <c r="Q5" s="6" t="s">
        <v>59</v>
      </c>
      <c r="R5" s="4" t="s">
        <v>81</v>
      </c>
    </row>
    <row r="6" spans="1:18" x14ac:dyDescent="0.25">
      <c r="A6" s="1" t="s">
        <v>69</v>
      </c>
      <c r="B6" s="1" t="str">
        <f>VLOOKUP(A6,[4]LISTADHERENT!A$5:H$60,3,0)</f>
        <v>ASELBY</v>
      </c>
      <c r="C6" s="7">
        <f t="shared" ref="C6:C40" si="0">IF(G6=0,0,G6-D6)</f>
        <v>0</v>
      </c>
      <c r="D6" s="7">
        <f t="shared" ref="D6:D40" si="1">IF(F6="ECHEC",0,IF(F6="",0,20000))</f>
        <v>0</v>
      </c>
      <c r="E6" s="7">
        <f t="shared" ref="E6:E40" si="2">IF(F6="ESPECES",3000,0)</f>
        <v>0</v>
      </c>
      <c r="F6" s="5" t="s">
        <v>9</v>
      </c>
      <c r="G6" s="7">
        <f t="shared" ref="G6:G40" si="3">IF(F6="BANQUE",30000,IF(F6="ESPECES",30000,0))</f>
        <v>0</v>
      </c>
      <c r="H6" s="7"/>
      <c r="I6" s="7"/>
      <c r="J6" s="5"/>
      <c r="K6" s="5"/>
      <c r="L6" s="4">
        <f>TONTNOV20!H6+TONTNOV20!I6</f>
        <v>0</v>
      </c>
      <c r="M6" s="4"/>
      <c r="N6" s="5"/>
      <c r="O6" s="5"/>
      <c r="P6" s="7">
        <f>IF(Q6=0,0,($E$76-Q6))</f>
        <v>0</v>
      </c>
      <c r="Q6" s="7"/>
      <c r="R6" s="7"/>
    </row>
    <row r="7" spans="1:18" x14ac:dyDescent="0.25">
      <c r="A7" s="1" t="s">
        <v>10</v>
      </c>
      <c r="B7" s="1" t="str">
        <f>VLOOKUP(A7,[4]LISTADHERENT!A$5:H$60,3,0)</f>
        <v>BOUTCHOUANG WILLIAM</v>
      </c>
      <c r="C7" s="7">
        <f t="shared" si="0"/>
        <v>0</v>
      </c>
      <c r="D7" s="7">
        <f t="shared" si="1"/>
        <v>0</v>
      </c>
      <c r="E7" s="7">
        <f t="shared" si="2"/>
        <v>0</v>
      </c>
      <c r="F7" s="5" t="s">
        <v>9</v>
      </c>
      <c r="G7" s="7">
        <f t="shared" si="3"/>
        <v>0</v>
      </c>
      <c r="H7" s="7"/>
      <c r="I7" s="7"/>
      <c r="J7" s="5"/>
      <c r="K7" s="5"/>
      <c r="L7" s="4">
        <f>TONTNOV20!H7+TONTNOV20!I7</f>
        <v>0</v>
      </c>
      <c r="M7" s="4"/>
      <c r="N7" s="5"/>
      <c r="O7" s="5"/>
      <c r="P7" s="7">
        <f t="shared" ref="P7:P39" si="4">IF(Q7=0,0,($E$75-Q7))</f>
        <v>0</v>
      </c>
      <c r="Q7" s="7"/>
      <c r="R7" s="7"/>
    </row>
    <row r="8" spans="1:18" x14ac:dyDescent="0.25">
      <c r="A8" s="1" t="s">
        <v>11</v>
      </c>
      <c r="B8" s="1" t="str">
        <f>VLOOKUP(A8,[4]LISTADHERENT!A$5:H$60,3,0)</f>
        <v xml:space="preserve">DJOMO JEAN PAUL </v>
      </c>
      <c r="C8" s="7">
        <f t="shared" si="0"/>
        <v>0</v>
      </c>
      <c r="D8" s="7">
        <f t="shared" si="1"/>
        <v>0</v>
      </c>
      <c r="E8" s="7">
        <f t="shared" si="2"/>
        <v>0</v>
      </c>
      <c r="F8" s="5" t="s">
        <v>9</v>
      </c>
      <c r="G8" s="7">
        <f t="shared" si="3"/>
        <v>0</v>
      </c>
      <c r="H8" s="7"/>
      <c r="I8" s="7"/>
      <c r="J8" s="5"/>
      <c r="K8" s="5"/>
      <c r="L8" s="4">
        <f>TONTNOV20!H8+TONTNOV20!I8</f>
        <v>0</v>
      </c>
      <c r="M8" s="4"/>
      <c r="N8" s="5"/>
      <c r="O8" s="5"/>
      <c r="P8" s="7">
        <f t="shared" si="4"/>
        <v>0</v>
      </c>
      <c r="Q8" s="7"/>
      <c r="R8" s="7"/>
    </row>
    <row r="9" spans="1:18" x14ac:dyDescent="0.25">
      <c r="A9" s="1" t="s">
        <v>83</v>
      </c>
      <c r="B9" s="1" t="str">
        <f>VLOOKUP(A9,[4]LISTADHERENT!A$5:H$60,3,0)</f>
        <v>DJOMOU TCHANDA</v>
      </c>
      <c r="C9" s="7">
        <f t="shared" si="0"/>
        <v>0</v>
      </c>
      <c r="D9" s="7">
        <f t="shared" si="1"/>
        <v>0</v>
      </c>
      <c r="E9" s="7">
        <f t="shared" si="2"/>
        <v>0</v>
      </c>
      <c r="F9" s="5" t="s">
        <v>9</v>
      </c>
      <c r="G9" s="7">
        <f t="shared" si="3"/>
        <v>0</v>
      </c>
      <c r="H9" s="7"/>
      <c r="I9" s="7"/>
      <c r="J9" s="5"/>
      <c r="K9" s="5"/>
      <c r="L9" s="4">
        <f>TONTNOV20!H9+TONTNOV20!I9</f>
        <v>0</v>
      </c>
      <c r="M9" s="4"/>
      <c r="N9" s="5"/>
      <c r="O9" s="5"/>
      <c r="P9" s="7">
        <f t="shared" si="4"/>
        <v>0</v>
      </c>
      <c r="Q9" s="7"/>
      <c r="R9" s="7"/>
    </row>
    <row r="10" spans="1:18" x14ac:dyDescent="0.25">
      <c r="A10" s="1" t="s">
        <v>12</v>
      </c>
      <c r="B10" s="1" t="str">
        <f>VLOOKUP(A10,[4]LISTADHERENT!A$5:H$60,3,0)</f>
        <v>DJOUKWE NANGUEN GUY BLAISE</v>
      </c>
      <c r="C10" s="7">
        <f t="shared" si="0"/>
        <v>0</v>
      </c>
      <c r="D10" s="7">
        <f t="shared" si="1"/>
        <v>0</v>
      </c>
      <c r="E10" s="7">
        <f t="shared" si="2"/>
        <v>0</v>
      </c>
      <c r="F10" s="5" t="s">
        <v>9</v>
      </c>
      <c r="G10" s="7">
        <f t="shared" si="3"/>
        <v>0</v>
      </c>
      <c r="H10" s="7"/>
      <c r="I10" s="7"/>
      <c r="J10" s="5"/>
      <c r="K10" s="5"/>
      <c r="L10" s="4">
        <f>TONTNOV20!H10+TONTNOV20!I10</f>
        <v>0</v>
      </c>
      <c r="M10" s="4"/>
      <c r="N10" s="5"/>
      <c r="O10" s="5"/>
      <c r="P10" s="7">
        <f t="shared" si="4"/>
        <v>0</v>
      </c>
      <c r="Q10" s="7"/>
      <c r="R10" s="7"/>
    </row>
    <row r="11" spans="1:18" x14ac:dyDescent="0.25">
      <c r="A11" s="1" t="s">
        <v>13</v>
      </c>
      <c r="B11" s="1" t="str">
        <f>VLOOKUP(A11,[4]LISTADHERENT!A$5:H$60,3,0)</f>
        <v>DJUOMBESSY ANTOINE</v>
      </c>
      <c r="C11" s="7">
        <f t="shared" si="0"/>
        <v>0</v>
      </c>
      <c r="D11" s="7">
        <f t="shared" si="1"/>
        <v>0</v>
      </c>
      <c r="E11" s="7">
        <f t="shared" si="2"/>
        <v>0</v>
      </c>
      <c r="F11" s="5" t="s">
        <v>9</v>
      </c>
      <c r="G11" s="7">
        <f t="shared" si="3"/>
        <v>0</v>
      </c>
      <c r="H11" s="7"/>
      <c r="I11" s="7"/>
      <c r="J11" s="5"/>
      <c r="K11" s="5"/>
      <c r="L11" s="4">
        <f>TONTNOV20!H11+TONTNOV20!I11</f>
        <v>0</v>
      </c>
      <c r="M11" s="4"/>
      <c r="N11" s="5"/>
      <c r="O11" s="5"/>
      <c r="P11" s="7">
        <f t="shared" si="4"/>
        <v>0</v>
      </c>
      <c r="Q11" s="7"/>
      <c r="R11" s="7"/>
    </row>
    <row r="12" spans="1:18" x14ac:dyDescent="0.25">
      <c r="A12" s="1" t="s">
        <v>71</v>
      </c>
      <c r="B12" s="1" t="str">
        <f>VLOOKUP(A12,[4]LISTADHERENT!A$5:H$60,3,0)</f>
        <v>DOMOU FABIEN</v>
      </c>
      <c r="C12" s="7">
        <f t="shared" si="0"/>
        <v>0</v>
      </c>
      <c r="D12" s="7">
        <f t="shared" si="1"/>
        <v>0</v>
      </c>
      <c r="E12" s="7">
        <f t="shared" si="2"/>
        <v>0</v>
      </c>
      <c r="F12" s="5" t="s">
        <v>9</v>
      </c>
      <c r="G12" s="7">
        <f t="shared" si="3"/>
        <v>0</v>
      </c>
      <c r="H12" s="7"/>
      <c r="I12" s="7"/>
      <c r="J12" s="5"/>
      <c r="K12" s="5"/>
      <c r="L12" s="4">
        <f>TONTNOV20!H12+TONTNOV20!I12</f>
        <v>0</v>
      </c>
      <c r="M12" s="4"/>
      <c r="N12" s="5"/>
      <c r="O12" s="5"/>
      <c r="P12" s="7">
        <f t="shared" si="4"/>
        <v>0</v>
      </c>
    </row>
    <row r="13" spans="1:18" x14ac:dyDescent="0.25">
      <c r="A13" s="1" t="s">
        <v>14</v>
      </c>
      <c r="B13" s="1" t="str">
        <f>VLOOKUP(A13,[4]LISTADHERENT!A$5:H$60,3,0)</f>
        <v>DONHOU DAVID</v>
      </c>
      <c r="C13" s="7">
        <f t="shared" si="0"/>
        <v>0</v>
      </c>
      <c r="D13" s="7">
        <f t="shared" si="1"/>
        <v>0</v>
      </c>
      <c r="E13" s="7">
        <f t="shared" si="2"/>
        <v>0</v>
      </c>
      <c r="F13" s="5" t="s">
        <v>9</v>
      </c>
      <c r="G13" s="7">
        <f t="shared" si="3"/>
        <v>0</v>
      </c>
      <c r="H13" s="7"/>
      <c r="I13" s="7"/>
      <c r="J13" s="5"/>
      <c r="K13" s="5"/>
      <c r="L13" s="4">
        <f>TONTNOV20!H13+TONTNOV20!I13</f>
        <v>0</v>
      </c>
      <c r="M13" s="4"/>
      <c r="N13" s="5"/>
      <c r="O13" s="5"/>
      <c r="P13" s="7">
        <f t="shared" si="4"/>
        <v>0</v>
      </c>
      <c r="Q13" s="7"/>
      <c r="R13" s="7"/>
    </row>
    <row r="14" spans="1:18" x14ac:dyDescent="0.25">
      <c r="A14" s="1" t="s">
        <v>15</v>
      </c>
      <c r="B14" s="1" t="str">
        <f>VLOOKUP(A14,[4]LISTADHERENT!A$5:H$60,3,0)</f>
        <v>FOTSO THOMAS</v>
      </c>
      <c r="C14" s="7">
        <f t="shared" si="0"/>
        <v>0</v>
      </c>
      <c r="D14" s="7">
        <f t="shared" si="1"/>
        <v>0</v>
      </c>
      <c r="E14" s="7">
        <f t="shared" si="2"/>
        <v>0</v>
      </c>
      <c r="F14" s="5" t="s">
        <v>9</v>
      </c>
      <c r="G14" s="7">
        <f t="shared" si="3"/>
        <v>0</v>
      </c>
      <c r="H14" s="7"/>
      <c r="I14" s="7"/>
      <c r="J14" s="5"/>
      <c r="K14" s="5"/>
      <c r="L14" s="4">
        <f>TONTNOV20!H14+TONTNOV20!I14</f>
        <v>0</v>
      </c>
      <c r="M14" s="4"/>
      <c r="N14" s="5"/>
      <c r="O14" s="5"/>
      <c r="P14" s="7">
        <f t="shared" si="4"/>
        <v>0</v>
      </c>
      <c r="Q14" s="7"/>
      <c r="R14" s="7"/>
    </row>
    <row r="15" spans="1:18" x14ac:dyDescent="0.25">
      <c r="A15" s="1" t="s">
        <v>16</v>
      </c>
      <c r="B15" s="1" t="str">
        <f>VLOOKUP(A15,[4]LISTADHERENT!A$5:H$60,3,0)</f>
        <v>HENGUE PAUL OMER</v>
      </c>
      <c r="C15" s="7">
        <f t="shared" si="0"/>
        <v>0</v>
      </c>
      <c r="D15" s="7">
        <f t="shared" si="1"/>
        <v>0</v>
      </c>
      <c r="E15" s="7">
        <f t="shared" si="2"/>
        <v>0</v>
      </c>
      <c r="F15" s="5" t="s">
        <v>9</v>
      </c>
      <c r="G15" s="7">
        <f t="shared" si="3"/>
        <v>0</v>
      </c>
      <c r="H15" s="7"/>
      <c r="I15" s="7"/>
      <c r="J15" s="5"/>
      <c r="K15" s="5"/>
      <c r="L15" s="4">
        <f>TONTNOV20!H15+TONTNOV20!I15</f>
        <v>0</v>
      </c>
      <c r="M15" s="4"/>
      <c r="N15" s="5"/>
      <c r="O15" s="5"/>
      <c r="P15" s="7">
        <f t="shared" si="4"/>
        <v>0</v>
      </c>
      <c r="Q15" s="7"/>
      <c r="R15" s="7"/>
    </row>
    <row r="16" spans="1:18" x14ac:dyDescent="0.25">
      <c r="A16" s="1" t="s">
        <v>17</v>
      </c>
      <c r="B16" s="1" t="str">
        <f>VLOOKUP(A16,[4]LISTADHERENT!A$5:H$60,3,0)</f>
        <v>HOTCHO BENJAMIN</v>
      </c>
      <c r="C16" s="7">
        <f t="shared" si="0"/>
        <v>0</v>
      </c>
      <c r="D16" s="7">
        <f t="shared" si="1"/>
        <v>0</v>
      </c>
      <c r="E16" s="7">
        <f t="shared" si="2"/>
        <v>0</v>
      </c>
      <c r="F16" s="5" t="s">
        <v>9</v>
      </c>
      <c r="G16" s="7">
        <f t="shared" si="3"/>
        <v>0</v>
      </c>
      <c r="H16" s="7"/>
      <c r="I16" s="7"/>
      <c r="J16" s="5"/>
      <c r="K16" s="5"/>
      <c r="L16" s="4">
        <f>TONTNOV20!H16+TONTNOV20!I16</f>
        <v>0</v>
      </c>
      <c r="M16" s="4"/>
      <c r="N16" s="5"/>
      <c r="O16" s="5"/>
      <c r="P16" s="7">
        <f t="shared" si="4"/>
        <v>0</v>
      </c>
      <c r="Q16" s="7"/>
      <c r="R16" s="7"/>
    </row>
    <row r="17" spans="1:18" x14ac:dyDescent="0.25">
      <c r="A17" s="1" t="s">
        <v>19</v>
      </c>
      <c r="B17" s="1" t="str">
        <f>VLOOKUP(A17,[4]LISTADHERENT!A$5:H$60,3,0)</f>
        <v>KEPSEU FRANCIS</v>
      </c>
      <c r="C17" s="7">
        <f t="shared" si="0"/>
        <v>0</v>
      </c>
      <c r="D17" s="7">
        <f t="shared" si="1"/>
        <v>0</v>
      </c>
      <c r="E17" s="7">
        <f t="shared" si="2"/>
        <v>0</v>
      </c>
      <c r="F17" s="5" t="s">
        <v>9</v>
      </c>
      <c r="G17" s="7">
        <f t="shared" si="3"/>
        <v>0</v>
      </c>
      <c r="H17" s="7"/>
      <c r="I17" s="7"/>
      <c r="J17" s="5"/>
      <c r="K17" s="5"/>
      <c r="L17" s="4">
        <f>TONTNOV20!H17+TONTNOV20!I17</f>
        <v>0</v>
      </c>
      <c r="M17" s="4"/>
      <c r="N17" s="5"/>
      <c r="O17" s="5"/>
      <c r="P17" s="7">
        <f t="shared" si="4"/>
        <v>0</v>
      </c>
      <c r="Q17" s="7"/>
      <c r="R17" s="7"/>
    </row>
    <row r="18" spans="1:18" x14ac:dyDescent="0.25">
      <c r="A18" s="1" t="s">
        <v>21</v>
      </c>
      <c r="B18" s="1" t="str">
        <f>VLOOKUP(A18,[4]LISTADHERENT!A$5:H$60,3,0)</f>
        <v>KOUAMO VICTOR PEGUY</v>
      </c>
      <c r="C18" s="7">
        <f t="shared" si="0"/>
        <v>0</v>
      </c>
      <c r="D18" s="7">
        <f t="shared" si="1"/>
        <v>0</v>
      </c>
      <c r="E18" s="7">
        <f t="shared" si="2"/>
        <v>0</v>
      </c>
      <c r="F18" s="5" t="s">
        <v>9</v>
      </c>
      <c r="G18" s="7">
        <f t="shared" si="3"/>
        <v>0</v>
      </c>
      <c r="H18" s="7"/>
      <c r="I18" s="7"/>
      <c r="J18" s="5"/>
      <c r="K18" s="5"/>
      <c r="L18" s="4">
        <f>TONTNOV20!H18+TONTNOV20!I18</f>
        <v>0</v>
      </c>
      <c r="M18" s="4"/>
      <c r="N18" s="5"/>
      <c r="O18" s="5"/>
      <c r="P18" s="7">
        <f t="shared" si="4"/>
        <v>0</v>
      </c>
      <c r="Q18" s="7"/>
      <c r="R18" s="7"/>
    </row>
    <row r="19" spans="1:18" x14ac:dyDescent="0.25">
      <c r="A19" s="1" t="s">
        <v>20</v>
      </c>
      <c r="B19" s="1" t="str">
        <f>VLOOKUP(A19,[4]LISTADHERENT!A$5:H$60,3,0)</f>
        <v>KOUAMOU MOISE</v>
      </c>
      <c r="C19" s="7">
        <f t="shared" si="0"/>
        <v>0</v>
      </c>
      <c r="D19" s="7">
        <f t="shared" si="1"/>
        <v>0</v>
      </c>
      <c r="E19" s="7">
        <f t="shared" si="2"/>
        <v>0</v>
      </c>
      <c r="F19" s="5" t="s">
        <v>9</v>
      </c>
      <c r="G19" s="7">
        <f t="shared" si="3"/>
        <v>0</v>
      </c>
      <c r="H19" s="7"/>
      <c r="I19" s="7"/>
      <c r="J19" s="5"/>
      <c r="K19" s="5"/>
      <c r="L19" s="4">
        <f>TONTNOV20!H19+TONTNOV20!I19</f>
        <v>0</v>
      </c>
      <c r="M19" s="4"/>
      <c r="N19" s="5"/>
      <c r="O19" s="5"/>
      <c r="P19" s="7">
        <f t="shared" si="4"/>
        <v>0</v>
      </c>
      <c r="Q19" s="7"/>
      <c r="R19" s="7"/>
    </row>
    <row r="20" spans="1:18" x14ac:dyDescent="0.25">
      <c r="A20" s="1" t="s">
        <v>22</v>
      </c>
      <c r="B20" s="1" t="str">
        <f>VLOOKUP(A20,[4]LISTADHERENT!A$5:H$60,3,0)</f>
        <v>KOUATCHO MESSACK</v>
      </c>
      <c r="C20" s="7">
        <f t="shared" si="0"/>
        <v>0</v>
      </c>
      <c r="D20" s="7">
        <f t="shared" si="1"/>
        <v>0</v>
      </c>
      <c r="E20" s="7">
        <f t="shared" si="2"/>
        <v>0</v>
      </c>
      <c r="F20" s="5" t="s">
        <v>9</v>
      </c>
      <c r="G20" s="7">
        <f t="shared" si="3"/>
        <v>0</v>
      </c>
      <c r="H20" s="7"/>
      <c r="I20" s="7"/>
      <c r="J20" s="5"/>
      <c r="K20" s="5"/>
      <c r="L20" s="4">
        <f>TONTNOV20!H20+TONTNOV20!I20</f>
        <v>0</v>
      </c>
      <c r="M20" s="4"/>
      <c r="N20" s="5"/>
      <c r="O20" s="5"/>
      <c r="P20" s="7">
        <f t="shared" si="4"/>
        <v>0</v>
      </c>
      <c r="Q20" s="7"/>
      <c r="R20" s="7"/>
    </row>
    <row r="21" spans="1:18" x14ac:dyDescent="0.25">
      <c r="A21" s="1" t="s">
        <v>23</v>
      </c>
      <c r="B21" s="1" t="str">
        <f>VLOOKUP(A21,[4]LISTADHERENT!A$5:H$60,3,0)</f>
        <v>LOWE JEAN</v>
      </c>
      <c r="C21" s="7">
        <f t="shared" si="0"/>
        <v>0</v>
      </c>
      <c r="D21" s="7">
        <f t="shared" si="1"/>
        <v>0</v>
      </c>
      <c r="E21" s="7">
        <f t="shared" si="2"/>
        <v>0</v>
      </c>
      <c r="F21" s="5" t="s">
        <v>9</v>
      </c>
      <c r="G21" s="7">
        <f t="shared" si="3"/>
        <v>0</v>
      </c>
      <c r="H21" s="7"/>
      <c r="I21" s="7"/>
      <c r="J21" s="5"/>
      <c r="K21" s="5"/>
      <c r="L21" s="4">
        <f>TONTNOV20!H21+TONTNOV20!I21</f>
        <v>0</v>
      </c>
      <c r="M21" s="4"/>
      <c r="N21" s="5"/>
      <c r="O21" s="5"/>
      <c r="P21" s="7">
        <f t="shared" si="4"/>
        <v>0</v>
      </c>
      <c r="Q21" s="7"/>
      <c r="R21" s="7"/>
    </row>
    <row r="22" spans="1:18" x14ac:dyDescent="0.25">
      <c r="A22" s="1" t="s">
        <v>70</v>
      </c>
      <c r="B22" s="1" t="str">
        <f>VLOOKUP(A22,[4]LISTADHERENT!A$5:H$60,3,0)</f>
        <v>MBOGNING TUGMA GUY</v>
      </c>
      <c r="C22" s="7">
        <f t="shared" si="0"/>
        <v>0</v>
      </c>
      <c r="D22" s="7">
        <f t="shared" si="1"/>
        <v>0</v>
      </c>
      <c r="E22" s="7">
        <f t="shared" si="2"/>
        <v>0</v>
      </c>
      <c r="F22" s="5" t="s">
        <v>9</v>
      </c>
      <c r="G22" s="7">
        <f t="shared" si="3"/>
        <v>0</v>
      </c>
      <c r="H22" s="7"/>
      <c r="I22" s="7"/>
      <c r="J22" s="5"/>
      <c r="K22" s="5"/>
      <c r="L22" s="4">
        <f>TONTNOV20!H22+TONTNOV20!I22</f>
        <v>0</v>
      </c>
      <c r="M22" s="4"/>
      <c r="N22" s="5"/>
      <c r="O22" s="5"/>
      <c r="P22" s="7">
        <f t="shared" si="4"/>
        <v>0</v>
      </c>
      <c r="R22" s="7"/>
    </row>
    <row r="23" spans="1:18" x14ac:dyDescent="0.25">
      <c r="A23" s="1" t="s">
        <v>34</v>
      </c>
      <c r="B23" s="1" t="str">
        <f>VLOOKUP(A23,[4]LISTADHERENT!A$5:H$60,3,0)</f>
        <v>NANGUEN MARTIN</v>
      </c>
      <c r="C23" s="7">
        <f t="shared" si="0"/>
        <v>0</v>
      </c>
      <c r="D23" s="7">
        <f t="shared" si="1"/>
        <v>0</v>
      </c>
      <c r="E23" s="7">
        <f t="shared" si="2"/>
        <v>0</v>
      </c>
      <c r="F23" s="5" t="s">
        <v>9</v>
      </c>
      <c r="G23" s="7">
        <f t="shared" si="3"/>
        <v>0</v>
      </c>
      <c r="H23" s="7"/>
      <c r="I23" s="7"/>
      <c r="J23" s="5"/>
      <c r="K23" s="5"/>
      <c r="L23" s="4">
        <f>TONTNOV20!H23+TONTNOV20!I23</f>
        <v>0</v>
      </c>
      <c r="M23" s="4"/>
      <c r="N23" s="5"/>
      <c r="O23" s="5"/>
      <c r="P23" s="7">
        <f t="shared" si="4"/>
        <v>0</v>
      </c>
      <c r="Q23" s="7"/>
      <c r="R23" s="7"/>
    </row>
    <row r="24" spans="1:18" x14ac:dyDescent="0.25">
      <c r="A24" s="1" t="s">
        <v>24</v>
      </c>
      <c r="B24" s="1" t="str">
        <f>VLOOKUP(A24,[4]LISTADHERENT!A$5:H$60,3,0)</f>
        <v>NANKAM APPOLINAIRE</v>
      </c>
      <c r="C24" s="7">
        <f t="shared" si="0"/>
        <v>0</v>
      </c>
      <c r="D24" s="7">
        <f t="shared" si="1"/>
        <v>0</v>
      </c>
      <c r="E24" s="7">
        <f t="shared" si="2"/>
        <v>0</v>
      </c>
      <c r="F24" s="5" t="s">
        <v>9</v>
      </c>
      <c r="G24" s="7">
        <f t="shared" si="3"/>
        <v>0</v>
      </c>
      <c r="H24" s="7"/>
      <c r="I24" s="7"/>
      <c r="J24" s="5"/>
      <c r="K24" s="5"/>
      <c r="L24" s="4">
        <f>TONTNOV20!H24+TONTNOV20!I24</f>
        <v>0</v>
      </c>
      <c r="M24" s="4"/>
      <c r="N24" s="5"/>
      <c r="O24" s="5"/>
      <c r="P24" s="7">
        <f t="shared" si="4"/>
        <v>0</v>
      </c>
      <c r="Q24" s="7"/>
      <c r="R24" s="7"/>
    </row>
    <row r="25" spans="1:18" x14ac:dyDescent="0.25">
      <c r="A25" s="1" t="s">
        <v>25</v>
      </c>
      <c r="B25" s="1" t="str">
        <f>VLOOKUP(A25,[4]LISTADHERENT!A$5:H$60,3,0)</f>
        <v>NDJOMO ETIENNE</v>
      </c>
      <c r="C25" s="7">
        <f t="shared" si="0"/>
        <v>0</v>
      </c>
      <c r="D25" s="7">
        <f t="shared" si="1"/>
        <v>0</v>
      </c>
      <c r="E25" s="7">
        <f t="shared" si="2"/>
        <v>0</v>
      </c>
      <c r="F25" s="5" t="s">
        <v>9</v>
      </c>
      <c r="G25" s="7">
        <f t="shared" si="3"/>
        <v>0</v>
      </c>
      <c r="H25" s="7"/>
      <c r="I25" s="7"/>
      <c r="J25" s="5"/>
      <c r="K25" s="5"/>
      <c r="L25" s="4">
        <f>TONTNOV20!H25+TONTNOV20!I25</f>
        <v>0</v>
      </c>
      <c r="M25" s="4"/>
      <c r="N25" s="5"/>
      <c r="O25" s="5"/>
      <c r="P25" s="7">
        <f t="shared" si="4"/>
        <v>0</v>
      </c>
      <c r="Q25" s="7"/>
      <c r="R25" s="7"/>
    </row>
    <row r="26" spans="1:18" x14ac:dyDescent="0.25">
      <c r="A26" s="1" t="s">
        <v>26</v>
      </c>
      <c r="B26" s="1" t="str">
        <f>VLOOKUP(A26,[4]LISTADHERENT!A$5:H$60,3,0)</f>
        <v>NGONDIEP CLAUDE</v>
      </c>
      <c r="C26" s="7">
        <f t="shared" si="0"/>
        <v>0</v>
      </c>
      <c r="D26" s="7">
        <f t="shared" si="1"/>
        <v>0</v>
      </c>
      <c r="E26" s="7">
        <f t="shared" si="2"/>
        <v>0</v>
      </c>
      <c r="F26" s="5" t="s">
        <v>9</v>
      </c>
      <c r="G26" s="7">
        <f t="shared" si="3"/>
        <v>0</v>
      </c>
      <c r="H26" s="7"/>
      <c r="I26" s="7"/>
      <c r="J26" s="5"/>
      <c r="K26" s="5"/>
      <c r="L26" s="4">
        <f>TONTNOV20!H26+TONTNOV20!I26</f>
        <v>0</v>
      </c>
      <c r="M26" s="4"/>
      <c r="N26" s="5"/>
      <c r="O26" s="5"/>
      <c r="P26" s="7">
        <f t="shared" si="4"/>
        <v>0</v>
      </c>
      <c r="Q26" s="7"/>
      <c r="R26" s="7"/>
    </row>
    <row r="27" spans="1:18" x14ac:dyDescent="0.25">
      <c r="A27" s="1" t="s">
        <v>27</v>
      </c>
      <c r="B27" s="1" t="str">
        <f>VLOOKUP(A27,[4]LISTADHERENT!A$5:H$60,3,0)</f>
        <v>NGUIEMEGNI MATHIEU BLAISE</v>
      </c>
      <c r="C27" s="7">
        <f t="shared" si="0"/>
        <v>0</v>
      </c>
      <c r="D27" s="7">
        <f t="shared" si="1"/>
        <v>0</v>
      </c>
      <c r="E27" s="7">
        <f t="shared" si="2"/>
        <v>0</v>
      </c>
      <c r="F27" s="5" t="s">
        <v>9</v>
      </c>
      <c r="G27" s="7">
        <f t="shared" si="3"/>
        <v>0</v>
      </c>
      <c r="H27" s="7"/>
      <c r="I27" s="7"/>
      <c r="J27" s="5"/>
      <c r="K27" s="5"/>
      <c r="L27" s="4">
        <f>TONTNOV20!H27+TONTNOV20!I27</f>
        <v>0</v>
      </c>
      <c r="M27" s="4"/>
      <c r="N27" s="5"/>
      <c r="O27" s="5"/>
      <c r="P27" s="7">
        <f t="shared" si="4"/>
        <v>0</v>
      </c>
      <c r="Q27" s="7"/>
      <c r="R27" s="7"/>
    </row>
    <row r="28" spans="1:18" x14ac:dyDescent="0.25">
      <c r="A28" s="1" t="s">
        <v>28</v>
      </c>
      <c r="B28" s="1" t="str">
        <f>VLOOKUP(A28,[4]LISTADHERENT!A$5:H$60,3,0)</f>
        <v>NKAMGANG JUSTIN DEJOLIE</v>
      </c>
      <c r="C28" s="7">
        <f t="shared" si="0"/>
        <v>0</v>
      </c>
      <c r="D28" s="7">
        <f t="shared" si="1"/>
        <v>0</v>
      </c>
      <c r="E28" s="7">
        <f t="shared" si="2"/>
        <v>0</v>
      </c>
      <c r="F28" s="5" t="s">
        <v>9</v>
      </c>
      <c r="G28" s="7">
        <f t="shared" si="3"/>
        <v>0</v>
      </c>
      <c r="H28" s="7"/>
      <c r="I28" s="7"/>
      <c r="J28" s="5"/>
      <c r="K28" s="5"/>
      <c r="L28" s="4">
        <f>TONTNOV20!H28+TONTNOV20!I28</f>
        <v>0</v>
      </c>
      <c r="M28" s="4"/>
      <c r="N28" s="5"/>
      <c r="O28" s="5"/>
      <c r="P28" s="7">
        <f t="shared" si="4"/>
        <v>0</v>
      </c>
      <c r="Q28" s="7"/>
      <c r="R28" s="7"/>
    </row>
    <row r="29" spans="1:18" x14ac:dyDescent="0.25">
      <c r="A29" s="1" t="s">
        <v>18</v>
      </c>
      <c r="B29" s="1" t="str">
        <f>VLOOKUP(A29,[4]LISTADHERENT!A$5:H$60,3,0)</f>
        <v>NKEHE DAVID</v>
      </c>
      <c r="C29" s="7">
        <f t="shared" si="0"/>
        <v>0</v>
      </c>
      <c r="D29" s="7">
        <f t="shared" si="1"/>
        <v>0</v>
      </c>
      <c r="E29" s="7">
        <f t="shared" si="2"/>
        <v>0</v>
      </c>
      <c r="F29" s="5" t="s">
        <v>9</v>
      </c>
      <c r="G29" s="7">
        <f t="shared" si="3"/>
        <v>0</v>
      </c>
      <c r="H29" s="7"/>
      <c r="I29" s="7"/>
      <c r="J29" s="5"/>
      <c r="K29" s="5"/>
      <c r="L29" s="4">
        <f>TONTNOV20!H29+TONTNOV20!I29</f>
        <v>0</v>
      </c>
      <c r="M29" s="4"/>
      <c r="N29" s="5"/>
      <c r="O29" s="5"/>
      <c r="P29" s="7">
        <f t="shared" si="4"/>
        <v>0</v>
      </c>
      <c r="Q29" s="7"/>
      <c r="R29" s="7"/>
    </row>
    <row r="30" spans="1:18" x14ac:dyDescent="0.25">
      <c r="A30" s="1" t="s">
        <v>29</v>
      </c>
      <c r="B30" s="1" t="str">
        <f>VLOOKUP(A30,[4]LISTADHERENT!A$5:H$60,3,0)</f>
        <v>NKEPSEU DIEUDONNE</v>
      </c>
      <c r="C30" s="7">
        <f t="shared" si="0"/>
        <v>0</v>
      </c>
      <c r="D30" s="7">
        <f t="shared" si="1"/>
        <v>0</v>
      </c>
      <c r="E30" s="7">
        <f t="shared" si="2"/>
        <v>0</v>
      </c>
      <c r="F30" s="5" t="s">
        <v>9</v>
      </c>
      <c r="G30" s="7">
        <f t="shared" si="3"/>
        <v>0</v>
      </c>
      <c r="H30" s="7"/>
      <c r="I30" s="7"/>
      <c r="J30" s="5"/>
      <c r="K30" s="5"/>
      <c r="L30" s="4">
        <f>TONTNOV20!H30+TONTNOV20!I30</f>
        <v>0</v>
      </c>
      <c r="M30" s="4"/>
      <c r="N30" s="5"/>
      <c r="O30" s="5"/>
      <c r="P30" s="7">
        <f t="shared" si="4"/>
        <v>0</v>
      </c>
      <c r="Q30" s="7"/>
      <c r="R30" s="7"/>
    </row>
    <row r="31" spans="1:18" x14ac:dyDescent="0.25">
      <c r="A31" s="1" t="s">
        <v>30</v>
      </c>
      <c r="B31" s="1" t="str">
        <f>VLOOKUP(A31,[4]LISTADHERENT!A$5:H$60,3,0)</f>
        <v>PATEGO NJOSSU GUSTAVE</v>
      </c>
      <c r="C31" s="7">
        <f t="shared" si="0"/>
        <v>0</v>
      </c>
      <c r="D31" s="7">
        <f t="shared" si="1"/>
        <v>0</v>
      </c>
      <c r="E31" s="7">
        <f t="shared" si="2"/>
        <v>0</v>
      </c>
      <c r="F31" s="5" t="s">
        <v>9</v>
      </c>
      <c r="G31" s="7">
        <f t="shared" si="3"/>
        <v>0</v>
      </c>
      <c r="H31" s="7"/>
      <c r="I31" s="7"/>
      <c r="J31" s="5"/>
      <c r="K31" s="5"/>
      <c r="L31" s="4">
        <f>TONTNOV20!H31+TONTNOV20!I31</f>
        <v>0</v>
      </c>
      <c r="M31" s="4"/>
      <c r="N31" s="5"/>
      <c r="O31" s="5"/>
      <c r="P31" s="7">
        <f t="shared" si="4"/>
        <v>0</v>
      </c>
      <c r="Q31" s="7"/>
      <c r="R31" s="7"/>
    </row>
    <row r="32" spans="1:18" x14ac:dyDescent="0.25">
      <c r="A32" s="1" t="s">
        <v>72</v>
      </c>
      <c r="B32" s="1" t="str">
        <f>VLOOKUP(A32,[4]LISTADHERENT!A$5:H$60,3,0)</f>
        <v>SIME BRICE</v>
      </c>
      <c r="C32" s="7">
        <f t="shared" si="0"/>
        <v>0</v>
      </c>
      <c r="D32" s="7">
        <f t="shared" si="1"/>
        <v>0</v>
      </c>
      <c r="E32" s="7">
        <f t="shared" si="2"/>
        <v>0</v>
      </c>
      <c r="F32" s="5" t="s">
        <v>9</v>
      </c>
      <c r="G32" s="7">
        <f t="shared" si="3"/>
        <v>0</v>
      </c>
      <c r="H32" s="7"/>
      <c r="I32" s="7"/>
      <c r="J32" s="5"/>
      <c r="K32" s="5"/>
      <c r="L32" s="4">
        <f>TONTNOV20!H32+TONTNOV20!I32</f>
        <v>0</v>
      </c>
      <c r="M32" s="4"/>
      <c r="N32" s="5"/>
      <c r="O32" s="5"/>
      <c r="P32" s="7">
        <f t="shared" si="4"/>
        <v>0</v>
      </c>
    </row>
    <row r="33" spans="1:18" x14ac:dyDescent="0.25">
      <c r="A33" s="1" t="s">
        <v>31</v>
      </c>
      <c r="B33" s="1" t="str">
        <f>VLOOKUP(A33,[4]LISTADHERENT!A$5:H$60,3,0)</f>
        <v>SIMO FONGANG ERIC</v>
      </c>
      <c r="C33" s="7">
        <f t="shared" si="0"/>
        <v>0</v>
      </c>
      <c r="D33" s="7">
        <f t="shared" si="1"/>
        <v>0</v>
      </c>
      <c r="E33" s="7">
        <f t="shared" si="2"/>
        <v>0</v>
      </c>
      <c r="F33" s="5" t="s">
        <v>9</v>
      </c>
      <c r="G33" s="7">
        <f t="shared" si="3"/>
        <v>0</v>
      </c>
      <c r="H33" s="7"/>
      <c r="I33" s="7"/>
      <c r="J33" s="5"/>
      <c r="K33" s="5"/>
      <c r="L33" s="4">
        <f>TONTNOV20!H33+TONTNOV20!I33</f>
        <v>0</v>
      </c>
      <c r="M33" s="4"/>
      <c r="N33" s="5"/>
      <c r="O33" s="5"/>
      <c r="P33" s="7">
        <f t="shared" si="4"/>
        <v>0</v>
      </c>
      <c r="Q33" s="7"/>
      <c r="R33" s="7"/>
    </row>
    <row r="34" spans="1:18" x14ac:dyDescent="0.25">
      <c r="A34" s="1" t="s">
        <v>32</v>
      </c>
      <c r="B34" s="1" t="str">
        <f>VLOOKUP(A34,[4]LISTADHERENT!A$5:H$60,3,0)</f>
        <v>SIME MATHIEU</v>
      </c>
      <c r="C34" s="7">
        <f t="shared" si="0"/>
        <v>0</v>
      </c>
      <c r="D34" s="7">
        <f t="shared" si="1"/>
        <v>0</v>
      </c>
      <c r="E34" s="7">
        <f t="shared" si="2"/>
        <v>0</v>
      </c>
      <c r="F34" s="5" t="s">
        <v>9</v>
      </c>
      <c r="G34" s="7">
        <f t="shared" si="3"/>
        <v>0</v>
      </c>
      <c r="H34" s="7"/>
      <c r="I34" s="7"/>
      <c r="J34" s="5"/>
      <c r="K34" s="5"/>
      <c r="L34" s="4">
        <f>TONTNOV20!H34+TONTNOV20!I34</f>
        <v>0</v>
      </c>
      <c r="M34" s="4"/>
      <c r="N34" s="5"/>
      <c r="O34" s="5"/>
      <c r="P34" s="7">
        <f t="shared" si="4"/>
        <v>0</v>
      </c>
      <c r="Q34" s="7"/>
      <c r="R34" s="7"/>
    </row>
    <row r="35" spans="1:18" x14ac:dyDescent="0.25">
      <c r="A35" s="1" t="s">
        <v>33</v>
      </c>
      <c r="B35" s="1" t="str">
        <f>VLOOKUP(A35,[4]LISTADHERENT!A$5:H$60,3,0)</f>
        <v>SIMO PIERRE</v>
      </c>
      <c r="C35" s="7">
        <f t="shared" si="0"/>
        <v>0</v>
      </c>
      <c r="D35" s="7">
        <f t="shared" si="1"/>
        <v>0</v>
      </c>
      <c r="E35" s="7">
        <f t="shared" si="2"/>
        <v>0</v>
      </c>
      <c r="F35" s="5" t="s">
        <v>9</v>
      </c>
      <c r="G35" s="7">
        <f t="shared" si="3"/>
        <v>0</v>
      </c>
      <c r="H35" s="7"/>
      <c r="I35" s="7"/>
      <c r="J35" s="5"/>
      <c r="K35" s="5"/>
      <c r="L35" s="4">
        <f>TONTNOV20!H35+TONTNOV20!I35</f>
        <v>0</v>
      </c>
      <c r="M35" s="4"/>
      <c r="N35" s="5"/>
      <c r="O35" s="5"/>
      <c r="P35" s="7">
        <f t="shared" si="4"/>
        <v>0</v>
      </c>
      <c r="Q35" s="7"/>
      <c r="R35" s="7"/>
    </row>
    <row r="36" spans="1:18" x14ac:dyDescent="0.25">
      <c r="A36" s="1" t="s">
        <v>35</v>
      </c>
      <c r="B36" s="1" t="str">
        <f>VLOOKUP(A36,[4]LISTADHERENT!A$5:H$60,3,0)</f>
        <v>TCHOUAMOU MATHIEU</v>
      </c>
      <c r="C36" s="7">
        <f t="shared" si="0"/>
        <v>0</v>
      </c>
      <c r="D36" s="7">
        <f t="shared" si="1"/>
        <v>0</v>
      </c>
      <c r="E36" s="7">
        <f t="shared" si="2"/>
        <v>0</v>
      </c>
      <c r="F36" s="5" t="s">
        <v>9</v>
      </c>
      <c r="G36" s="7">
        <f t="shared" si="3"/>
        <v>0</v>
      </c>
      <c r="H36" s="7"/>
      <c r="I36" s="7"/>
      <c r="J36" s="5"/>
      <c r="K36" s="5"/>
      <c r="L36" s="4">
        <f>TONTNOV20!H36+TONTNOV20!I36</f>
        <v>0</v>
      </c>
      <c r="M36" s="4"/>
      <c r="N36" s="5"/>
      <c r="O36" s="5"/>
      <c r="P36" s="7">
        <f t="shared" si="4"/>
        <v>0</v>
      </c>
      <c r="Q36" s="7"/>
      <c r="R36" s="7"/>
    </row>
    <row r="37" spans="1:18" x14ac:dyDescent="0.25">
      <c r="A37" s="1" t="s">
        <v>36</v>
      </c>
      <c r="B37" s="1" t="str">
        <f>VLOOKUP(A37,[4]LISTADHERENT!A$5:H$60,3,0)</f>
        <v>TIEYAM ERNEST</v>
      </c>
      <c r="C37" s="7">
        <f t="shared" si="0"/>
        <v>0</v>
      </c>
      <c r="D37" s="7">
        <f t="shared" si="1"/>
        <v>0</v>
      </c>
      <c r="E37" s="7">
        <f t="shared" si="2"/>
        <v>0</v>
      </c>
      <c r="F37" s="5" t="s">
        <v>9</v>
      </c>
      <c r="G37" s="7">
        <f t="shared" si="3"/>
        <v>0</v>
      </c>
      <c r="H37" s="7"/>
      <c r="I37" s="7"/>
      <c r="J37" s="5"/>
      <c r="K37" s="5"/>
      <c r="L37" s="4">
        <f>TONTNOV20!H37+TONTNOV20!I37</f>
        <v>0</v>
      </c>
      <c r="M37" s="4"/>
      <c r="N37" s="5"/>
      <c r="O37" s="5"/>
      <c r="P37" s="7">
        <f t="shared" si="4"/>
        <v>0</v>
      </c>
      <c r="Q37" s="7"/>
      <c r="R37" s="7"/>
    </row>
    <row r="38" spans="1:18" x14ac:dyDescent="0.25">
      <c r="A38" s="1" t="s">
        <v>37</v>
      </c>
      <c r="B38" s="1" t="str">
        <f>VLOOKUP(A38,[4]LISTADHERENT!A$5:H$60,3,0)</f>
        <v>YEPMOU JEAN JACQUES</v>
      </c>
      <c r="C38" s="7">
        <f t="shared" si="0"/>
        <v>0</v>
      </c>
      <c r="D38" s="7">
        <f t="shared" si="1"/>
        <v>0</v>
      </c>
      <c r="E38" s="7">
        <f t="shared" si="2"/>
        <v>0</v>
      </c>
      <c r="F38" s="5" t="s">
        <v>9</v>
      </c>
      <c r="G38" s="7">
        <f t="shared" si="3"/>
        <v>0</v>
      </c>
      <c r="H38" s="7"/>
      <c r="I38" s="7"/>
      <c r="J38" s="5"/>
      <c r="K38" s="5"/>
      <c r="L38" s="4">
        <f>TONTNOV20!H38+TONTNOV20!I38</f>
        <v>0</v>
      </c>
      <c r="M38" s="4"/>
      <c r="N38" s="5"/>
      <c r="O38" s="5"/>
      <c r="P38" s="7">
        <f t="shared" si="4"/>
        <v>0</v>
      </c>
      <c r="Q38" s="7"/>
      <c r="R38" s="7"/>
    </row>
    <row r="39" spans="1:18" x14ac:dyDescent="0.25">
      <c r="A39" s="1" t="s">
        <v>38</v>
      </c>
      <c r="B39" s="1" t="str">
        <f>VLOOKUP(A39,[4]LISTADHERENT!A$5:H$60,3,0)</f>
        <v>YOUMBI EMMANUEL</v>
      </c>
      <c r="C39" s="7">
        <f t="shared" si="0"/>
        <v>0</v>
      </c>
      <c r="D39" s="7">
        <f t="shared" si="1"/>
        <v>0</v>
      </c>
      <c r="E39" s="7">
        <f t="shared" si="2"/>
        <v>0</v>
      </c>
      <c r="F39" s="5" t="s">
        <v>9</v>
      </c>
      <c r="G39" s="7">
        <f t="shared" si="3"/>
        <v>0</v>
      </c>
      <c r="H39" s="7"/>
      <c r="I39" s="7"/>
      <c r="J39" s="5"/>
      <c r="K39" s="5"/>
      <c r="L39" s="4">
        <f>TONTNOV20!H39+TONTNOV20!I39</f>
        <v>0</v>
      </c>
      <c r="M39" s="4"/>
      <c r="N39" s="5"/>
      <c r="O39" s="5"/>
      <c r="P39" s="7">
        <f t="shared" si="4"/>
        <v>0</v>
      </c>
      <c r="Q39" s="7"/>
      <c r="R39" s="7"/>
    </row>
    <row r="40" spans="1:18" x14ac:dyDescent="0.25">
      <c r="A40" s="1" t="s">
        <v>92</v>
      </c>
      <c r="B40" s="1" t="s">
        <v>91</v>
      </c>
      <c r="C40" s="7">
        <f t="shared" si="0"/>
        <v>0</v>
      </c>
      <c r="D40" s="7">
        <f t="shared" si="1"/>
        <v>0</v>
      </c>
      <c r="E40" s="7">
        <f t="shared" si="2"/>
        <v>0</v>
      </c>
      <c r="F40" s="5" t="s">
        <v>9</v>
      </c>
      <c r="G40" s="7">
        <f t="shared" si="3"/>
        <v>0</v>
      </c>
      <c r="H40" s="7"/>
      <c r="I40" s="7"/>
      <c r="J40" s="5"/>
      <c r="K40" s="5"/>
      <c r="L40" s="7"/>
      <c r="M40" s="4"/>
      <c r="N40" s="5"/>
      <c r="O40" s="5"/>
      <c r="P40" s="7"/>
    </row>
    <row r="41" spans="1:18" x14ac:dyDescent="0.25">
      <c r="A41" s="1"/>
      <c r="B41" s="1"/>
      <c r="C41" s="7"/>
      <c r="D41" s="7"/>
      <c r="E41" s="7"/>
      <c r="F41" s="5"/>
      <c r="G41" s="7"/>
      <c r="H41" s="7"/>
      <c r="I41" s="7"/>
      <c r="J41" s="5"/>
      <c r="K41" s="5"/>
      <c r="L41" s="7"/>
      <c r="M41" s="5"/>
      <c r="N41" s="5"/>
      <c r="O41" s="5"/>
      <c r="P41" s="7"/>
    </row>
    <row r="42" spans="1:18" x14ac:dyDescent="0.25">
      <c r="A42" s="1"/>
      <c r="B42" s="1"/>
      <c r="C42" s="7"/>
      <c r="D42" s="7"/>
      <c r="E42" s="7"/>
      <c r="F42" s="5"/>
      <c r="G42" s="7"/>
      <c r="H42" s="7"/>
      <c r="I42" s="7"/>
      <c r="J42" s="5"/>
      <c r="K42" s="5"/>
      <c r="L42" s="7"/>
      <c r="M42" s="5"/>
      <c r="N42" s="5"/>
      <c r="O42" s="5"/>
      <c r="P42" s="7"/>
    </row>
    <row r="43" spans="1:18" x14ac:dyDescent="0.25">
      <c r="A43" s="1"/>
      <c r="B43" s="1"/>
      <c r="C43" s="7"/>
      <c r="D43" s="7"/>
      <c r="E43" s="7"/>
      <c r="F43" s="5"/>
      <c r="G43" s="7"/>
      <c r="H43" s="7"/>
      <c r="I43" s="7"/>
      <c r="J43" s="5"/>
      <c r="K43" s="5"/>
      <c r="L43" s="7"/>
      <c r="M43" s="5"/>
      <c r="N43" s="5"/>
      <c r="O43" s="5"/>
      <c r="P43" s="7"/>
    </row>
    <row r="44" spans="1:18" x14ac:dyDescent="0.25">
      <c r="A44" s="1"/>
      <c r="B44" s="1"/>
      <c r="C44" s="1"/>
      <c r="D44" s="1"/>
      <c r="E44" s="1"/>
      <c r="F44" s="1"/>
      <c r="M44" s="1"/>
      <c r="N44" s="1"/>
    </row>
    <row r="45" spans="1:18" x14ac:dyDescent="0.25">
      <c r="A45" s="1"/>
      <c r="B45" s="1"/>
      <c r="C45" s="1"/>
      <c r="D45" s="1"/>
      <c r="E45" s="1"/>
      <c r="F45" s="1"/>
      <c r="M45" s="1"/>
      <c r="N45" s="1"/>
    </row>
    <row r="46" spans="1:18" ht="18" x14ac:dyDescent="0.25">
      <c r="A46" s="1" t="s">
        <v>39</v>
      </c>
      <c r="B46" s="1"/>
      <c r="C46" s="8">
        <f>SUM(C7:C45)</f>
        <v>0</v>
      </c>
      <c r="D46" s="8">
        <f t="shared" ref="D46:R46" si="5">SUM(D7:D45)</f>
        <v>0</v>
      </c>
      <c r="E46" s="8">
        <f t="shared" si="5"/>
        <v>0</v>
      </c>
      <c r="F46" s="8">
        <f t="shared" si="5"/>
        <v>0</v>
      </c>
      <c r="G46" s="8">
        <f t="shared" si="5"/>
        <v>0</v>
      </c>
      <c r="H46" s="8">
        <f t="shared" si="5"/>
        <v>0</v>
      </c>
      <c r="I46" s="8">
        <f t="shared" si="5"/>
        <v>0</v>
      </c>
      <c r="J46" s="8">
        <f t="shared" si="5"/>
        <v>0</v>
      </c>
      <c r="K46" s="8">
        <f t="shared" si="5"/>
        <v>0</v>
      </c>
      <c r="L46" s="8">
        <f t="shared" si="5"/>
        <v>0</v>
      </c>
      <c r="M46" s="8">
        <f t="shared" si="5"/>
        <v>0</v>
      </c>
      <c r="N46" s="8">
        <f t="shared" si="5"/>
        <v>0</v>
      </c>
      <c r="O46" s="8">
        <f t="shared" si="5"/>
        <v>0</v>
      </c>
      <c r="P46" s="8">
        <f t="shared" si="5"/>
        <v>0</v>
      </c>
      <c r="Q46" s="8">
        <f t="shared" si="5"/>
        <v>0</v>
      </c>
      <c r="R46" s="8">
        <f t="shared" si="5"/>
        <v>0</v>
      </c>
    </row>
    <row r="48" spans="1:18" x14ac:dyDescent="0.25">
      <c r="I48" s="9"/>
    </row>
    <row r="49" spans="4:15" ht="18" x14ac:dyDescent="0.25">
      <c r="G49" s="8" t="s">
        <v>75</v>
      </c>
      <c r="H49" s="8">
        <f>D73+H73+Q46</f>
        <v>0</v>
      </c>
      <c r="I49" s="8"/>
      <c r="J49" s="8"/>
      <c r="K49" s="8"/>
      <c r="O49" s="8"/>
    </row>
    <row r="50" spans="4:15" ht="18" x14ac:dyDescent="0.25">
      <c r="G50" s="8" t="s">
        <v>76</v>
      </c>
      <c r="H50" s="8">
        <f>IF(H49&gt;=900000,300000*3,300000*2)</f>
        <v>600000</v>
      </c>
      <c r="I50" s="9"/>
    </row>
    <row r="51" spans="4:15" ht="18" x14ac:dyDescent="0.25">
      <c r="D51" s="4" t="s">
        <v>47</v>
      </c>
      <c r="E51" s="8">
        <f>+D46</f>
        <v>0</v>
      </c>
      <c r="I51" s="8"/>
      <c r="J51" s="8"/>
      <c r="K51" s="8"/>
      <c r="O51" s="8"/>
    </row>
    <row r="52" spans="4:15" ht="43.5" x14ac:dyDescent="0.25">
      <c r="D52" s="4" t="s">
        <v>65</v>
      </c>
      <c r="E52" s="8">
        <f>E46</f>
        <v>0</v>
      </c>
      <c r="F52" s="8"/>
      <c r="G52" s="8" t="s">
        <v>74</v>
      </c>
      <c r="H52" s="8">
        <f>H49-H50</f>
        <v>-600000</v>
      </c>
      <c r="L52" s="12"/>
      <c r="M52" s="8"/>
      <c r="N52" s="8"/>
    </row>
    <row r="53" spans="4:15" ht="18" x14ac:dyDescent="0.25">
      <c r="D53" s="4" t="s">
        <v>60</v>
      </c>
      <c r="E53" s="8">
        <f>+H46</f>
        <v>0</v>
      </c>
    </row>
    <row r="54" spans="4:15" ht="29.25" x14ac:dyDescent="0.25">
      <c r="D54" s="4" t="s">
        <v>79</v>
      </c>
      <c r="E54" s="8">
        <f>+I46</f>
        <v>0</v>
      </c>
      <c r="G54" s="8" t="s">
        <v>78</v>
      </c>
      <c r="H54" s="8">
        <f>H52-H46</f>
        <v>-600000</v>
      </c>
      <c r="I54" s="3" t="s">
        <v>94</v>
      </c>
    </row>
    <row r="55" spans="4:15" ht="29.25" x14ac:dyDescent="0.25">
      <c r="D55" s="4" t="s">
        <v>66</v>
      </c>
      <c r="E55" s="8">
        <f>+L46</f>
        <v>0</v>
      </c>
    </row>
    <row r="56" spans="4:15" ht="29.25" x14ac:dyDescent="0.25">
      <c r="D56" s="4" t="s">
        <v>67</v>
      </c>
      <c r="E56" s="8">
        <f>+Q46</f>
        <v>0</v>
      </c>
    </row>
    <row r="57" spans="4:15" ht="18" x14ac:dyDescent="0.25">
      <c r="D57" s="4" t="s">
        <v>51</v>
      </c>
      <c r="E57" s="8">
        <f>[5]MVTDEC20!$E$49</f>
        <v>0</v>
      </c>
    </row>
    <row r="58" spans="4:15" ht="18" x14ac:dyDescent="0.25">
      <c r="D58" s="4" t="s">
        <v>41</v>
      </c>
      <c r="E58" s="8">
        <f>[5]MVTDEC20!$E$50</f>
        <v>0</v>
      </c>
    </row>
    <row r="59" spans="4:15" ht="29.25" x14ac:dyDescent="0.25">
      <c r="D59" s="4" t="s">
        <v>42</v>
      </c>
      <c r="E59" s="8">
        <f>[5]MVTDEC20!$E$51</f>
        <v>0</v>
      </c>
    </row>
    <row r="60" spans="4:15" ht="29.25" x14ac:dyDescent="0.25">
      <c r="D60" s="4" t="s">
        <v>43</v>
      </c>
      <c r="E60" s="8">
        <f>[5]MVTDEC20!$E$52</f>
        <v>0</v>
      </c>
    </row>
    <row r="61" spans="4:15" ht="18" x14ac:dyDescent="0.25">
      <c r="D61" s="4" t="s">
        <v>44</v>
      </c>
      <c r="E61" s="8">
        <f>[5]MVTDEC20!$E$53</f>
        <v>0</v>
      </c>
    </row>
    <row r="62" spans="4:15" ht="18" x14ac:dyDescent="0.25">
      <c r="D62" s="4" t="s">
        <v>52</v>
      </c>
      <c r="E62" s="8">
        <f>[5]MVTDEC20!$E$55</f>
        <v>0</v>
      </c>
    </row>
    <row r="63" spans="4:15" ht="18" x14ac:dyDescent="0.25">
      <c r="D63" s="4" t="s">
        <v>48</v>
      </c>
      <c r="E63" s="8">
        <f>[5]MVTDEC20!$E$56</f>
        <v>0</v>
      </c>
    </row>
    <row r="64" spans="4:15" ht="18" x14ac:dyDescent="0.25">
      <c r="D64" s="4" t="s">
        <v>49</v>
      </c>
      <c r="E64" s="8">
        <f>[5]MVTDEC20!$E$57</f>
        <v>0</v>
      </c>
    </row>
    <row r="65" spans="1:18" ht="29.25" x14ac:dyDescent="0.25">
      <c r="D65" s="4" t="s">
        <v>50</v>
      </c>
      <c r="E65" s="8">
        <f>[5]MVTDEC20!$E$58</f>
        <v>0</v>
      </c>
    </row>
    <row r="66" spans="1:18" s="2" customFormat="1" ht="29.25" x14ac:dyDescent="0.25">
      <c r="A66"/>
      <c r="B66"/>
      <c r="C66"/>
      <c r="D66" s="4" t="s">
        <v>87</v>
      </c>
      <c r="E66" s="8">
        <f>[5]MVTDEC20!$E$59</f>
        <v>0</v>
      </c>
      <c r="F66"/>
      <c r="H66"/>
      <c r="I66" s="3"/>
      <c r="J66" s="3"/>
      <c r="K66" s="3"/>
      <c r="M66"/>
      <c r="N66"/>
      <c r="O66" s="3"/>
      <c r="R66"/>
    </row>
    <row r="67" spans="1:18" s="2" customFormat="1" ht="18" x14ac:dyDescent="0.25">
      <c r="A67"/>
      <c r="B67"/>
      <c r="C67"/>
      <c r="D67" s="4" t="s">
        <v>53</v>
      </c>
      <c r="E67" s="8">
        <f>[5]MVTDEC20!$E$60</f>
        <v>0</v>
      </c>
      <c r="F67"/>
      <c r="H67"/>
      <c r="I67" s="3"/>
      <c r="J67" s="3"/>
      <c r="K67" s="3"/>
      <c r="M67"/>
      <c r="N67"/>
      <c r="O67" s="3"/>
      <c r="R67"/>
    </row>
    <row r="68" spans="1:18" s="2" customFormat="1" ht="18" x14ac:dyDescent="0.25">
      <c r="A68"/>
      <c r="B68"/>
      <c r="C68"/>
      <c r="D68" s="4"/>
      <c r="E68" s="8"/>
      <c r="F68"/>
      <c r="H68"/>
      <c r="I68" s="3"/>
      <c r="J68" s="3"/>
      <c r="K68" s="3"/>
      <c r="M68"/>
      <c r="N68"/>
      <c r="O68" s="3"/>
      <c r="R68"/>
    </row>
    <row r="69" spans="1:18" s="2" customFormat="1" ht="43.5" x14ac:dyDescent="0.25">
      <c r="A69"/>
      <c r="B69"/>
      <c r="C69"/>
      <c r="D69" s="4" t="s">
        <v>6</v>
      </c>
      <c r="E69"/>
      <c r="F69" s="4" t="s">
        <v>73</v>
      </c>
      <c r="G69" s="4" t="s">
        <v>68</v>
      </c>
      <c r="H69" s="4" t="s">
        <v>55</v>
      </c>
      <c r="I69" s="4" t="s">
        <v>60</v>
      </c>
      <c r="J69" s="4" t="s">
        <v>62</v>
      </c>
      <c r="K69" s="4"/>
      <c r="L69" s="4" t="s">
        <v>63</v>
      </c>
      <c r="M69" s="4"/>
      <c r="N69"/>
      <c r="O69" s="4"/>
      <c r="R69"/>
    </row>
    <row r="70" spans="1:18" s="2" customFormat="1" ht="18" x14ac:dyDescent="0.25">
      <c r="A70"/>
      <c r="B70"/>
      <c r="C70"/>
      <c r="D70" s="8">
        <f>SUMIFS(D7:D45,F7:F45,"ESPECES")</f>
        <v>0</v>
      </c>
      <c r="E70" s="8" t="s">
        <v>45</v>
      </c>
      <c r="F70" s="8">
        <f>SUMIFS(G7:G45,F7:F45,"ESPECES")</f>
        <v>0</v>
      </c>
      <c r="G70" s="8">
        <f>+E46</f>
        <v>0</v>
      </c>
      <c r="H70" s="8">
        <f>SUMIFS(L7:L45,M7:M45,"ESPECES")</f>
        <v>0</v>
      </c>
      <c r="I70" s="8">
        <f>SUMIFS(H7:H45,J7:J45,"ESPECES")</f>
        <v>0</v>
      </c>
      <c r="J70" s="8">
        <f>SUMIFS(P7:P45,N7:N45,"ESPECES")</f>
        <v>0</v>
      </c>
      <c r="K70" s="8"/>
      <c r="L70" s="8">
        <f>F70+H70+G70-I70-J70</f>
        <v>0</v>
      </c>
      <c r="M70" s="8"/>
      <c r="N70" s="4"/>
      <c r="O70" s="8"/>
      <c r="R70"/>
    </row>
    <row r="71" spans="1:18" s="2" customFormat="1" ht="18" x14ac:dyDescent="0.25">
      <c r="A71"/>
      <c r="B71"/>
      <c r="C71"/>
      <c r="D71" s="8">
        <f>SUMIFS(D7:D45,F7:F45,"BANQUE")</f>
        <v>0</v>
      </c>
      <c r="E71" s="8" t="s">
        <v>46</v>
      </c>
      <c r="F71" s="8">
        <f>SUMIFS(G7:G45,F7:F45,"BANQUE")</f>
        <v>0</v>
      </c>
      <c r="H71" s="8">
        <f>SUMIFS(L7:L45,M7:M45,"BANQUE")</f>
        <v>0</v>
      </c>
      <c r="I71" s="8">
        <f>SUMIFS(H7:H45,J7:J45,"BANQUE")</f>
        <v>0</v>
      </c>
      <c r="J71" s="8">
        <f>SUMIFS(P7:P45,M7:M45,"BANQUE")</f>
        <v>0</v>
      </c>
      <c r="K71" s="8"/>
      <c r="L71" s="8">
        <f>F71+H71-I71-J71</f>
        <v>0</v>
      </c>
      <c r="M71" s="8"/>
      <c r="N71" s="8"/>
      <c r="O71" s="8"/>
      <c r="R71"/>
    </row>
    <row r="72" spans="1:18" s="2" customFormat="1" ht="18" x14ac:dyDescent="0.25">
      <c r="A72"/>
      <c r="B72"/>
      <c r="C72"/>
      <c r="D72" s="8"/>
      <c r="E72" s="8"/>
      <c r="F72" s="8"/>
      <c r="H72" s="8"/>
      <c r="I72" s="8"/>
      <c r="J72" s="8"/>
      <c r="K72" s="8"/>
      <c r="L72" s="8"/>
      <c r="M72" s="8"/>
      <c r="N72" s="8"/>
      <c r="O72" s="8"/>
      <c r="R72"/>
    </row>
    <row r="73" spans="1:18" s="2" customFormat="1" ht="18" x14ac:dyDescent="0.25">
      <c r="A73"/>
      <c r="B73"/>
      <c r="C73"/>
      <c r="D73" s="8">
        <f>D70+D71</f>
        <v>0</v>
      </c>
      <c r="E73" s="8" t="s">
        <v>39</v>
      </c>
      <c r="F73" s="8">
        <f>F70+F71</f>
        <v>0</v>
      </c>
      <c r="H73" s="8">
        <f>H70+H71</f>
        <v>0</v>
      </c>
      <c r="I73" s="8">
        <f>I70+I71</f>
        <v>0</v>
      </c>
      <c r="J73" s="8">
        <v>0</v>
      </c>
      <c r="K73" s="8"/>
      <c r="L73" s="8">
        <f>F73+H73-I73-J73</f>
        <v>0</v>
      </c>
      <c r="M73" s="8"/>
      <c r="N73" s="8"/>
      <c r="O73" s="8"/>
      <c r="R73"/>
    </row>
    <row r="74" spans="1:18" s="2" customFormat="1" ht="18" x14ac:dyDescent="0.25">
      <c r="A74"/>
      <c r="B74"/>
      <c r="C74"/>
      <c r="D74" s="8">
        <f>D73+R46</f>
        <v>0</v>
      </c>
      <c r="E74" s="8" t="s">
        <v>82</v>
      </c>
      <c r="F74"/>
      <c r="H74"/>
      <c r="I74" s="3"/>
      <c r="J74" s="3"/>
      <c r="K74" s="3"/>
      <c r="M74"/>
      <c r="N74" s="8"/>
      <c r="O74" s="3"/>
      <c r="R74"/>
    </row>
    <row r="75" spans="1:18" s="2" customFormat="1" ht="18" x14ac:dyDescent="0.25">
      <c r="A75"/>
      <c r="B75"/>
      <c r="C75"/>
      <c r="D75" s="4" t="s">
        <v>6</v>
      </c>
      <c r="E75" s="8">
        <v>300000</v>
      </c>
      <c r="F75"/>
      <c r="H75"/>
      <c r="I75" s="3"/>
      <c r="J75" s="3"/>
      <c r="K75" s="3"/>
      <c r="M75"/>
      <c r="N75"/>
      <c r="O75" s="3"/>
      <c r="R75"/>
    </row>
    <row r="76" spans="1:18" s="2" customFormat="1" ht="29.25" x14ac:dyDescent="0.25">
      <c r="A76"/>
      <c r="B76"/>
      <c r="C76"/>
      <c r="D76" s="10" t="s">
        <v>64</v>
      </c>
      <c r="E76" s="11">
        <f>L46+Q46</f>
        <v>0</v>
      </c>
      <c r="F76"/>
      <c r="H76"/>
      <c r="I76" s="3"/>
      <c r="J76" s="3"/>
      <c r="K76" s="3"/>
      <c r="M76"/>
      <c r="N76"/>
      <c r="O76" s="3"/>
      <c r="R76"/>
    </row>
    <row r="78" spans="1:18" x14ac:dyDescent="0.25">
      <c r="E78" s="2"/>
    </row>
  </sheetData>
  <autoFilter ref="A5:R39">
    <sortState ref="A5:L48">
      <sortCondition ref="B5:B48"/>
    </sortState>
  </autoFilter>
  <mergeCells count="1">
    <mergeCell ref="C4:I4"/>
  </mergeCells>
  <dataValidations count="1">
    <dataValidation type="list" allowBlank="1" showInputMessage="1" showErrorMessage="1" sqref="M41:M43 F6:F43 J6:K43 N6:O43">
      <formula1>MODEVERSEMENTS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Views>
    <sheetView workbookViewId="0">
      <pane xSplit="2" ySplit="5" topLeftCell="D6" activePane="bottomRight" state="frozen"/>
      <selection activeCell="I54" sqref="I54"/>
      <selection pane="topRight" activeCell="I54" sqref="I54"/>
      <selection pane="bottomLeft" activeCell="I54" sqref="I54"/>
      <selection pane="bottomRight" activeCell="I54" sqref="I54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21" customWidth="1"/>
    <col min="4" max="4" width="16.7109375" customWidth="1"/>
    <col min="5" max="5" width="15" style="2" bestFit="1" customWidth="1"/>
    <col min="6" max="6" width="15" bestFit="1" customWidth="1"/>
    <col min="7" max="7" width="17.5703125" style="3" bestFit="1" customWidth="1"/>
    <col min="8" max="8" width="15.7109375" style="2" customWidth="1"/>
    <col min="9" max="10" width="18.140625" style="2" bestFit="1" customWidth="1"/>
    <col min="11" max="11" width="12.5703125" bestFit="1" customWidth="1"/>
    <col min="12" max="12" width="12.42578125" bestFit="1" customWidth="1"/>
  </cols>
  <sheetData>
    <row r="1" spans="1:12" x14ac:dyDescent="0.25">
      <c r="A1" s="1" t="s">
        <v>0</v>
      </c>
      <c r="B1" s="1" t="s">
        <v>1</v>
      </c>
      <c r="C1" s="1"/>
      <c r="D1" s="1"/>
    </row>
    <row r="2" spans="1:12" x14ac:dyDescent="0.25">
      <c r="A2" s="1" t="s">
        <v>2</v>
      </c>
      <c r="B2" s="1" t="s">
        <v>80</v>
      </c>
      <c r="C2" s="1"/>
      <c r="D2" s="1"/>
    </row>
    <row r="3" spans="1:12" x14ac:dyDescent="0.25">
      <c r="A3" s="1" t="s">
        <v>3</v>
      </c>
      <c r="B3" s="6">
        <v>30000</v>
      </c>
      <c r="C3" s="1"/>
      <c r="D3" s="1"/>
    </row>
    <row r="4" spans="1:12" ht="31.5" x14ac:dyDescent="0.5">
      <c r="B4" s="13"/>
      <c r="C4" s="22" t="s">
        <v>86</v>
      </c>
      <c r="D4" s="22"/>
      <c r="E4" s="22"/>
      <c r="F4" s="22"/>
      <c r="G4" s="22"/>
      <c r="H4" s="17"/>
      <c r="I4"/>
      <c r="J4"/>
    </row>
    <row r="5" spans="1:12" ht="43.5" x14ac:dyDescent="0.25">
      <c r="A5" s="1" t="s">
        <v>4</v>
      </c>
      <c r="B5" s="1" t="s">
        <v>5</v>
      </c>
      <c r="C5" s="4" t="s">
        <v>6</v>
      </c>
      <c r="D5" s="1" t="s">
        <v>65</v>
      </c>
      <c r="E5" s="4" t="s">
        <v>8</v>
      </c>
      <c r="F5" s="6" t="s">
        <v>60</v>
      </c>
      <c r="G5" s="4" t="s">
        <v>57</v>
      </c>
      <c r="H5" s="4" t="s">
        <v>55</v>
      </c>
      <c r="I5" s="4" t="s">
        <v>56</v>
      </c>
      <c r="J5" s="6" t="s">
        <v>59</v>
      </c>
      <c r="K5" s="4" t="s">
        <v>84</v>
      </c>
      <c r="L5" s="4" t="s">
        <v>93</v>
      </c>
    </row>
    <row r="6" spans="1:12" x14ac:dyDescent="0.25">
      <c r="A6" s="1" t="s">
        <v>69</v>
      </c>
      <c r="B6" s="1" t="str">
        <f>VLOOKUP(A6,[4]LISTADHERENT!A$5:H$60,3,0)</f>
        <v>ASELBY</v>
      </c>
      <c r="C6" s="7">
        <f>TONTNOV!D6+TONTDEC!D6+TONTJANV!D6+TONTFEV!D6+TONTMARS!D6+TONTAVRIL!D6+TONTMAI!D6+TONTJUIN!D6+TONTJUIL!D6+TONTAOUT!D6+TONTSEPT!D6+TONTOCT!D6+TONTNOV20!D6+TONTDEC20!D6</f>
        <v>0</v>
      </c>
      <c r="D6" s="7">
        <f>TONTNOV!E6+TONTDEC!E6+TONTJANV!E6+TONTFEV!E6+TONTMARS!E6+TONTAVRIL!E6+TONTMAI!E6+TONTJUIN!E6+TONTJUIL!E6+TONTAOUT!E6+TONTSEPT!E6+TONTOCT!E6+TONTNOV20!E6+TONTDEC20!E6</f>
        <v>0</v>
      </c>
      <c r="E6" s="7">
        <f>TONTNOV!G6+TONTDEC!G6+TONTJANV!G6+TONTFEV!G6+TONTMARS!G6+TONTAVRIL!G6+TONTMAI!G6+TONTJUIN!G6+TONTJUIL!G6+TONTAOUT!G6+TONTSEPT!G6+TONTOCT!G6+TONTNOV20!G6+TONTDEC20!G6</f>
        <v>0</v>
      </c>
      <c r="F6" s="7">
        <f>TONTNOV!H6+TONTDEC!H6+TONTJANV!H6+TONTFEV!H6+TONTMARS!H6+TONTAVRIL!H6+TONTMAI!H6+TONTJUIN!H6+TONTJUIL!H6+TONTAOUT!H6+TONTSEPT!H6+TONTOCT!H6+TONTNOV20!H6+TONTDEC20!H6</f>
        <v>0</v>
      </c>
      <c r="G6" s="7">
        <f>TONTNOV!I6+TONTDEC!I6+TONTJANV!I6+TONTFEV!I6+TONTMARS!I6+TONTAVRIL!I6+TONTMAI!I6+TONTJUIN!I6+TONTJUIL!I6+TONTAOUT!I6+TONTSEPT!I6+TONTOCT!I6+TONTNOV20!I6+TONTDEC20!I6</f>
        <v>0</v>
      </c>
      <c r="H6" s="7">
        <f>TONTNOV!L6+TONTDEC!L6+TONTJANV!L6+TONTFEV!L6+TONTMARS!L6+TONTAVRIL!L6+TONTMAI!L6+TONTJUIN!L6+TONTJUIL!L6+TONTAOUT!L6+TONTSEPT!L6+TONTOCT!L6+TONTNOV20!L6+TONTDEC20!L6</f>
        <v>0</v>
      </c>
      <c r="I6" s="7">
        <f>TONTNOV!P6+TONTDEC!P6+TONTJANV!P6+TONTFEV!P6+TONTMARS!P6+TONTAVRIL!P6+TONTMAI!P6+TONTJUIN!P6+TONTJUIL!P6+TONTAOUT!P6+TONTSEPT!P6+TONTOCT!P6+TONTNOV20!P6+TONTDEC20!P6</f>
        <v>0</v>
      </c>
      <c r="J6" s="7">
        <f>TONTNOV!Q6+TONTDEC!Q6+TONTJANV!Q6+TONTFEV!Q6+TONTMARS!Q6+TONTAVRIL!Q6+TONTMAI!Q6+TONTJUIN!Q6+TONTJUIL!Q6+TONTAOUT!Q6+TONTSEPT!Q6+TONTOCT!Q6+TONTNOV20!Q6+TONTDEC20!Q6</f>
        <v>0</v>
      </c>
      <c r="K6" s="18"/>
      <c r="L6" s="7">
        <f>IF(I6=0,0,(J6-20000))</f>
        <v>0</v>
      </c>
    </row>
    <row r="7" spans="1:12" x14ac:dyDescent="0.25">
      <c r="A7" s="1" t="s">
        <v>10</v>
      </c>
      <c r="B7" s="1" t="str">
        <f>VLOOKUP(A7,[4]LISTADHERENT!A$5:H$60,3,0)</f>
        <v>BOUTCHOUANG WILLIAM</v>
      </c>
      <c r="C7" s="7">
        <f>TONTNOV!D7+TONTDEC!D7+TONTJANV!D7+TONTFEV!D7+TONTMARS!D7+TONTAVRIL!D7+TONTMAI!D7+TONTJUIN!D7+TONTJUIL!D7+TONTAOUT!D7+TONTSEPT!D7+TONTOCT!D7+TONTNOV20!D7+TONTDEC20!D7</f>
        <v>240000</v>
      </c>
      <c r="D7" s="7">
        <f>TONTNOV!E7+TONTDEC!E7+TONTJANV!E7+TONTFEV!E7+TONTMARS!E7+TONTAVRIL!E7+TONTMAI!E7+TONTJUIN!E7+TONTJUIL!E7+TONTAOUT!E7+TONTSEPT!E7+TONTOCT!E7+TONTNOV20!E7+TONTDEC20!E7</f>
        <v>0</v>
      </c>
      <c r="E7" s="7">
        <f>TONTNOV!G7+TONTDEC!G7+TONTJANV!G7+TONTFEV!G7+TONTMARS!G7+TONTAVRIL!G7+TONTMAI!G7+TONTJUIN!G7+TONTJUIL!G7+TONTAOUT!G7+TONTSEPT!G7+TONTOCT!G7+TONTNOV20!G7+TONTDEC20!G7</f>
        <v>360000</v>
      </c>
      <c r="F7" s="7">
        <f>TONTNOV!H7+TONTDEC!H7+TONTJANV!H7+TONTFEV!H7+TONTMARS!H7+TONTAVRIL!H7+TONTMAI!H7+TONTJUIN!H7+TONTJUIL!H7+TONTAOUT!H7+TONTSEPT!H7+TONTOCT!H7+TONTNOV20!H7+TONTDEC20!H7</f>
        <v>0</v>
      </c>
      <c r="G7" s="7">
        <f>TONTNOV!I7+TONTDEC!I7+TONTJANV!I7+TONTFEV!I7+TONTMARS!I7+TONTAVRIL!I7+TONTMAI!I7+TONTJUIN!I7+TONTJUIL!I7+TONTAOUT!I7+TONTSEPT!I7+TONTOCT!I7+TONTNOV20!I7+TONTDEC20!I7</f>
        <v>0</v>
      </c>
      <c r="H7" s="7">
        <f>TONTNOV!L7+TONTDEC!L7+TONTJANV!L7+TONTFEV!L7+TONTMARS!L7+TONTAVRIL!L7+TONTMAI!L7+TONTJUIN!L7+TONTJUIL!L7+TONTAOUT!L7+TONTSEPT!L7+TONTOCT!L7+TONTNOV20!L7+TONTDEC20!L7</f>
        <v>0</v>
      </c>
      <c r="I7" s="7">
        <f>TONTNOV!P7+TONTDEC!P7+TONTJANV!P7+TONTFEV!P7+TONTMARS!P7+TONTAVRIL!P7+TONTMAI!P7+TONTJUIN!P7+TONTJUIL!P7+TONTAOUT!P7+TONTSEPT!P7+TONTOCT!P7+TONTNOV20!P7+TONTDEC20!P7</f>
        <v>0</v>
      </c>
      <c r="J7" s="7">
        <f>TONTNOV!Q7+TONTDEC!Q7+TONTJANV!Q7+TONTFEV!Q7+TONTMARS!Q7+TONTAVRIL!Q7+TONTMAI!Q7+TONTJUIN!Q7+TONTJUIL!Q7+TONTAOUT!Q7+TONTSEPT!Q7+TONTOCT!Q7+TONTNOV20!Q7+TONTDEC20!Q7</f>
        <v>0</v>
      </c>
      <c r="K7" s="18"/>
      <c r="L7" s="7">
        <f t="shared" ref="L7:L40" si="0">IF(I7=0,0,(J7-20000))</f>
        <v>0</v>
      </c>
    </row>
    <row r="8" spans="1:12" x14ac:dyDescent="0.25">
      <c r="A8" s="1" t="s">
        <v>11</v>
      </c>
      <c r="B8" s="1" t="str">
        <f>VLOOKUP(A8,[4]LISTADHERENT!A$5:H$60,3,0)</f>
        <v xml:space="preserve">DJOMO JEAN PAUL </v>
      </c>
      <c r="C8" s="7">
        <f>TONTNOV!D8+TONTDEC!D8+TONTJANV!D8+TONTFEV!D8+TONTMARS!D8+TONTAVRIL!D8+TONTMAI!D8+TONTJUIN!D8+TONTJUIL!D8+TONTAOUT!D8+TONTSEPT!D8+TONTOCT!D8+TONTNOV20!D8+TONTDEC20!D8</f>
        <v>240000</v>
      </c>
      <c r="D8" s="7">
        <f>TONTNOV!E8+TONTDEC!E8+TONTJANV!E8+TONTFEV!E8+TONTMARS!E8+TONTAVRIL!E8+TONTMAI!E8+TONTJUIN!E8+TONTJUIL!E8+TONTAOUT!E8+TONTSEPT!E8+TONTOCT!E8+TONTNOV20!E8+TONTDEC20!E8</f>
        <v>3000</v>
      </c>
      <c r="E8" s="7">
        <f>TONTNOV!G8+TONTDEC!G8+TONTJANV!G8+TONTFEV!G8+TONTMARS!G8+TONTAVRIL!G8+TONTMAI!G8+TONTJUIN!G8+TONTJUIL!G8+TONTAOUT!G8+TONTSEPT!G8+TONTOCT!G8+TONTNOV20!G8+TONTDEC20!G8</f>
        <v>391000</v>
      </c>
      <c r="F8" s="7">
        <f>TONTNOV!H8+TONTDEC!H8+TONTJANV!H8+TONTFEV!H8+TONTMARS!H8+TONTAVRIL!H8+TONTMAI!H8+TONTJUIN!H8+TONTJUIL!H8+TONTAOUT!H8+TONTSEPT!H8+TONTOCT!H8+TONTNOV20!H8+TONTDEC20!H8</f>
        <v>54500</v>
      </c>
      <c r="G8" s="7">
        <f>TONTNOV!I8+TONTDEC!I8+TONTJANV!I8+TONTFEV!I8+TONTMARS!I8+TONTAVRIL!I8+TONTMAI!I8+TONTJUIN!I8+TONTJUIL!I8+TONTAOUT!I8+TONTSEPT!I8+TONTOCT!I8+TONTNOV20!I8+TONTDEC20!I8</f>
        <v>3000</v>
      </c>
      <c r="H8" s="7">
        <f>TONTNOV!L8+TONTDEC!L8+TONTJANV!L8+TONTFEV!L8+TONTMARS!L8+TONTAVRIL!L8+TONTMAI!L8+TONTJUIN!L8+TONTJUIL!L8+TONTAOUT!L8+TONTSEPT!L8+TONTOCT!L8+TONTNOV20!L8+TONTDEC20!L8</f>
        <v>57500</v>
      </c>
      <c r="I8" s="7">
        <f>TONTNOV!P8+TONTDEC!P8+TONTJANV!P8+TONTFEV!P8+TONTMARS!P8+TONTAVRIL!P8+TONTMAI!P8+TONTJUIN!P8+TONTJUIL!P8+TONTAOUT!P8+TONTSEPT!P8+TONTOCT!P8+TONTNOV20!P8+TONTDEC20!P8</f>
        <v>268000</v>
      </c>
      <c r="J8" s="7">
        <f>TONTNOV!Q8+TONTDEC!Q8+TONTJANV!Q8+TONTFEV!Q8+TONTMARS!Q8+TONTAVRIL!Q8+TONTMAI!Q8+TONTJUIN!Q8+TONTJUIL!Q8+TONTAOUT!Q8+TONTSEPT!Q8+TONTOCT!Q8+TONTNOV20!Q8+TONTDEC20!Q8</f>
        <v>32000</v>
      </c>
      <c r="K8" s="18">
        <v>43793</v>
      </c>
      <c r="L8" s="7">
        <f t="shared" si="0"/>
        <v>12000</v>
      </c>
    </row>
    <row r="9" spans="1:12" x14ac:dyDescent="0.25">
      <c r="A9" s="1" t="s">
        <v>83</v>
      </c>
      <c r="B9" s="1" t="str">
        <f>VLOOKUP(A9,[4]LISTADHERENT!A$5:H$60,3,0)</f>
        <v>DJOMOU TCHANDA</v>
      </c>
      <c r="C9" s="7">
        <f>TONTNOV!D9+TONTDEC!D9+TONTJANV!D9+TONTFEV!D9+TONTMARS!D9+TONTAVRIL!D9+TONTMAI!D9+TONTJUIN!D9+TONTJUIL!D9+TONTAOUT!D9+TONTSEPT!D9+TONTOCT!D9+TONTNOV20!D9+TONTDEC20!D9</f>
        <v>220000</v>
      </c>
      <c r="D9" s="7">
        <f>TONTNOV!E9+TONTDEC!E9+TONTJANV!E9+TONTFEV!E9+TONTMARS!E9+TONTAVRIL!E9+TONTMAI!E9+TONTJUIN!E9+TONTJUIL!E9+TONTAOUT!E9+TONTSEPT!E9+TONTOCT!E9+TONTNOV20!E9+TONTDEC20!E9</f>
        <v>3000</v>
      </c>
      <c r="E9" s="7">
        <f>TONTNOV!G9+TONTDEC!G9+TONTJANV!G9+TONTFEV!G9+TONTMARS!G9+TONTAVRIL!G9+TONTMAI!G9+TONTJUIN!G9+TONTJUIL!G9+TONTAOUT!G9+TONTSEPT!G9+TONTOCT!G9+TONTNOV20!G9+TONTDEC20!G9</f>
        <v>562000</v>
      </c>
      <c r="F9" s="7">
        <f>TONTNOV!H9+TONTDEC!H9+TONTJANV!H9+TONTFEV!H9+TONTMARS!H9+TONTAVRIL!H9+TONTMAI!H9+TONTJUIN!H9+TONTJUIL!H9+TONTAOUT!H9+TONTSEPT!H9+TONTOCT!H9+TONTNOV20!H9+TONTDEC20!H9</f>
        <v>0</v>
      </c>
      <c r="G9" s="7">
        <f>TONTNOV!I9+TONTDEC!I9+TONTJANV!I9+TONTFEV!I9+TONTMARS!I9+TONTAVRIL!I9+TONTMAI!I9+TONTJUIN!I9+TONTJUIL!I9+TONTAOUT!I9+TONTSEPT!I9+TONTOCT!I9+TONTNOV20!I9+TONTDEC20!I9</f>
        <v>0</v>
      </c>
      <c r="H9" s="7">
        <f>TONTNOV!L9+TONTDEC!L9+TONTJANV!L9+TONTFEV!L9+TONTMARS!L9+TONTAVRIL!L9+TONTMAI!L9+TONTJUIN!L9+TONTJUIL!L9+TONTAOUT!L9+TONTSEPT!L9+TONTOCT!L9+TONTNOV20!L9+TONTDEC20!L9</f>
        <v>0</v>
      </c>
      <c r="I9" s="7">
        <f>TONTNOV!P9+TONTDEC!P9+TONTJANV!P9+TONTFEV!P9+TONTMARS!P9+TONTAVRIL!P9+TONTMAI!P9+TONTJUIN!P9+TONTJUIL!P9+TONTAOUT!P9+TONTSEPT!P9+TONTOCT!P9+TONTNOV20!P9+TONTDEC20!P9</f>
        <v>270000</v>
      </c>
      <c r="J9" s="7">
        <f>TONTNOV!Q9+TONTDEC!Q9+TONTJANV!Q9+TONTFEV!Q9+TONTMARS!Q9+TONTAVRIL!Q9+TONTMAI!Q9+TONTJUIN!Q9+TONTJUIL!Q9+TONTAOUT!Q9+TONTSEPT!Q9+TONTOCT!Q9+TONTNOV20!Q9+TONTDEC20!Q9</f>
        <v>30000</v>
      </c>
      <c r="K9" s="18">
        <v>44031</v>
      </c>
      <c r="L9" s="7">
        <f t="shared" si="0"/>
        <v>10000</v>
      </c>
    </row>
    <row r="10" spans="1:12" x14ac:dyDescent="0.25">
      <c r="A10" s="1" t="s">
        <v>12</v>
      </c>
      <c r="B10" s="1" t="str">
        <f>VLOOKUP(A10,[4]LISTADHERENT!A$5:H$60,3,0)</f>
        <v>DJOUKWE NANGUEN GUY BLAISE</v>
      </c>
      <c r="C10" s="7">
        <f>TONTNOV!D10+TONTDEC!D10+TONTJANV!D10+TONTFEV!D10+TONTMARS!D10+TONTAVRIL!D10+TONTMAI!D10+TONTJUIN!D10+TONTJUIL!D10+TONTAOUT!D10+TONTSEPT!D10+TONTOCT!D10+TONTNOV20!D10+TONTDEC20!D10</f>
        <v>240000</v>
      </c>
      <c r="D10" s="7">
        <f>TONTNOV!E10+TONTDEC!E10+TONTJANV!E10+TONTFEV!E10+TONTMARS!E10+TONTAVRIL!E10+TONTMAI!E10+TONTJUIN!E10+TONTJUIL!E10+TONTAOUT!E10+TONTSEPT!E10+TONTOCT!E10+TONTNOV20!E10+TONTDEC20!E10</f>
        <v>3000</v>
      </c>
      <c r="E10" s="7">
        <f>TONTNOV!G10+TONTDEC!G10+TONTJANV!G10+TONTFEV!G10+TONTMARS!G10+TONTAVRIL!G10+TONTMAI!G10+TONTJUIN!G10+TONTJUIL!G10+TONTAOUT!G10+TONTSEPT!G10+TONTOCT!G10+TONTNOV20!G10+TONTDEC20!G10</f>
        <v>709500</v>
      </c>
      <c r="F10" s="7">
        <f>TONTNOV!H10+TONTDEC!H10+TONTJANV!H10+TONTFEV!H10+TONTMARS!H10+TONTAVRIL!H10+TONTMAI!H10+TONTJUIN!H10+TONTJUIL!H10+TONTAOUT!H10+TONTSEPT!H10+TONTOCT!H10+TONTNOV20!H10+TONTDEC20!H10</f>
        <v>30000</v>
      </c>
      <c r="G10" s="7">
        <f>TONTNOV!I10+TONTDEC!I10+TONTJANV!I10+TONTFEV!I10+TONTMARS!I10+TONTAVRIL!I10+TONTMAI!I10+TONTJUIN!I10+TONTJUIL!I10+TONTAOUT!I10+TONTSEPT!I10+TONTOCT!I10+TONTNOV20!I10+TONTDEC20!I10</f>
        <v>500</v>
      </c>
      <c r="H10" s="7">
        <f>TONTNOV!L10+TONTDEC!L10+TONTJANV!L10+TONTFEV!L10+TONTMARS!L10+TONTAVRIL!L10+TONTMAI!L10+TONTJUIN!L10+TONTJUIL!L10+TONTAOUT!L10+TONTSEPT!L10+TONTOCT!L10+TONTNOV20!L10+TONTDEC20!L10</f>
        <v>30500</v>
      </c>
      <c r="I10" s="7">
        <f>TONTNOV!P10+TONTDEC!P10+TONTJANV!P10+TONTFEV!P10+TONTMARS!P10+TONTAVRIL!P10+TONTMAI!P10+TONTJUIN!P10+TONTJUIL!P10+TONTAOUT!P10+TONTSEPT!P10+TONTOCT!P10+TONTNOV20!P10+TONTDEC20!P10</f>
        <v>280000</v>
      </c>
      <c r="J10" s="7">
        <f>TONTNOV!Q10+TONTDEC!Q10+TONTJANV!Q10+TONTFEV!Q10+TONTMARS!Q10+TONTAVRIL!Q10+TONTMAI!Q10+TONTJUIN!Q10+TONTJUIL!Q10+TONTAOUT!Q10+TONTSEPT!Q10+TONTOCT!Q10+TONTNOV20!Q10+TONTDEC20!Q10</f>
        <v>20000</v>
      </c>
      <c r="K10" s="18">
        <v>44059</v>
      </c>
      <c r="L10" s="7">
        <f t="shared" si="0"/>
        <v>0</v>
      </c>
    </row>
    <row r="11" spans="1:12" x14ac:dyDescent="0.25">
      <c r="A11" s="1" t="s">
        <v>13</v>
      </c>
      <c r="B11" s="1" t="str">
        <f>VLOOKUP(A11,[4]LISTADHERENT!A$5:H$60,3,0)</f>
        <v>DJUOMBESSY ANTOINE</v>
      </c>
      <c r="C11" s="7">
        <f>TONTNOV!D11+TONTDEC!D11+TONTJANV!D11+TONTFEV!D11+TONTMARS!D11+TONTAVRIL!D11+TONTMAI!D11+TONTJUIN!D11+TONTJUIL!D11+TONTAOUT!D11+TONTSEPT!D11+TONTOCT!D11+TONTNOV20!D11+TONTDEC20!D11</f>
        <v>240000</v>
      </c>
      <c r="D11" s="7">
        <f>TONTNOV!E11+TONTDEC!E11+TONTJANV!E11+TONTFEV!E11+TONTMARS!E11+TONTAVRIL!E11+TONTMAI!E11+TONTJUIN!E11+TONTJUIL!E11+TONTAOUT!E11+TONTSEPT!E11+TONTOCT!E11+TONTNOV20!E11+TONTDEC20!E11</f>
        <v>0</v>
      </c>
      <c r="E11" s="7">
        <f>TONTNOV!G11+TONTDEC!G11+TONTJANV!G11+TONTFEV!G11+TONTMARS!G11+TONTAVRIL!G11+TONTMAI!G11+TONTJUIN!G11+TONTJUIL!G11+TONTAOUT!G11+TONTSEPT!G11+TONTOCT!G11+TONTNOV20!G11+TONTDEC20!G11</f>
        <v>364500</v>
      </c>
      <c r="F11" s="7">
        <f>TONTNOV!H11+TONTDEC!H11+TONTJANV!H11+TONTFEV!H11+TONTMARS!H11+TONTAVRIL!H11+TONTMAI!H11+TONTJUIN!H11+TONTJUIL!H11+TONTAOUT!H11+TONTSEPT!H11+TONTOCT!H11+TONTNOV20!H11+TONTDEC20!H11</f>
        <v>110000</v>
      </c>
      <c r="G11" s="7">
        <f>TONTNOV!I11+TONTDEC!I11+TONTJANV!I11+TONTFEV!I11+TONTMARS!I11+TONTAVRIL!I11+TONTMAI!I11+TONTJUIN!I11+TONTJUIL!I11+TONTAOUT!I11+TONTSEPT!I11+TONTOCT!I11+TONTNOV20!I11+TONTDEC20!I11</f>
        <v>4000</v>
      </c>
      <c r="H11" s="7">
        <f>TONTNOV!L11+TONTDEC!L11+TONTJANV!L11+TONTFEV!L11+TONTMARS!L11+TONTAVRIL!L11+TONTMAI!L11+TONTJUIN!L11+TONTJUIL!L11+TONTAOUT!L11+TONTSEPT!L11+TONTOCT!L11+TONTNOV20!L11+TONTDEC20!L11</f>
        <v>114000</v>
      </c>
      <c r="I11" s="7">
        <f>TONTNOV!P11+TONTDEC!P11+TONTJANV!P11+TONTFEV!P11+TONTMARS!P11+TONTAVRIL!P11+TONTMAI!P11+TONTJUIN!P11+TONTJUIL!P11+TONTAOUT!P11+TONTSEPT!P11+TONTOCT!P11+TONTNOV20!P11+TONTDEC20!P11</f>
        <v>273000</v>
      </c>
      <c r="J11" s="7">
        <f>TONTNOV!Q11+TONTDEC!Q11+TONTJANV!Q11+TONTFEV!Q11+TONTMARS!Q11+TONTAVRIL!Q11+TONTMAI!Q11+TONTJUIN!Q11+TONTJUIL!Q11+TONTAOUT!Q11+TONTSEPT!Q11+TONTOCT!Q11+TONTNOV20!Q11+TONTDEC20!Q11</f>
        <v>27000</v>
      </c>
      <c r="K11" s="18">
        <v>44031</v>
      </c>
      <c r="L11" s="7">
        <f t="shared" si="0"/>
        <v>7000</v>
      </c>
    </row>
    <row r="12" spans="1:12" x14ac:dyDescent="0.25">
      <c r="A12" s="1" t="s">
        <v>71</v>
      </c>
      <c r="B12" s="1" t="str">
        <f>VLOOKUP(A12,[4]LISTADHERENT!A$5:H$60,3,0)</f>
        <v>DOMOU FABIEN</v>
      </c>
      <c r="C12" s="7">
        <f>TONTNOV!D12+TONTDEC!D12+TONTJANV!D12+TONTFEV!D12+TONTMARS!D12+TONTAVRIL!D12+TONTMAI!D12+TONTJUIN!D12+TONTJUIL!D12+TONTAOUT!D12+TONTSEPT!D12+TONTOCT!D12+TONTNOV20!D12+TONTDEC20!D12</f>
        <v>240000</v>
      </c>
      <c r="D12" s="7">
        <f>TONTNOV!E12+TONTDEC!E12+TONTJANV!E12+TONTFEV!E12+TONTMARS!E12+TONTAVRIL!E12+TONTMAI!E12+TONTJUIN!E12+TONTJUIL!E12+TONTAOUT!E12+TONTSEPT!E12+TONTOCT!E12+TONTNOV20!E12+TONTDEC20!E12</f>
        <v>0</v>
      </c>
      <c r="E12" s="7">
        <f>TONTNOV!G12+TONTDEC!G12+TONTJANV!G12+TONTFEV!G12+TONTMARS!G12+TONTAVRIL!G12+TONTMAI!G12+TONTJUIN!G12+TONTJUIL!G12+TONTAOUT!G12+TONTSEPT!G12+TONTOCT!G12+TONTNOV20!G12+TONTDEC20!G12</f>
        <v>360000</v>
      </c>
      <c r="F12" s="7">
        <f>TONTNOV!H12+TONTDEC!H12+TONTJANV!H12+TONTFEV!H12+TONTMARS!H12+TONTAVRIL!H12+TONTMAI!H12+TONTJUIN!H12+TONTJUIL!H12+TONTAOUT!H12+TONTSEPT!H12+TONTOCT!H12+TONTNOV20!H12+TONTDEC20!H12</f>
        <v>0</v>
      </c>
      <c r="G12" s="7">
        <f>TONTNOV!I12+TONTDEC!I12+TONTJANV!I12+TONTFEV!I12+TONTMARS!I12+TONTAVRIL!I12+TONTMAI!I12+TONTJUIN!I12+TONTJUIL!I12+TONTAOUT!I12+TONTSEPT!I12+TONTOCT!I12+TONTNOV20!I12+TONTDEC20!I12</f>
        <v>0</v>
      </c>
      <c r="H12" s="7">
        <f>TONTNOV!L12+TONTDEC!L12+TONTJANV!L12+TONTFEV!L12+TONTMARS!L12+TONTAVRIL!L12+TONTMAI!L12+TONTJUIN!L12+TONTJUIL!L12+TONTAOUT!L12+TONTSEPT!L12+TONTOCT!L12+TONTNOV20!L12+TONTDEC20!L12</f>
        <v>0</v>
      </c>
      <c r="I12" s="7">
        <f>TONTNOV!P12+TONTDEC!P12+TONTJANV!P12+TONTFEV!P12+TONTMARS!P12+TONTAVRIL!P12+TONTMAI!P12+TONTJUIN!P12+TONTJUIL!P12+TONTAOUT!P12+TONTSEPT!P12+TONTOCT!P12+TONTNOV20!P12+TONTDEC20!P12</f>
        <v>280000</v>
      </c>
      <c r="J12" s="7">
        <f>TONTNOV!Q12+TONTDEC!Q12+TONTJANV!Q12+TONTFEV!Q12+TONTMARS!Q12+TONTAVRIL!Q12+TONTMAI!Q12+TONTJUIN!Q12+TONTJUIL!Q12+TONTAOUT!Q12+TONTSEPT!Q12+TONTOCT!Q12+TONTNOV20!Q12+TONTDEC20!Q12</f>
        <v>20000</v>
      </c>
      <c r="K12" s="18">
        <v>44003</v>
      </c>
      <c r="L12" s="7">
        <f t="shared" si="0"/>
        <v>0</v>
      </c>
    </row>
    <row r="13" spans="1:12" x14ac:dyDescent="0.25">
      <c r="A13" s="1" t="s">
        <v>14</v>
      </c>
      <c r="B13" s="1" t="str">
        <f>VLOOKUP(A13,[4]LISTADHERENT!A$5:H$60,3,0)</f>
        <v>DONHOU DAVID</v>
      </c>
      <c r="C13" s="7">
        <f>TONTNOV!D13+TONTDEC!D13+TONTJANV!D13+TONTFEV!D13+TONTMARS!D13+TONTAVRIL!D13+TONTMAI!D13+TONTJUIN!D13+TONTJUIL!D13+TONTAOUT!D13+TONTSEPT!D13+TONTOCT!D13+TONTNOV20!D13+TONTDEC20!D13</f>
        <v>240000</v>
      </c>
      <c r="D13" s="7">
        <f>TONTNOV!E13+TONTDEC!E13+TONTJANV!E13+TONTFEV!E13+TONTMARS!E13+TONTAVRIL!E13+TONTMAI!E13+TONTJUIN!E13+TONTJUIL!E13+TONTAOUT!E13+TONTSEPT!E13+TONTOCT!E13+TONTNOV20!E13+TONTDEC20!E13</f>
        <v>3000</v>
      </c>
      <c r="E13" s="7">
        <f>TONTNOV!G13+TONTDEC!G13+TONTJANV!G13+TONTFEV!G13+TONTMARS!G13+TONTAVRIL!G13+TONTMAI!G13+TONTJUIN!G13+TONTJUIL!G13+TONTAOUT!G13+TONTSEPT!G13+TONTOCT!G13+TONTNOV20!G13+TONTDEC20!G13</f>
        <v>360000</v>
      </c>
      <c r="F13" s="7">
        <f>TONTNOV!H13+TONTDEC!H13+TONTJANV!H13+TONTFEV!H13+TONTMARS!H13+TONTAVRIL!H13+TONTMAI!H13+TONTJUIN!H13+TONTJUIL!H13+TONTAOUT!H13+TONTSEPT!H13+TONTOCT!H13+TONTNOV20!H13+TONTDEC20!H13</f>
        <v>0</v>
      </c>
      <c r="G13" s="7">
        <f>TONTNOV!I13+TONTDEC!I13+TONTJANV!I13+TONTFEV!I13+TONTMARS!I13+TONTAVRIL!I13+TONTMAI!I13+TONTJUIN!I13+TONTJUIL!I13+TONTAOUT!I13+TONTSEPT!I13+TONTOCT!I13+TONTNOV20!I13+TONTDEC20!I13</f>
        <v>0</v>
      </c>
      <c r="H13" s="7">
        <f>TONTNOV!L13+TONTDEC!L13+TONTJANV!L13+TONTFEV!L13+TONTMARS!L13+TONTAVRIL!L13+TONTMAI!L13+TONTJUIN!L13+TONTJUIL!L13+TONTAOUT!L13+TONTSEPT!L13+TONTOCT!L13+TONTNOV20!L13+TONTDEC20!L13</f>
        <v>0</v>
      </c>
      <c r="I13" s="7">
        <f>TONTNOV!P13+TONTDEC!P13+TONTJANV!P13+TONTFEV!P13+TONTMARS!P13+TONTAVRIL!P13+TONTMAI!P13+TONTJUIN!P13+TONTJUIL!P13+TONTAOUT!P13+TONTSEPT!P13+TONTOCT!P13+TONTNOV20!P13+TONTDEC20!P13</f>
        <v>0</v>
      </c>
      <c r="J13" s="7">
        <f>TONTNOV!Q13+TONTDEC!Q13+TONTJANV!Q13+TONTFEV!Q13+TONTMARS!Q13+TONTAVRIL!Q13+TONTMAI!Q13+TONTJUIN!Q13+TONTJUIL!Q13+TONTAOUT!Q13+TONTSEPT!Q13+TONTOCT!Q13+TONTNOV20!Q13+TONTDEC20!Q13</f>
        <v>0</v>
      </c>
      <c r="K13" s="18"/>
      <c r="L13" s="7">
        <f t="shared" si="0"/>
        <v>0</v>
      </c>
    </row>
    <row r="14" spans="1:12" x14ac:dyDescent="0.25">
      <c r="A14" s="1" t="s">
        <v>15</v>
      </c>
      <c r="B14" s="1" t="str">
        <f>VLOOKUP(A14,[4]LISTADHERENT!A$5:H$60,3,0)</f>
        <v>FOTSO THOMAS</v>
      </c>
      <c r="C14" s="7">
        <f>TONTNOV!D14+TONTDEC!D14+TONTJANV!D14+TONTFEV!D14+TONTMARS!D14+TONTAVRIL!D14+TONTMAI!D14+TONTJUIN!D14+TONTJUIL!D14+TONTAOUT!D14+TONTSEPT!D14+TONTOCT!D14+TONTNOV20!D14+TONTDEC20!D14</f>
        <v>220000</v>
      </c>
      <c r="D14" s="7">
        <f>TONTNOV!E14+TONTDEC!E14+TONTJANV!E14+TONTFEV!E14+TONTMARS!E14+TONTAVRIL!E14+TONTMAI!E14+TONTJUIN!E14+TONTJUIL!E14+TONTAOUT!E14+TONTSEPT!E14+TONTOCT!E14+TONTNOV20!E14+TONTDEC20!E14</f>
        <v>15000</v>
      </c>
      <c r="E14" s="7">
        <f>TONTNOV!G14+TONTDEC!G14+TONTJANV!G14+TONTFEV!G14+TONTMARS!G14+TONTAVRIL!G14+TONTMAI!G14+TONTJUIN!G14+TONTJUIL!G14+TONTAOUT!G14+TONTSEPT!G14+TONTOCT!G14+TONTNOV20!G14+TONTDEC20!G14</f>
        <v>318000</v>
      </c>
      <c r="F14" s="7">
        <f>TONTNOV!H14+TONTDEC!H14+TONTJANV!H14+TONTFEV!H14+TONTMARS!H14+TONTAVRIL!H14+TONTMAI!H14+TONTJUIN!H14+TONTJUIL!H14+TONTAOUT!H14+TONTSEPT!H14+TONTOCT!H14+TONTNOV20!H14+TONTDEC20!H14</f>
        <v>642000</v>
      </c>
      <c r="G14" s="7">
        <f>TONTNOV!I14+TONTDEC!I14+TONTJANV!I14+TONTFEV!I14+TONTMARS!I14+TONTAVRIL!I14+TONTMAI!I14+TONTJUIN!I14+TONTJUIL!I14+TONTAOUT!I14+TONTSEPT!I14+TONTOCT!I14+TONTNOV20!I14+TONTDEC20!I14</f>
        <v>5500</v>
      </c>
      <c r="H14" s="7">
        <f>TONTNOV!L14+TONTDEC!L14+TONTJANV!L14+TONTFEV!L14+TONTMARS!L14+TONTAVRIL!L14+TONTMAI!L14+TONTJUIN!L14+TONTJUIL!L14+TONTAOUT!L14+TONTSEPT!L14+TONTOCT!L14+TONTNOV20!L14+TONTDEC20!L14</f>
        <v>647500</v>
      </c>
      <c r="I14" s="7">
        <f>TONTNOV!P14+TONTDEC!P14+TONTJANV!P14+TONTFEV!P14+TONTMARS!P14+TONTAVRIL!P14+TONTMAI!P14+TONTJUIN!P14+TONTJUIL!P14+TONTAOUT!P14+TONTSEPT!P14+TONTOCT!P14+TONTNOV20!P14+TONTDEC20!P14</f>
        <v>274000</v>
      </c>
      <c r="J14" s="7">
        <f>TONTNOV!Q14+TONTDEC!Q14+TONTJANV!Q14+TONTFEV!Q14+TONTMARS!Q14+TONTAVRIL!Q14+TONTMAI!Q14+TONTJUIN!Q14+TONTJUIL!Q14+TONTAOUT!Q14+TONTSEPT!Q14+TONTOCT!Q14+TONTNOV20!Q14+TONTDEC20!Q14</f>
        <v>26000</v>
      </c>
      <c r="K14" s="18">
        <v>43968</v>
      </c>
      <c r="L14" s="7">
        <f t="shared" si="0"/>
        <v>6000</v>
      </c>
    </row>
    <row r="15" spans="1:12" x14ac:dyDescent="0.25">
      <c r="A15" s="1" t="s">
        <v>16</v>
      </c>
      <c r="B15" s="1" t="str">
        <f>VLOOKUP(A15,[4]LISTADHERENT!A$5:H$60,3,0)</f>
        <v>HENGUE PAUL OMER</v>
      </c>
      <c r="C15" s="7">
        <f>TONTNOV!D15+TONTDEC!D15+TONTJANV!D15+TONTFEV!D15+TONTMARS!D15+TONTAVRIL!D15+TONTMAI!D15+TONTJUIN!D15+TONTJUIL!D15+TONTAOUT!D15+TONTSEPT!D15+TONTOCT!D15+TONTNOV20!D15+TONTDEC20!D15</f>
        <v>240000</v>
      </c>
      <c r="D15" s="7">
        <f>TONTNOV!E15+TONTDEC!E15+TONTJANV!E15+TONTFEV!E15+TONTMARS!E15+TONTAVRIL!E15+TONTMAI!E15+TONTJUIN!E15+TONTJUIL!E15+TONTAOUT!E15+TONTSEPT!E15+TONTOCT!E15+TONTNOV20!E15+TONTDEC20!E15</f>
        <v>3000</v>
      </c>
      <c r="E15" s="7">
        <f>TONTNOV!G15+TONTDEC!G15+TONTJANV!G15+TONTFEV!G15+TONTMARS!G15+TONTAVRIL!G15+TONTMAI!G15+TONTJUIN!G15+TONTJUIL!G15+TONTAOUT!G15+TONTSEPT!G15+TONTOCT!G15+TONTNOV20!G15+TONTDEC20!G15</f>
        <v>355000</v>
      </c>
      <c r="F15" s="7">
        <f>TONTNOV!H15+TONTDEC!H15+TONTJANV!H15+TONTFEV!H15+TONTMARS!H15+TONTAVRIL!H15+TONTMAI!H15+TONTJUIN!H15+TONTJUIL!H15+TONTAOUT!H15+TONTSEPT!H15+TONTOCT!H15+TONTNOV20!H15+TONTDEC20!H15</f>
        <v>0</v>
      </c>
      <c r="G15" s="7">
        <f>TONTNOV!I15+TONTDEC!I15+TONTJANV!I15+TONTFEV!I15+TONTMARS!I15+TONTAVRIL!I15+TONTMAI!I15+TONTJUIN!I15+TONTJUIL!I15+TONTAOUT!I15+TONTSEPT!I15+TONTOCT!I15+TONTNOV20!I15+TONTDEC20!I15</f>
        <v>0</v>
      </c>
      <c r="H15" s="7">
        <f>TONTNOV!L15+TONTDEC!L15+TONTJANV!L15+TONTFEV!L15+TONTMARS!L15+TONTAVRIL!L15+TONTMAI!L15+TONTJUIN!L15+TONTJUIL!L15+TONTAOUT!L15+TONTSEPT!L15+TONTOCT!L15+TONTNOV20!L15+TONTDEC20!L15</f>
        <v>0</v>
      </c>
      <c r="I15" s="7">
        <f>TONTNOV!P15+TONTDEC!P15+TONTJANV!P15+TONTFEV!P15+TONTMARS!P15+TONTAVRIL!P15+TONTMAI!P15+TONTJUIN!P15+TONTJUIL!P15+TONTAOUT!P15+TONTSEPT!P15+TONTOCT!P15+TONTNOV20!P15+TONTDEC20!P15</f>
        <v>0</v>
      </c>
      <c r="J15" s="7">
        <f>TONTNOV!Q15+TONTDEC!Q15+TONTJANV!Q15+TONTFEV!Q15+TONTMARS!Q15+TONTAVRIL!Q15+TONTMAI!Q15+TONTJUIN!Q15+TONTJUIL!Q15+TONTAOUT!Q15+TONTSEPT!Q15+TONTOCT!Q15+TONTNOV20!Q15+TONTDEC20!Q15</f>
        <v>0</v>
      </c>
      <c r="K15" s="18"/>
      <c r="L15" s="7">
        <f t="shared" si="0"/>
        <v>0</v>
      </c>
    </row>
    <row r="16" spans="1:12" x14ac:dyDescent="0.25">
      <c r="A16" s="1" t="s">
        <v>17</v>
      </c>
      <c r="B16" s="1" t="str">
        <f>VLOOKUP(A16,[4]LISTADHERENT!A$5:H$60,3,0)</f>
        <v>HOTCHO BENJAMIN</v>
      </c>
      <c r="C16" s="7">
        <f>TONTNOV!D16+TONTDEC!D16+TONTJANV!D16+TONTFEV!D16+TONTMARS!D16+TONTAVRIL!D16+TONTMAI!D16+TONTJUIN!D16+TONTJUIL!D16+TONTAOUT!D16+TONTSEPT!D16+TONTOCT!D16+TONTNOV20!D16+TONTDEC20!D16</f>
        <v>240000</v>
      </c>
      <c r="D16" s="7">
        <f>TONTNOV!E16+TONTDEC!E16+TONTJANV!E16+TONTFEV!E16+TONTMARS!E16+TONTAVRIL!E16+TONTMAI!E16+TONTJUIN!E16+TONTJUIL!E16+TONTAOUT!E16+TONTSEPT!E16+TONTOCT!E16+TONTNOV20!E16+TONTDEC20!E16</f>
        <v>0</v>
      </c>
      <c r="E16" s="7">
        <f>TONTNOV!G16+TONTDEC!G16+TONTJANV!G16+TONTFEV!G16+TONTMARS!G16+TONTAVRIL!G16+TONTMAI!G16+TONTJUIN!G16+TONTJUIL!G16+TONTAOUT!G16+TONTSEPT!G16+TONTOCT!G16+TONTNOV20!G16+TONTDEC20!G16</f>
        <v>535000</v>
      </c>
      <c r="F16" s="7">
        <f>TONTNOV!H16+TONTDEC!H16+TONTJANV!H16+TONTFEV!H16+TONTMARS!H16+TONTAVRIL!H16+TONTMAI!H16+TONTJUIN!H16+TONTJUIL!H16+TONTAOUT!H16+TONTSEPT!H16+TONTOCT!H16+TONTNOV20!H16+TONTDEC20!H16</f>
        <v>0</v>
      </c>
      <c r="G16" s="7">
        <f>TONTNOV!I16+TONTDEC!I16+TONTJANV!I16+TONTFEV!I16+TONTMARS!I16+TONTAVRIL!I16+TONTMAI!I16+TONTJUIN!I16+TONTJUIL!I16+TONTAOUT!I16+TONTSEPT!I16+TONTOCT!I16+TONTNOV20!I16+TONTDEC20!I16</f>
        <v>0</v>
      </c>
      <c r="H16" s="7">
        <f>TONTNOV!L16+TONTDEC!L16+TONTJANV!L16+TONTFEV!L16+TONTMARS!L16+TONTAVRIL!L16+TONTMAI!L16+TONTJUIN!L16+TONTJUIL!L16+TONTAOUT!L16+TONTSEPT!L16+TONTOCT!L16+TONTNOV20!L16+TONTDEC20!L16</f>
        <v>0</v>
      </c>
      <c r="I16" s="7">
        <f>TONTNOV!P16+TONTDEC!P16+TONTJANV!P16+TONTFEV!P16+TONTMARS!P16+TONTAVRIL!P16+TONTMAI!P16+TONTJUIN!P16+TONTJUIL!P16+TONTAOUT!P16+TONTSEPT!P16+TONTOCT!P16+TONTNOV20!P16+TONTDEC20!P16</f>
        <v>280000</v>
      </c>
      <c r="J16" s="7">
        <f>TONTNOV!Q16+TONTDEC!Q16+TONTJANV!Q16+TONTFEV!Q16+TONTMARS!Q16+TONTAVRIL!Q16+TONTMAI!Q16+TONTJUIN!Q16+TONTJUIL!Q16+TONTAOUT!Q16+TONTSEPT!Q16+TONTOCT!Q16+TONTNOV20!Q16+TONTDEC20!Q16</f>
        <v>20000</v>
      </c>
      <c r="K16" s="18">
        <v>44122</v>
      </c>
      <c r="L16" s="7">
        <f t="shared" si="0"/>
        <v>0</v>
      </c>
    </row>
    <row r="17" spans="1:12" x14ac:dyDescent="0.25">
      <c r="A17" s="1" t="s">
        <v>19</v>
      </c>
      <c r="B17" s="1" t="str">
        <f>VLOOKUP(A17,[4]LISTADHERENT!A$5:H$60,3,0)</f>
        <v>KEPSEU FRANCIS</v>
      </c>
      <c r="C17" s="7">
        <f>TONTNOV!D17+TONTDEC!D17+TONTJANV!D17+TONTFEV!D17+TONTMARS!D17+TONTAVRIL!D17+TONTMAI!D17+TONTJUIN!D17+TONTJUIL!D17+TONTAOUT!D17+TONTSEPT!D17+TONTOCT!D17+TONTNOV20!D17+TONTDEC20!D17</f>
        <v>200000</v>
      </c>
      <c r="D17" s="7">
        <f>TONTNOV!E17+TONTDEC!E17+TONTJANV!E17+TONTFEV!E17+TONTMARS!E17+TONTAVRIL!E17+TONTMAI!E17+TONTJUIN!E17+TONTJUIL!E17+TONTAOUT!E17+TONTSEPT!E17+TONTOCT!E17+TONTNOV20!E17+TONTDEC20!E17</f>
        <v>0</v>
      </c>
      <c r="E17" s="7">
        <f>TONTNOV!G17+TONTDEC!G17+TONTJANV!G17+TONTFEV!G17+TONTMARS!G17+TONTAVRIL!G17+TONTMAI!G17+TONTJUIN!G17+TONTJUIL!G17+TONTAOUT!G17+TONTSEPT!G17+TONTOCT!G17+TONTNOV20!G17+TONTDEC20!G17</f>
        <v>338000</v>
      </c>
      <c r="F17" s="7">
        <f>TONTNOV!H17+TONTDEC!H17+TONTJANV!H17+TONTFEV!H17+TONTMARS!H17+TONTAVRIL!H17+TONTMAI!H17+TONTJUIN!H17+TONTJUIL!H17+TONTAOUT!H17+TONTSEPT!H17+TONTOCT!H17+TONTNOV20!H17+TONTDEC20!H17</f>
        <v>0</v>
      </c>
      <c r="G17" s="7">
        <f>TONTNOV!I17+TONTDEC!I17+TONTJANV!I17+TONTFEV!I17+TONTMARS!I17+TONTAVRIL!I17+TONTMAI!I17+TONTJUIN!I17+TONTJUIL!I17+TONTAOUT!I17+TONTSEPT!I17+TONTOCT!I17+TONTNOV20!I17+TONTDEC20!I17</f>
        <v>0</v>
      </c>
      <c r="H17" s="7">
        <f>TONTNOV!L17+TONTDEC!L17+TONTJANV!L17+TONTFEV!L17+TONTMARS!L17+TONTAVRIL!L17+TONTMAI!L17+TONTJUIN!L17+TONTJUIL!L17+TONTAOUT!L17+TONTSEPT!L17+TONTOCT!L17+TONTNOV20!L17+TONTDEC20!L17</f>
        <v>0</v>
      </c>
      <c r="I17" s="7">
        <f>TONTNOV!P17+TONTDEC!P17+TONTJANV!P17+TONTFEV!P17+TONTMARS!P17+TONTAVRIL!P17+TONTMAI!P17+TONTJUIN!P17+TONTJUIL!P17+TONTAOUT!P17+TONTSEPT!P17+TONTOCT!P17+TONTNOV20!P17+TONTDEC20!P17</f>
        <v>0</v>
      </c>
      <c r="J17" s="7">
        <f>TONTNOV!Q17+TONTDEC!Q17+TONTJANV!Q17+TONTFEV!Q17+TONTMARS!Q17+TONTAVRIL!Q17+TONTMAI!Q17+TONTJUIN!Q17+TONTJUIL!Q17+TONTAOUT!Q17+TONTSEPT!Q17+TONTOCT!Q17+TONTNOV20!Q17+TONTDEC20!Q17</f>
        <v>0</v>
      </c>
      <c r="K17" s="18"/>
      <c r="L17" s="7">
        <f t="shared" si="0"/>
        <v>0</v>
      </c>
    </row>
    <row r="18" spans="1:12" x14ac:dyDescent="0.25">
      <c r="A18" s="1" t="s">
        <v>21</v>
      </c>
      <c r="B18" s="1" t="str">
        <f>VLOOKUP(A18,[4]LISTADHERENT!A$5:H$60,3,0)</f>
        <v>KOUAMO VICTOR PEGUY</v>
      </c>
      <c r="C18" s="7">
        <f>TONTNOV!D18+TONTDEC!D18+TONTJANV!D18+TONTFEV!D18+TONTMARS!D18+TONTAVRIL!D18+TONTMAI!D18+TONTJUIN!D18+TONTJUIL!D18+TONTAOUT!D18+TONTSEPT!D18+TONTOCT!D18+TONTNOV20!D18+TONTDEC20!D18</f>
        <v>60000</v>
      </c>
      <c r="D18" s="7">
        <f>TONTNOV!E18+TONTDEC!E18+TONTJANV!E18+TONTFEV!E18+TONTMARS!E18+TONTAVRIL!E18+TONTMAI!E18+TONTJUIN!E18+TONTJUIL!E18+TONTAOUT!E18+TONTSEPT!E18+TONTOCT!E18+TONTNOV20!E18+TONTDEC20!E18</f>
        <v>3000</v>
      </c>
      <c r="E18" s="7">
        <f>TONTNOV!G18+TONTDEC!G18+TONTJANV!G18+TONTFEV!G18+TONTMARS!G18+TONTAVRIL!G18+TONTMAI!G18+TONTJUIN!G18+TONTJUIL!G18+TONTAOUT!G18+TONTSEPT!G18+TONTOCT!G18+TONTNOV20!G18+TONTDEC20!G18</f>
        <v>87000</v>
      </c>
      <c r="F18" s="7">
        <f>TONTNOV!H18+TONTDEC!H18+TONTJANV!H18+TONTFEV!H18+TONTMARS!H18+TONTAVRIL!H18+TONTMAI!H18+TONTJUIN!H18+TONTJUIL!H18+TONTAOUT!H18+TONTSEPT!H18+TONTOCT!H18+TONTNOV20!H18+TONTDEC20!H18</f>
        <v>0</v>
      </c>
      <c r="G18" s="7">
        <f>TONTNOV!I18+TONTDEC!I18+TONTJANV!I18+TONTFEV!I18+TONTMARS!I18+TONTAVRIL!I18+TONTMAI!I18+TONTJUIN!I18+TONTJUIL!I18+TONTAOUT!I18+TONTSEPT!I18+TONTOCT!I18+TONTNOV20!I18+TONTDEC20!I18</f>
        <v>0</v>
      </c>
      <c r="H18" s="7">
        <f>TONTNOV!L18+TONTDEC!L18+TONTJANV!L18+TONTFEV!L18+TONTMARS!L18+TONTAVRIL!L18+TONTMAI!L18+TONTJUIN!L18+TONTJUIL!L18+TONTAOUT!L18+TONTSEPT!L18+TONTOCT!L18+TONTNOV20!L18+TONTDEC20!L18</f>
        <v>0</v>
      </c>
      <c r="I18" s="7">
        <f>TONTNOV!P18+TONTDEC!P18+TONTJANV!P18+TONTFEV!P18+TONTMARS!P18+TONTAVRIL!P18+TONTMAI!P18+TONTJUIN!P18+TONTJUIL!P18+TONTAOUT!P18+TONTSEPT!P18+TONTOCT!P18+TONTNOV20!P18+TONTDEC20!P18</f>
        <v>265000</v>
      </c>
      <c r="J18" s="7">
        <f>TONTNOV!Q18+TONTDEC!Q18+TONTJANV!Q18+TONTFEV!Q18+TONTMARS!Q18+TONTAVRIL!Q18+TONTMAI!Q18+TONTJUIN!Q18+TONTJUIL!Q18+TONTAOUT!Q18+TONTSEPT!Q18+TONTOCT!Q18+TONTNOV20!Q18+TONTDEC20!Q18</f>
        <v>35000</v>
      </c>
      <c r="K18" s="18">
        <v>43793</v>
      </c>
      <c r="L18" s="7">
        <f t="shared" si="0"/>
        <v>15000</v>
      </c>
    </row>
    <row r="19" spans="1:12" x14ac:dyDescent="0.25">
      <c r="A19" s="1" t="s">
        <v>20</v>
      </c>
      <c r="B19" s="1" t="str">
        <f>VLOOKUP(A19,[4]LISTADHERENT!A$5:H$60,3,0)</f>
        <v>KOUAMOU MOISE</v>
      </c>
      <c r="C19" s="7">
        <f>TONTNOV!D19+TONTDEC!D19+TONTJANV!D19+TONTFEV!D19+TONTMARS!D19+TONTAVRIL!D19+TONTMAI!D19+TONTJUIN!D19+TONTJUIL!D19+TONTAOUT!D19+TONTSEPT!D19+TONTOCT!D19+TONTNOV20!D19+TONTDEC20!D19</f>
        <v>240000</v>
      </c>
      <c r="D19" s="7">
        <f>TONTNOV!E19+TONTDEC!E19+TONTJANV!E19+TONTFEV!E19+TONTMARS!E19+TONTAVRIL!E19+TONTMAI!E19+TONTJUIN!E19+TONTJUIL!E19+TONTAOUT!E19+TONTSEPT!E19+TONTOCT!E19+TONTNOV20!E19+TONTDEC20!E19</f>
        <v>3000</v>
      </c>
      <c r="E19" s="7">
        <f>TONTNOV!G19+TONTDEC!G19+TONTJANV!G19+TONTFEV!G19+TONTMARS!G19+TONTAVRIL!G19+TONTMAI!G19+TONTJUIN!G19+TONTJUIL!G19+TONTAOUT!G19+TONTSEPT!G19+TONTOCT!G19+TONTNOV20!G19+TONTDEC20!G19</f>
        <v>357000</v>
      </c>
      <c r="F19" s="7">
        <f>TONTNOV!H19+TONTDEC!H19+TONTJANV!H19+TONTFEV!H19+TONTMARS!H19+TONTAVRIL!H19+TONTMAI!H19+TONTJUIN!H19+TONTJUIL!H19+TONTAOUT!H19+TONTSEPT!H19+TONTOCT!H19+TONTNOV20!H19+TONTDEC20!H19</f>
        <v>39000</v>
      </c>
      <c r="G19" s="7">
        <f>TONTNOV!I19+TONTDEC!I19+TONTJANV!I19+TONTFEV!I19+TONTMARS!I19+TONTAVRIL!I19+TONTMAI!I19+TONTJUIN!I19+TONTJUIL!I19+TONTAOUT!I19+TONTSEPT!I19+TONTOCT!I19+TONTNOV20!I19+TONTDEC20!I19</f>
        <v>2500</v>
      </c>
      <c r="H19" s="7">
        <f>TONTNOV!L19+TONTDEC!L19+TONTJANV!L19+TONTFEV!L19+TONTMARS!L19+TONTAVRIL!L19+TONTMAI!L19+TONTJUIN!L19+TONTJUIL!L19+TONTAOUT!L19+TONTSEPT!L19+TONTOCT!L19+TONTNOV20!L19+TONTDEC20!L19</f>
        <v>40500</v>
      </c>
      <c r="I19" s="7">
        <f>TONTNOV!P19+TONTDEC!P19+TONTJANV!P19+TONTFEV!P19+TONTMARS!P19+TONTAVRIL!P19+TONTMAI!P19+TONTJUIN!P19+TONTJUIL!P19+TONTAOUT!P19+TONTSEPT!P19+TONTOCT!P19+TONTNOV20!P19+TONTDEC20!P19</f>
        <v>279000</v>
      </c>
      <c r="J19" s="7">
        <f>TONTNOV!Q19+TONTDEC!Q19+TONTJANV!Q19+TONTFEV!Q19+TONTMARS!Q19+TONTAVRIL!Q19+TONTMAI!Q19+TONTJUIN!Q19+TONTJUIL!Q19+TONTAOUT!Q19+TONTSEPT!Q19+TONTOCT!Q19+TONTNOV20!Q19+TONTDEC20!Q19</f>
        <v>21000</v>
      </c>
      <c r="K19" s="18">
        <v>43877</v>
      </c>
      <c r="L19" s="7">
        <f t="shared" si="0"/>
        <v>1000</v>
      </c>
    </row>
    <row r="20" spans="1:12" x14ac:dyDescent="0.25">
      <c r="A20" s="1" t="s">
        <v>22</v>
      </c>
      <c r="B20" s="1" t="str">
        <f>VLOOKUP(A20,[4]LISTADHERENT!A$5:H$60,3,0)</f>
        <v>KOUATCHO MESSACK</v>
      </c>
      <c r="C20" s="7">
        <f>TONTNOV!D20+TONTDEC!D20+TONTJANV!D20+TONTFEV!D20+TONTMARS!D20+TONTAVRIL!D20+TONTMAI!D20+TONTJUIN!D20+TONTJUIL!D20+TONTAOUT!D20+TONTSEPT!D20+TONTOCT!D20+TONTNOV20!D20+TONTDEC20!D20</f>
        <v>240000</v>
      </c>
      <c r="D20" s="7">
        <f>TONTNOV!E20+TONTDEC!E20+TONTJANV!E20+TONTFEV!E20+TONTMARS!E20+TONTAVRIL!E20+TONTMAI!E20+TONTJUIN!E20+TONTJUIL!E20+TONTAOUT!E20+TONTSEPT!E20+TONTOCT!E20+TONTNOV20!E20+TONTDEC20!E20</f>
        <v>6000</v>
      </c>
      <c r="E20" s="7">
        <f>TONTNOV!G20+TONTDEC!G20+TONTJANV!G20+TONTFEV!G20+TONTMARS!G20+TONTAVRIL!G20+TONTMAI!G20+TONTJUIN!G20+TONTJUIL!G20+TONTAOUT!G20+TONTSEPT!G20+TONTOCT!G20+TONTNOV20!G20+TONTDEC20!G20</f>
        <v>363500</v>
      </c>
      <c r="F20" s="7">
        <f>TONTNOV!H20+TONTDEC!H20+TONTJANV!H20+TONTFEV!H20+TONTMARS!H20+TONTAVRIL!H20+TONTMAI!H20+TONTJUIN!H20+TONTJUIL!H20+TONTAOUT!H20+TONTSEPT!H20+TONTOCT!H20+TONTNOV20!H20+TONTDEC20!H20</f>
        <v>150000</v>
      </c>
      <c r="G20" s="7">
        <f>TONTNOV!I20+TONTDEC!I20+TONTJANV!I20+TONTFEV!I20+TONTMARS!I20+TONTAVRIL!I20+TONTMAI!I20+TONTJUIN!I20+TONTJUIL!I20+TONTAOUT!I20+TONTSEPT!I20+TONTOCT!I20+TONTNOV20!I20+TONTDEC20!I20</f>
        <v>4500</v>
      </c>
      <c r="H20" s="7">
        <f>TONTNOV!L20+TONTDEC!L20+TONTJANV!L20+TONTFEV!L20+TONTMARS!L20+TONTAVRIL!L20+TONTMAI!L20+TONTJUIN!L20+TONTJUIL!L20+TONTAOUT!L20+TONTSEPT!L20+TONTOCT!L20+TONTNOV20!L20+TONTDEC20!L20</f>
        <v>154500</v>
      </c>
      <c r="I20" s="7">
        <f>TONTNOV!P20+TONTDEC!P20+TONTJANV!P20+TONTFEV!P20+TONTMARS!P20+TONTAVRIL!P20+TONTMAI!P20+TONTJUIN!P20+TONTJUIL!P20+TONTAOUT!P20+TONTSEPT!P20+TONTOCT!P20+TONTNOV20!P20+TONTDEC20!P20</f>
        <v>277000</v>
      </c>
      <c r="J20" s="7">
        <f>TONTNOV!Q20+TONTDEC!Q20+TONTJANV!Q20+TONTFEV!Q20+TONTMARS!Q20+TONTAVRIL!Q20+TONTMAI!Q20+TONTJUIN!Q20+TONTJUIL!Q20+TONTAOUT!Q20+TONTSEPT!Q20+TONTOCT!Q20+TONTNOV20!Q20+TONTDEC20!Q20</f>
        <v>23000</v>
      </c>
      <c r="K20" s="18">
        <v>43849</v>
      </c>
      <c r="L20" s="7">
        <f t="shared" si="0"/>
        <v>3000</v>
      </c>
    </row>
    <row r="21" spans="1:12" x14ac:dyDescent="0.25">
      <c r="A21" s="1" t="s">
        <v>23</v>
      </c>
      <c r="B21" s="1" t="str">
        <f>VLOOKUP(A21,[4]LISTADHERENT!A$5:H$60,3,0)</f>
        <v>LOWE JEAN</v>
      </c>
      <c r="C21" s="7">
        <f>TONTNOV!D21+TONTDEC!D21+TONTJANV!D21+TONTFEV!D21+TONTMARS!D21+TONTAVRIL!D21+TONTMAI!D21+TONTJUIN!D21+TONTJUIL!D21+TONTAOUT!D21+TONTSEPT!D21+TONTOCT!D21+TONTNOV20!D21+TONTDEC20!D21</f>
        <v>240000</v>
      </c>
      <c r="D21" s="7">
        <f>TONTNOV!E21+TONTDEC!E21+TONTJANV!E21+TONTFEV!E21+TONTMARS!E21+TONTAVRIL!E21+TONTMAI!E21+TONTJUIN!E21+TONTJUIL!E21+TONTAOUT!E21+TONTSEPT!E21+TONTOCT!E21+TONTNOV20!E21+TONTDEC20!E21</f>
        <v>9000</v>
      </c>
      <c r="E21" s="7">
        <f>TONTNOV!G21+TONTDEC!G21+TONTJANV!G21+TONTFEV!G21+TONTMARS!G21+TONTAVRIL!G21+TONTMAI!G21+TONTJUIN!G21+TONTJUIL!G21+TONTAOUT!G21+TONTSEPT!G21+TONTOCT!G21+TONTNOV20!G21+TONTDEC20!G21</f>
        <v>360000</v>
      </c>
      <c r="F21" s="7">
        <f>TONTNOV!H21+TONTDEC!H21+TONTJANV!H21+TONTFEV!H21+TONTMARS!H21+TONTAVRIL!H21+TONTMAI!H21+TONTJUIN!H21+TONTJUIL!H21+TONTAOUT!H21+TONTSEPT!H21+TONTOCT!H21+TONTNOV20!H21+TONTDEC20!H21</f>
        <v>0</v>
      </c>
      <c r="G21" s="7">
        <f>TONTNOV!I21+TONTDEC!I21+TONTJANV!I21+TONTFEV!I21+TONTMARS!I21+TONTAVRIL!I21+TONTMAI!I21+TONTJUIN!I21+TONTJUIL!I21+TONTAOUT!I21+TONTSEPT!I21+TONTOCT!I21+TONTNOV20!I21+TONTDEC20!I21</f>
        <v>0</v>
      </c>
      <c r="H21" s="7">
        <f>TONTNOV!L21+TONTDEC!L21+TONTJANV!L21+TONTFEV!L21+TONTMARS!L21+TONTAVRIL!L21+TONTMAI!L21+TONTJUIN!L21+TONTJUIL!L21+TONTAOUT!L21+TONTSEPT!L21+TONTOCT!L21+TONTNOV20!L21+TONTDEC20!L21</f>
        <v>0</v>
      </c>
      <c r="I21" s="7">
        <f>TONTNOV!P21+TONTDEC!P21+TONTJANV!P21+TONTFEV!P21+TONTMARS!P21+TONTAVRIL!P21+TONTMAI!P21+TONTJUIN!P21+TONTJUIL!P21+TONTAOUT!P21+TONTSEPT!P21+TONTOCT!P21+TONTNOV20!P21+TONTDEC20!P21</f>
        <v>269000</v>
      </c>
      <c r="J21" s="7">
        <f>TONTNOV!Q21+TONTDEC!Q21+TONTJANV!Q21+TONTFEV!Q21+TONTMARS!Q21+TONTAVRIL!Q21+TONTMAI!Q21+TONTJUIN!Q21+TONTJUIL!Q21+TONTAOUT!Q21+TONTSEPT!Q21+TONTOCT!Q21+TONTNOV20!Q21+TONTDEC20!Q21</f>
        <v>31000</v>
      </c>
      <c r="K21" s="18">
        <v>43912</v>
      </c>
      <c r="L21" s="7">
        <f t="shared" si="0"/>
        <v>11000</v>
      </c>
    </row>
    <row r="22" spans="1:12" x14ac:dyDescent="0.25">
      <c r="A22" s="1" t="s">
        <v>70</v>
      </c>
      <c r="B22" s="1" t="str">
        <f>VLOOKUP(A22,[4]LISTADHERENT!A$5:H$60,3,0)</f>
        <v>MBOGNING TUGMA GUY</v>
      </c>
      <c r="C22" s="7">
        <f>TONTNOV!D22+TONTDEC!D22+TONTJANV!D22+TONTFEV!D22+TONTMARS!D22+TONTAVRIL!D22+TONTMAI!D22+TONTJUIN!D22+TONTJUIL!D22+TONTAOUT!D22+TONTSEPT!D22+TONTOCT!D22+TONTNOV20!D22+TONTDEC20!D22</f>
        <v>240000</v>
      </c>
      <c r="D22" s="7">
        <f>TONTNOV!E22+TONTDEC!E22+TONTJANV!E22+TONTFEV!E22+TONTMARS!E22+TONTAVRIL!E22+TONTMAI!E22+TONTJUIN!E22+TONTJUIL!E22+TONTAOUT!E22+TONTSEPT!E22+TONTOCT!E22+TONTNOV20!E22+TONTDEC20!E22</f>
        <v>0</v>
      </c>
      <c r="E22" s="7">
        <f>TONTNOV!G22+TONTDEC!G22+TONTJANV!G22+TONTFEV!G22+TONTMARS!G22+TONTAVRIL!G22+TONTMAI!G22+TONTJUIN!G22+TONTJUIL!G22+TONTAOUT!G22+TONTSEPT!G22+TONTOCT!G22+TONTNOV20!G22+TONTDEC20!G22</f>
        <v>362000</v>
      </c>
      <c r="F22" s="7">
        <f>TONTNOV!H22+TONTDEC!H22+TONTJANV!H22+TONTFEV!H22+TONTMARS!H22+TONTAVRIL!H22+TONTMAI!H22+TONTJUIN!H22+TONTJUIL!H22+TONTAOUT!H22+TONTSEPT!H22+TONTOCT!H22+TONTNOV20!H22+TONTDEC20!H22</f>
        <v>0</v>
      </c>
      <c r="G22" s="7">
        <f>TONTNOV!I22+TONTDEC!I22+TONTJANV!I22+TONTFEV!I22+TONTMARS!I22+TONTAVRIL!I22+TONTMAI!I22+TONTJUIN!I22+TONTJUIL!I22+TONTAOUT!I22+TONTSEPT!I22+TONTOCT!I22+TONTNOV20!I22+TONTDEC20!I22</f>
        <v>0</v>
      </c>
      <c r="H22" s="7">
        <f>TONTNOV!L22+TONTDEC!L22+TONTJANV!L22+TONTFEV!L22+TONTMARS!L22+TONTAVRIL!L22+TONTMAI!L22+TONTJUIN!L22+TONTJUIL!L22+TONTAOUT!L22+TONTSEPT!L22+TONTOCT!L22+TONTNOV20!L22+TONTDEC20!L22</f>
        <v>0</v>
      </c>
      <c r="I22" s="7">
        <f>TONTNOV!P22+TONTDEC!P22+TONTJANV!P22+TONTFEV!P22+TONTMARS!P22+TONTAVRIL!P22+TONTMAI!P22+TONTJUIN!P22+TONTJUIL!P22+TONTAOUT!P22+TONTSEPT!P22+TONTOCT!P22+TONTNOV20!P22+TONTDEC20!P22</f>
        <v>278000</v>
      </c>
      <c r="J22" s="7">
        <f>TONTNOV!Q22+TONTDEC!Q22+TONTJANV!Q22+TONTFEV!Q22+TONTMARS!Q22+TONTAVRIL!Q22+TONTMAI!Q22+TONTJUIN!Q22+TONTJUIL!Q22+TONTAOUT!Q22+TONTSEPT!Q22+TONTOCT!Q22+TONTNOV20!Q22+TONTDEC20!Q22</f>
        <v>22000</v>
      </c>
      <c r="K22" s="18">
        <v>43877</v>
      </c>
      <c r="L22" s="7">
        <f t="shared" si="0"/>
        <v>2000</v>
      </c>
    </row>
    <row r="23" spans="1:12" x14ac:dyDescent="0.25">
      <c r="A23" s="1" t="s">
        <v>34</v>
      </c>
      <c r="B23" s="1" t="str">
        <f>VLOOKUP(A23,[4]LISTADHERENT!A$5:H$60,3,0)</f>
        <v>NANGUEN MARTIN</v>
      </c>
      <c r="C23" s="7">
        <f>TONTNOV!D23+TONTDEC!D23+TONTJANV!D23+TONTFEV!D23+TONTMARS!D23+TONTAVRIL!D23+TONTMAI!D23+TONTJUIN!D23+TONTJUIL!D23+TONTAOUT!D23+TONTSEPT!D23+TONTOCT!D23+TONTNOV20!D23+TONTDEC20!D23</f>
        <v>240000</v>
      </c>
      <c r="D23" s="7">
        <f>TONTNOV!E23+TONTDEC!E23+TONTJANV!E23+TONTFEV!E23+TONTMARS!E23+TONTAVRIL!E23+TONTMAI!E23+TONTJUIN!E23+TONTJUIL!E23+TONTAOUT!E23+TONTSEPT!E23+TONTOCT!E23+TONTNOV20!E23+TONTDEC20!E23</f>
        <v>3000</v>
      </c>
      <c r="E23" s="7">
        <f>TONTNOV!G23+TONTDEC!G23+TONTJANV!G23+TONTFEV!G23+TONTMARS!G23+TONTAVRIL!G23+TONTMAI!G23+TONTJUIN!G23+TONTJUIL!G23+TONTAOUT!G23+TONTSEPT!G23+TONTOCT!G23+TONTNOV20!G23+TONTDEC20!G23</f>
        <v>375000</v>
      </c>
      <c r="F23" s="7">
        <f>TONTNOV!H23+TONTDEC!H23+TONTJANV!H23+TONTFEV!H23+TONTMARS!H23+TONTAVRIL!H23+TONTMAI!H23+TONTJUIN!H23+TONTJUIL!H23+TONTAOUT!H23+TONTSEPT!H23+TONTOCT!H23+TONTNOV20!H23+TONTDEC20!H23</f>
        <v>0</v>
      </c>
      <c r="G23" s="7">
        <f>TONTNOV!I23+TONTDEC!I23+TONTJANV!I23+TONTFEV!I23+TONTMARS!I23+TONTAVRIL!I23+TONTMAI!I23+TONTJUIN!I23+TONTJUIL!I23+TONTAOUT!I23+TONTSEPT!I23+TONTOCT!I23+TONTNOV20!I23+TONTDEC20!I23</f>
        <v>0</v>
      </c>
      <c r="H23" s="7">
        <f>TONTNOV!L23+TONTDEC!L23+TONTJANV!L23+TONTFEV!L23+TONTMARS!L23+TONTAVRIL!L23+TONTMAI!L23+TONTJUIN!L23+TONTJUIL!L23+TONTAOUT!L23+TONTSEPT!L23+TONTOCT!L23+TONTNOV20!L23+TONTDEC20!L23</f>
        <v>0</v>
      </c>
      <c r="I23" s="7">
        <f>TONTNOV!P23+TONTDEC!P23+TONTJANV!P23+TONTFEV!P23+TONTMARS!P23+TONTAVRIL!P23+TONTMAI!P23+TONTJUIN!P23+TONTJUIL!P23+TONTAOUT!P23+TONTSEPT!P23+TONTOCT!P23+TONTNOV20!P23+TONTDEC20!P23</f>
        <v>0</v>
      </c>
      <c r="J23" s="7">
        <f>TONTNOV!Q23+TONTDEC!Q23+TONTJANV!Q23+TONTFEV!Q23+TONTMARS!Q23+TONTAVRIL!Q23+TONTMAI!Q23+TONTJUIN!Q23+TONTJUIL!Q23+TONTAOUT!Q23+TONTSEPT!Q23+TONTOCT!Q23+TONTNOV20!Q23+TONTDEC20!Q23</f>
        <v>0</v>
      </c>
      <c r="K23" s="18"/>
      <c r="L23" s="7">
        <f t="shared" si="0"/>
        <v>0</v>
      </c>
    </row>
    <row r="24" spans="1:12" x14ac:dyDescent="0.25">
      <c r="A24" s="1" t="s">
        <v>24</v>
      </c>
      <c r="B24" s="1" t="str">
        <f>VLOOKUP(A24,[4]LISTADHERENT!A$5:H$60,3,0)</f>
        <v>NANKAM APPOLINAIRE</v>
      </c>
      <c r="C24" s="7">
        <f>TONTNOV!D24+TONTDEC!D24+TONTJANV!D24+TONTFEV!D24+TONTMARS!D24+TONTAVRIL!D24+TONTMAI!D24+TONTJUIN!D24+TONTJUIL!D24+TONTAOUT!D24+TONTSEPT!D24+TONTOCT!D24+TONTNOV20!D24+TONTDEC20!D24</f>
        <v>240000</v>
      </c>
      <c r="D24" s="7">
        <f>TONTNOV!E24+TONTDEC!E24+TONTJANV!E24+TONTFEV!E24+TONTMARS!E24+TONTAVRIL!E24+TONTMAI!E24+TONTJUIN!E24+TONTJUIL!E24+TONTAOUT!E24+TONTSEPT!E24+TONTOCT!E24+TONTNOV20!E24+TONTDEC20!E24</f>
        <v>0</v>
      </c>
      <c r="E24" s="7">
        <f>TONTNOV!G24+TONTDEC!G24+TONTJANV!G24+TONTFEV!G24+TONTMARS!G24+TONTAVRIL!G24+TONTMAI!G24+TONTJUIN!G24+TONTJUIL!G24+TONTAOUT!G24+TONTSEPT!G24+TONTOCT!G24+TONTNOV20!G24+TONTDEC20!G24</f>
        <v>360000</v>
      </c>
      <c r="F24" s="7">
        <f>TONTNOV!H24+TONTDEC!H24+TONTJANV!H24+TONTFEV!H24+TONTMARS!H24+TONTAVRIL!H24+TONTMAI!H24+TONTJUIN!H24+TONTJUIL!H24+TONTAOUT!H24+TONTSEPT!H24+TONTOCT!H24+TONTNOV20!H24+TONTDEC20!H24</f>
        <v>0</v>
      </c>
      <c r="G24" s="7">
        <f>TONTNOV!I24+TONTDEC!I24+TONTJANV!I24+TONTFEV!I24+TONTMARS!I24+TONTAVRIL!I24+TONTMAI!I24+TONTJUIN!I24+TONTJUIL!I24+TONTAOUT!I24+TONTSEPT!I24+TONTOCT!I24+TONTNOV20!I24+TONTDEC20!I24</f>
        <v>0</v>
      </c>
      <c r="H24" s="7">
        <f>TONTNOV!L24+TONTDEC!L24+TONTJANV!L24+TONTFEV!L24+TONTMARS!L24+TONTAVRIL!L24+TONTMAI!L24+TONTJUIN!L24+TONTJUIL!L24+TONTAOUT!L24+TONTSEPT!L24+TONTOCT!L24+TONTNOV20!L24+TONTDEC20!L24</f>
        <v>0</v>
      </c>
      <c r="I24" s="7">
        <f>TONTNOV!P24+TONTDEC!P24+TONTJANV!P24+TONTFEV!P24+TONTMARS!P24+TONTAVRIL!P24+TONTMAI!P24+TONTJUIN!P24+TONTJUIL!P24+TONTAOUT!P24+TONTSEPT!P24+TONTOCT!P24+TONTNOV20!P24+TONTDEC20!P24</f>
        <v>270000</v>
      </c>
      <c r="J24" s="7">
        <f>TONTNOV!Q24+TONTDEC!Q24+TONTJANV!Q24+TONTFEV!Q24+TONTMARS!Q24+TONTAVRIL!Q24+TONTMAI!Q24+TONTJUIN!Q24+TONTJUIL!Q24+TONTAOUT!Q24+TONTSEPT!Q24+TONTOCT!Q24+TONTNOV20!Q24+TONTDEC20!Q24</f>
        <v>30000</v>
      </c>
      <c r="K24" s="18">
        <v>43940</v>
      </c>
      <c r="L24" s="7">
        <f>IF(I24=0,0,(J24-20000))</f>
        <v>10000</v>
      </c>
    </row>
    <row r="25" spans="1:12" x14ac:dyDescent="0.25">
      <c r="A25" s="1" t="s">
        <v>25</v>
      </c>
      <c r="B25" s="1" t="str">
        <f>VLOOKUP(A25,[4]LISTADHERENT!A$5:H$60,3,0)</f>
        <v>NDJOMO ETIENNE</v>
      </c>
      <c r="C25" s="7">
        <f>TONTNOV!D25+TONTDEC!D25+TONTJANV!D25+TONTFEV!D25+TONTMARS!D25+TONTAVRIL!D25+TONTMAI!D25+TONTJUIN!D25+TONTJUIL!D25+TONTAOUT!D25+TONTSEPT!D25+TONTOCT!D25+TONTNOV20!D25+TONTDEC20!D25</f>
        <v>240000</v>
      </c>
      <c r="D25" s="7">
        <f>TONTNOV!E25+TONTDEC!E25+TONTJANV!E25+TONTFEV!E25+TONTMARS!E25+TONTAVRIL!E25+TONTMAI!E25+TONTJUIN!E25+TONTJUIL!E25+TONTAOUT!E25+TONTSEPT!E25+TONTOCT!E25+TONTNOV20!E25+TONTDEC20!E25</f>
        <v>0</v>
      </c>
      <c r="E25" s="7">
        <f>TONTNOV!G25+TONTDEC!G25+TONTJANV!G25+TONTFEV!G25+TONTMARS!G25+TONTAVRIL!G25+TONTMAI!G25+TONTJUIN!G25+TONTJUIL!G25+TONTAOUT!G25+TONTSEPT!G25+TONTOCT!G25+TONTNOV20!G25+TONTDEC20!G25</f>
        <v>400000</v>
      </c>
      <c r="F25" s="7">
        <f>TONTNOV!H25+TONTDEC!H25+TONTJANV!H25+TONTFEV!H25+TONTMARS!H25+TONTAVRIL!H25+TONTMAI!H25+TONTJUIN!H25+TONTJUIL!H25+TONTAOUT!H25+TONTSEPT!H25+TONTOCT!H25+TONTNOV20!H25+TONTDEC20!H25</f>
        <v>74000</v>
      </c>
      <c r="G25" s="7">
        <f>TONTNOV!I25+TONTDEC!I25+TONTJANV!I25+TONTFEV!I25+TONTMARS!I25+TONTAVRIL!I25+TONTMAI!I25+TONTJUIN!I25+TONTJUIL!I25+TONTAOUT!I25+TONTSEPT!I25+TONTOCT!I25+TONTNOV20!I25+TONTDEC20!I25</f>
        <v>3000</v>
      </c>
      <c r="H25" s="7">
        <f>TONTNOV!L25+TONTDEC!L25+TONTJANV!L25+TONTFEV!L25+TONTMARS!L25+TONTAVRIL!L25+TONTMAI!L25+TONTJUIN!L25+TONTJUIL!L25+TONTAOUT!L25+TONTSEPT!L25+TONTOCT!L25+TONTNOV20!L25+TONTDEC20!L25</f>
        <v>77000</v>
      </c>
      <c r="I25" s="7">
        <f>TONTNOV!P25+TONTDEC!P25+TONTJANV!P25+TONTFEV!P25+TONTMARS!P25+TONTAVRIL!P25+TONTMAI!P25+TONTJUIN!P25+TONTJUIL!P25+TONTAOUT!P25+TONTSEPT!P25+TONTOCT!P25+TONTNOV20!P25+TONTDEC20!P25</f>
        <v>280000</v>
      </c>
      <c r="J25" s="7">
        <f>TONTNOV!Q25+TONTDEC!Q25+TONTJANV!Q25+TONTFEV!Q25+TONTMARS!Q25+TONTAVRIL!Q25+TONTMAI!Q25+TONTJUIN!Q25+TONTJUIL!Q25+TONTAOUT!Q25+TONTSEPT!Q25+TONTOCT!Q25+TONTNOV20!Q25+TONTDEC20!Q25</f>
        <v>20000</v>
      </c>
      <c r="K25" s="18">
        <v>44059</v>
      </c>
      <c r="L25" s="7">
        <f t="shared" si="0"/>
        <v>0</v>
      </c>
    </row>
    <row r="26" spans="1:12" x14ac:dyDescent="0.25">
      <c r="A26" s="1" t="s">
        <v>26</v>
      </c>
      <c r="B26" s="1" t="str">
        <f>VLOOKUP(A26,[4]LISTADHERENT!A$5:H$60,3,0)</f>
        <v>NGONDIEP CLAUDE</v>
      </c>
      <c r="C26" s="7">
        <f>TONTNOV!D26+TONTDEC!D26+TONTJANV!D26+TONTFEV!D26+TONTMARS!D26+TONTAVRIL!D26+TONTMAI!D26+TONTJUIN!D26+TONTJUIL!D26+TONTAOUT!D26+TONTSEPT!D26+TONTOCT!D26+TONTNOV20!D26+TONTDEC20!D26</f>
        <v>240000</v>
      </c>
      <c r="D26" s="7">
        <f>TONTNOV!E26+TONTDEC!E26+TONTJANV!E26+TONTFEV!E26+TONTMARS!E26+TONTAVRIL!E26+TONTMAI!E26+TONTJUIN!E26+TONTJUIL!E26+TONTAOUT!E26+TONTSEPT!E26+TONTOCT!E26+TONTNOV20!E26+TONTDEC20!E26</f>
        <v>0</v>
      </c>
      <c r="E26" s="7">
        <f>TONTNOV!G26+TONTDEC!G26+TONTJANV!G26+TONTFEV!G26+TONTMARS!G26+TONTAVRIL!G26+TONTMAI!G26+TONTJUIN!G26+TONTJUIL!G26+TONTAOUT!G26+TONTSEPT!G26+TONTOCT!G26+TONTNOV20!G26+TONTDEC20!G26</f>
        <v>460000</v>
      </c>
      <c r="F26" s="7">
        <f>TONTNOV!H26+TONTDEC!H26+TONTJANV!H26+TONTFEV!H26+TONTMARS!H26+TONTAVRIL!H26+TONTMAI!H26+TONTJUIN!H26+TONTJUIL!H26+TONTAOUT!H26+TONTSEPT!H26+TONTOCT!H26+TONTNOV20!H26+TONTDEC20!H26</f>
        <v>0</v>
      </c>
      <c r="G26" s="7">
        <f>TONTNOV!I26+TONTDEC!I26+TONTJANV!I26+TONTFEV!I26+TONTMARS!I26+TONTAVRIL!I26+TONTMAI!I26+TONTJUIN!I26+TONTJUIL!I26+TONTAOUT!I26+TONTSEPT!I26+TONTOCT!I26+TONTNOV20!I26+TONTDEC20!I26</f>
        <v>0</v>
      </c>
      <c r="H26" s="7">
        <f>TONTNOV!L26+TONTDEC!L26+TONTJANV!L26+TONTFEV!L26+TONTMARS!L26+TONTAVRIL!L26+TONTMAI!L26+TONTJUIN!L26+TONTJUIL!L26+TONTAOUT!L26+TONTSEPT!L26+TONTOCT!L26+TONTNOV20!L26+TONTDEC20!L26</f>
        <v>0</v>
      </c>
      <c r="I26" s="7">
        <f>TONTNOV!P26+TONTDEC!P26+TONTJANV!P26+TONTFEV!P26+TONTMARS!P26+TONTAVRIL!P26+TONTMAI!P26+TONTJUIN!P26+TONTJUIL!P26+TONTAOUT!P26+TONTSEPT!P26+TONTOCT!P26+TONTNOV20!P26+TONTDEC20!P26</f>
        <v>270000</v>
      </c>
      <c r="J26" s="7">
        <f>TONTNOV!Q26+TONTDEC!Q26+TONTJANV!Q26+TONTFEV!Q26+TONTMARS!Q26+TONTAVRIL!Q26+TONTMAI!Q26+TONTJUIN!Q26+TONTJUIL!Q26+TONTAOUT!Q26+TONTSEPT!Q26+TONTOCT!Q26+TONTNOV20!Q26+TONTDEC20!Q26</f>
        <v>30000</v>
      </c>
      <c r="K26" s="18">
        <v>43968</v>
      </c>
      <c r="L26" s="7">
        <f t="shared" si="0"/>
        <v>10000</v>
      </c>
    </row>
    <row r="27" spans="1:12" x14ac:dyDescent="0.25">
      <c r="A27" s="1" t="s">
        <v>27</v>
      </c>
      <c r="B27" s="1" t="str">
        <f>VLOOKUP(A27,[4]LISTADHERENT!A$5:H$60,3,0)</f>
        <v>NGUIEMEGNI MATHIEU BLAISE</v>
      </c>
      <c r="C27" s="7">
        <f>TONTNOV!D27+TONTDEC!D27+TONTJANV!D27+TONTFEV!D27+TONTMARS!D27+TONTAVRIL!D27+TONTMAI!D27+TONTJUIN!D27+TONTJUIL!D27+TONTAOUT!D27+TONTSEPT!D27+TONTOCT!D27+TONTNOV20!D27+TONTDEC20!D27</f>
        <v>240000</v>
      </c>
      <c r="D27" s="7">
        <f>TONTNOV!E27+TONTDEC!E27+TONTJANV!E27+TONTFEV!E27+TONTMARS!E27+TONTAVRIL!E27+TONTMAI!E27+TONTJUIN!E27+TONTJUIL!E27+TONTAOUT!E27+TONTSEPT!E27+TONTOCT!E27+TONTNOV20!E27+TONTDEC20!E27</f>
        <v>0</v>
      </c>
      <c r="E27" s="7">
        <f>TONTNOV!G27+TONTDEC!G27+TONTJANV!G27+TONTFEV!G27+TONTMARS!G27+TONTAVRIL!G27+TONTMAI!G27+TONTJUIN!G27+TONTJUIL!G27+TONTAOUT!G27+TONTSEPT!G27+TONTOCT!G27+TONTNOV20!G27+TONTDEC20!G27</f>
        <v>360000</v>
      </c>
      <c r="F27" s="7">
        <f>TONTNOV!H27+TONTDEC!H27+TONTJANV!H27+TONTFEV!H27+TONTMARS!H27+TONTAVRIL!H27+TONTMAI!H27+TONTJUIN!H27+TONTJUIL!H27+TONTAOUT!H27+TONTSEPT!H27+TONTOCT!H27+TONTNOV20!H27+TONTDEC20!H27</f>
        <v>0</v>
      </c>
      <c r="G27" s="7">
        <f>TONTNOV!I27+TONTDEC!I27+TONTJANV!I27+TONTFEV!I27+TONTMARS!I27+TONTAVRIL!I27+TONTMAI!I27+TONTJUIN!I27+TONTJUIL!I27+TONTAOUT!I27+TONTSEPT!I27+TONTOCT!I27+TONTNOV20!I27+TONTDEC20!I27</f>
        <v>0</v>
      </c>
      <c r="H27" s="7">
        <f>TONTNOV!L27+TONTDEC!L27+TONTJANV!L27+TONTFEV!L27+TONTMARS!L27+TONTAVRIL!L27+TONTMAI!L27+TONTJUIN!L27+TONTJUIL!L27+TONTAOUT!L27+TONTSEPT!L27+TONTOCT!L27+TONTNOV20!L27+TONTDEC20!L27</f>
        <v>0</v>
      </c>
      <c r="I27" s="7">
        <f>TONTNOV!P27+TONTDEC!P27+TONTJANV!P27+TONTFEV!P27+TONTMARS!P27+TONTAVRIL!P27+TONTMAI!P27+TONTJUIN!P27+TONTJUIL!P27+TONTAOUT!P27+TONTSEPT!P27+TONTOCT!P27+TONTNOV20!P27+TONTDEC20!P27</f>
        <v>534000</v>
      </c>
      <c r="J27" s="7">
        <f>TONTNOV!Q27+TONTDEC!Q27+TONTJANV!Q27+TONTFEV!Q27+TONTMARS!Q27+TONTAVRIL!Q27+TONTMAI!Q27+TONTJUIN!Q27+TONTJUIL!Q27+TONTAOUT!Q27+TONTSEPT!Q27+TONTOCT!Q27+TONTNOV20!Q27+TONTDEC20!Q27</f>
        <v>66000</v>
      </c>
      <c r="K27" s="18">
        <v>43814</v>
      </c>
      <c r="L27" s="7">
        <f t="shared" si="0"/>
        <v>46000</v>
      </c>
    </row>
    <row r="28" spans="1:12" x14ac:dyDescent="0.25">
      <c r="A28" s="1" t="s">
        <v>28</v>
      </c>
      <c r="B28" s="1" t="str">
        <f>VLOOKUP(A28,[4]LISTADHERENT!A$5:H$60,3,0)</f>
        <v>NKAMGANG JUSTIN DEJOLIE</v>
      </c>
      <c r="C28" s="7">
        <f>TONTNOV!D28+TONTDEC!D28+TONTJANV!D28+TONTFEV!D28+TONTMARS!D28+TONTAVRIL!D28+TONTMAI!D28+TONTJUIN!D28+TONTJUIL!D28+TONTAOUT!D28+TONTSEPT!D28+TONTOCT!D28+TONTNOV20!D28+TONTDEC20!D28</f>
        <v>240000</v>
      </c>
      <c r="D28" s="7">
        <f>TONTNOV!E28+TONTDEC!E28+TONTJANV!E28+TONTFEV!E28+TONTMARS!E28+TONTAVRIL!E28+TONTMAI!E28+TONTJUIN!E28+TONTJUIL!E28+TONTAOUT!E28+TONTSEPT!E28+TONTOCT!E28+TONTNOV20!E28+TONTDEC20!E28</f>
        <v>27000</v>
      </c>
      <c r="E28" s="7">
        <f>TONTNOV!G28+TONTDEC!G28+TONTJANV!G28+TONTFEV!G28+TONTMARS!G28+TONTAVRIL!G28+TONTMAI!G28+TONTJUIN!G28+TONTJUIL!G28+TONTAOUT!G28+TONTSEPT!G28+TONTOCT!G28+TONTNOV20!G28+TONTDEC20!G28</f>
        <v>363000</v>
      </c>
      <c r="F28" s="7">
        <f>TONTNOV!H28+TONTDEC!H28+TONTJANV!H28+TONTFEV!H28+TONTMARS!H28+TONTAVRIL!H28+TONTMAI!H28+TONTJUIN!H28+TONTJUIL!H28+TONTAOUT!H28+TONTSEPT!H28+TONTOCT!H28+TONTNOV20!H28+TONTDEC20!H28</f>
        <v>256500</v>
      </c>
      <c r="G28" s="7">
        <f>TONTNOV!I28+TONTDEC!I28+TONTJANV!I28+TONTFEV!I28+TONTMARS!I28+TONTAVRIL!I28+TONTMAI!I28+TONTJUIN!I28+TONTJUIL!I28+TONTAOUT!I28+TONTSEPT!I28+TONTOCT!I28+TONTNOV20!I28+TONTDEC20!I28</f>
        <v>8000</v>
      </c>
      <c r="H28" s="7">
        <f>TONTNOV!L28+TONTDEC!L28+TONTJANV!L28+TONTFEV!L28+TONTMARS!L28+TONTAVRIL!L28+TONTMAI!L28+TONTJUIN!L28+TONTJUIL!L28+TONTAOUT!L28+TONTSEPT!L28+TONTOCT!L28+TONTNOV20!L28+TONTDEC20!L28</f>
        <v>264500</v>
      </c>
      <c r="I28" s="7">
        <f>TONTNOV!P28+TONTDEC!P28+TONTJANV!P28+TONTFEV!P28+TONTMARS!P28+TONTAVRIL!P28+TONTMAI!P28+TONTJUIN!P28+TONTJUIL!P28+TONTAOUT!P28+TONTSEPT!P28+TONTOCT!P28+TONTNOV20!P28+TONTDEC20!P28</f>
        <v>263000</v>
      </c>
      <c r="J28" s="7">
        <f>TONTNOV!Q28+TONTDEC!Q28+TONTJANV!Q28+TONTFEV!Q28+TONTMARS!Q28+TONTAVRIL!Q28+TONTMAI!Q28+TONTJUIN!Q28+TONTJUIL!Q28+TONTAOUT!Q28+TONTSEPT!Q28+TONTOCT!Q28+TONTNOV20!Q28+TONTDEC20!Q28</f>
        <v>37000</v>
      </c>
      <c r="K28" s="18">
        <v>43849</v>
      </c>
      <c r="L28" s="7">
        <f t="shared" si="0"/>
        <v>17000</v>
      </c>
    </row>
    <row r="29" spans="1:12" x14ac:dyDescent="0.25">
      <c r="A29" s="1" t="s">
        <v>18</v>
      </c>
      <c r="B29" s="1" t="str">
        <f>VLOOKUP(A29,[4]LISTADHERENT!A$5:H$60,3,0)</f>
        <v>NKEHE DAVID</v>
      </c>
      <c r="C29" s="7">
        <f>TONTNOV!D29+TONTDEC!D29+TONTJANV!D29+TONTFEV!D29+TONTMARS!D29+TONTAVRIL!D29+TONTMAI!D29+TONTJUIN!D29+TONTJUIL!D29+TONTAOUT!D29+TONTSEPT!D29+TONTOCT!D29+TONTNOV20!D29+TONTDEC20!D29</f>
        <v>220000</v>
      </c>
      <c r="D29" s="7">
        <f>TONTNOV!E29+TONTDEC!E29+TONTJANV!E29+TONTFEV!E29+TONTMARS!E29+TONTAVRIL!E29+TONTMAI!E29+TONTJUIN!E29+TONTJUIL!E29+TONTAOUT!E29+TONTSEPT!E29+TONTOCT!E29+TONTNOV20!E29+TONTDEC20!E29</f>
        <v>21000</v>
      </c>
      <c r="E29" s="7">
        <f>TONTNOV!G29+TONTDEC!G29+TONTJANV!G29+TONTFEV!G29+TONTMARS!G29+TONTAVRIL!G29+TONTMAI!G29+TONTJUIN!G29+TONTJUIL!G29+TONTAOUT!G29+TONTSEPT!G29+TONTOCT!G29+TONTNOV20!G29+TONTDEC20!G29</f>
        <v>315000</v>
      </c>
      <c r="F29" s="7">
        <f>TONTNOV!H29+TONTDEC!H29+TONTJANV!H29+TONTFEV!H29+TONTMARS!H29+TONTAVRIL!H29+TONTMAI!H29+TONTJUIN!H29+TONTJUIL!H29+TONTAOUT!H29+TONTSEPT!H29+TONTOCT!H29+TONTNOV20!H29+TONTDEC20!H29</f>
        <v>82000</v>
      </c>
      <c r="G29" s="7">
        <f>TONTNOV!I29+TONTDEC!I29+TONTJANV!I29+TONTFEV!I29+TONTMARS!I29+TONTAVRIL!I29+TONTMAI!I29+TONTJUIN!I29+TONTJUIL!I29+TONTAOUT!I29+TONTSEPT!I29+TONTOCT!I29+TONTNOV20!I29+TONTDEC20!I29</f>
        <v>3500</v>
      </c>
      <c r="H29" s="7">
        <f>TONTNOV!L29+TONTDEC!L29+TONTJANV!L29+TONTFEV!L29+TONTMARS!L29+TONTAVRIL!L29+TONTMAI!L29+TONTJUIN!L29+TONTJUIL!L29+TONTAOUT!L29+TONTSEPT!L29+TONTOCT!L29+TONTNOV20!L29+TONTDEC20!L29</f>
        <v>85500</v>
      </c>
      <c r="I29" s="7">
        <f>TONTNOV!P29+TONTDEC!P29+TONTJANV!P29+TONTFEV!P29+TONTMARS!P29+TONTAVRIL!P29+TONTMAI!P29+TONTJUIN!P29+TONTJUIL!P29+TONTAOUT!P29+TONTSEPT!P29+TONTOCT!P29+TONTNOV20!P29+TONTDEC20!P29</f>
        <v>275000</v>
      </c>
      <c r="J29" s="7">
        <f>TONTNOV!Q29+TONTDEC!Q29+TONTJANV!Q29+TONTFEV!Q29+TONTMARS!Q29+TONTAVRIL!Q29+TONTMAI!Q29+TONTJUIN!Q29+TONTJUIL!Q29+TONTAOUT!Q29+TONTSEPT!Q29+TONTOCT!Q29+TONTNOV20!Q29+TONTDEC20!Q29</f>
        <v>25000</v>
      </c>
      <c r="K29" s="18">
        <v>43849</v>
      </c>
      <c r="L29" s="7">
        <f t="shared" si="0"/>
        <v>5000</v>
      </c>
    </row>
    <row r="30" spans="1:12" x14ac:dyDescent="0.25">
      <c r="A30" s="1" t="s">
        <v>29</v>
      </c>
      <c r="B30" s="1" t="str">
        <f>VLOOKUP(A30,[4]LISTADHERENT!A$5:H$60,3,0)</f>
        <v>NKEPSEU DIEUDONNE</v>
      </c>
      <c r="C30" s="7">
        <f>TONTNOV!D30+TONTDEC!D30+TONTJANV!D30+TONTFEV!D30+TONTMARS!D30+TONTAVRIL!D30+TONTMAI!D30+TONTJUIN!D30+TONTJUIL!D30+TONTAOUT!D30+TONTSEPT!D30+TONTOCT!D30+TONTNOV20!D30+TONTDEC20!D30</f>
        <v>240000</v>
      </c>
      <c r="D30" s="7">
        <f>TONTNOV!E30+TONTDEC!E30+TONTJANV!E30+TONTFEV!E30+TONTMARS!E30+TONTAVRIL!E30+TONTMAI!E30+TONTJUIN!E30+TONTJUIL!E30+TONTAOUT!E30+TONTSEPT!E30+TONTOCT!E30+TONTNOV20!E30+TONTDEC20!E30</f>
        <v>3000</v>
      </c>
      <c r="E30" s="7">
        <f>TONTNOV!G30+TONTDEC!G30+TONTJANV!G30+TONTFEV!G30+TONTMARS!G30+TONTAVRIL!G30+TONTMAI!G30+TONTJUIN!G30+TONTJUIL!G30+TONTAOUT!G30+TONTSEPT!G30+TONTOCT!G30+TONTNOV20!G30+TONTDEC20!G30</f>
        <v>370500</v>
      </c>
      <c r="F30" s="7">
        <f>TONTNOV!H30+TONTDEC!H30+TONTJANV!H30+TONTFEV!H30+TONTMARS!H30+TONTAVRIL!H30+TONTMAI!H30+TONTJUIN!H30+TONTJUIL!H30+TONTAOUT!H30+TONTSEPT!H30+TONTOCT!H30+TONTNOV20!H30+TONTDEC20!H30</f>
        <v>99000</v>
      </c>
      <c r="G30" s="7">
        <f>TONTNOV!I30+TONTDEC!I30+TONTJANV!I30+TONTFEV!I30+TONTMARS!I30+TONTAVRIL!I30+TONTMAI!I30+TONTJUIN!I30+TONTJUIL!I30+TONTAOUT!I30+TONTSEPT!I30+TONTOCT!I30+TONTNOV20!I30+TONTDEC20!I30</f>
        <v>3500</v>
      </c>
      <c r="H30" s="7">
        <f>TONTNOV!L30+TONTDEC!L30+TONTJANV!L30+TONTFEV!L30+TONTMARS!L30+TONTAVRIL!L30+TONTMAI!L30+TONTJUIN!L30+TONTJUIL!L30+TONTAOUT!L30+TONTSEPT!L30+TONTOCT!L30+TONTNOV20!L30+TONTDEC20!L30</f>
        <v>102500</v>
      </c>
      <c r="I30" s="7">
        <f>TONTNOV!P30+TONTDEC!P30+TONTJANV!P30+TONTFEV!P30+TONTMARS!P30+TONTAVRIL!P30+TONTMAI!P30+TONTJUIN!P30+TONTJUIL!P30+TONTAOUT!P30+TONTSEPT!P30+TONTOCT!P30+TONTNOV20!P30+TONTDEC20!P30</f>
        <v>270000</v>
      </c>
      <c r="J30" s="7">
        <f>TONTNOV!Q30+TONTDEC!Q30+TONTJANV!Q30+TONTFEV!Q30+TONTMARS!Q30+TONTAVRIL!Q30+TONTMAI!Q30+TONTJUIN!Q30+TONTJUIL!Q30+TONTAOUT!Q30+TONTSEPT!Q30+TONTOCT!Q30+TONTNOV20!Q30+TONTDEC20!Q30</f>
        <v>30000</v>
      </c>
      <c r="K30" s="18">
        <v>43912</v>
      </c>
      <c r="L30" s="7">
        <f t="shared" si="0"/>
        <v>10000</v>
      </c>
    </row>
    <row r="31" spans="1:12" x14ac:dyDescent="0.25">
      <c r="A31" s="1" t="s">
        <v>30</v>
      </c>
      <c r="B31" s="1" t="str">
        <f>VLOOKUP(A31,[4]LISTADHERENT!A$5:H$60,3,0)</f>
        <v>PATEGO NJOSSU GUSTAVE</v>
      </c>
      <c r="C31" s="7">
        <f>TONTNOV!D31+TONTDEC!D31+TONTJANV!D31+TONTFEV!D31+TONTMARS!D31+TONTAVRIL!D31+TONTMAI!D31+TONTJUIN!D31+TONTJUIL!D31+TONTAOUT!D31+TONTSEPT!D31+TONTOCT!D31+TONTNOV20!D31+TONTDEC20!D31</f>
        <v>240000</v>
      </c>
      <c r="D31" s="7">
        <f>TONTNOV!E31+TONTDEC!E31+TONTJANV!E31+TONTFEV!E31+TONTMARS!E31+TONTAVRIL!E31+TONTMAI!E31+TONTJUIN!E31+TONTJUIL!E31+TONTAOUT!E31+TONTSEPT!E31+TONTOCT!E31+TONTNOV20!E31+TONTDEC20!E31</f>
        <v>0</v>
      </c>
      <c r="E31" s="7">
        <f>TONTNOV!G31+TONTDEC!G31+TONTJANV!G31+TONTFEV!G31+TONTMARS!G31+TONTAVRIL!G31+TONTMAI!G31+TONTJUIN!G31+TONTJUIL!G31+TONTAOUT!G31+TONTSEPT!G31+TONTOCT!G31+TONTNOV20!G31+TONTDEC20!G31</f>
        <v>360000</v>
      </c>
      <c r="F31" s="7">
        <f>TONTNOV!H31+TONTDEC!H31+TONTJANV!H31+TONTFEV!H31+TONTMARS!H31+TONTAVRIL!H31+TONTMAI!H31+TONTJUIN!H31+TONTJUIL!H31+TONTAOUT!H31+TONTSEPT!H31+TONTOCT!H31+TONTNOV20!H31+TONTDEC20!H31</f>
        <v>0</v>
      </c>
      <c r="G31" s="7">
        <f>TONTNOV!I31+TONTDEC!I31+TONTJANV!I31+TONTFEV!I31+TONTMARS!I31+TONTAVRIL!I31+TONTMAI!I31+TONTJUIN!I31+TONTJUIL!I31+TONTAOUT!I31+TONTSEPT!I31+TONTOCT!I31+TONTNOV20!I31+TONTDEC20!I31</f>
        <v>0</v>
      </c>
      <c r="H31" s="7">
        <f>TONTNOV!L31+TONTDEC!L31+TONTJANV!L31+TONTFEV!L31+TONTMARS!L31+TONTAVRIL!L31+TONTMAI!L31+TONTJUIN!L31+TONTJUIL!L31+TONTAOUT!L31+TONTSEPT!L31+TONTOCT!L31+TONTNOV20!L31+TONTDEC20!L31</f>
        <v>0</v>
      </c>
      <c r="I31" s="7">
        <f>TONTNOV!P31+TONTDEC!P31+TONTJANV!P31+TONTFEV!P31+TONTMARS!P31+TONTAVRIL!P31+TONTMAI!P31+TONTJUIN!P31+TONTJUIL!P31+TONTAOUT!P31+TONTSEPT!P31+TONTOCT!P31+TONTNOV20!P31+TONTDEC20!P31</f>
        <v>280000</v>
      </c>
      <c r="J31" s="7">
        <f>TONTNOV!Q31+TONTDEC!Q31+TONTJANV!Q31+TONTFEV!Q31+TONTMARS!Q31+TONTAVRIL!Q31+TONTMAI!Q31+TONTJUIN!Q31+TONTJUIL!Q31+TONTAOUT!Q31+TONTSEPT!Q31+TONTOCT!Q31+TONTNOV20!Q31+TONTDEC20!Q31</f>
        <v>20000</v>
      </c>
      <c r="K31" s="18">
        <v>44094</v>
      </c>
      <c r="L31" s="7">
        <f t="shared" si="0"/>
        <v>0</v>
      </c>
    </row>
    <row r="32" spans="1:12" x14ac:dyDescent="0.25">
      <c r="A32" s="1" t="s">
        <v>72</v>
      </c>
      <c r="B32" s="1" t="str">
        <f>VLOOKUP(A32,[4]LISTADHERENT!A$5:H$60,3,0)</f>
        <v>SIME BRICE</v>
      </c>
      <c r="C32" s="7">
        <f>TONTNOV!D32+TONTDEC!D32+TONTJANV!D32+TONTFEV!D32+TONTMARS!D32+TONTAVRIL!D32+TONTMAI!D32+TONTJUIN!D32+TONTJUIL!D32+TONTAOUT!D32+TONTSEPT!D32+TONTOCT!D32+TONTNOV20!D32+TONTDEC20!D32</f>
        <v>240000</v>
      </c>
      <c r="D32" s="7">
        <f>TONTNOV!E32+TONTDEC!E32+TONTJANV!E32+TONTFEV!E32+TONTMARS!E32+TONTAVRIL!E32+TONTMAI!E32+TONTJUIN!E32+TONTJUIL!E32+TONTAOUT!E32+TONTSEPT!E32+TONTOCT!E32+TONTNOV20!E32+TONTDEC20!E32</f>
        <v>6000</v>
      </c>
      <c r="E32" s="7">
        <f>TONTNOV!G32+TONTDEC!G32+TONTJANV!G32+TONTFEV!G32+TONTMARS!G32+TONTAVRIL!G32+TONTMAI!G32+TONTJUIN!G32+TONTJUIL!G32+TONTAOUT!G32+TONTSEPT!G32+TONTOCT!G32+TONTNOV20!G32+TONTDEC20!G32</f>
        <v>610000</v>
      </c>
      <c r="F32" s="7">
        <f>TONTNOV!H32+TONTDEC!H32+TONTJANV!H32+TONTFEV!H32+TONTMARS!H32+TONTAVRIL!H32+TONTMAI!H32+TONTJUIN!H32+TONTJUIL!H32+TONTAOUT!H32+TONTSEPT!H32+TONTOCT!H32+TONTNOV20!H32+TONTDEC20!H32</f>
        <v>0</v>
      </c>
      <c r="G32" s="7">
        <f>TONTNOV!I32+TONTDEC!I32+TONTJANV!I32+TONTFEV!I32+TONTMARS!I32+TONTAVRIL!I32+TONTMAI!I32+TONTJUIN!I32+TONTJUIL!I32+TONTAOUT!I32+TONTSEPT!I32+TONTOCT!I32+TONTNOV20!I32+TONTDEC20!I32</f>
        <v>0</v>
      </c>
      <c r="H32" s="7">
        <f>TONTNOV!L32+TONTDEC!L32+TONTJANV!L32+TONTFEV!L32+TONTMARS!L32+TONTAVRIL!L32+TONTMAI!L32+TONTJUIN!L32+TONTJUIL!L32+TONTAOUT!L32+TONTSEPT!L32+TONTOCT!L32+TONTNOV20!L32+TONTDEC20!L32</f>
        <v>0</v>
      </c>
      <c r="I32" s="7">
        <f>TONTNOV!P32+TONTDEC!P32+TONTJANV!P32+TONTFEV!P32+TONTMARS!P32+TONTAVRIL!P32+TONTMAI!P32+TONTJUIN!P32+TONTJUIL!P32+TONTAOUT!P32+TONTSEPT!P32+TONTOCT!P32+TONTNOV20!P32+TONTDEC20!P32</f>
        <v>0</v>
      </c>
      <c r="J32" s="7">
        <f>TONTNOV!Q32+TONTDEC!Q32+TONTJANV!Q32+TONTFEV!Q32+TONTMARS!Q32+TONTAVRIL!Q32+TONTMAI!Q32+TONTJUIN!Q32+TONTJUIL!Q32+TONTAOUT!Q32+TONTSEPT!Q32+TONTOCT!Q32+TONTNOV20!Q32+TONTDEC20!Q32</f>
        <v>0</v>
      </c>
      <c r="K32" s="18"/>
      <c r="L32" s="7">
        <f t="shared" si="0"/>
        <v>0</v>
      </c>
    </row>
    <row r="33" spans="1:12" x14ac:dyDescent="0.25">
      <c r="A33" s="1" t="s">
        <v>31</v>
      </c>
      <c r="B33" s="1" t="str">
        <f>VLOOKUP(A33,[4]LISTADHERENT!A$5:H$60,3,0)</f>
        <v>SIMO FONGANG ERIC</v>
      </c>
      <c r="C33" s="7">
        <f>TONTNOV!D33+TONTDEC!D33+TONTJANV!D33+TONTFEV!D33+TONTMARS!D33+TONTAVRIL!D33+TONTMAI!D33+TONTJUIN!D33+TONTJUIL!D33+TONTAOUT!D33+TONTSEPT!D33+TONTOCT!D33+TONTNOV20!D33+TONTDEC20!D33</f>
        <v>240000</v>
      </c>
      <c r="D33" s="7">
        <f>TONTNOV!E33+TONTDEC!E33+TONTJANV!E33+TONTFEV!E33+TONTMARS!E33+TONTAVRIL!E33+TONTMAI!E33+TONTJUIN!E33+TONTJUIL!E33+TONTAOUT!E33+TONTSEPT!E33+TONTOCT!E33+TONTNOV20!E33+TONTDEC20!E33</f>
        <v>24000</v>
      </c>
      <c r="E33" s="7">
        <f>TONTNOV!G33+TONTDEC!G33+TONTJANV!G33+TONTFEV!G33+TONTMARS!G33+TONTAVRIL!G33+TONTMAI!G33+TONTJUIN!G33+TONTJUIL!G33+TONTAOUT!G33+TONTSEPT!G33+TONTOCT!G33+TONTNOV20!G33+TONTDEC20!G33</f>
        <v>350000</v>
      </c>
      <c r="F33" s="7">
        <f>TONTNOV!H33+TONTDEC!H33+TONTJANV!H33+TONTFEV!H33+TONTMARS!H33+TONTAVRIL!H33+TONTMAI!H33+TONTJUIN!H33+TONTJUIL!H33+TONTAOUT!H33+TONTSEPT!H33+TONTOCT!H33+TONTNOV20!H33+TONTDEC20!H33</f>
        <v>0</v>
      </c>
      <c r="G33" s="7">
        <f>TONTNOV!I33+TONTDEC!I33+TONTJANV!I33+TONTFEV!I33+TONTMARS!I33+TONTAVRIL!I33+TONTMAI!I33+TONTJUIN!I33+TONTJUIL!I33+TONTAOUT!I33+TONTSEPT!I33+TONTOCT!I33+TONTNOV20!I33+TONTDEC20!I33</f>
        <v>0</v>
      </c>
      <c r="H33" s="7">
        <f>TONTNOV!L33+TONTDEC!L33+TONTJANV!L33+TONTFEV!L33+TONTMARS!L33+TONTAVRIL!L33+TONTMAI!L33+TONTJUIN!L33+TONTJUIL!L33+TONTAOUT!L33+TONTSEPT!L33+TONTOCT!L33+TONTNOV20!L33+TONTDEC20!L33</f>
        <v>0</v>
      </c>
      <c r="I33" s="7">
        <f>TONTNOV!P33+TONTDEC!P33+TONTJANV!P33+TONTFEV!P33+TONTMARS!P33+TONTAVRIL!P33+TONTMAI!P33+TONTJUIN!P33+TONTJUIL!P33+TONTAOUT!P33+TONTSEPT!P33+TONTOCT!P33+TONTNOV20!P33+TONTDEC20!P33</f>
        <v>255000</v>
      </c>
      <c r="J33" s="7">
        <f>TONTNOV!Q33+TONTDEC!Q33+TONTJANV!Q33+TONTFEV!Q33+TONTMARS!Q33+TONTAVRIL!Q33+TONTMAI!Q33+TONTJUIN!Q33+TONTJUIL!Q33+TONTAOUT!Q33+TONTSEPT!Q33+TONTOCT!Q33+TONTNOV20!Q33+TONTDEC20!Q33</f>
        <v>45000</v>
      </c>
      <c r="K33" s="18">
        <v>43814</v>
      </c>
      <c r="L33" s="7">
        <f t="shared" si="0"/>
        <v>25000</v>
      </c>
    </row>
    <row r="34" spans="1:12" x14ac:dyDescent="0.25">
      <c r="A34" s="1" t="s">
        <v>32</v>
      </c>
      <c r="B34" s="1" t="str">
        <f>VLOOKUP(A34,[4]LISTADHERENT!A$5:H$60,3,0)</f>
        <v>SIME MATHIEU</v>
      </c>
      <c r="C34" s="7">
        <f>TONTNOV!D34+TONTDEC!D34+TONTJANV!D34+TONTFEV!D34+TONTMARS!D34+TONTAVRIL!D34+TONTMAI!D34+TONTJUIN!D34+TONTJUIL!D34+TONTAOUT!D34+TONTSEPT!D34+TONTOCT!D34+TONTNOV20!D34+TONTDEC20!D34</f>
        <v>240000</v>
      </c>
      <c r="D34" s="7">
        <f>TONTNOV!E34+TONTDEC!E34+TONTJANV!E34+TONTFEV!E34+TONTMARS!E34+TONTAVRIL!E34+TONTMAI!E34+TONTJUIN!E34+TONTJUIL!E34+TONTAOUT!E34+TONTSEPT!E34+TONTOCT!E34+TONTNOV20!E34+TONTDEC20!E34</f>
        <v>3000</v>
      </c>
      <c r="E34" s="7">
        <f>TONTNOV!G34+TONTDEC!G34+TONTJANV!G34+TONTFEV!G34+TONTMARS!G34+TONTAVRIL!G34+TONTMAI!G34+TONTJUIN!G34+TONTJUIL!G34+TONTAOUT!G34+TONTSEPT!G34+TONTOCT!G34+TONTNOV20!G34+TONTDEC20!G34</f>
        <v>360000</v>
      </c>
      <c r="F34" s="7">
        <f>TONTNOV!H34+TONTDEC!H34+TONTJANV!H34+TONTFEV!H34+TONTMARS!H34+TONTAVRIL!H34+TONTMAI!H34+TONTJUIN!H34+TONTJUIL!H34+TONTAOUT!H34+TONTSEPT!H34+TONTOCT!H34+TONTNOV20!H34+TONTDEC20!H34</f>
        <v>0</v>
      </c>
      <c r="G34" s="7">
        <f>TONTNOV!I34+TONTDEC!I34+TONTJANV!I34+TONTFEV!I34+TONTMARS!I34+TONTAVRIL!I34+TONTMAI!I34+TONTJUIN!I34+TONTJUIL!I34+TONTAOUT!I34+TONTSEPT!I34+TONTOCT!I34+TONTNOV20!I34+TONTDEC20!I34</f>
        <v>0</v>
      </c>
      <c r="H34" s="7">
        <f>TONTNOV!L34+TONTDEC!L34+TONTJANV!L34+TONTFEV!L34+TONTMARS!L34+TONTAVRIL!L34+TONTMAI!L34+TONTJUIN!L34+TONTJUIL!L34+TONTAOUT!L34+TONTSEPT!L34+TONTOCT!L34+TONTNOV20!L34+TONTDEC20!L34</f>
        <v>0</v>
      </c>
      <c r="I34" s="7">
        <f>TONTNOV!P34+TONTDEC!P34+TONTJANV!P34+TONTFEV!P34+TONTMARS!P34+TONTAVRIL!P34+TONTMAI!P34+TONTJUIN!P34+TONTJUIL!P34+TONTAOUT!P34+TONTSEPT!P34+TONTOCT!P34+TONTNOV20!P34+TONTDEC20!P34</f>
        <v>280000</v>
      </c>
      <c r="J34" s="7">
        <f>TONTNOV!Q34+TONTDEC!Q34+TONTJANV!Q34+TONTFEV!Q34+TONTMARS!Q34+TONTAVRIL!Q34+TONTMAI!Q34+TONTJUIN!Q34+TONTJUIL!Q34+TONTAOUT!Q34+TONTSEPT!Q34+TONTOCT!Q34+TONTNOV20!Q34+TONTDEC20!Q34</f>
        <v>20000</v>
      </c>
      <c r="K34" s="18">
        <v>44094</v>
      </c>
      <c r="L34" s="7">
        <f t="shared" si="0"/>
        <v>0</v>
      </c>
    </row>
    <row r="35" spans="1:12" x14ac:dyDescent="0.25">
      <c r="A35" s="1" t="s">
        <v>33</v>
      </c>
      <c r="B35" s="1" t="str">
        <f>VLOOKUP(A35,[4]LISTADHERENT!A$5:H$60,3,0)</f>
        <v>SIMO PIERRE</v>
      </c>
      <c r="C35" s="7">
        <f>TONTNOV!D35+TONTDEC!D35+TONTJANV!D35+TONTFEV!D35+TONTMARS!D35+TONTAVRIL!D35+TONTMAI!D35+TONTJUIN!D35+TONTJUIL!D35+TONTAOUT!D35+TONTSEPT!D35+TONTOCT!D35+TONTNOV20!D35+TONTDEC20!D35</f>
        <v>240000</v>
      </c>
      <c r="D35" s="7">
        <f>TONTNOV!E35+TONTDEC!E35+TONTJANV!E35+TONTFEV!E35+TONTMARS!E35+TONTAVRIL!E35+TONTMAI!E35+TONTJUIN!E35+TONTJUIL!E35+TONTAOUT!E35+TONTSEPT!E35+TONTOCT!E35+TONTNOV20!E35+TONTDEC20!E35</f>
        <v>0</v>
      </c>
      <c r="E35" s="7">
        <f>TONTNOV!G35+TONTDEC!G35+TONTJANV!G35+TONTFEV!G35+TONTMARS!G35+TONTAVRIL!G35+TONTMAI!G35+TONTJUIN!G35+TONTJUIL!G35+TONTAOUT!G35+TONTSEPT!G35+TONTOCT!G35+TONTNOV20!G35+TONTDEC20!G35</f>
        <v>545000</v>
      </c>
      <c r="F35" s="7">
        <f>TONTNOV!H35+TONTDEC!H35+TONTJANV!H35+TONTFEV!H35+TONTMARS!H35+TONTAVRIL!H35+TONTMAI!H35+TONTJUIN!H35+TONTJUIL!H35+TONTAOUT!H35+TONTSEPT!H35+TONTOCT!H35+TONTNOV20!H35+TONTDEC20!H35</f>
        <v>0</v>
      </c>
      <c r="G35" s="7">
        <f>TONTNOV!I35+TONTDEC!I35+TONTJANV!I35+TONTFEV!I35+TONTMARS!I35+TONTAVRIL!I35+TONTMAI!I35+TONTJUIN!I35+TONTJUIL!I35+TONTAOUT!I35+TONTSEPT!I35+TONTOCT!I35+TONTNOV20!I35+TONTDEC20!I35</f>
        <v>0</v>
      </c>
      <c r="H35" s="7">
        <f>TONTNOV!L35+TONTDEC!L35+TONTJANV!L35+TONTFEV!L35+TONTMARS!L35+TONTAVRIL!L35+TONTMAI!L35+TONTJUIN!L35+TONTJUIL!L35+TONTAOUT!L35+TONTSEPT!L35+TONTOCT!L35+TONTNOV20!L35+TONTDEC20!L35</f>
        <v>0</v>
      </c>
      <c r="I35" s="7">
        <f>TONTNOV!P35+TONTDEC!P35+TONTJANV!P35+TONTFEV!P35+TONTMARS!P35+TONTAVRIL!P35+TONTMAI!P35+TONTJUIN!P35+TONTJUIL!P35+TONTAOUT!P35+TONTSEPT!P35+TONTOCT!P35+TONTNOV20!P35+TONTDEC20!P35</f>
        <v>275000</v>
      </c>
      <c r="J35" s="7">
        <f>TONTNOV!Q35+TONTDEC!Q35+TONTJANV!Q35+TONTFEV!Q35+TONTMARS!Q35+TONTAVRIL!Q35+TONTMAI!Q35+TONTJUIN!Q35+TONTJUIL!Q35+TONTAOUT!Q35+TONTSEPT!Q35+TONTOCT!Q35+TONTNOV20!Q35+TONTDEC20!Q35</f>
        <v>25000</v>
      </c>
      <c r="K35" s="18">
        <v>43940</v>
      </c>
      <c r="L35" s="7">
        <f t="shared" si="0"/>
        <v>5000</v>
      </c>
    </row>
    <row r="36" spans="1:12" x14ac:dyDescent="0.25">
      <c r="A36" s="1" t="s">
        <v>35</v>
      </c>
      <c r="B36" s="1" t="str">
        <f>VLOOKUP(A36,[4]LISTADHERENT!A$5:H$60,3,0)</f>
        <v>TCHOUAMOU MATHIEU</v>
      </c>
      <c r="C36" s="7">
        <f>TONTNOV!D36+TONTDEC!D36+TONTJANV!D36+TONTFEV!D36+TONTMARS!D36+TONTAVRIL!D36+TONTMAI!D36+TONTJUIN!D36+TONTJUIL!D36+TONTAOUT!D36+TONTSEPT!D36+TONTOCT!D36+TONTNOV20!D36+TONTDEC20!D36</f>
        <v>240000</v>
      </c>
      <c r="D36" s="7">
        <f>TONTNOV!E36+TONTDEC!E36+TONTJANV!E36+TONTFEV!E36+TONTMARS!E36+TONTAVRIL!E36+TONTMAI!E36+TONTJUIN!E36+TONTJUIL!E36+TONTAOUT!E36+TONTSEPT!E36+TONTOCT!E36+TONTNOV20!E36+TONTDEC20!E36</f>
        <v>0</v>
      </c>
      <c r="E36" s="7">
        <f>TONTNOV!G36+TONTDEC!G36+TONTJANV!G36+TONTFEV!G36+TONTMARS!G36+TONTAVRIL!G36+TONTMAI!G36+TONTJUIN!G36+TONTJUIL!G36+TONTAOUT!G36+TONTSEPT!G36+TONTOCT!G36+TONTNOV20!G36+TONTDEC20!G36</f>
        <v>360000</v>
      </c>
      <c r="F36" s="7">
        <f>TONTNOV!H36+TONTDEC!H36+TONTJANV!H36+TONTFEV!H36+TONTMARS!H36+TONTAVRIL!H36+TONTMAI!H36+TONTJUIN!H36+TONTJUIL!H36+TONTAOUT!H36+TONTSEPT!H36+TONTOCT!H36+TONTNOV20!H36+TONTDEC20!H36</f>
        <v>67500</v>
      </c>
      <c r="G36" s="7">
        <f>TONTNOV!I36+TONTDEC!I36+TONTJANV!I36+TONTFEV!I36+TONTMARS!I36+TONTAVRIL!I36+TONTMAI!I36+TONTJUIN!I36+TONTJUIL!I36+TONTAOUT!I36+TONTSEPT!I36+TONTOCT!I36+TONTNOV20!I36+TONTDEC20!I36</f>
        <v>0</v>
      </c>
      <c r="H36" s="7">
        <f>TONTNOV!L36+TONTDEC!L36+TONTJANV!L36+TONTFEV!L36+TONTMARS!L36+TONTAVRIL!L36+TONTMAI!L36+TONTJUIN!L36+TONTJUIL!L36+TONTAOUT!L36+TONTSEPT!L36+TONTOCT!L36+TONTNOV20!L36+TONTDEC20!L36</f>
        <v>67500</v>
      </c>
      <c r="I36" s="7">
        <f>TONTNOV!P36+TONTDEC!P36+TONTJANV!P36+TONTFEV!P36+TONTMARS!P36+TONTAVRIL!P36+TONTMAI!P36+TONTJUIN!P36+TONTJUIL!P36+TONTAOUT!P36+TONTSEPT!P36+TONTOCT!P36+TONTNOV20!P36+TONTDEC20!P36</f>
        <v>268000</v>
      </c>
      <c r="J36" s="7">
        <f>TONTNOV!Q36+TONTDEC!Q36+TONTJANV!Q36+TONTFEV!Q36+TONTMARS!Q36+TONTAVRIL!Q36+TONTMAI!Q36+TONTJUIN!Q36+TONTJUIL!Q36+TONTAOUT!Q36+TONTSEPT!Q36+TONTOCT!Q36+TONTNOV20!Q36+TONTDEC20!Q36</f>
        <v>32000</v>
      </c>
      <c r="K36" s="18">
        <v>43912</v>
      </c>
      <c r="L36" s="7">
        <f t="shared" si="0"/>
        <v>12000</v>
      </c>
    </row>
    <row r="37" spans="1:12" x14ac:dyDescent="0.25">
      <c r="A37" s="1" t="s">
        <v>36</v>
      </c>
      <c r="B37" s="1" t="str">
        <f>VLOOKUP(A37,[4]LISTADHERENT!A$5:H$60,3,0)</f>
        <v>TIEYAM ERNEST</v>
      </c>
      <c r="C37" s="7">
        <f>TONTNOV!D37+TONTDEC!D37+TONTJANV!D37+TONTFEV!D37+TONTMARS!D37+TONTAVRIL!D37+TONTMAI!D37+TONTJUIN!D37+TONTJUIL!D37+TONTAOUT!D37+TONTSEPT!D37+TONTOCT!D37+TONTNOV20!D37+TONTDEC20!D37</f>
        <v>220000</v>
      </c>
      <c r="D37" s="7">
        <f>TONTNOV!E37+TONTDEC!E37+TONTJANV!E37+TONTFEV!E37+TONTMARS!E37+TONTAVRIL!E37+TONTMAI!E37+TONTJUIN!E37+TONTJUIL!E37+TONTAOUT!E37+TONTSEPT!E37+TONTOCT!E37+TONTNOV20!E37+TONTDEC20!E37</f>
        <v>9000</v>
      </c>
      <c r="E37" s="7">
        <f>TONTNOV!G37+TONTDEC!G37+TONTJANV!G37+TONTFEV!G37+TONTMARS!G37+TONTAVRIL!G37+TONTMAI!G37+TONTJUIN!G37+TONTJUIL!G37+TONTAOUT!G37+TONTSEPT!G37+TONTOCT!G37+TONTNOV20!G37+TONTDEC20!G37</f>
        <v>330000</v>
      </c>
      <c r="F37" s="7">
        <f>TONTNOV!H37+TONTDEC!H37+TONTJANV!H37+TONTFEV!H37+TONTMARS!H37+TONTAVRIL!H37+TONTMAI!H37+TONTJUIN!H37+TONTJUIL!H37+TONTAOUT!H37+TONTSEPT!H37+TONTOCT!H37+TONTNOV20!H37+TONTDEC20!H37</f>
        <v>370500</v>
      </c>
      <c r="G37" s="7">
        <f>TONTNOV!I37+TONTDEC!I37+TONTJANV!I37+TONTFEV!I37+TONTMARS!I37+TONTAVRIL!I37+TONTMAI!I37+TONTJUIN!I37+TONTJUIL!I37+TONTAOUT!I37+TONTSEPT!I37+TONTOCT!I37+TONTNOV20!I37+TONTDEC20!I37</f>
        <v>22500</v>
      </c>
      <c r="H37" s="7">
        <f>TONTNOV!L37+TONTDEC!L37+TONTJANV!L37+TONTFEV!L37+TONTMARS!L37+TONTAVRIL!L37+TONTMAI!L37+TONTJUIN!L37+TONTJUIL!L37+TONTAOUT!L37+TONTSEPT!L37+TONTOCT!L37+TONTNOV20!L37+TONTDEC20!L37</f>
        <v>393000</v>
      </c>
      <c r="I37" s="7">
        <f>TONTNOV!P37+TONTDEC!P37+TONTJANV!P37+TONTFEV!P37+TONTMARS!P37+TONTAVRIL!P37+TONTMAI!P37+TONTJUIN!P37+TONTJUIL!P37+TONTAOUT!P37+TONTSEPT!P37+TONTOCT!P37+TONTNOV20!P37+TONTDEC20!P37</f>
        <v>0</v>
      </c>
      <c r="J37" s="7">
        <f>TONTNOV!Q37+TONTDEC!Q37+TONTJANV!Q37+TONTFEV!Q37+TONTMARS!Q37+TONTAVRIL!Q37+TONTMAI!Q37+TONTJUIN!Q37+TONTJUIL!Q37+TONTAOUT!Q37+TONTSEPT!Q37+TONTOCT!Q37+TONTNOV20!Q37+TONTDEC20!Q37</f>
        <v>0</v>
      </c>
      <c r="K37" s="18"/>
      <c r="L37" s="7">
        <f t="shared" si="0"/>
        <v>0</v>
      </c>
    </row>
    <row r="38" spans="1:12" x14ac:dyDescent="0.25">
      <c r="A38" s="1" t="s">
        <v>37</v>
      </c>
      <c r="B38" s="1" t="str">
        <f>VLOOKUP(A38,[4]LISTADHERENT!A$5:H$60,3,0)</f>
        <v>YEPMOU JEAN JACQUES</v>
      </c>
      <c r="C38" s="7">
        <f>TONTNOV!D38+TONTDEC!D38+TONTJANV!D38+TONTFEV!D38+TONTMARS!D38+TONTAVRIL!D38+TONTMAI!D38+TONTJUIN!D38+TONTJUIL!D38+TONTAOUT!D38+TONTSEPT!D38+TONTOCT!D38+TONTNOV20!D38+TONTDEC20!D38</f>
        <v>240000</v>
      </c>
      <c r="D38" s="7">
        <f>TONTNOV!E38+TONTDEC!E38+TONTJANV!E38+TONTFEV!E38+TONTMARS!E38+TONTAVRIL!E38+TONTMAI!E38+TONTJUIN!E38+TONTJUIL!E38+TONTAOUT!E38+TONTSEPT!E38+TONTOCT!E38+TONTNOV20!E38+TONTDEC20!E38</f>
        <v>27000</v>
      </c>
      <c r="E38" s="7">
        <f>TONTNOV!G38+TONTDEC!G38+TONTJANV!G38+TONTFEV!G38+TONTMARS!G38+TONTAVRIL!G38+TONTMAI!G38+TONTJUIN!G38+TONTJUIL!G38+TONTAOUT!G38+TONTSEPT!G38+TONTOCT!G38+TONTNOV20!G38+TONTDEC20!G38</f>
        <v>360000</v>
      </c>
      <c r="F38" s="7">
        <f>TONTNOV!H38+TONTDEC!H38+TONTJANV!H38+TONTFEV!H38+TONTMARS!H38+TONTAVRIL!H38+TONTMAI!H38+TONTJUIN!H38+TONTJUIL!H38+TONTAOUT!H38+TONTSEPT!H38+TONTOCT!H38+TONTNOV20!H38+TONTDEC20!H38</f>
        <v>0</v>
      </c>
      <c r="G38" s="7">
        <f>TONTNOV!I38+TONTDEC!I38+TONTJANV!I38+TONTFEV!I38+TONTMARS!I38+TONTAVRIL!I38+TONTMAI!I38+TONTJUIN!I38+TONTJUIL!I38+TONTAOUT!I38+TONTSEPT!I38+TONTOCT!I38+TONTNOV20!I38+TONTDEC20!I38</f>
        <v>0</v>
      </c>
      <c r="H38" s="7">
        <f>TONTNOV!L38+TONTDEC!L38+TONTJANV!L38+TONTFEV!L38+TONTMARS!L38+TONTAVRIL!L38+TONTMAI!L38+TONTJUIN!L38+TONTJUIL!L38+TONTAOUT!L38+TONTSEPT!L38+TONTOCT!L38+TONTNOV20!L38+TONTDEC20!L38</f>
        <v>0</v>
      </c>
      <c r="I38" s="7">
        <f>TONTNOV!P38+TONTDEC!P38+TONTJANV!P38+TONTFEV!P38+TONTMARS!P38+TONTAVRIL!P38+TONTMAI!P38+TONTJUIN!P38+TONTJUIL!P38+TONTAOUT!P38+TONTSEPT!P38+TONTOCT!P38+TONTNOV20!P38+TONTDEC20!P38</f>
        <v>274000</v>
      </c>
      <c r="J38" s="7">
        <f>TONTNOV!Q38+TONTDEC!Q38+TONTJANV!Q38+TONTFEV!Q38+TONTMARS!Q38+TONTAVRIL!Q38+TONTMAI!Q38+TONTJUIN!Q38+TONTJUIL!Q38+TONTAOUT!Q38+TONTSEPT!Q38+TONTOCT!Q38+TONTNOV20!Q38+TONTDEC20!Q38</f>
        <v>26000</v>
      </c>
      <c r="K38" s="18">
        <v>43968</v>
      </c>
      <c r="L38" s="7">
        <f t="shared" si="0"/>
        <v>6000</v>
      </c>
    </row>
    <row r="39" spans="1:12" x14ac:dyDescent="0.25">
      <c r="A39" s="1" t="s">
        <v>38</v>
      </c>
      <c r="B39" s="1" t="str">
        <f>VLOOKUP(A39,[4]LISTADHERENT!A$5:H$60,3,0)</f>
        <v>YOUMBI EMMANUEL</v>
      </c>
      <c r="C39" s="7">
        <f>TONTNOV!D39+TONTDEC!D39+TONTJANV!D39+TONTFEV!D39+TONTMARS!D39+TONTAVRIL!D39+TONTMAI!D39+TONTJUIN!D39+TONTJUIL!D39+TONTAOUT!D39+TONTSEPT!D39+TONTOCT!D39+TONTNOV20!D39+TONTDEC20!D39</f>
        <v>240000</v>
      </c>
      <c r="D39" s="7">
        <f>TONTNOV!E39+TONTDEC!E39+TONTJANV!E39+TONTFEV!E39+TONTMARS!E39+TONTAVRIL!E39+TONTMAI!E39+TONTJUIN!E39+TONTJUIL!E39+TONTAOUT!E39+TONTSEPT!E39+TONTOCT!E39+TONTNOV20!E39+TONTDEC20!E39</f>
        <v>0</v>
      </c>
      <c r="E39" s="7">
        <f>TONTNOV!G39+TONTDEC!G39+TONTJANV!G39+TONTFEV!G39+TONTMARS!G39+TONTAVRIL!G39+TONTMAI!G39+TONTJUIN!G39+TONTJUIL!G39+TONTAOUT!G39+TONTSEPT!G39+TONTOCT!G39+TONTNOV20!G39+TONTDEC20!G39</f>
        <v>360000</v>
      </c>
      <c r="F39" s="7">
        <f>TONTNOV!H39+TONTDEC!H39+TONTJANV!H39+TONTFEV!H39+TONTMARS!H39+TONTAVRIL!H39+TONTMAI!H39+TONTJUIN!H39+TONTJUIL!H39+TONTAOUT!H39+TONTSEPT!H39+TONTOCT!H39+TONTNOV20!H39+TONTDEC20!H39</f>
        <v>0</v>
      </c>
      <c r="G39" s="7">
        <f>TONTNOV!I39+TONTDEC!I39+TONTJANV!I39+TONTFEV!I39+TONTMARS!I39+TONTAVRIL!I39+TONTMAI!I39+TONTJUIN!I39+TONTJUIL!I39+TONTAOUT!I39+TONTSEPT!I39+TONTOCT!I39+TONTNOV20!I39+TONTDEC20!I39</f>
        <v>0</v>
      </c>
      <c r="H39" s="7">
        <f>TONTNOV!L39+TONTDEC!L39+TONTJANV!L39+TONTFEV!L39+TONTMARS!L39+TONTAVRIL!L39+TONTMAI!L39+TONTJUIN!L39+TONTJUIL!L39+TONTAOUT!L39+TONTSEPT!L39+TONTOCT!L39+TONTNOV20!L39+TONTDEC20!L39</f>
        <v>0</v>
      </c>
      <c r="I39" s="7">
        <f>TONTNOV!P39+TONTDEC!P39+TONTJANV!P39+TONTFEV!P39+TONTMARS!P39+TONTAVRIL!P39+TONTMAI!P39+TONTJUIN!P39+TONTJUIL!P39+TONTAOUT!P39+TONTSEPT!P39+TONTOCT!P39+TONTNOV20!P39+TONTDEC20!P39</f>
        <v>280000</v>
      </c>
      <c r="J39" s="7">
        <f>TONTNOV!Q39+TONTDEC!Q39+TONTJANV!Q39+TONTFEV!Q39+TONTMARS!Q39+TONTAVRIL!Q39+TONTMAI!Q39+TONTJUIN!Q39+TONTJUIL!Q39+TONTAOUT!Q39+TONTSEPT!Q39+TONTOCT!Q39+TONTNOV20!Q39+TONTDEC20!Q39</f>
        <v>20000</v>
      </c>
      <c r="K39" s="18">
        <v>44122</v>
      </c>
      <c r="L39" s="7">
        <f t="shared" si="0"/>
        <v>0</v>
      </c>
    </row>
    <row r="40" spans="1:12" x14ac:dyDescent="0.25">
      <c r="A40" s="1" t="s">
        <v>92</v>
      </c>
      <c r="B40" s="1" t="str">
        <f>VLOOKUP(A40,[4]LISTADHERENT!A$5:H$60,3,0)</f>
        <v>TCHEMHOU EMMANUEL</v>
      </c>
      <c r="C40" s="7">
        <f>TONTNOV!D40+TONTDEC!D40+TONTJANV!D40+TONTFEV!D40+TONTMARS!D40+TONTAVRIL!D40+TONTMAI!D40+TONTJUIN!D40+TONTJUIL!D40+TONTAOUT!D40+TONTSEPT!D40+TONTOCT!D40+TONTNOV20!D40+TONTDEC20!D40</f>
        <v>0</v>
      </c>
      <c r="D40" s="7">
        <f>TONTNOV!E40+TONTDEC!E40+TONTJANV!E40+TONTFEV!E40+TONTMARS!E40+TONTAVRIL!E40+TONTMAI!E40+TONTJUIN!E40+TONTJUIL!E40+TONTAOUT!E40+TONTSEPT!E40+TONTOCT!E40+TONTNOV20!E40+TONTDEC20!E40</f>
        <v>0</v>
      </c>
      <c r="E40" s="7">
        <f>TONTNOV!G40+TONTDEC!G40+TONTJANV!G40+TONTFEV!G40+TONTMARS!G40+TONTAVRIL!G40+TONTMAI!G40+TONTJUIN!G40+TONTJUIL!G40+TONTAOUT!G40+TONTSEPT!G40+TONTOCT!G40+TONTNOV20!G40+TONTDEC20!G40</f>
        <v>45000</v>
      </c>
      <c r="F40" s="7">
        <f>TONTNOV!H40+TONTDEC!H40+TONTJANV!H40+TONTFEV!H40+TONTMARS!H40+TONTAVRIL!H40+TONTMAI!H40+TONTJUIN!H40+TONTJUIL!H40+TONTAOUT!H40+TONTSEPT!H40+TONTOCT!H40+TONTNOV20!H40+TONTDEC20!H40</f>
        <v>0</v>
      </c>
      <c r="G40" s="7">
        <f>TONTNOV!I40+TONTDEC!I40+TONTJANV!I40+TONTFEV!I40+TONTMARS!I40+TONTAVRIL!I40+TONTMAI!I40+TONTJUIN!I40+TONTJUIL!I40+TONTAOUT!I40+TONTSEPT!I40+TONTOCT!I40+TONTNOV20!I40+TONTDEC20!I40</f>
        <v>0</v>
      </c>
      <c r="H40" s="7">
        <f>TONTNOV!L40+TONTDEC!L40+TONTJANV!L40+TONTFEV!L40+TONTMARS!L40+TONTAVRIL!L40+TONTMAI!L40+TONTJUIN!L40+TONTJUIL!L40+TONTAOUT!L40+TONTSEPT!L40+TONTOCT!L40+TONTNOV20!L40+TONTDEC20!L40</f>
        <v>0</v>
      </c>
      <c r="I40" s="7">
        <f>TONTNOV!P40+TONTDEC!P40+TONTJANV!P40+TONTFEV!P40+TONTMARS!P40+TONTAVRIL!P40+TONTMAI!P40+TONTJUIN!P40+TONTJUIL!P40+TONTAOUT!P40+TONTSEPT!P40+TONTOCT!P40+TONTNOV20!P40+TONTDEC20!P40</f>
        <v>0</v>
      </c>
      <c r="J40" s="7">
        <f>TONTNOV!Q40+TONTDEC!Q40+TONTJANV!Q40+TONTFEV!Q40+TONTMARS!Q40+TONTAVRIL!Q40+TONTMAI!Q40+TONTJUIN!Q40+TONTJUIL!Q40+TONTAOUT!Q40+TONTSEPT!Q40+TONTOCT!Q40+TONTNOV20!Q40+TONTDEC20!Q40</f>
        <v>0</v>
      </c>
      <c r="L40" s="7">
        <f t="shared" si="0"/>
        <v>0</v>
      </c>
    </row>
    <row r="41" spans="1:12" x14ac:dyDescent="0.25">
      <c r="A41" s="1"/>
      <c r="B41" s="1"/>
      <c r="C41" s="7"/>
      <c r="D41" s="7"/>
      <c r="E41" s="7"/>
      <c r="F41" s="7"/>
      <c r="G41" s="7"/>
      <c r="H41" s="7"/>
      <c r="I41" s="7"/>
    </row>
    <row r="42" spans="1:12" x14ac:dyDescent="0.25">
      <c r="A42" s="1"/>
      <c r="B42" s="1"/>
      <c r="C42" s="7"/>
      <c r="D42" s="7"/>
      <c r="E42" s="7"/>
      <c r="F42" s="7"/>
      <c r="G42" s="7"/>
      <c r="H42" s="7"/>
      <c r="I42" s="7"/>
    </row>
    <row r="43" spans="1:12" x14ac:dyDescent="0.25">
      <c r="A43" s="1"/>
      <c r="B43" s="1"/>
      <c r="C43" s="7"/>
      <c r="D43" s="7"/>
      <c r="E43" s="7"/>
      <c r="F43" s="7"/>
      <c r="G43" s="7"/>
      <c r="H43" s="7"/>
      <c r="I43" s="7"/>
    </row>
    <row r="44" spans="1:12" x14ac:dyDescent="0.25">
      <c r="A44" s="1"/>
      <c r="B44" s="1"/>
      <c r="C44" s="1"/>
      <c r="D44" s="1"/>
    </row>
    <row r="45" spans="1:12" x14ac:dyDescent="0.25">
      <c r="A45" s="1"/>
      <c r="B45" s="1"/>
      <c r="C45" s="1"/>
      <c r="D45" s="1"/>
    </row>
    <row r="46" spans="1:12" ht="18" x14ac:dyDescent="0.25">
      <c r="A46" s="1" t="s">
        <v>39</v>
      </c>
      <c r="B46" s="1"/>
      <c r="C46" s="8">
        <f>SUM(C7:C45)</f>
        <v>7620000</v>
      </c>
      <c r="D46" s="8">
        <f t="shared" ref="D46:L46" si="1">SUM(D7:D45)</f>
        <v>174000</v>
      </c>
      <c r="E46" s="8">
        <f t="shared" si="1"/>
        <v>12866000</v>
      </c>
      <c r="F46" s="8">
        <f t="shared" si="1"/>
        <v>1975000</v>
      </c>
      <c r="G46" s="8">
        <f t="shared" si="1"/>
        <v>60500</v>
      </c>
      <c r="H46" s="8">
        <f t="shared" si="1"/>
        <v>2034500</v>
      </c>
      <c r="I46" s="8">
        <f t="shared" si="1"/>
        <v>7367000</v>
      </c>
      <c r="J46" s="8">
        <f t="shared" si="1"/>
        <v>733000</v>
      </c>
      <c r="K46" s="8"/>
      <c r="L46" s="8">
        <f t="shared" si="1"/>
        <v>213000</v>
      </c>
    </row>
    <row r="48" spans="1:12" x14ac:dyDescent="0.25">
      <c r="D48" s="2"/>
    </row>
    <row r="54" spans="9:9" x14ac:dyDescent="0.25">
      <c r="I54" s="2" t="s">
        <v>94</v>
      </c>
    </row>
  </sheetData>
  <autoFilter ref="A5:K40">
    <sortState ref="A6:K39">
      <sortCondition ref="B5:B48"/>
    </sortState>
  </autoFilter>
  <mergeCells count="1">
    <mergeCell ref="C4:G4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16</vt:i4>
      </vt:variant>
      <vt:variant>
        <vt:lpstr>Plages nommées</vt:lpstr>
      </vt:variant>
      <vt:variant>
        <vt:i4>1</vt:i4>
      </vt:variant>
    </vt:vector>
  </HeadingPairs>
  <TitlesOfParts>
    <vt:vector size="17" baseType="lpstr">
      <vt:lpstr>MODEVERSEMENT</vt:lpstr>
      <vt:lpstr>TONTNOV</vt:lpstr>
      <vt:lpstr>TONTDEC</vt:lpstr>
      <vt:lpstr>TONTJANV</vt:lpstr>
      <vt:lpstr>TONTFEV</vt:lpstr>
      <vt:lpstr>TONTMARS</vt:lpstr>
      <vt:lpstr>TONTAVRIL</vt:lpstr>
      <vt:lpstr>TONTMAI</vt:lpstr>
      <vt:lpstr>TONTJUIN</vt:lpstr>
      <vt:lpstr>TONTJUIL</vt:lpstr>
      <vt:lpstr>TONTAOUT</vt:lpstr>
      <vt:lpstr>TONTSEPT</vt:lpstr>
      <vt:lpstr>TONTOCT</vt:lpstr>
      <vt:lpstr>TONTNOV20</vt:lpstr>
      <vt:lpstr>TONTDEC20</vt:lpstr>
      <vt:lpstr>TONTRESUME</vt:lpstr>
      <vt:lpstr>MODEVERSEMENTS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ASELBY</dc:creator>
  <cp:lastModifiedBy>DJUOMBESSY</cp:lastModifiedBy>
  <dcterms:created xsi:type="dcterms:W3CDTF">2017-07-22T10:59:38Z</dcterms:created>
  <dcterms:modified xsi:type="dcterms:W3CDTF">2020-11-12T05:52:09Z</dcterms:modified>
</cp:coreProperties>
</file>