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25" activeTab="30"/>
  </bookViews>
  <sheets>
    <sheet name="MODEPAID" sheetId="3" r:id="rId1"/>
    <sheet name="TONTJUIL" sheetId="38" r:id="rId2"/>
    <sheet name="TONTAOUT" sheetId="42" r:id="rId3"/>
    <sheet name="TONTSEPT" sheetId="55" r:id="rId4"/>
    <sheet name="TONTOCT" sheetId="44" r:id="rId5"/>
    <sheet name="TONTNOV" sheetId="56" r:id="rId6"/>
    <sheet name="TONTDEC" sheetId="57" r:id="rId7"/>
    <sheet name="TONTJANV" sheetId="58" r:id="rId8"/>
    <sheet name="TONTFEV" sheetId="69" r:id="rId9"/>
    <sheet name="TONTMARS" sheetId="73" r:id="rId10"/>
    <sheet name="TONTAVRIL" sheetId="61" r:id="rId11"/>
    <sheet name="TONTMAI" sheetId="62" r:id="rId12"/>
    <sheet name="TONTJUIN" sheetId="63" r:id="rId13"/>
    <sheet name="TONTJUIL21" sheetId="64" r:id="rId14"/>
    <sheet name="TONTAOUT21" sheetId="65" r:id="rId15"/>
    <sheet name="TONTSEPT21" sheetId="66" r:id="rId16"/>
    <sheet name="TONTOCT21" sheetId="74" r:id="rId17"/>
    <sheet name="TONTNOV21" sheetId="75" r:id="rId18"/>
    <sheet name="TONTDEC21" sheetId="76" r:id="rId19"/>
    <sheet name="TONTJANV22" sheetId="77" r:id="rId20"/>
    <sheet name="TONTFEV22" sheetId="78" r:id="rId21"/>
    <sheet name="TONTMARS22" sheetId="79" r:id="rId22"/>
    <sheet name="TONTAVRIL22" sheetId="80" r:id="rId23"/>
    <sheet name="TONTMAI22" sheetId="81" r:id="rId24"/>
    <sheet name="TONTJUIN22" sheetId="82" r:id="rId25"/>
    <sheet name="TONTJUIL22" sheetId="83" r:id="rId26"/>
    <sheet name="TONTAOUT22" sheetId="84" r:id="rId27"/>
    <sheet name="TONTSEPT22" sheetId="85" r:id="rId28"/>
    <sheet name="TONTOCT22" sheetId="86" r:id="rId29"/>
    <sheet name="TONTNOV22" sheetId="87" r:id="rId30"/>
    <sheet name="TONTDEC22" sheetId="88" r:id="rId31"/>
    <sheet name="TONTRESUME22" sheetId="89" r:id="rId32"/>
    <sheet name="TONTRESUME" sheetId="53" r:id="rId33"/>
    <sheet name="TONTRESUME (2)" sheetId="68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_FilterDatabase" localSheetId="2" hidden="1">TONTAOUT!$A$5:$R$24</definedName>
    <definedName name="_xlnm._FilterDatabase" localSheetId="14" hidden="1">TONTAOUT21!$A$5:$R$24</definedName>
    <definedName name="_xlnm._FilterDatabase" localSheetId="26" hidden="1">TONTAOUT22!$A$5:$P$17</definedName>
    <definedName name="_xlnm._FilterDatabase" localSheetId="10" hidden="1">TONTAVRIL!$A$5:$R$24</definedName>
    <definedName name="_xlnm._FilterDatabase" localSheetId="22" hidden="1">TONTAVRIL22!$A$5:$P$17</definedName>
    <definedName name="_xlnm._FilterDatabase" localSheetId="6" hidden="1">TONTDEC!$A$5:$R$24</definedName>
    <definedName name="_xlnm._FilterDatabase" localSheetId="18" hidden="1">TONTDEC21!$A$5:$S$20</definedName>
    <definedName name="_xlnm._FilterDatabase" localSheetId="30" hidden="1">TONTDEC22!$A$5:$P$17</definedName>
    <definedName name="_xlnm._FilterDatabase" localSheetId="8" hidden="1">TONTFEV!$A$5:$R$25</definedName>
    <definedName name="_xlnm._FilterDatabase" localSheetId="20" hidden="1">TONTFEV22!$A$5:$P$17</definedName>
    <definedName name="_xlnm._FilterDatabase" localSheetId="7" hidden="1">TONTJANV!$A$5:$R$25</definedName>
    <definedName name="_xlnm._FilterDatabase" localSheetId="19" hidden="1">TONTJANV22!$A$5:$P$17</definedName>
    <definedName name="_xlnm._FilterDatabase" localSheetId="1" hidden="1">TONTJUIL!$A$5:$R$24</definedName>
    <definedName name="_xlnm._FilterDatabase" localSheetId="13" hidden="1">TONTJUIL21!$A$5:$R$24</definedName>
    <definedName name="_xlnm._FilterDatabase" localSheetId="25" hidden="1">TONTJUIL22!$A$5:$P$17</definedName>
    <definedName name="_xlnm._FilterDatabase" localSheetId="12" hidden="1">TONTJUIN!$A$5:$R$24</definedName>
    <definedName name="_xlnm._FilterDatabase" localSheetId="24" hidden="1">TONTJUIN22!$A$5:$P$17</definedName>
    <definedName name="_xlnm._FilterDatabase" localSheetId="11" hidden="1">TONTMAI!$A$5:$R$24</definedName>
    <definedName name="_xlnm._FilterDatabase" localSheetId="23" hidden="1">TONTMAI22!$A$5:$P$17</definedName>
    <definedName name="_xlnm._FilterDatabase" localSheetId="9" hidden="1">TONTMARS!$A$5:$R$25</definedName>
    <definedName name="_xlnm._FilterDatabase" localSheetId="21" hidden="1">TONTMARS22!$A$5:$P$17</definedName>
    <definedName name="_xlnm._FilterDatabase" localSheetId="5" hidden="1">TONTNOV!$A$5:$R$24</definedName>
    <definedName name="_xlnm._FilterDatabase" localSheetId="17" hidden="1">TONTNOV21!$A$5:$S$20</definedName>
    <definedName name="_xlnm._FilterDatabase" localSheetId="29" hidden="1">TONTNOV22!$A$5:$P$17</definedName>
    <definedName name="_xlnm._FilterDatabase" localSheetId="4" hidden="1">TONTOCT!$A$5:$R$24</definedName>
    <definedName name="_xlnm._FilterDatabase" localSheetId="16" hidden="1">TONTOCT21!$A$5:$S$21</definedName>
    <definedName name="_xlnm._FilterDatabase" localSheetId="28" hidden="1">TONTOCT22!$A$5:$P$17</definedName>
    <definedName name="_xlnm._FilterDatabase" localSheetId="32" hidden="1">TONTRESUME!$A$5:$U$24</definedName>
    <definedName name="_xlnm._FilterDatabase" localSheetId="33" hidden="1">'TONTRESUME (2)'!$A$5:$J$25</definedName>
    <definedName name="_xlnm._FilterDatabase" localSheetId="31" hidden="1">TONTRESUME22!$A$5:$P$17</definedName>
    <definedName name="_xlnm._FilterDatabase" localSheetId="3" hidden="1">TONTSEPT!$A$5:$R$24</definedName>
    <definedName name="_xlnm._FilterDatabase" localSheetId="15" hidden="1">TONTSEPT21!$A$5:$R$24</definedName>
    <definedName name="_xlnm._FilterDatabase" localSheetId="27" hidden="1">TONTSEPT22!$A$5:$P$17</definedName>
    <definedName name="BANQUE" localSheetId="26">#REF!</definedName>
    <definedName name="BANQUE" localSheetId="22">#REF!</definedName>
    <definedName name="BANQUE" localSheetId="18">#REF!</definedName>
    <definedName name="BANQUE" localSheetId="30">#REF!</definedName>
    <definedName name="BANQUE" localSheetId="8">#REF!</definedName>
    <definedName name="BANQUE" localSheetId="20">#REF!</definedName>
    <definedName name="BANQUE" localSheetId="19">#REF!</definedName>
    <definedName name="BANQUE" localSheetId="25">#REF!</definedName>
    <definedName name="BANQUE" localSheetId="24">#REF!</definedName>
    <definedName name="BANQUE" localSheetId="23">#REF!</definedName>
    <definedName name="BANQUE" localSheetId="9">#REF!</definedName>
    <definedName name="BANQUE" localSheetId="21">#REF!</definedName>
    <definedName name="BANQUE" localSheetId="17">#REF!</definedName>
    <definedName name="BANQUE" localSheetId="29">#REF!</definedName>
    <definedName name="BANQUE" localSheetId="16">#REF!</definedName>
    <definedName name="BANQUE" localSheetId="28">#REF!</definedName>
    <definedName name="BANQUE" localSheetId="31">#REF!</definedName>
    <definedName name="BANQUE" localSheetId="27">#REF!</definedName>
    <definedName name="BANQUE">#REF!</definedName>
    <definedName name="MODEPAID" localSheetId="0">MODEPAID!$A$1:$A$3</definedName>
    <definedName name="MODEPAID" localSheetId="2">#REF!</definedName>
    <definedName name="MODEPAID" localSheetId="14">#REF!</definedName>
    <definedName name="MODEPAID" localSheetId="26">[1]Feuil2!$A$1:$A$3</definedName>
    <definedName name="MODEPAID" localSheetId="10">#REF!</definedName>
    <definedName name="MODEPAID" localSheetId="22">[1]Feuil2!$A$1:$A$3</definedName>
    <definedName name="MODEPAID" localSheetId="6">#REF!</definedName>
    <definedName name="MODEPAID" localSheetId="18">#REF!</definedName>
    <definedName name="MODEPAID" localSheetId="30">[1]Feuil2!$A$1:$A$3</definedName>
    <definedName name="MODEPAID" localSheetId="8">#REF!</definedName>
    <definedName name="MODEPAID" localSheetId="20">[1]Feuil2!$A$1:$A$3</definedName>
    <definedName name="MODEPAID" localSheetId="7">#REF!</definedName>
    <definedName name="MODEPAID" localSheetId="19">[1]Feuil2!$A$1:$A$3</definedName>
    <definedName name="MODEPAID" localSheetId="1">#REF!</definedName>
    <definedName name="MODEPAID" localSheetId="13">#REF!</definedName>
    <definedName name="MODEPAID" localSheetId="25">[1]Feuil2!$A$1:$A$3</definedName>
    <definedName name="MODEPAID" localSheetId="12">#REF!</definedName>
    <definedName name="MODEPAID" localSheetId="24">[1]Feuil2!$A$1:$A$3</definedName>
    <definedName name="MODEPAID" localSheetId="11">#REF!</definedName>
    <definedName name="MODEPAID" localSheetId="23">[1]Feuil2!$A$1:$A$3</definedName>
    <definedName name="MODEPAID" localSheetId="9">#REF!</definedName>
    <definedName name="MODEPAID" localSheetId="21">[1]Feuil2!$A$1:$A$3</definedName>
    <definedName name="MODEPAID" localSheetId="5">#REF!</definedName>
    <definedName name="MODEPAID" localSheetId="17">#REF!</definedName>
    <definedName name="MODEPAID" localSheetId="29">[1]Feuil2!$A$1:$A$3</definedName>
    <definedName name="MODEPAID" localSheetId="4">#REF!</definedName>
    <definedName name="MODEPAID" localSheetId="16">#REF!</definedName>
    <definedName name="MODEPAID" localSheetId="28">[1]Feuil2!$A$1:$A$3</definedName>
    <definedName name="MODEPAID" localSheetId="32">#REF!</definedName>
    <definedName name="MODEPAID" localSheetId="33">#REF!</definedName>
    <definedName name="MODEPAID" localSheetId="31">[1]Feuil2!$A$1:$A$3</definedName>
    <definedName name="MODEPAID" localSheetId="3">#REF!</definedName>
    <definedName name="MODEPAID" localSheetId="15">#REF!</definedName>
    <definedName name="MODEPAID" localSheetId="27">[1]Feuil2!$A$1:$A$3</definedName>
    <definedName name="MODEPAID">#REF!</definedName>
    <definedName name="MODET25000">[2]MODEVERSEMENT!$A$1:$A$3</definedName>
    <definedName name="MODEVERSEMENT" localSheetId="26">#REF!</definedName>
    <definedName name="MODEVERSEMENT" localSheetId="22">#REF!</definedName>
    <definedName name="MODEVERSEMENT" localSheetId="18">#REF!</definedName>
    <definedName name="MODEVERSEMENT" localSheetId="30">#REF!</definedName>
    <definedName name="MODEVERSEMENT" localSheetId="8">#REF!</definedName>
    <definedName name="MODEVERSEMENT" localSheetId="20">#REF!</definedName>
    <definedName name="MODEVERSEMENT" localSheetId="19">#REF!</definedName>
    <definedName name="MODEVERSEMENT" localSheetId="25">#REF!</definedName>
    <definedName name="MODEVERSEMENT" localSheetId="24">#REF!</definedName>
    <definedName name="MODEVERSEMENT" localSheetId="23">#REF!</definedName>
    <definedName name="MODEVERSEMENT" localSheetId="9">#REF!</definedName>
    <definedName name="MODEVERSEMENT" localSheetId="21">#REF!</definedName>
    <definedName name="MODEVERSEMENT" localSheetId="17">#REF!</definedName>
    <definedName name="MODEVERSEMENT" localSheetId="29">#REF!</definedName>
    <definedName name="MODEVERSEMENT" localSheetId="16">#REF!</definedName>
    <definedName name="MODEVERSEMENT" localSheetId="28">#REF!</definedName>
    <definedName name="MODEVERSEMENT" localSheetId="31">#REF!</definedName>
    <definedName name="MODEVERSEMENT" localSheetId="27">#REF!</definedName>
    <definedName name="MODEVERSEMENT">#REF!</definedName>
    <definedName name="MODEVERSEMENTS" localSheetId="26">[3]MODEVERSEMENT!$A$1:$A$3</definedName>
    <definedName name="MODEVERSEMENTS" localSheetId="22">[3]MODEVERSEMENT!$A$1:$A$3</definedName>
    <definedName name="MODEVERSEMENTS" localSheetId="30">[3]MODEVERSEMENT!$A$1:$A$3</definedName>
    <definedName name="MODEVERSEMENTS" localSheetId="20">[3]MODEVERSEMENT!$A$1:$A$3</definedName>
    <definedName name="MODEVERSEMENTS" localSheetId="19">[3]MODEVERSEMENT!$A$1:$A$3</definedName>
    <definedName name="MODEVERSEMENTS" localSheetId="25">[3]MODEVERSEMENT!$A$1:$A$3</definedName>
    <definedName name="MODEVERSEMENTS" localSheetId="24">[3]MODEVERSEMENT!$A$1:$A$3</definedName>
    <definedName name="MODEVERSEMENTS" localSheetId="23">[3]MODEVERSEMENT!$A$1:$A$3</definedName>
    <definedName name="MODEVERSEMENTS" localSheetId="21">[3]MODEVERSEMENT!$A$1:$A$3</definedName>
    <definedName name="MODEVERSEMENTS" localSheetId="29">[3]MODEVERSEMENT!$A$1:$A$3</definedName>
    <definedName name="MODEVERSEMENTS" localSheetId="28">[3]MODEVERSEMENT!$A$1:$A$3</definedName>
    <definedName name="MODEVERSEMENTS" localSheetId="31">[3]MODEVERSEMENT!$A$1:$A$3</definedName>
    <definedName name="MODEVERSEMENTS" localSheetId="27">[3]MODEVERSEMENT!$A$1:$A$3</definedName>
    <definedName name="MODEVERSEMENTS">[4]MODEVERSEMENT!$A$1:$A$3</definedName>
    <definedName name="MODPAID" localSheetId="26">TONTAOUT22!#REF!</definedName>
    <definedName name="MODPAID" localSheetId="22">TONTAVRIL22!#REF!</definedName>
    <definedName name="MODPAID" localSheetId="30">TONTDEC22!#REF!</definedName>
    <definedName name="MODPAID" localSheetId="20">TONTFEV22!#REF!</definedName>
    <definedName name="MODPAID" localSheetId="19">TONTJANV22!#REF!</definedName>
    <definedName name="MODPAID" localSheetId="25">TONTJUIL22!#REF!</definedName>
    <definedName name="MODPAID" localSheetId="24">TONTJUIN22!#REF!</definedName>
    <definedName name="MODPAID" localSheetId="23">TONTMAI22!#REF!</definedName>
    <definedName name="MODPAID" localSheetId="21">TONTMARS22!#REF!</definedName>
    <definedName name="MODPAID" localSheetId="29">TONTNOV22!#REF!</definedName>
    <definedName name="MODPAID" localSheetId="28">TONTOCT22!#REF!</definedName>
    <definedName name="MODPAID" localSheetId="31">TONTRESUME22!#REF!</definedName>
    <definedName name="MODPAID" localSheetId="27">TONTSEPT22!#REF!</definedName>
    <definedName name="VALMODEPAID" localSheetId="26">[5]MODEPAID!$A$1:$A$3</definedName>
    <definedName name="VALMODEPAID" localSheetId="22">[5]MODEPAID!$A$1:$A$3</definedName>
    <definedName name="VALMODEPAID" localSheetId="30">[5]MODEPAID!$A$1:$A$3</definedName>
    <definedName name="VALMODEPAID" localSheetId="20">[5]MODEPAID!$A$1:$A$3</definedName>
    <definedName name="VALMODEPAID" localSheetId="19">[5]MODEPAID!$A$1:$A$3</definedName>
    <definedName name="VALMODEPAID" localSheetId="25">[5]MODEPAID!$A$1:$A$3</definedName>
    <definedName name="VALMODEPAID" localSheetId="24">[5]MODEPAID!$A$1:$A$3</definedName>
    <definedName name="VALMODEPAID" localSheetId="23">[5]MODEPAID!$A$1:$A$3</definedName>
    <definedName name="VALMODEPAID" localSheetId="21">[5]MODEPAID!$A$1:$A$3</definedName>
    <definedName name="VALMODEPAID" localSheetId="29">[5]MODEPAID!$A$1:$A$3</definedName>
    <definedName name="VALMODEPAID" localSheetId="28">[5]MODEPAID!$A$1:$A$3</definedName>
    <definedName name="VALMODEPAID" localSheetId="31">[5]MODEPAID!$A$1:$A$3</definedName>
    <definedName name="VALMODEPAID" localSheetId="27">[5]MODEPAID!$A$1:$A$3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4" i="88" l="1"/>
  <c r="U15" i="89" l="1"/>
  <c r="U14" i="89"/>
  <c r="U13" i="89"/>
  <c r="U12" i="89"/>
  <c r="U11" i="89"/>
  <c r="U10" i="89"/>
  <c r="U9" i="89"/>
  <c r="U8" i="89"/>
  <c r="U7" i="89"/>
  <c r="U6" i="89"/>
  <c r="J12" i="76" l="1"/>
  <c r="I12" i="76"/>
  <c r="N12" i="76"/>
  <c r="P15" i="82"/>
  <c r="Q22" i="87" l="1"/>
  <c r="Q23" i="86"/>
  <c r="Q22" i="86"/>
  <c r="Q23" i="85"/>
  <c r="Q22" i="85"/>
  <c r="Q23" i="84"/>
  <c r="Q22" i="84"/>
  <c r="Q23" i="83"/>
  <c r="Q22" i="83"/>
  <c r="Q23" i="82"/>
  <c r="Q22" i="82"/>
  <c r="Q15" i="82"/>
  <c r="Q23" i="81"/>
  <c r="Q22" i="81"/>
  <c r="Q23" i="80"/>
  <c r="Q22" i="80"/>
  <c r="Q23" i="79"/>
  <c r="Q22" i="79"/>
  <c r="Q23" i="78"/>
  <c r="Q22" i="78"/>
  <c r="Q23" i="77"/>
  <c r="Q22" i="77"/>
  <c r="T23" i="76"/>
  <c r="T22" i="76"/>
  <c r="T23" i="75"/>
  <c r="T22" i="75"/>
  <c r="T23" i="74"/>
  <c r="T22" i="74"/>
  <c r="S24" i="66"/>
  <c r="S18" i="66"/>
  <c r="S16" i="66"/>
  <c r="S7" i="66"/>
  <c r="S24" i="65"/>
  <c r="S18" i="65"/>
  <c r="S16" i="65"/>
  <c r="S7" i="65"/>
  <c r="S24" i="64"/>
  <c r="S18" i="64"/>
  <c r="S16" i="64"/>
  <c r="S7" i="64"/>
  <c r="S24" i="63"/>
  <c r="S18" i="63"/>
  <c r="S16" i="63"/>
  <c r="S7" i="63"/>
  <c r="S24" i="62"/>
  <c r="S18" i="62"/>
  <c r="S16" i="62"/>
  <c r="S15" i="62"/>
  <c r="S7" i="62"/>
  <c r="S24" i="61"/>
  <c r="S18" i="61"/>
  <c r="S16" i="61"/>
  <c r="S7" i="61"/>
  <c r="S24" i="73"/>
  <c r="S18" i="73"/>
  <c r="S16" i="73"/>
  <c r="S7" i="73"/>
  <c r="S24" i="69"/>
  <c r="S18" i="69"/>
  <c r="S16" i="69"/>
  <c r="S7" i="69"/>
  <c r="S24" i="58"/>
  <c r="S7" i="58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26" i="57" s="1"/>
  <c r="S8" i="57"/>
  <c r="S7" i="57"/>
  <c r="S6" i="57"/>
  <c r="S24" i="56"/>
  <c r="S23" i="56"/>
  <c r="S22" i="56"/>
  <c r="S21" i="56"/>
  <c r="S20" i="56"/>
  <c r="S19" i="56"/>
  <c r="S18" i="56"/>
  <c r="S17" i="56"/>
  <c r="S16" i="56"/>
  <c r="S15" i="56"/>
  <c r="S14" i="56"/>
  <c r="S13" i="56"/>
  <c r="S12" i="56"/>
  <c r="S11" i="56"/>
  <c r="S10" i="56"/>
  <c r="S9" i="56"/>
  <c r="S26" i="56" s="1"/>
  <c r="S8" i="56"/>
  <c r="S7" i="56"/>
  <c r="S6" i="56"/>
  <c r="S24" i="44"/>
  <c r="S23" i="44"/>
  <c r="S22" i="44"/>
  <c r="S21" i="44"/>
  <c r="S20" i="44"/>
  <c r="S19" i="44"/>
  <c r="S18" i="44"/>
  <c r="S17" i="44"/>
  <c r="S16" i="44"/>
  <c r="S15" i="44"/>
  <c r="S14" i="44"/>
  <c r="S13" i="44"/>
  <c r="S12" i="44"/>
  <c r="S11" i="44"/>
  <c r="S10" i="44"/>
  <c r="S9" i="44"/>
  <c r="S8" i="44"/>
  <c r="S7" i="44"/>
  <c r="S6" i="44"/>
  <c r="S26" i="44" s="1"/>
  <c r="S24" i="55"/>
  <c r="S23" i="55"/>
  <c r="S22" i="55"/>
  <c r="S21" i="55"/>
  <c r="S20" i="55"/>
  <c r="S19" i="55"/>
  <c r="S18" i="55"/>
  <c r="S17" i="55"/>
  <c r="S16" i="55"/>
  <c r="S15" i="55"/>
  <c r="S14" i="55"/>
  <c r="S13" i="55"/>
  <c r="S12" i="55"/>
  <c r="S11" i="55"/>
  <c r="S10" i="55"/>
  <c r="S9" i="55"/>
  <c r="S26" i="55" s="1"/>
  <c r="S8" i="55"/>
  <c r="S7" i="55"/>
  <c r="S6" i="55"/>
  <c r="S24" i="42"/>
  <c r="S23" i="42"/>
  <c r="S22" i="42"/>
  <c r="S21" i="42"/>
  <c r="S20" i="42"/>
  <c r="S19" i="42"/>
  <c r="S18" i="42"/>
  <c r="S17" i="42"/>
  <c r="S16" i="42"/>
  <c r="S15" i="42"/>
  <c r="S14" i="42"/>
  <c r="S13" i="42"/>
  <c r="S12" i="42"/>
  <c r="S11" i="42"/>
  <c r="S10" i="42"/>
  <c r="S9" i="42"/>
  <c r="S26" i="42" s="1"/>
  <c r="S8" i="42"/>
  <c r="S7" i="42"/>
  <c r="S6" i="42"/>
  <c r="S26" i="38"/>
  <c r="S7" i="38"/>
  <c r="S8" i="38"/>
  <c r="S9" i="38"/>
  <c r="S10" i="38"/>
  <c r="S11" i="38"/>
  <c r="S12" i="38"/>
  <c r="S13" i="38"/>
  <c r="S14" i="38"/>
  <c r="S15" i="38"/>
  <c r="S16" i="38"/>
  <c r="S17" i="38"/>
  <c r="S18" i="38"/>
  <c r="S19" i="38"/>
  <c r="S20" i="38"/>
  <c r="S21" i="38"/>
  <c r="S22" i="38"/>
  <c r="S23" i="38"/>
  <c r="S24" i="38"/>
  <c r="S6" i="38"/>
  <c r="J2" i="82" l="1"/>
  <c r="K6" i="82" l="1"/>
  <c r="M34" i="76" l="1"/>
  <c r="P21" i="88" l="1"/>
  <c r="N21" i="88"/>
  <c r="I21" i="88"/>
  <c r="G21" i="88"/>
  <c r="H21" i="88" s="1"/>
  <c r="F21" i="88"/>
  <c r="P20" i="88"/>
  <c r="N20" i="88"/>
  <c r="I20" i="88"/>
  <c r="G20" i="88"/>
  <c r="H20" i="88" s="1"/>
  <c r="F20" i="88"/>
  <c r="P19" i="88"/>
  <c r="N19" i="88"/>
  <c r="I19" i="88"/>
  <c r="G19" i="88"/>
  <c r="H19" i="88" s="1"/>
  <c r="F19" i="88"/>
  <c r="P18" i="88"/>
  <c r="N18" i="88"/>
  <c r="I18" i="88"/>
  <c r="G18" i="88"/>
  <c r="H18" i="88" s="1"/>
  <c r="F18" i="88"/>
  <c r="P17" i="88"/>
  <c r="N17" i="88"/>
  <c r="I17" i="88"/>
  <c r="G17" i="88"/>
  <c r="H17" i="88" s="1"/>
  <c r="F17" i="88"/>
  <c r="P16" i="88"/>
  <c r="N16" i="88"/>
  <c r="I16" i="88"/>
  <c r="G16" i="88"/>
  <c r="H16" i="88" s="1"/>
  <c r="F16" i="88"/>
  <c r="P15" i="88"/>
  <c r="N15" i="88"/>
  <c r="I15" i="88"/>
  <c r="G15" i="88"/>
  <c r="H15" i="88" s="1"/>
  <c r="F15" i="88"/>
  <c r="P14" i="88"/>
  <c r="N14" i="88"/>
  <c r="I14" i="88"/>
  <c r="G14" i="88"/>
  <c r="H14" i="88" s="1"/>
  <c r="F14" i="88"/>
  <c r="P13" i="88"/>
  <c r="N13" i="88"/>
  <c r="I13" i="88"/>
  <c r="G13" i="88"/>
  <c r="H13" i="88" s="1"/>
  <c r="F13" i="88"/>
  <c r="P12" i="88"/>
  <c r="N12" i="88"/>
  <c r="I12" i="88"/>
  <c r="G12" i="88"/>
  <c r="H12" i="88" s="1"/>
  <c r="F12" i="88"/>
  <c r="P11" i="88"/>
  <c r="N11" i="88"/>
  <c r="I11" i="88"/>
  <c r="G11" i="88"/>
  <c r="H11" i="88" s="1"/>
  <c r="F11" i="88"/>
  <c r="P10" i="88"/>
  <c r="N10" i="88"/>
  <c r="I10" i="88"/>
  <c r="G10" i="88"/>
  <c r="H10" i="88" s="1"/>
  <c r="F10" i="88"/>
  <c r="P9" i="88"/>
  <c r="N9" i="88"/>
  <c r="I9" i="88"/>
  <c r="G9" i="88"/>
  <c r="H9" i="88" s="1"/>
  <c r="F9" i="88"/>
  <c r="P8" i="88"/>
  <c r="N8" i="88"/>
  <c r="I8" i="88"/>
  <c r="G8" i="88"/>
  <c r="H8" i="88" s="1"/>
  <c r="F8" i="88"/>
  <c r="P7" i="88"/>
  <c r="N7" i="88"/>
  <c r="I7" i="88"/>
  <c r="G7" i="88"/>
  <c r="H7" i="88" s="1"/>
  <c r="F7" i="88"/>
  <c r="P6" i="88"/>
  <c r="N6" i="88"/>
  <c r="I6" i="88"/>
  <c r="G6" i="88"/>
  <c r="H6" i="88" s="1"/>
  <c r="F6" i="88"/>
  <c r="P21" i="87"/>
  <c r="N21" i="87"/>
  <c r="I21" i="87"/>
  <c r="G21" i="87"/>
  <c r="H21" i="87" s="1"/>
  <c r="F21" i="87"/>
  <c r="P20" i="87"/>
  <c r="N20" i="87"/>
  <c r="I20" i="87"/>
  <c r="G20" i="87"/>
  <c r="H20" i="87" s="1"/>
  <c r="F20" i="87"/>
  <c r="P19" i="87"/>
  <c r="N19" i="87"/>
  <c r="I19" i="87"/>
  <c r="G19" i="87"/>
  <c r="H19" i="87" s="1"/>
  <c r="F19" i="87"/>
  <c r="P18" i="87"/>
  <c r="N18" i="87"/>
  <c r="I18" i="87"/>
  <c r="G18" i="87"/>
  <c r="H18" i="87" s="1"/>
  <c r="F18" i="87"/>
  <c r="P17" i="87"/>
  <c r="N17" i="87"/>
  <c r="I17" i="87"/>
  <c r="G17" i="87"/>
  <c r="H17" i="87" s="1"/>
  <c r="F17" i="87"/>
  <c r="P16" i="87"/>
  <c r="N16" i="87"/>
  <c r="I16" i="87"/>
  <c r="G16" i="87"/>
  <c r="H16" i="87" s="1"/>
  <c r="F16" i="87"/>
  <c r="P15" i="87"/>
  <c r="N15" i="87"/>
  <c r="I15" i="87"/>
  <c r="G15" i="87"/>
  <c r="H15" i="87" s="1"/>
  <c r="F15" i="87"/>
  <c r="P14" i="87"/>
  <c r="N14" i="87"/>
  <c r="I14" i="87"/>
  <c r="G14" i="87"/>
  <c r="H14" i="87" s="1"/>
  <c r="F14" i="87"/>
  <c r="P13" i="87"/>
  <c r="N13" i="87"/>
  <c r="I13" i="87"/>
  <c r="G13" i="87"/>
  <c r="H13" i="87" s="1"/>
  <c r="F13" i="87"/>
  <c r="P12" i="87"/>
  <c r="N12" i="87"/>
  <c r="I12" i="87"/>
  <c r="G12" i="87"/>
  <c r="H12" i="87" s="1"/>
  <c r="F12" i="87"/>
  <c r="P11" i="87"/>
  <c r="N11" i="87"/>
  <c r="I11" i="87"/>
  <c r="G11" i="87"/>
  <c r="H11" i="87" s="1"/>
  <c r="F11" i="87"/>
  <c r="P10" i="87"/>
  <c r="N10" i="87"/>
  <c r="I10" i="87"/>
  <c r="G10" i="87"/>
  <c r="H10" i="87" s="1"/>
  <c r="F10" i="87"/>
  <c r="P9" i="87"/>
  <c r="N9" i="87"/>
  <c r="I9" i="87"/>
  <c r="G9" i="87"/>
  <c r="H9" i="87" s="1"/>
  <c r="F9" i="87"/>
  <c r="P8" i="87"/>
  <c r="N8" i="87"/>
  <c r="I8" i="87"/>
  <c r="G8" i="87"/>
  <c r="H8" i="87" s="1"/>
  <c r="F8" i="87"/>
  <c r="P7" i="87"/>
  <c r="N7" i="87"/>
  <c r="I7" i="87"/>
  <c r="G7" i="87"/>
  <c r="H7" i="87" s="1"/>
  <c r="F7" i="87"/>
  <c r="P6" i="87"/>
  <c r="N6" i="87"/>
  <c r="I6" i="87"/>
  <c r="G6" i="87"/>
  <c r="H6" i="87" s="1"/>
  <c r="F6" i="87"/>
  <c r="P21" i="86"/>
  <c r="N21" i="86"/>
  <c r="I21" i="86"/>
  <c r="G21" i="86"/>
  <c r="H21" i="86" s="1"/>
  <c r="F21" i="86"/>
  <c r="P20" i="86"/>
  <c r="N20" i="86"/>
  <c r="I20" i="86"/>
  <c r="G20" i="86"/>
  <c r="H20" i="86" s="1"/>
  <c r="F20" i="86"/>
  <c r="P19" i="86"/>
  <c r="N19" i="86"/>
  <c r="I19" i="86"/>
  <c r="G19" i="86"/>
  <c r="H19" i="86" s="1"/>
  <c r="F19" i="86"/>
  <c r="P18" i="86"/>
  <c r="N18" i="86"/>
  <c r="I18" i="86"/>
  <c r="G18" i="86"/>
  <c r="H18" i="86" s="1"/>
  <c r="F18" i="86"/>
  <c r="P17" i="86"/>
  <c r="N17" i="86"/>
  <c r="I17" i="86"/>
  <c r="G17" i="86"/>
  <c r="H17" i="86" s="1"/>
  <c r="F17" i="86"/>
  <c r="P16" i="86"/>
  <c r="N16" i="86"/>
  <c r="I16" i="86"/>
  <c r="G16" i="86"/>
  <c r="H16" i="86" s="1"/>
  <c r="F16" i="86"/>
  <c r="P15" i="86"/>
  <c r="N15" i="86"/>
  <c r="I15" i="86"/>
  <c r="G15" i="86"/>
  <c r="H15" i="86" s="1"/>
  <c r="F15" i="86"/>
  <c r="P14" i="86"/>
  <c r="N14" i="86"/>
  <c r="I14" i="86"/>
  <c r="G14" i="86"/>
  <c r="H14" i="86" s="1"/>
  <c r="F14" i="86"/>
  <c r="P13" i="86"/>
  <c r="N13" i="86"/>
  <c r="I13" i="86"/>
  <c r="G13" i="86"/>
  <c r="H13" i="86" s="1"/>
  <c r="F13" i="86"/>
  <c r="P12" i="86"/>
  <c r="N12" i="86"/>
  <c r="I12" i="86"/>
  <c r="G12" i="86"/>
  <c r="H12" i="86" s="1"/>
  <c r="F12" i="86"/>
  <c r="P11" i="86"/>
  <c r="N11" i="86"/>
  <c r="I11" i="86"/>
  <c r="G11" i="86"/>
  <c r="H11" i="86" s="1"/>
  <c r="F11" i="86"/>
  <c r="P10" i="86"/>
  <c r="N10" i="86"/>
  <c r="I10" i="86"/>
  <c r="G10" i="86"/>
  <c r="H10" i="86" s="1"/>
  <c r="F10" i="86"/>
  <c r="P9" i="86"/>
  <c r="N9" i="86"/>
  <c r="I9" i="86"/>
  <c r="G9" i="86"/>
  <c r="H9" i="86" s="1"/>
  <c r="F9" i="86"/>
  <c r="P8" i="86"/>
  <c r="N8" i="86"/>
  <c r="I8" i="86"/>
  <c r="G8" i="86"/>
  <c r="H8" i="86" s="1"/>
  <c r="F8" i="86"/>
  <c r="P7" i="86"/>
  <c r="N7" i="86"/>
  <c r="I7" i="86"/>
  <c r="G7" i="86"/>
  <c r="F7" i="86"/>
  <c r="P6" i="86"/>
  <c r="N6" i="86"/>
  <c r="I6" i="86"/>
  <c r="G6" i="86"/>
  <c r="F6" i="86"/>
  <c r="P21" i="85"/>
  <c r="N21" i="85"/>
  <c r="I21" i="85"/>
  <c r="G21" i="85"/>
  <c r="H21" i="85" s="1"/>
  <c r="F21" i="85"/>
  <c r="P20" i="85"/>
  <c r="N20" i="85"/>
  <c r="I20" i="85"/>
  <c r="G20" i="85"/>
  <c r="H20" i="85" s="1"/>
  <c r="F20" i="85"/>
  <c r="P19" i="85"/>
  <c r="N19" i="85"/>
  <c r="I19" i="85"/>
  <c r="G19" i="85"/>
  <c r="H19" i="85" s="1"/>
  <c r="F19" i="85"/>
  <c r="P18" i="85"/>
  <c r="N18" i="85"/>
  <c r="I18" i="85"/>
  <c r="G18" i="85"/>
  <c r="H18" i="85" s="1"/>
  <c r="F18" i="85"/>
  <c r="P17" i="85"/>
  <c r="N17" i="85"/>
  <c r="I17" i="85"/>
  <c r="G17" i="85"/>
  <c r="H17" i="85" s="1"/>
  <c r="F17" i="85"/>
  <c r="P16" i="85"/>
  <c r="N16" i="85"/>
  <c r="I16" i="85"/>
  <c r="G16" i="85"/>
  <c r="H16" i="85" s="1"/>
  <c r="F16" i="85"/>
  <c r="P15" i="85"/>
  <c r="N15" i="85"/>
  <c r="I15" i="85"/>
  <c r="G15" i="85"/>
  <c r="H15" i="85" s="1"/>
  <c r="F15" i="85"/>
  <c r="P14" i="85"/>
  <c r="N14" i="85"/>
  <c r="I14" i="85"/>
  <c r="G14" i="85"/>
  <c r="H14" i="85" s="1"/>
  <c r="F14" i="85"/>
  <c r="P13" i="85"/>
  <c r="N13" i="85"/>
  <c r="I13" i="85"/>
  <c r="G13" i="85"/>
  <c r="H13" i="85" s="1"/>
  <c r="F13" i="85"/>
  <c r="P12" i="85"/>
  <c r="N12" i="85"/>
  <c r="I12" i="85"/>
  <c r="G12" i="85"/>
  <c r="H12" i="85" s="1"/>
  <c r="F12" i="85"/>
  <c r="P11" i="85"/>
  <c r="N11" i="85"/>
  <c r="I11" i="85"/>
  <c r="G11" i="85"/>
  <c r="H11" i="85" s="1"/>
  <c r="F11" i="85"/>
  <c r="P10" i="85"/>
  <c r="N10" i="85"/>
  <c r="I10" i="85"/>
  <c r="G10" i="85"/>
  <c r="H10" i="85" s="1"/>
  <c r="F10" i="85"/>
  <c r="P9" i="85"/>
  <c r="N9" i="85"/>
  <c r="I9" i="85"/>
  <c r="G9" i="85"/>
  <c r="H9" i="85" s="1"/>
  <c r="F9" i="85"/>
  <c r="P8" i="85"/>
  <c r="N8" i="85"/>
  <c r="I8" i="85"/>
  <c r="G8" i="85"/>
  <c r="H8" i="85" s="1"/>
  <c r="F8" i="85"/>
  <c r="P7" i="85"/>
  <c r="N7" i="85"/>
  <c r="I7" i="85"/>
  <c r="G7" i="85"/>
  <c r="H7" i="85" s="1"/>
  <c r="F7" i="85"/>
  <c r="P6" i="85"/>
  <c r="N6" i="85"/>
  <c r="I6" i="85"/>
  <c r="G6" i="85"/>
  <c r="H6" i="85" s="1"/>
  <c r="F6" i="85"/>
  <c r="P21" i="84"/>
  <c r="N21" i="84"/>
  <c r="I21" i="84"/>
  <c r="G21" i="84"/>
  <c r="H21" i="84" s="1"/>
  <c r="F21" i="84"/>
  <c r="P20" i="84"/>
  <c r="N20" i="84"/>
  <c r="I20" i="84"/>
  <c r="G20" i="84"/>
  <c r="H20" i="84" s="1"/>
  <c r="F20" i="84"/>
  <c r="P19" i="84"/>
  <c r="N19" i="84"/>
  <c r="I19" i="84"/>
  <c r="G19" i="84"/>
  <c r="H19" i="84" s="1"/>
  <c r="F19" i="84"/>
  <c r="P18" i="84"/>
  <c r="N18" i="84"/>
  <c r="I18" i="84"/>
  <c r="G18" i="84"/>
  <c r="H18" i="84" s="1"/>
  <c r="F18" i="84"/>
  <c r="P17" i="84"/>
  <c r="N17" i="84"/>
  <c r="I17" i="84"/>
  <c r="G17" i="84"/>
  <c r="H17" i="84" s="1"/>
  <c r="F17" i="84"/>
  <c r="P16" i="84"/>
  <c r="N16" i="84"/>
  <c r="I16" i="84"/>
  <c r="G16" i="84"/>
  <c r="H16" i="84" s="1"/>
  <c r="F16" i="84"/>
  <c r="P15" i="84"/>
  <c r="N15" i="84"/>
  <c r="I15" i="84"/>
  <c r="G15" i="84"/>
  <c r="H15" i="84" s="1"/>
  <c r="F15" i="84"/>
  <c r="P14" i="84"/>
  <c r="N14" i="84"/>
  <c r="I14" i="84"/>
  <c r="G14" i="84"/>
  <c r="H14" i="84" s="1"/>
  <c r="F14" i="84"/>
  <c r="P13" i="84"/>
  <c r="N13" i="84"/>
  <c r="I13" i="84"/>
  <c r="G13" i="84"/>
  <c r="H13" i="84" s="1"/>
  <c r="F13" i="84"/>
  <c r="P12" i="84"/>
  <c r="N12" i="84"/>
  <c r="I12" i="84"/>
  <c r="G12" i="84"/>
  <c r="H12" i="84" s="1"/>
  <c r="F12" i="84"/>
  <c r="P11" i="84"/>
  <c r="N11" i="84"/>
  <c r="I11" i="84"/>
  <c r="G11" i="84"/>
  <c r="H11" i="84" s="1"/>
  <c r="F11" i="84"/>
  <c r="P10" i="84"/>
  <c r="N10" i="84"/>
  <c r="I10" i="84"/>
  <c r="G10" i="84"/>
  <c r="H10" i="84" s="1"/>
  <c r="F10" i="84"/>
  <c r="P9" i="84"/>
  <c r="N9" i="84"/>
  <c r="I9" i="84"/>
  <c r="G9" i="84"/>
  <c r="H9" i="84" s="1"/>
  <c r="F9" i="84"/>
  <c r="P8" i="84"/>
  <c r="Q8" i="84" s="1"/>
  <c r="N8" i="84"/>
  <c r="I8" i="84"/>
  <c r="G8" i="84"/>
  <c r="H8" i="84" s="1"/>
  <c r="F8" i="84"/>
  <c r="P7" i="84"/>
  <c r="N7" i="84"/>
  <c r="I7" i="84"/>
  <c r="G7" i="84"/>
  <c r="H7" i="84" s="1"/>
  <c r="F7" i="84"/>
  <c r="P6" i="84"/>
  <c r="N6" i="84"/>
  <c r="I6" i="84"/>
  <c r="G6" i="84"/>
  <c r="H6" i="84" s="1"/>
  <c r="F6" i="84"/>
  <c r="P21" i="83"/>
  <c r="N21" i="83"/>
  <c r="I21" i="83"/>
  <c r="G21" i="83"/>
  <c r="H21" i="83" s="1"/>
  <c r="F21" i="83"/>
  <c r="P20" i="83"/>
  <c r="N20" i="83"/>
  <c r="I20" i="83"/>
  <c r="G20" i="83"/>
  <c r="H20" i="83" s="1"/>
  <c r="F20" i="83"/>
  <c r="P19" i="83"/>
  <c r="N19" i="83"/>
  <c r="I19" i="83"/>
  <c r="G19" i="83"/>
  <c r="H19" i="83" s="1"/>
  <c r="F19" i="83"/>
  <c r="P18" i="83"/>
  <c r="N18" i="83"/>
  <c r="I18" i="83"/>
  <c r="G18" i="83"/>
  <c r="H18" i="83" s="1"/>
  <c r="F18" i="83"/>
  <c r="P17" i="83"/>
  <c r="N17" i="83"/>
  <c r="I17" i="83"/>
  <c r="G17" i="83"/>
  <c r="H17" i="83" s="1"/>
  <c r="F17" i="83"/>
  <c r="P16" i="83"/>
  <c r="N16" i="83"/>
  <c r="I16" i="83"/>
  <c r="G16" i="83"/>
  <c r="F16" i="83"/>
  <c r="P15" i="83"/>
  <c r="N15" i="83"/>
  <c r="I15" i="83"/>
  <c r="G15" i="83"/>
  <c r="H15" i="83" s="1"/>
  <c r="F15" i="83"/>
  <c r="P14" i="83"/>
  <c r="N14" i="83"/>
  <c r="I14" i="83"/>
  <c r="G14" i="83"/>
  <c r="H14" i="83" s="1"/>
  <c r="F14" i="83"/>
  <c r="P13" i="83"/>
  <c r="N13" i="83"/>
  <c r="I13" i="83"/>
  <c r="G13" i="83"/>
  <c r="H13" i="83" s="1"/>
  <c r="F13" i="83"/>
  <c r="P12" i="83"/>
  <c r="N12" i="83"/>
  <c r="I12" i="83"/>
  <c r="G12" i="83"/>
  <c r="H12" i="83" s="1"/>
  <c r="F12" i="83"/>
  <c r="P11" i="83"/>
  <c r="N11" i="83"/>
  <c r="I11" i="83"/>
  <c r="G11" i="83"/>
  <c r="H11" i="83" s="1"/>
  <c r="F11" i="83"/>
  <c r="P10" i="83"/>
  <c r="N10" i="83"/>
  <c r="I10" i="83"/>
  <c r="G10" i="83"/>
  <c r="H10" i="83" s="1"/>
  <c r="F10" i="83"/>
  <c r="P9" i="83"/>
  <c r="N9" i="83"/>
  <c r="I9" i="83"/>
  <c r="G9" i="83"/>
  <c r="H9" i="83" s="1"/>
  <c r="F9" i="83"/>
  <c r="P8" i="83"/>
  <c r="N8" i="83"/>
  <c r="I8" i="83"/>
  <c r="G8" i="83"/>
  <c r="F8" i="83"/>
  <c r="P7" i="83"/>
  <c r="N7" i="83"/>
  <c r="I7" i="83"/>
  <c r="G7" i="83"/>
  <c r="H7" i="83" s="1"/>
  <c r="F7" i="83"/>
  <c r="P6" i="83"/>
  <c r="Q6" i="83" s="1"/>
  <c r="N6" i="83"/>
  <c r="I6" i="83"/>
  <c r="G6" i="83"/>
  <c r="H6" i="83" s="1"/>
  <c r="F6" i="83"/>
  <c r="P21" i="82"/>
  <c r="N21" i="82"/>
  <c r="I21" i="82"/>
  <c r="G21" i="82"/>
  <c r="H21" i="82" s="1"/>
  <c r="F21" i="82"/>
  <c r="P20" i="82"/>
  <c r="N20" i="82"/>
  <c r="I20" i="82"/>
  <c r="G20" i="82"/>
  <c r="H20" i="82" s="1"/>
  <c r="F20" i="82"/>
  <c r="P19" i="82"/>
  <c r="N19" i="82"/>
  <c r="I19" i="82"/>
  <c r="G19" i="82"/>
  <c r="H19" i="82" s="1"/>
  <c r="F19" i="82"/>
  <c r="P18" i="82"/>
  <c r="Q18" i="82" s="1"/>
  <c r="N18" i="82"/>
  <c r="I18" i="82"/>
  <c r="G18" i="82"/>
  <c r="H18" i="82" s="1"/>
  <c r="F18" i="82"/>
  <c r="P17" i="82"/>
  <c r="N17" i="82"/>
  <c r="I17" i="82"/>
  <c r="G17" i="82"/>
  <c r="H17" i="82" s="1"/>
  <c r="F17" i="82"/>
  <c r="P16" i="82"/>
  <c r="N16" i="82"/>
  <c r="I16" i="82"/>
  <c r="G16" i="82"/>
  <c r="H16" i="82" s="1"/>
  <c r="F16" i="82"/>
  <c r="M15" i="82"/>
  <c r="N15" i="82"/>
  <c r="I15" i="82"/>
  <c r="G15" i="82"/>
  <c r="F15" i="82"/>
  <c r="P14" i="82"/>
  <c r="Q14" i="82" s="1"/>
  <c r="N14" i="82"/>
  <c r="I14" i="82"/>
  <c r="G14" i="82"/>
  <c r="F14" i="82"/>
  <c r="P13" i="82"/>
  <c r="N13" i="82"/>
  <c r="I13" i="82"/>
  <c r="G13" i="82"/>
  <c r="H13" i="82" s="1"/>
  <c r="F13" i="82"/>
  <c r="P12" i="82"/>
  <c r="Q12" i="82" s="1"/>
  <c r="N12" i="82"/>
  <c r="I12" i="82"/>
  <c r="G12" i="82"/>
  <c r="H12" i="82" s="1"/>
  <c r="F12" i="82"/>
  <c r="P11" i="82"/>
  <c r="N11" i="82"/>
  <c r="I11" i="82"/>
  <c r="G11" i="82"/>
  <c r="F11" i="82"/>
  <c r="P10" i="82"/>
  <c r="N10" i="82"/>
  <c r="I10" i="82"/>
  <c r="G10" i="82"/>
  <c r="F10" i="82"/>
  <c r="P9" i="82"/>
  <c r="N9" i="82"/>
  <c r="I9" i="82"/>
  <c r="G9" i="82"/>
  <c r="H9" i="82" s="1"/>
  <c r="F9" i="82"/>
  <c r="P8" i="82"/>
  <c r="N8" i="82"/>
  <c r="I8" i="82"/>
  <c r="G8" i="82"/>
  <c r="H8" i="82" s="1"/>
  <c r="F8" i="82"/>
  <c r="P7" i="82"/>
  <c r="N7" i="82"/>
  <c r="I7" i="82"/>
  <c r="G7" i="82"/>
  <c r="H7" i="82" s="1"/>
  <c r="F7" i="82"/>
  <c r="P6" i="82"/>
  <c r="N6" i="82"/>
  <c r="I6" i="82"/>
  <c r="G6" i="82"/>
  <c r="F6" i="82"/>
  <c r="P21" i="81"/>
  <c r="N21" i="81"/>
  <c r="I21" i="81"/>
  <c r="G21" i="81"/>
  <c r="H21" i="81" s="1"/>
  <c r="F21" i="81"/>
  <c r="P20" i="81"/>
  <c r="N20" i="81"/>
  <c r="I20" i="81"/>
  <c r="G20" i="81"/>
  <c r="H20" i="81" s="1"/>
  <c r="F20" i="81"/>
  <c r="P19" i="81"/>
  <c r="N19" i="81"/>
  <c r="I19" i="81"/>
  <c r="G19" i="81"/>
  <c r="H19" i="81" s="1"/>
  <c r="F19" i="81"/>
  <c r="P18" i="81"/>
  <c r="N18" i="81"/>
  <c r="I18" i="81"/>
  <c r="G18" i="81"/>
  <c r="H18" i="81" s="1"/>
  <c r="F18" i="81"/>
  <c r="P17" i="81"/>
  <c r="N17" i="81"/>
  <c r="I17" i="81"/>
  <c r="P16" i="81"/>
  <c r="N16" i="81"/>
  <c r="I16" i="81"/>
  <c r="P15" i="81"/>
  <c r="N15" i="81"/>
  <c r="I15" i="81"/>
  <c r="P14" i="81"/>
  <c r="N14" i="81"/>
  <c r="I14" i="81"/>
  <c r="G14" i="81"/>
  <c r="H14" i="81" s="1"/>
  <c r="F14" i="81"/>
  <c r="P13" i="81"/>
  <c r="N13" i="81"/>
  <c r="I13" i="81"/>
  <c r="P12" i="81"/>
  <c r="N12" i="81"/>
  <c r="I12" i="81"/>
  <c r="P11" i="81"/>
  <c r="N11" i="81"/>
  <c r="I11" i="81"/>
  <c r="G11" i="81"/>
  <c r="H11" i="81" s="1"/>
  <c r="F11" i="81"/>
  <c r="P10" i="81"/>
  <c r="N10" i="81"/>
  <c r="I10" i="81"/>
  <c r="G10" i="81"/>
  <c r="H10" i="81" s="1"/>
  <c r="F10" i="81"/>
  <c r="P9" i="81"/>
  <c r="N9" i="81"/>
  <c r="I9" i="81"/>
  <c r="G9" i="81"/>
  <c r="H9" i="81" s="1"/>
  <c r="F9" i="81"/>
  <c r="P8" i="81"/>
  <c r="N8" i="81"/>
  <c r="I8" i="81"/>
  <c r="G8" i="81"/>
  <c r="H8" i="81" s="1"/>
  <c r="F8" i="81"/>
  <c r="P7" i="81"/>
  <c r="N7" i="81"/>
  <c r="I7" i="81"/>
  <c r="G7" i="81"/>
  <c r="H7" i="81" s="1"/>
  <c r="F7" i="81"/>
  <c r="P6" i="81"/>
  <c r="N6" i="81"/>
  <c r="I6" i="81"/>
  <c r="G6" i="81"/>
  <c r="H6" i="81" s="1"/>
  <c r="F6" i="81"/>
  <c r="I24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D27" i="89"/>
  <c r="C6" i="89"/>
  <c r="C3" i="89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3" i="88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3" i="87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3" i="86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3" i="85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3" i="84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3" i="83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3" i="82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3" i="81"/>
  <c r="P21" i="80"/>
  <c r="N21" i="80"/>
  <c r="I21" i="80"/>
  <c r="G21" i="80"/>
  <c r="H21" i="80" s="1"/>
  <c r="F21" i="80"/>
  <c r="P20" i="80"/>
  <c r="N20" i="80"/>
  <c r="I20" i="80"/>
  <c r="G20" i="80"/>
  <c r="H20" i="80" s="1"/>
  <c r="F20" i="80"/>
  <c r="P19" i="80"/>
  <c r="N19" i="80"/>
  <c r="I19" i="80"/>
  <c r="G19" i="80"/>
  <c r="H19" i="80" s="1"/>
  <c r="F19" i="80"/>
  <c r="P18" i="80"/>
  <c r="N18" i="80"/>
  <c r="I18" i="80"/>
  <c r="G18" i="80"/>
  <c r="H18" i="80" s="1"/>
  <c r="F18" i="80"/>
  <c r="P17" i="80"/>
  <c r="N17" i="80"/>
  <c r="I17" i="80"/>
  <c r="G17" i="80"/>
  <c r="H17" i="80" s="1"/>
  <c r="F17" i="80"/>
  <c r="P16" i="80"/>
  <c r="N16" i="80"/>
  <c r="I16" i="80"/>
  <c r="G16" i="80"/>
  <c r="H16" i="80" s="1"/>
  <c r="F16" i="80"/>
  <c r="P15" i="80"/>
  <c r="N15" i="80"/>
  <c r="I15" i="80"/>
  <c r="G15" i="80"/>
  <c r="H15" i="80" s="1"/>
  <c r="F15" i="80"/>
  <c r="P14" i="80"/>
  <c r="N14" i="80"/>
  <c r="I14" i="80"/>
  <c r="G14" i="80"/>
  <c r="H14" i="80" s="1"/>
  <c r="F14" i="80"/>
  <c r="P13" i="80"/>
  <c r="N13" i="80"/>
  <c r="I13" i="80"/>
  <c r="G13" i="80"/>
  <c r="H13" i="80" s="1"/>
  <c r="F13" i="80"/>
  <c r="P12" i="80"/>
  <c r="N12" i="80"/>
  <c r="I12" i="80"/>
  <c r="G12" i="80"/>
  <c r="H12" i="80" s="1"/>
  <c r="F12" i="80"/>
  <c r="P11" i="80"/>
  <c r="N11" i="80"/>
  <c r="I11" i="80"/>
  <c r="G11" i="80"/>
  <c r="H11" i="80" s="1"/>
  <c r="F11" i="80"/>
  <c r="P10" i="80"/>
  <c r="N10" i="80"/>
  <c r="I10" i="80"/>
  <c r="G10" i="80"/>
  <c r="H10" i="80" s="1"/>
  <c r="F10" i="80"/>
  <c r="P9" i="80"/>
  <c r="N9" i="80"/>
  <c r="I9" i="80"/>
  <c r="G9" i="80"/>
  <c r="H9" i="80" s="1"/>
  <c r="F9" i="80"/>
  <c r="P8" i="80"/>
  <c r="N8" i="80"/>
  <c r="I8" i="80"/>
  <c r="G8" i="80"/>
  <c r="H8" i="80" s="1"/>
  <c r="F8" i="80"/>
  <c r="P7" i="80"/>
  <c r="N7" i="80"/>
  <c r="I7" i="80"/>
  <c r="G7" i="80"/>
  <c r="H7" i="80" s="1"/>
  <c r="F7" i="80"/>
  <c r="P6" i="80"/>
  <c r="N6" i="80"/>
  <c r="I6" i="80"/>
  <c r="G6" i="80"/>
  <c r="H6" i="80" s="1"/>
  <c r="F6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3" i="80"/>
  <c r="O21" i="87" l="1"/>
  <c r="Q21" i="87"/>
  <c r="O7" i="80"/>
  <c r="Q7" i="80"/>
  <c r="O11" i="80"/>
  <c r="Q11" i="80"/>
  <c r="O15" i="80"/>
  <c r="Q15" i="80"/>
  <c r="M19" i="80"/>
  <c r="Q19" i="80"/>
  <c r="M8" i="81"/>
  <c r="Q8" i="81"/>
  <c r="O16" i="81"/>
  <c r="Q16" i="81"/>
  <c r="M18" i="81"/>
  <c r="Q18" i="81"/>
  <c r="F24" i="82"/>
  <c r="M8" i="80"/>
  <c r="Q8" i="80"/>
  <c r="M12" i="80"/>
  <c r="Q12" i="80"/>
  <c r="M16" i="80"/>
  <c r="Q16" i="80"/>
  <c r="M20" i="80"/>
  <c r="Q20" i="80"/>
  <c r="M9" i="81"/>
  <c r="Q9" i="81"/>
  <c r="M13" i="81"/>
  <c r="Q13" i="81"/>
  <c r="M15" i="81"/>
  <c r="Q15" i="81"/>
  <c r="M19" i="81"/>
  <c r="Q19" i="81"/>
  <c r="M9" i="80"/>
  <c r="Q9" i="80"/>
  <c r="M13" i="80"/>
  <c r="Q13" i="80"/>
  <c r="M17" i="80"/>
  <c r="Q17" i="80"/>
  <c r="M21" i="80"/>
  <c r="Q21" i="80"/>
  <c r="M6" i="81"/>
  <c r="Q6" i="81"/>
  <c r="M10" i="81"/>
  <c r="Q10" i="81"/>
  <c r="M12" i="81"/>
  <c r="Q12" i="81"/>
  <c r="M14" i="81"/>
  <c r="Q14" i="81"/>
  <c r="O20" i="81"/>
  <c r="Q20" i="81"/>
  <c r="M6" i="80"/>
  <c r="Q6" i="80"/>
  <c r="M10" i="80"/>
  <c r="Q10" i="80"/>
  <c r="M14" i="80"/>
  <c r="Q14" i="80"/>
  <c r="M18" i="80"/>
  <c r="Q18" i="80"/>
  <c r="M7" i="81"/>
  <c r="Q7" i="81"/>
  <c r="M11" i="81"/>
  <c r="Q11" i="81"/>
  <c r="O17" i="81"/>
  <c r="Q17" i="81"/>
  <c r="M21" i="81"/>
  <c r="Q21" i="81"/>
  <c r="O10" i="83"/>
  <c r="Q10" i="83"/>
  <c r="M14" i="83"/>
  <c r="Q14" i="83"/>
  <c r="M18" i="83"/>
  <c r="Q18" i="83"/>
  <c r="M6" i="84"/>
  <c r="Q6" i="84"/>
  <c r="M10" i="84"/>
  <c r="Q10" i="84"/>
  <c r="M14" i="84"/>
  <c r="Q14" i="84"/>
  <c r="M18" i="84"/>
  <c r="Q18" i="84"/>
  <c r="M6" i="82"/>
  <c r="Q6" i="82"/>
  <c r="M10" i="82"/>
  <c r="Q10" i="82"/>
  <c r="M7" i="82"/>
  <c r="Q7" i="82"/>
  <c r="O11" i="82"/>
  <c r="Q11" i="82"/>
  <c r="M19" i="82"/>
  <c r="Q19" i="82"/>
  <c r="M7" i="83"/>
  <c r="Q7" i="83"/>
  <c r="M11" i="83"/>
  <c r="Q11" i="83"/>
  <c r="M15" i="83"/>
  <c r="Q15" i="83"/>
  <c r="M19" i="83"/>
  <c r="Q19" i="83"/>
  <c r="M7" i="84"/>
  <c r="Q7" i="84"/>
  <c r="M11" i="84"/>
  <c r="Q11" i="84"/>
  <c r="M15" i="84"/>
  <c r="Q15" i="84"/>
  <c r="M19" i="84"/>
  <c r="Q19" i="84"/>
  <c r="O8" i="82"/>
  <c r="Q8" i="82"/>
  <c r="M16" i="82"/>
  <c r="Q16" i="82"/>
  <c r="M20" i="82"/>
  <c r="Q20" i="82"/>
  <c r="M8" i="83"/>
  <c r="Q8" i="83"/>
  <c r="M12" i="83"/>
  <c r="Q12" i="83"/>
  <c r="M16" i="83"/>
  <c r="Q16" i="83"/>
  <c r="M20" i="83"/>
  <c r="Q20" i="83"/>
  <c r="M12" i="84"/>
  <c r="Q12" i="84"/>
  <c r="O16" i="84"/>
  <c r="Q16" i="84"/>
  <c r="M20" i="84"/>
  <c r="Q20" i="84"/>
  <c r="O9" i="82"/>
  <c r="Q9" i="82"/>
  <c r="M13" i="82"/>
  <c r="Q13" i="82"/>
  <c r="M17" i="82"/>
  <c r="Q17" i="82"/>
  <c r="M21" i="82"/>
  <c r="Q21" i="82"/>
  <c r="O9" i="83"/>
  <c r="Q9" i="83"/>
  <c r="M13" i="83"/>
  <c r="Q13" i="83"/>
  <c r="O17" i="83"/>
  <c r="Q17" i="83"/>
  <c r="M21" i="83"/>
  <c r="Q21" i="83"/>
  <c r="M9" i="84"/>
  <c r="Q9" i="84"/>
  <c r="M13" i="84"/>
  <c r="Q13" i="84"/>
  <c r="M17" i="84"/>
  <c r="Q17" i="84"/>
  <c r="M21" i="84"/>
  <c r="Q21" i="84"/>
  <c r="M7" i="85"/>
  <c r="Q7" i="85"/>
  <c r="M11" i="85"/>
  <c r="Q11" i="85"/>
  <c r="M15" i="85"/>
  <c r="Q15" i="85"/>
  <c r="M19" i="85"/>
  <c r="Q19" i="85"/>
  <c r="M7" i="86"/>
  <c r="Q7" i="86"/>
  <c r="M15" i="86"/>
  <c r="Q15" i="86"/>
  <c r="M19" i="86"/>
  <c r="Q19" i="86"/>
  <c r="M15" i="87"/>
  <c r="Q15" i="87"/>
  <c r="M19" i="87"/>
  <c r="Q19" i="87"/>
  <c r="O7" i="88"/>
  <c r="Q7" i="88"/>
  <c r="M11" i="88"/>
  <c r="Q11" i="88"/>
  <c r="M15" i="88"/>
  <c r="Q15" i="88"/>
  <c r="M8" i="85"/>
  <c r="Q8" i="85"/>
  <c r="M12" i="85"/>
  <c r="Q12" i="85"/>
  <c r="M16" i="85"/>
  <c r="Q16" i="85"/>
  <c r="M8" i="86"/>
  <c r="Q8" i="86"/>
  <c r="M20" i="86"/>
  <c r="Q20" i="86"/>
  <c r="M12" i="87"/>
  <c r="Q12" i="87"/>
  <c r="M16" i="87"/>
  <c r="Q16" i="87"/>
  <c r="M20" i="87"/>
  <c r="Q20" i="87"/>
  <c r="M12" i="88"/>
  <c r="Q12" i="88"/>
  <c r="M20" i="88"/>
  <c r="Q20" i="88"/>
  <c r="O6" i="85"/>
  <c r="Q6" i="85"/>
  <c r="M10" i="85"/>
  <c r="Q10" i="85"/>
  <c r="M14" i="85"/>
  <c r="Q14" i="85"/>
  <c r="M18" i="85"/>
  <c r="Q18" i="85"/>
  <c r="M6" i="86"/>
  <c r="Q6" i="86"/>
  <c r="M10" i="86"/>
  <c r="Q10" i="86"/>
  <c r="M14" i="86"/>
  <c r="Q14" i="86"/>
  <c r="O18" i="86"/>
  <c r="Q18" i="86"/>
  <c r="M6" i="87"/>
  <c r="Q6" i="87"/>
  <c r="O10" i="87"/>
  <c r="Q10" i="87"/>
  <c r="M14" i="87"/>
  <c r="Q14" i="87"/>
  <c r="M18" i="87"/>
  <c r="Q18" i="87"/>
  <c r="M6" i="88"/>
  <c r="Q6" i="88"/>
  <c r="M10" i="88"/>
  <c r="Q10" i="88"/>
  <c r="O14" i="88"/>
  <c r="Q14" i="88"/>
  <c r="M18" i="88"/>
  <c r="Q18" i="88"/>
  <c r="M11" i="86"/>
  <c r="Q11" i="86"/>
  <c r="M7" i="87"/>
  <c r="Q7" i="87"/>
  <c r="M11" i="87"/>
  <c r="Q11" i="87"/>
  <c r="M19" i="88"/>
  <c r="Q19" i="88"/>
  <c r="M20" i="85"/>
  <c r="Q20" i="85"/>
  <c r="M12" i="86"/>
  <c r="Q12" i="86"/>
  <c r="M16" i="86"/>
  <c r="Q16" i="86"/>
  <c r="M8" i="87"/>
  <c r="Q8" i="87"/>
  <c r="M8" i="88"/>
  <c r="Q8" i="88"/>
  <c r="M16" i="88"/>
  <c r="Q16" i="88"/>
  <c r="M9" i="85"/>
  <c r="Q9" i="85"/>
  <c r="M13" i="85"/>
  <c r="Q13" i="85"/>
  <c r="M17" i="85"/>
  <c r="Q17" i="85"/>
  <c r="M21" i="85"/>
  <c r="Q21" i="85"/>
  <c r="M9" i="86"/>
  <c r="Q9" i="86"/>
  <c r="M13" i="86"/>
  <c r="Q13" i="86"/>
  <c r="M17" i="86"/>
  <c r="Q17" i="86"/>
  <c r="M21" i="86"/>
  <c r="Q21" i="86"/>
  <c r="M9" i="87"/>
  <c r="Q9" i="87"/>
  <c r="M13" i="87"/>
  <c r="Q13" i="87"/>
  <c r="M17" i="87"/>
  <c r="Q17" i="87"/>
  <c r="M21" i="87"/>
  <c r="M9" i="88"/>
  <c r="Q9" i="88"/>
  <c r="M13" i="88"/>
  <c r="Q13" i="88"/>
  <c r="M17" i="88"/>
  <c r="Q17" i="88"/>
  <c r="M21" i="88"/>
  <c r="Q21" i="88"/>
  <c r="M6" i="83"/>
  <c r="P24" i="83"/>
  <c r="J6" i="82"/>
  <c r="J8" i="82"/>
  <c r="J18" i="82"/>
  <c r="J8" i="83"/>
  <c r="J8" i="84"/>
  <c r="J8" i="85"/>
  <c r="J16" i="85"/>
  <c r="J8" i="87"/>
  <c r="J7" i="82"/>
  <c r="J11" i="82"/>
  <c r="J9" i="82"/>
  <c r="J19" i="82"/>
  <c r="J10" i="82"/>
  <c r="J14" i="82"/>
  <c r="J20" i="82"/>
  <c r="J12" i="83"/>
  <c r="J16" i="83"/>
  <c r="J16" i="84"/>
  <c r="J8" i="86"/>
  <c r="J16" i="86"/>
  <c r="J21" i="82"/>
  <c r="J20" i="83"/>
  <c r="J12" i="84"/>
  <c r="J20" i="84"/>
  <c r="J12" i="85"/>
  <c r="J20" i="85"/>
  <c r="J12" i="86"/>
  <c r="J20" i="86"/>
  <c r="J12" i="87"/>
  <c r="J16" i="87"/>
  <c r="J20" i="87"/>
  <c r="J8" i="88"/>
  <c r="J12" i="88"/>
  <c r="J16" i="88"/>
  <c r="J20" i="88"/>
  <c r="J7" i="83"/>
  <c r="J11" i="83"/>
  <c r="J15" i="83"/>
  <c r="J19" i="83"/>
  <c r="J7" i="84"/>
  <c r="J11" i="84"/>
  <c r="J15" i="84"/>
  <c r="J19" i="84"/>
  <c r="J7" i="85"/>
  <c r="J11" i="85"/>
  <c r="J15" i="85"/>
  <c r="J19" i="85"/>
  <c r="J7" i="86"/>
  <c r="J11" i="86"/>
  <c r="J15" i="86"/>
  <c r="J19" i="86"/>
  <c r="J7" i="87"/>
  <c r="J11" i="87"/>
  <c r="J15" i="87"/>
  <c r="J19" i="87"/>
  <c r="J7" i="88"/>
  <c r="J11" i="88"/>
  <c r="J15" i="88"/>
  <c r="J19" i="88"/>
  <c r="J6" i="83"/>
  <c r="J10" i="83"/>
  <c r="J14" i="83"/>
  <c r="J18" i="83"/>
  <c r="J6" i="84"/>
  <c r="J10" i="84"/>
  <c r="J14" i="84"/>
  <c r="J18" i="84"/>
  <c r="J6" i="85"/>
  <c r="J10" i="85"/>
  <c r="J14" i="85"/>
  <c r="J18" i="85"/>
  <c r="J6" i="86"/>
  <c r="J10" i="86"/>
  <c r="J14" i="86"/>
  <c r="J18" i="86"/>
  <c r="J6" i="87"/>
  <c r="J10" i="87"/>
  <c r="J14" i="87"/>
  <c r="J18" i="87"/>
  <c r="J6" i="88"/>
  <c r="J10" i="88"/>
  <c r="J14" i="88"/>
  <c r="J18" i="88"/>
  <c r="J9" i="83"/>
  <c r="J13" i="83"/>
  <c r="J17" i="83"/>
  <c r="J21" i="83"/>
  <c r="J9" i="84"/>
  <c r="J13" i="84"/>
  <c r="J17" i="84"/>
  <c r="J21" i="84"/>
  <c r="J9" i="85"/>
  <c r="J13" i="85"/>
  <c r="J17" i="85"/>
  <c r="J21" i="85"/>
  <c r="J9" i="86"/>
  <c r="J13" i="86"/>
  <c r="J17" i="86"/>
  <c r="J21" i="86"/>
  <c r="J9" i="87"/>
  <c r="J13" i="87"/>
  <c r="J17" i="87"/>
  <c r="J21" i="87"/>
  <c r="J9" i="88"/>
  <c r="J13" i="88"/>
  <c r="J17" i="88"/>
  <c r="J21" i="88"/>
  <c r="O11" i="88"/>
  <c r="J8" i="81"/>
  <c r="J12" i="81"/>
  <c r="J16" i="81"/>
  <c r="J20" i="81"/>
  <c r="J9" i="81"/>
  <c r="J13" i="81"/>
  <c r="J17" i="81"/>
  <c r="J21" i="81"/>
  <c r="J6" i="81"/>
  <c r="J10" i="81"/>
  <c r="J14" i="81"/>
  <c r="J18" i="81"/>
  <c r="J7" i="81"/>
  <c r="J11" i="81"/>
  <c r="J15" i="81"/>
  <c r="J19" i="81"/>
  <c r="O17" i="87"/>
  <c r="O15" i="85"/>
  <c r="O21" i="83"/>
  <c r="O9" i="88"/>
  <c r="O15" i="82"/>
  <c r="O18" i="87"/>
  <c r="O19" i="86"/>
  <c r="O14" i="87"/>
  <c r="O19" i="88"/>
  <c r="M10" i="87"/>
  <c r="O13" i="83"/>
  <c r="O16" i="83"/>
  <c r="O9" i="84"/>
  <c r="O18" i="85"/>
  <c r="O13" i="81"/>
  <c r="O8" i="83"/>
  <c r="O14" i="86"/>
  <c r="O7" i="87"/>
  <c r="O9" i="86"/>
  <c r="O20" i="83"/>
  <c r="O17" i="85"/>
  <c r="O6" i="87"/>
  <c r="M8" i="82"/>
  <c r="M11" i="82"/>
  <c r="M6" i="85"/>
  <c r="O21" i="80"/>
  <c r="O13" i="85"/>
  <c r="N24" i="87"/>
  <c r="O19" i="80"/>
  <c r="O10" i="80"/>
  <c r="O8" i="81"/>
  <c r="O14" i="81"/>
  <c r="O10" i="88"/>
  <c r="N24" i="88"/>
  <c r="M7" i="88"/>
  <c r="O13" i="87"/>
  <c r="O7" i="86"/>
  <c r="I24" i="86"/>
  <c r="O11" i="86"/>
  <c r="N24" i="86"/>
  <c r="I24" i="85"/>
  <c r="O11" i="85"/>
  <c r="O21" i="85"/>
  <c r="O9" i="85"/>
  <c r="O14" i="85"/>
  <c r="O21" i="84"/>
  <c r="M9" i="83"/>
  <c r="O18" i="83"/>
  <c r="N24" i="83"/>
  <c r="G24" i="83"/>
  <c r="I24" i="82"/>
  <c r="O18" i="81"/>
  <c r="O13" i="80"/>
  <c r="O21" i="81"/>
  <c r="M17" i="81"/>
  <c r="O10" i="81"/>
  <c r="O10" i="82"/>
  <c r="O19" i="82"/>
  <c r="O9" i="80"/>
  <c r="O17" i="80"/>
  <c r="M7" i="80"/>
  <c r="M15" i="80"/>
  <c r="O14" i="83"/>
  <c r="O13" i="84"/>
  <c r="O10" i="85"/>
  <c r="M17" i="83"/>
  <c r="O7" i="81"/>
  <c r="O9" i="81"/>
  <c r="O11" i="81"/>
  <c r="O7" i="82"/>
  <c r="O11" i="84"/>
  <c r="O17" i="84"/>
  <c r="O13" i="86"/>
  <c r="O15" i="86"/>
  <c r="O9" i="87"/>
  <c r="O11" i="87"/>
  <c r="O15" i="88"/>
  <c r="O21" i="88"/>
  <c r="F24" i="83"/>
  <c r="M11" i="80"/>
  <c r="N24" i="81"/>
  <c r="I24" i="81"/>
  <c r="I24" i="83"/>
  <c r="I24" i="84"/>
  <c r="N24" i="84"/>
  <c r="F24" i="87"/>
  <c r="I24" i="88"/>
  <c r="M12" i="82"/>
  <c r="N24" i="85"/>
  <c r="I24" i="87"/>
  <c r="F24" i="86"/>
  <c r="F24" i="88"/>
  <c r="O6" i="88"/>
  <c r="O17" i="88"/>
  <c r="O18" i="88"/>
  <c r="M14" i="88"/>
  <c r="O13" i="88"/>
  <c r="O19" i="87"/>
  <c r="O15" i="87"/>
  <c r="P24" i="86"/>
  <c r="O10" i="86"/>
  <c r="H7" i="86"/>
  <c r="O21" i="86"/>
  <c r="H6" i="86"/>
  <c r="M18" i="86"/>
  <c r="O17" i="86"/>
  <c r="F24" i="85"/>
  <c r="O7" i="85"/>
  <c r="O19" i="85"/>
  <c r="O7" i="84"/>
  <c r="O8" i="84"/>
  <c r="O19" i="84"/>
  <c r="O20" i="84"/>
  <c r="M8" i="84"/>
  <c r="M16" i="84"/>
  <c r="O15" i="84"/>
  <c r="O19" i="83"/>
  <c r="H8" i="83"/>
  <c r="M10" i="83"/>
  <c r="O15" i="83"/>
  <c r="H16" i="83"/>
  <c r="O7" i="83"/>
  <c r="O11" i="83"/>
  <c r="H11" i="82"/>
  <c r="P24" i="82"/>
  <c r="N24" i="82"/>
  <c r="H6" i="82"/>
  <c r="G24" i="82"/>
  <c r="O18" i="82"/>
  <c r="M18" i="82"/>
  <c r="M9" i="82"/>
  <c r="H10" i="82"/>
  <c r="O14" i="82"/>
  <c r="M14" i="82"/>
  <c r="H15" i="82"/>
  <c r="H14" i="82"/>
  <c r="O13" i="82"/>
  <c r="O16" i="82"/>
  <c r="O17" i="82"/>
  <c r="O20" i="82"/>
  <c r="O21" i="82"/>
  <c r="P24" i="81"/>
  <c r="M16" i="81"/>
  <c r="M20" i="81"/>
  <c r="O12" i="81"/>
  <c r="O15" i="81"/>
  <c r="O19" i="81"/>
  <c r="E27" i="89"/>
  <c r="E28" i="89"/>
  <c r="F28" i="89"/>
  <c r="L24" i="89"/>
  <c r="G28" i="89"/>
  <c r="M24" i="89"/>
  <c r="G27" i="89"/>
  <c r="H24" i="89"/>
  <c r="F27" i="89"/>
  <c r="O12" i="88"/>
  <c r="O20" i="88"/>
  <c r="F28" i="88"/>
  <c r="F27" i="88"/>
  <c r="H24" i="88"/>
  <c r="G24" i="88"/>
  <c r="O8" i="88"/>
  <c r="O16" i="88"/>
  <c r="P24" i="88"/>
  <c r="O12" i="87"/>
  <c r="O20" i="87"/>
  <c r="F28" i="87"/>
  <c r="F27" i="87"/>
  <c r="H24" i="87"/>
  <c r="G24" i="87"/>
  <c r="O8" i="87"/>
  <c r="O16" i="87"/>
  <c r="P24" i="87"/>
  <c r="O8" i="86"/>
  <c r="O12" i="86"/>
  <c r="O16" i="86"/>
  <c r="O20" i="86"/>
  <c r="G24" i="86"/>
  <c r="O6" i="86"/>
  <c r="O12" i="85"/>
  <c r="O20" i="85"/>
  <c r="F28" i="85"/>
  <c r="F27" i="85"/>
  <c r="H24" i="85"/>
  <c r="G24" i="85"/>
  <c r="O8" i="85"/>
  <c r="O16" i="85"/>
  <c r="P24" i="85"/>
  <c r="F28" i="84"/>
  <c r="F27" i="84"/>
  <c r="H24" i="84"/>
  <c r="O18" i="84"/>
  <c r="O12" i="84"/>
  <c r="O10" i="84"/>
  <c r="F24" i="84"/>
  <c r="O14" i="84"/>
  <c r="P24" i="84"/>
  <c r="O6" i="84"/>
  <c r="G24" i="84"/>
  <c r="O12" i="83"/>
  <c r="O6" i="83"/>
  <c r="O12" i="82"/>
  <c r="O6" i="82"/>
  <c r="O6" i="81"/>
  <c r="O18" i="80"/>
  <c r="O6" i="80"/>
  <c r="O14" i="80"/>
  <c r="O8" i="80"/>
  <c r="O20" i="80"/>
  <c r="O16" i="80"/>
  <c r="F24" i="80"/>
  <c r="O12" i="80"/>
  <c r="F28" i="80"/>
  <c r="F27" i="80"/>
  <c r="H24" i="80"/>
  <c r="N24" i="80"/>
  <c r="I24" i="80"/>
  <c r="G24" i="80"/>
  <c r="P24" i="80"/>
  <c r="P21" i="79"/>
  <c r="N21" i="79"/>
  <c r="I21" i="79"/>
  <c r="G21" i="79"/>
  <c r="H21" i="79" s="1"/>
  <c r="F21" i="79"/>
  <c r="P20" i="79"/>
  <c r="N20" i="79"/>
  <c r="I20" i="79"/>
  <c r="G20" i="79"/>
  <c r="H20" i="79" s="1"/>
  <c r="F20" i="79"/>
  <c r="P19" i="79"/>
  <c r="Q19" i="79" s="1"/>
  <c r="N19" i="79"/>
  <c r="I19" i="79"/>
  <c r="G19" i="79"/>
  <c r="H19" i="79" s="1"/>
  <c r="F19" i="79"/>
  <c r="P18" i="79"/>
  <c r="N18" i="79"/>
  <c r="I18" i="79"/>
  <c r="G18" i="79"/>
  <c r="H18" i="79" s="1"/>
  <c r="F18" i="79"/>
  <c r="P17" i="79"/>
  <c r="N17" i="79"/>
  <c r="I17" i="79"/>
  <c r="G17" i="79"/>
  <c r="H17" i="79" s="1"/>
  <c r="F17" i="79"/>
  <c r="P16" i="79"/>
  <c r="N16" i="79"/>
  <c r="I16" i="79"/>
  <c r="G16" i="79"/>
  <c r="H16" i="79" s="1"/>
  <c r="F16" i="79"/>
  <c r="P15" i="79"/>
  <c r="N15" i="79"/>
  <c r="I15" i="79"/>
  <c r="G15" i="79"/>
  <c r="H15" i="79" s="1"/>
  <c r="F15" i="79"/>
  <c r="P14" i="79"/>
  <c r="N14" i="79"/>
  <c r="I14" i="79"/>
  <c r="G14" i="79"/>
  <c r="H14" i="79" s="1"/>
  <c r="F14" i="79"/>
  <c r="P13" i="79"/>
  <c r="N13" i="79"/>
  <c r="I13" i="79"/>
  <c r="G13" i="79"/>
  <c r="H13" i="79" s="1"/>
  <c r="F13" i="79"/>
  <c r="P12" i="79"/>
  <c r="N12" i="79"/>
  <c r="I12" i="79"/>
  <c r="G12" i="79"/>
  <c r="H12" i="79" s="1"/>
  <c r="F12" i="79"/>
  <c r="P11" i="79"/>
  <c r="N11" i="79"/>
  <c r="I11" i="79"/>
  <c r="G11" i="79"/>
  <c r="H11" i="79" s="1"/>
  <c r="F11" i="79"/>
  <c r="P10" i="79"/>
  <c r="N10" i="79"/>
  <c r="I10" i="79"/>
  <c r="G10" i="79"/>
  <c r="H10" i="79" s="1"/>
  <c r="F10" i="79"/>
  <c r="P9" i="79"/>
  <c r="N9" i="79"/>
  <c r="I9" i="79"/>
  <c r="G9" i="79"/>
  <c r="H9" i="79" s="1"/>
  <c r="F9" i="79"/>
  <c r="P8" i="79"/>
  <c r="N8" i="79"/>
  <c r="I8" i="79"/>
  <c r="G8" i="79"/>
  <c r="H8" i="79" s="1"/>
  <c r="F8" i="79"/>
  <c r="P7" i="79"/>
  <c r="N7" i="79"/>
  <c r="I7" i="79"/>
  <c r="G7" i="79"/>
  <c r="H7" i="79" s="1"/>
  <c r="F7" i="79"/>
  <c r="P6" i="79"/>
  <c r="N6" i="79"/>
  <c r="I6" i="79"/>
  <c r="G6" i="79"/>
  <c r="H6" i="79" s="1"/>
  <c r="F6" i="79"/>
  <c r="P21" i="78"/>
  <c r="N21" i="78"/>
  <c r="I21" i="78"/>
  <c r="G21" i="78"/>
  <c r="H21" i="78" s="1"/>
  <c r="F21" i="78"/>
  <c r="P20" i="78"/>
  <c r="N20" i="78"/>
  <c r="I20" i="78"/>
  <c r="G20" i="78"/>
  <c r="H20" i="78" s="1"/>
  <c r="F20" i="78"/>
  <c r="P19" i="78"/>
  <c r="N19" i="78"/>
  <c r="I19" i="78"/>
  <c r="G19" i="78"/>
  <c r="H19" i="78" s="1"/>
  <c r="F19" i="78"/>
  <c r="P18" i="78"/>
  <c r="N18" i="78"/>
  <c r="I18" i="78"/>
  <c r="G18" i="78"/>
  <c r="H18" i="78" s="1"/>
  <c r="F18" i="78"/>
  <c r="P17" i="78"/>
  <c r="N17" i="78"/>
  <c r="I17" i="78"/>
  <c r="G17" i="78"/>
  <c r="H17" i="78" s="1"/>
  <c r="F17" i="78"/>
  <c r="P16" i="78"/>
  <c r="Q16" i="78" s="1"/>
  <c r="N16" i="78"/>
  <c r="I16" i="78"/>
  <c r="G16" i="78"/>
  <c r="H16" i="78" s="1"/>
  <c r="F16" i="78"/>
  <c r="P15" i="78"/>
  <c r="Q15" i="78" s="1"/>
  <c r="N15" i="78"/>
  <c r="I15" i="78"/>
  <c r="G15" i="78"/>
  <c r="H15" i="78" s="1"/>
  <c r="F15" i="78"/>
  <c r="P14" i="78"/>
  <c r="N14" i="78"/>
  <c r="I14" i="78"/>
  <c r="G14" i="78"/>
  <c r="H14" i="78" s="1"/>
  <c r="F14" i="78"/>
  <c r="P13" i="78"/>
  <c r="N13" i="78"/>
  <c r="I13" i="78"/>
  <c r="G13" i="78"/>
  <c r="H13" i="78" s="1"/>
  <c r="F13" i="78"/>
  <c r="P12" i="78"/>
  <c r="Q12" i="78" s="1"/>
  <c r="N12" i="78"/>
  <c r="I12" i="78"/>
  <c r="G12" i="78"/>
  <c r="H12" i="78" s="1"/>
  <c r="F12" i="78"/>
  <c r="P11" i="78"/>
  <c r="N11" i="78"/>
  <c r="I11" i="78"/>
  <c r="G11" i="78"/>
  <c r="H11" i="78" s="1"/>
  <c r="F11" i="78"/>
  <c r="P10" i="78"/>
  <c r="N10" i="78"/>
  <c r="I10" i="78"/>
  <c r="G10" i="78"/>
  <c r="H10" i="78" s="1"/>
  <c r="F10" i="78"/>
  <c r="P9" i="78"/>
  <c r="N9" i="78"/>
  <c r="I9" i="78"/>
  <c r="G9" i="78"/>
  <c r="H9" i="78" s="1"/>
  <c r="F9" i="78"/>
  <c r="P8" i="78"/>
  <c r="Q8" i="78" s="1"/>
  <c r="N8" i="78"/>
  <c r="I8" i="78"/>
  <c r="G8" i="78"/>
  <c r="H8" i="78" s="1"/>
  <c r="F8" i="78"/>
  <c r="P7" i="78"/>
  <c r="N7" i="78"/>
  <c r="I7" i="78"/>
  <c r="G7" i="78"/>
  <c r="H7" i="78" s="1"/>
  <c r="F7" i="78"/>
  <c r="P6" i="78"/>
  <c r="N6" i="78"/>
  <c r="I6" i="78"/>
  <c r="G6" i="78"/>
  <c r="H6" i="78" s="1"/>
  <c r="F6" i="78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3" i="79"/>
  <c r="C21" i="78"/>
  <c r="C20" i="78"/>
  <c r="C19" i="78"/>
  <c r="C18" i="78"/>
  <c r="C17" i="78"/>
  <c r="C16" i="78"/>
  <c r="C15" i="78"/>
  <c r="C14" i="78"/>
  <c r="C13" i="78"/>
  <c r="C12" i="78"/>
  <c r="C11" i="78"/>
  <c r="C10" i="78"/>
  <c r="C9" i="78"/>
  <c r="C8" i="78"/>
  <c r="C7" i="78"/>
  <c r="C6" i="78"/>
  <c r="C3" i="78"/>
  <c r="K27" i="87" l="1"/>
  <c r="M11" i="78"/>
  <c r="Q11" i="78"/>
  <c r="M15" i="79"/>
  <c r="Q15" i="79"/>
  <c r="Q24" i="80"/>
  <c r="W12" i="89" s="1"/>
  <c r="M20" i="78"/>
  <c r="Q20" i="78"/>
  <c r="M8" i="79"/>
  <c r="Q8" i="79"/>
  <c r="M12" i="79"/>
  <c r="Q12" i="79"/>
  <c r="M16" i="79"/>
  <c r="Q16" i="79"/>
  <c r="M20" i="79"/>
  <c r="Q20" i="79"/>
  <c r="M7" i="78"/>
  <c r="Q7" i="78"/>
  <c r="M19" i="78"/>
  <c r="Q19" i="78"/>
  <c r="M7" i="79"/>
  <c r="Q7" i="79"/>
  <c r="M11" i="79"/>
  <c r="Q11" i="79"/>
  <c r="M9" i="78"/>
  <c r="Q9" i="78"/>
  <c r="M13" i="78"/>
  <c r="Q13" i="78"/>
  <c r="M17" i="78"/>
  <c r="Q17" i="78"/>
  <c r="M21" i="78"/>
  <c r="Q21" i="78"/>
  <c r="O9" i="79"/>
  <c r="Q9" i="79"/>
  <c r="O13" i="79"/>
  <c r="Q13" i="79"/>
  <c r="M17" i="79"/>
  <c r="Q17" i="79"/>
  <c r="M21" i="79"/>
  <c r="Q21" i="79"/>
  <c r="Q24" i="81"/>
  <c r="W13" i="89" s="1"/>
  <c r="O6" i="78"/>
  <c r="Q6" i="78"/>
  <c r="M10" i="78"/>
  <c r="Q10" i="78"/>
  <c r="O14" i="78"/>
  <c r="Q14" i="78"/>
  <c r="M18" i="78"/>
  <c r="Q18" i="78"/>
  <c r="M6" i="79"/>
  <c r="Q6" i="79"/>
  <c r="O10" i="79"/>
  <c r="Q10" i="79"/>
  <c r="O14" i="79"/>
  <c r="Q14" i="79"/>
  <c r="M18" i="79"/>
  <c r="Q18" i="79"/>
  <c r="Q24" i="83"/>
  <c r="W15" i="89" s="1"/>
  <c r="Q24" i="82"/>
  <c r="W14" i="89" s="1"/>
  <c r="Q24" i="84"/>
  <c r="W16" i="89" s="1"/>
  <c r="Q24" i="85"/>
  <c r="W17" i="89" s="1"/>
  <c r="G28" i="87"/>
  <c r="Q24" i="88"/>
  <c r="W20" i="89" s="1"/>
  <c r="Q24" i="87"/>
  <c r="W19" i="89" s="1"/>
  <c r="Q24" i="86"/>
  <c r="W18" i="89" s="1"/>
  <c r="G28" i="85"/>
  <c r="J24" i="83"/>
  <c r="K27" i="82"/>
  <c r="O15" i="78"/>
  <c r="O8" i="78"/>
  <c r="J6" i="80"/>
  <c r="J10" i="80"/>
  <c r="J14" i="80"/>
  <c r="J18" i="80"/>
  <c r="J9" i="80"/>
  <c r="J13" i="80"/>
  <c r="J17" i="80"/>
  <c r="J21" i="80"/>
  <c r="J8" i="80"/>
  <c r="J12" i="80"/>
  <c r="J16" i="80"/>
  <c r="J20" i="80"/>
  <c r="J7" i="80"/>
  <c r="J11" i="80"/>
  <c r="J15" i="80"/>
  <c r="J19" i="80"/>
  <c r="J6" i="79"/>
  <c r="J10" i="79"/>
  <c r="J14" i="79"/>
  <c r="J18" i="79"/>
  <c r="J8" i="79"/>
  <c r="J12" i="79"/>
  <c r="J16" i="79"/>
  <c r="J20" i="79"/>
  <c r="J9" i="79"/>
  <c r="J13" i="79"/>
  <c r="J17" i="79"/>
  <c r="J21" i="79"/>
  <c r="J7" i="79"/>
  <c r="J11" i="79"/>
  <c r="J15" i="79"/>
  <c r="J19" i="79"/>
  <c r="M24" i="85"/>
  <c r="G27" i="85"/>
  <c r="H24" i="83"/>
  <c r="G28" i="88"/>
  <c r="G27" i="87"/>
  <c r="H24" i="86"/>
  <c r="G27" i="88"/>
  <c r="M24" i="87"/>
  <c r="F28" i="83"/>
  <c r="F27" i="86"/>
  <c r="F28" i="86"/>
  <c r="M24" i="88"/>
  <c r="F30" i="87"/>
  <c r="G28" i="84"/>
  <c r="H24" i="82"/>
  <c r="G27" i="80"/>
  <c r="M24" i="80"/>
  <c r="F27" i="82"/>
  <c r="F27" i="83"/>
  <c r="M24" i="84"/>
  <c r="K27" i="84"/>
  <c r="M27" i="88"/>
  <c r="F28" i="82"/>
  <c r="F30" i="88"/>
  <c r="O24" i="80"/>
  <c r="K27" i="80"/>
  <c r="K27" i="85"/>
  <c r="F30" i="85"/>
  <c r="K27" i="83"/>
  <c r="K27" i="88"/>
  <c r="M27" i="87"/>
  <c r="M27" i="85"/>
  <c r="G27" i="84"/>
  <c r="F30" i="89"/>
  <c r="K27" i="81"/>
  <c r="G30" i="89"/>
  <c r="E30" i="89"/>
  <c r="H27" i="89"/>
  <c r="D28" i="89"/>
  <c r="O24" i="88"/>
  <c r="O24" i="87"/>
  <c r="G28" i="86"/>
  <c r="G27" i="86"/>
  <c r="M24" i="86"/>
  <c r="O24" i="86"/>
  <c r="M27" i="86"/>
  <c r="K27" i="86"/>
  <c r="O24" i="85"/>
  <c r="O24" i="84"/>
  <c r="M27" i="84"/>
  <c r="F30" i="84"/>
  <c r="G28" i="83"/>
  <c r="G27" i="83"/>
  <c r="M24" i="83"/>
  <c r="O24" i="83"/>
  <c r="M27" i="83"/>
  <c r="G28" i="82"/>
  <c r="G27" i="82"/>
  <c r="M24" i="82"/>
  <c r="O24" i="82"/>
  <c r="M27" i="82"/>
  <c r="M24" i="81"/>
  <c r="G28" i="81"/>
  <c r="G27" i="81"/>
  <c r="M27" i="81"/>
  <c r="O24" i="81"/>
  <c r="M27" i="80"/>
  <c r="G28" i="80"/>
  <c r="F30" i="80"/>
  <c r="I24" i="78"/>
  <c r="O7" i="78"/>
  <c r="F24" i="78"/>
  <c r="O18" i="78"/>
  <c r="M14" i="78"/>
  <c r="M15" i="78"/>
  <c r="O10" i="78"/>
  <c r="M6" i="78"/>
  <c r="O20" i="78"/>
  <c r="O11" i="78"/>
  <c r="O19" i="78"/>
  <c r="M12" i="78"/>
  <c r="O12" i="78"/>
  <c r="O16" i="78"/>
  <c r="M16" i="78"/>
  <c r="G24" i="78"/>
  <c r="N24" i="78"/>
  <c r="M10" i="79"/>
  <c r="M13" i="79"/>
  <c r="M9" i="79"/>
  <c r="O18" i="79"/>
  <c r="O11" i="79"/>
  <c r="M14" i="79"/>
  <c r="O17" i="79"/>
  <c r="N24" i="79"/>
  <c r="M19" i="79"/>
  <c r="O19" i="79"/>
  <c r="O21" i="79"/>
  <c r="I24" i="79"/>
  <c r="F24" i="79"/>
  <c r="P24" i="79"/>
  <c r="O15" i="79"/>
  <c r="M8" i="78"/>
  <c r="F28" i="79"/>
  <c r="O8" i="79"/>
  <c r="O12" i="79"/>
  <c r="O16" i="79"/>
  <c r="O20" i="79"/>
  <c r="O7" i="79"/>
  <c r="G24" i="79"/>
  <c r="O6" i="79"/>
  <c r="H24" i="79"/>
  <c r="F27" i="79"/>
  <c r="P24" i="78"/>
  <c r="O9" i="78"/>
  <c r="O13" i="78"/>
  <c r="O17" i="78"/>
  <c r="O21" i="78"/>
  <c r="Q26" i="81" l="1"/>
  <c r="Q24" i="79"/>
  <c r="W11" i="89" s="1"/>
  <c r="Q24" i="78"/>
  <c r="W10" i="89" s="1"/>
  <c r="G30" i="87"/>
  <c r="G30" i="85"/>
  <c r="F30" i="83"/>
  <c r="F30" i="82"/>
  <c r="G30" i="84"/>
  <c r="G30" i="88"/>
  <c r="F30" i="86"/>
  <c r="G30" i="80"/>
  <c r="G30" i="81"/>
  <c r="G30" i="82"/>
  <c r="H28" i="89"/>
  <c r="H30" i="89" s="1"/>
  <c r="D30" i="89"/>
  <c r="G30" i="86"/>
  <c r="G30" i="83"/>
  <c r="M24" i="78"/>
  <c r="G28" i="78"/>
  <c r="M27" i="78"/>
  <c r="F30" i="79"/>
  <c r="O24" i="78"/>
  <c r="G28" i="79"/>
  <c r="G27" i="79"/>
  <c r="M24" i="79"/>
  <c r="O24" i="79"/>
  <c r="M27" i="79"/>
  <c r="K27" i="79"/>
  <c r="G27" i="78"/>
  <c r="K27" i="78"/>
  <c r="F28" i="78"/>
  <c r="F27" i="78"/>
  <c r="H24" i="78"/>
  <c r="G30" i="78" l="1"/>
  <c r="G30" i="79"/>
  <c r="F30" i="78"/>
  <c r="C3" i="77" l="1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6" i="77"/>
  <c r="G7" i="77"/>
  <c r="G7" i="89" s="1"/>
  <c r="G8" i="77"/>
  <c r="G8" i="89" s="1"/>
  <c r="G9" i="77"/>
  <c r="G9" i="89" s="1"/>
  <c r="G10" i="77"/>
  <c r="G10" i="89" s="1"/>
  <c r="G11" i="77"/>
  <c r="G11" i="89" s="1"/>
  <c r="G12" i="77"/>
  <c r="G13" i="77"/>
  <c r="G14" i="77"/>
  <c r="G14" i="89" s="1"/>
  <c r="G15" i="77"/>
  <c r="G16" i="77"/>
  <c r="G17" i="77"/>
  <c r="G18" i="77"/>
  <c r="G18" i="89" s="1"/>
  <c r="G19" i="77"/>
  <c r="G19" i="89" s="1"/>
  <c r="G20" i="77"/>
  <c r="G20" i="89" s="1"/>
  <c r="G21" i="77"/>
  <c r="G21" i="89" s="1"/>
  <c r="G6" i="77"/>
  <c r="G6" i="89" s="1"/>
  <c r="F7" i="77"/>
  <c r="J7" i="78" s="1"/>
  <c r="F8" i="77"/>
  <c r="J8" i="78" s="1"/>
  <c r="F9" i="77"/>
  <c r="J9" i="78" s="1"/>
  <c r="F10" i="77"/>
  <c r="J10" i="78" s="1"/>
  <c r="F11" i="77"/>
  <c r="J11" i="78" s="1"/>
  <c r="F12" i="77"/>
  <c r="J12" i="78" s="1"/>
  <c r="F13" i="77"/>
  <c r="J13" i="78" s="1"/>
  <c r="F14" i="77"/>
  <c r="J14" i="78" s="1"/>
  <c r="F15" i="77"/>
  <c r="J15" i="78" s="1"/>
  <c r="F16" i="77"/>
  <c r="J16" i="78" s="1"/>
  <c r="F17" i="77"/>
  <c r="J17" i="78" s="1"/>
  <c r="F18" i="77"/>
  <c r="J18" i="78" s="1"/>
  <c r="F19" i="77"/>
  <c r="F20" i="77"/>
  <c r="F21" i="77"/>
  <c r="F6" i="77"/>
  <c r="J6" i="78" s="1"/>
  <c r="J6" i="89" s="1"/>
  <c r="P13" i="89" l="1"/>
  <c r="Q13" i="77"/>
  <c r="P9" i="89"/>
  <c r="Q9" i="77"/>
  <c r="P20" i="89"/>
  <c r="Q20" i="77"/>
  <c r="P16" i="89"/>
  <c r="Q16" i="77"/>
  <c r="P12" i="89"/>
  <c r="Q12" i="77"/>
  <c r="P8" i="89"/>
  <c r="Q8" i="77"/>
  <c r="P21" i="89"/>
  <c r="Q21" i="77"/>
  <c r="P17" i="89"/>
  <c r="Q17" i="77"/>
  <c r="P19" i="89"/>
  <c r="Q19" i="77"/>
  <c r="Q15" i="77"/>
  <c r="P15" i="89"/>
  <c r="P11" i="89"/>
  <c r="Q11" i="77"/>
  <c r="P7" i="89"/>
  <c r="Q7" i="77"/>
  <c r="P6" i="89"/>
  <c r="Q6" i="77"/>
  <c r="P18" i="89"/>
  <c r="Q18" i="77"/>
  <c r="P14" i="89"/>
  <c r="Q14" i="77"/>
  <c r="P10" i="89"/>
  <c r="Q10" i="77"/>
  <c r="J20" i="78"/>
  <c r="J19" i="78"/>
  <c r="J21" i="78"/>
  <c r="J9" i="89"/>
  <c r="J8" i="89"/>
  <c r="J11" i="89"/>
  <c r="J7" i="89"/>
  <c r="J18" i="89"/>
  <c r="J10" i="89"/>
  <c r="F21" i="89"/>
  <c r="F9" i="89"/>
  <c r="F20" i="89"/>
  <c r="F8" i="89"/>
  <c r="F19" i="89"/>
  <c r="F11" i="89"/>
  <c r="F7" i="89"/>
  <c r="F18" i="89"/>
  <c r="F14" i="89"/>
  <c r="F10" i="89"/>
  <c r="F6" i="89"/>
  <c r="P24" i="89" l="1"/>
  <c r="K26" i="89" s="1"/>
  <c r="D3" i="89" s="1"/>
  <c r="L27" i="89" s="1"/>
  <c r="Q24" i="77"/>
  <c r="W9" i="89" s="1"/>
  <c r="J20" i="89"/>
  <c r="J19" i="89"/>
  <c r="J21" i="89"/>
  <c r="C6" i="77"/>
  <c r="C24" i="76"/>
  <c r="C24" i="75"/>
  <c r="H20" i="77"/>
  <c r="I20" i="77"/>
  <c r="N20" i="77"/>
  <c r="N20" i="89" s="1"/>
  <c r="M20" i="77"/>
  <c r="H19" i="77"/>
  <c r="I19" i="77"/>
  <c r="N19" i="77"/>
  <c r="N19" i="89" s="1"/>
  <c r="O19" i="77"/>
  <c r="O19" i="89" s="1"/>
  <c r="H21" i="77"/>
  <c r="I21" i="77"/>
  <c r="N21" i="77"/>
  <c r="N21" i="89" s="1"/>
  <c r="M21" i="77"/>
  <c r="C20" i="77"/>
  <c r="C19" i="77"/>
  <c r="C21" i="77"/>
  <c r="M18" i="77"/>
  <c r="N18" i="77"/>
  <c r="N18" i="89" s="1"/>
  <c r="I18" i="77"/>
  <c r="H18" i="77"/>
  <c r="C18" i="77"/>
  <c r="M17" i="77"/>
  <c r="N17" i="77"/>
  <c r="N17" i="89" s="1"/>
  <c r="I17" i="77"/>
  <c r="H17" i="77"/>
  <c r="C17" i="77"/>
  <c r="M16" i="77"/>
  <c r="N16" i="77"/>
  <c r="N16" i="89" s="1"/>
  <c r="I16" i="77"/>
  <c r="H16" i="77"/>
  <c r="C16" i="77"/>
  <c r="M13" i="77"/>
  <c r="N13" i="77"/>
  <c r="N13" i="89" s="1"/>
  <c r="I13" i="77"/>
  <c r="H13" i="77"/>
  <c r="C13" i="77"/>
  <c r="M15" i="77"/>
  <c r="N15" i="77"/>
  <c r="N15" i="89" s="1"/>
  <c r="I15" i="77"/>
  <c r="H15" i="77"/>
  <c r="C15" i="77"/>
  <c r="M14" i="77"/>
  <c r="N14" i="77"/>
  <c r="N14" i="89" s="1"/>
  <c r="I14" i="77"/>
  <c r="H14" i="77"/>
  <c r="C14" i="77"/>
  <c r="M12" i="77"/>
  <c r="N12" i="77"/>
  <c r="N12" i="89" s="1"/>
  <c r="I12" i="77"/>
  <c r="H12" i="77"/>
  <c r="C12" i="77"/>
  <c r="N10" i="77"/>
  <c r="N10" i="89" s="1"/>
  <c r="I10" i="77"/>
  <c r="H10" i="77"/>
  <c r="C10" i="77"/>
  <c r="M11" i="77"/>
  <c r="N11" i="77"/>
  <c r="N11" i="89" s="1"/>
  <c r="I11" i="77"/>
  <c r="H11" i="77"/>
  <c r="C11" i="77"/>
  <c r="M9" i="77"/>
  <c r="N9" i="77"/>
  <c r="N9" i="89" s="1"/>
  <c r="I9" i="77"/>
  <c r="C9" i="77"/>
  <c r="M8" i="77"/>
  <c r="N8" i="77"/>
  <c r="N8" i="89" s="1"/>
  <c r="I8" i="77"/>
  <c r="H8" i="77"/>
  <c r="C8" i="77"/>
  <c r="N7" i="77"/>
  <c r="N7" i="89" s="1"/>
  <c r="I7" i="77"/>
  <c r="H7" i="77"/>
  <c r="C7" i="77"/>
  <c r="M6" i="77"/>
  <c r="N6" i="77"/>
  <c r="N6" i="89" s="1"/>
  <c r="I6" i="77"/>
  <c r="H6" i="77"/>
  <c r="N24" i="89" l="1"/>
  <c r="O20" i="77"/>
  <c r="O20" i="89" s="1"/>
  <c r="O21" i="77"/>
  <c r="O21" i="89" s="1"/>
  <c r="M19" i="77"/>
  <c r="O9" i="77"/>
  <c r="O9" i="89" s="1"/>
  <c r="O12" i="77"/>
  <c r="O12" i="89" s="1"/>
  <c r="O17" i="77"/>
  <c r="O17" i="89" s="1"/>
  <c r="O14" i="77"/>
  <c r="O14" i="89" s="1"/>
  <c r="O13" i="77"/>
  <c r="O13" i="89" s="1"/>
  <c r="O11" i="77"/>
  <c r="O11" i="89" s="1"/>
  <c r="O15" i="77"/>
  <c r="O15" i="89" s="1"/>
  <c r="O16" i="77"/>
  <c r="O16" i="89" s="1"/>
  <c r="F24" i="77"/>
  <c r="O6" i="77"/>
  <c r="O6" i="89" s="1"/>
  <c r="I24" i="77"/>
  <c r="M7" i="77"/>
  <c r="O7" i="77"/>
  <c r="O7" i="89" s="1"/>
  <c r="H9" i="77"/>
  <c r="G24" i="77"/>
  <c r="N24" i="77"/>
  <c r="O8" i="77"/>
  <c r="O8" i="89" s="1"/>
  <c r="M10" i="77"/>
  <c r="O10" i="77"/>
  <c r="O10" i="89" s="1"/>
  <c r="O18" i="77"/>
  <c r="O18" i="89" s="1"/>
  <c r="P24" i="77"/>
  <c r="M27" i="89" l="1"/>
  <c r="O24" i="89"/>
  <c r="K27" i="89"/>
  <c r="K29" i="89" s="1"/>
  <c r="H24" i="77"/>
  <c r="M27" i="77"/>
  <c r="F27" i="77"/>
  <c r="G27" i="77"/>
  <c r="F28" i="77"/>
  <c r="G28" i="77"/>
  <c r="O24" i="77"/>
  <c r="K27" i="77"/>
  <c r="M24" i="77"/>
  <c r="S21" i="76"/>
  <c r="Q21" i="76"/>
  <c r="O21" i="76"/>
  <c r="L21" i="76"/>
  <c r="J21" i="76"/>
  <c r="I21" i="76"/>
  <c r="S20" i="76"/>
  <c r="T20" i="76" s="1"/>
  <c r="Q20" i="76"/>
  <c r="L20" i="76"/>
  <c r="J20" i="76"/>
  <c r="I20" i="76"/>
  <c r="S19" i="76"/>
  <c r="Q19" i="76"/>
  <c r="L19" i="76"/>
  <c r="J19" i="76"/>
  <c r="I19" i="76"/>
  <c r="S18" i="76"/>
  <c r="Q18" i="76"/>
  <c r="L18" i="76"/>
  <c r="J18" i="76"/>
  <c r="I18" i="76"/>
  <c r="S17" i="76"/>
  <c r="Q17" i="76"/>
  <c r="L17" i="76"/>
  <c r="J17" i="76"/>
  <c r="I17" i="76"/>
  <c r="S16" i="76"/>
  <c r="Q16" i="76"/>
  <c r="L16" i="76"/>
  <c r="J16" i="76"/>
  <c r="I16" i="76"/>
  <c r="S15" i="76"/>
  <c r="Q15" i="76"/>
  <c r="L15" i="76"/>
  <c r="J15" i="76"/>
  <c r="I15" i="76"/>
  <c r="S14" i="76"/>
  <c r="Q14" i="76"/>
  <c r="L14" i="76"/>
  <c r="J14" i="76"/>
  <c r="I14" i="76"/>
  <c r="S13" i="76"/>
  <c r="T13" i="76" s="1"/>
  <c r="Q13" i="76"/>
  <c r="L13" i="76"/>
  <c r="J13" i="76"/>
  <c r="I13" i="76"/>
  <c r="S12" i="76"/>
  <c r="Q12" i="76"/>
  <c r="L12" i="76"/>
  <c r="S11" i="76"/>
  <c r="T11" i="76" s="1"/>
  <c r="Q11" i="76"/>
  <c r="L11" i="76"/>
  <c r="J11" i="76"/>
  <c r="I11" i="76"/>
  <c r="S10" i="76"/>
  <c r="Q10" i="76"/>
  <c r="L10" i="76"/>
  <c r="J10" i="76"/>
  <c r="I10" i="76"/>
  <c r="S9" i="76"/>
  <c r="Q9" i="76"/>
  <c r="L9" i="76"/>
  <c r="J9" i="76"/>
  <c r="I9" i="76"/>
  <c r="S8" i="76"/>
  <c r="Q8" i="76"/>
  <c r="L8" i="76"/>
  <c r="J8" i="76"/>
  <c r="I8" i="76"/>
  <c r="S7" i="76"/>
  <c r="Q7" i="76"/>
  <c r="L7" i="76"/>
  <c r="J7" i="76"/>
  <c r="I7" i="76"/>
  <c r="S6" i="76"/>
  <c r="Q6" i="76"/>
  <c r="L6" i="76"/>
  <c r="J6" i="76"/>
  <c r="I6" i="76"/>
  <c r="H24" i="76"/>
  <c r="E24" i="76"/>
  <c r="C21" i="76"/>
  <c r="C20" i="76"/>
  <c r="C19" i="76"/>
  <c r="C18" i="76"/>
  <c r="C17" i="76"/>
  <c r="C16" i="76"/>
  <c r="C15" i="76"/>
  <c r="C14" i="76"/>
  <c r="C13" i="76"/>
  <c r="C12" i="76"/>
  <c r="C11" i="76"/>
  <c r="C10" i="76"/>
  <c r="C9" i="76"/>
  <c r="C8" i="76"/>
  <c r="C7" i="76"/>
  <c r="C6" i="76"/>
  <c r="S21" i="75"/>
  <c r="Q21" i="75"/>
  <c r="O21" i="75"/>
  <c r="L21" i="75"/>
  <c r="S20" i="75"/>
  <c r="Q20" i="75"/>
  <c r="L20" i="75"/>
  <c r="S19" i="75"/>
  <c r="Q19" i="75"/>
  <c r="L19" i="75"/>
  <c r="S18" i="75"/>
  <c r="Q18" i="75"/>
  <c r="L18" i="75"/>
  <c r="S17" i="75"/>
  <c r="Q17" i="75"/>
  <c r="L17" i="75"/>
  <c r="S16" i="75"/>
  <c r="Q16" i="75"/>
  <c r="L16" i="75"/>
  <c r="S15" i="75"/>
  <c r="T15" i="75" s="1"/>
  <c r="Q15" i="75"/>
  <c r="L15" i="75"/>
  <c r="S14" i="75"/>
  <c r="Q14" i="75"/>
  <c r="L14" i="75"/>
  <c r="S13" i="75"/>
  <c r="Q13" i="75"/>
  <c r="L13" i="75"/>
  <c r="S12" i="75"/>
  <c r="Q12" i="75"/>
  <c r="L12" i="75"/>
  <c r="S11" i="75"/>
  <c r="Q11" i="75"/>
  <c r="L11" i="75"/>
  <c r="S10" i="75"/>
  <c r="Q10" i="75"/>
  <c r="L10" i="75"/>
  <c r="S9" i="75"/>
  <c r="Q9" i="75"/>
  <c r="L9" i="75"/>
  <c r="S8" i="75"/>
  <c r="Q8" i="75"/>
  <c r="L8" i="75"/>
  <c r="S7" i="75"/>
  <c r="Q7" i="75"/>
  <c r="L7" i="75"/>
  <c r="S6" i="75"/>
  <c r="Q6" i="75"/>
  <c r="L6" i="75"/>
  <c r="J21" i="75"/>
  <c r="I21" i="75"/>
  <c r="K21" i="75" s="1"/>
  <c r="J20" i="75"/>
  <c r="I20" i="75"/>
  <c r="K20" i="75" s="1"/>
  <c r="J19" i="75"/>
  <c r="I19" i="75"/>
  <c r="K19" i="75" s="1"/>
  <c r="J18" i="75"/>
  <c r="I18" i="75"/>
  <c r="K18" i="75" s="1"/>
  <c r="J17" i="75"/>
  <c r="I17" i="75"/>
  <c r="J16" i="75"/>
  <c r="I16" i="75"/>
  <c r="K16" i="75" s="1"/>
  <c r="J15" i="75"/>
  <c r="I15" i="75"/>
  <c r="K15" i="75" s="1"/>
  <c r="J14" i="75"/>
  <c r="I14" i="75"/>
  <c r="K14" i="75" s="1"/>
  <c r="J13" i="75"/>
  <c r="I13" i="75"/>
  <c r="K13" i="75" s="1"/>
  <c r="J12" i="75"/>
  <c r="I12" i="75"/>
  <c r="J11" i="75"/>
  <c r="I11" i="75"/>
  <c r="K11" i="75" s="1"/>
  <c r="J10" i="75"/>
  <c r="I10" i="75"/>
  <c r="K10" i="75" s="1"/>
  <c r="J9" i="75"/>
  <c r="I9" i="75"/>
  <c r="K9" i="75" s="1"/>
  <c r="J8" i="75"/>
  <c r="I8" i="75"/>
  <c r="J7" i="75"/>
  <c r="I7" i="75"/>
  <c r="K7" i="75" s="1"/>
  <c r="J6" i="75"/>
  <c r="I6" i="75"/>
  <c r="M34" i="75"/>
  <c r="H24" i="75"/>
  <c r="E24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P16" i="75" l="1"/>
  <c r="T16" i="75"/>
  <c r="P9" i="75"/>
  <c r="T9" i="75"/>
  <c r="P13" i="75"/>
  <c r="T13" i="75"/>
  <c r="P17" i="75"/>
  <c r="T17" i="75"/>
  <c r="P6" i="76"/>
  <c r="T6" i="76"/>
  <c r="P10" i="76"/>
  <c r="T10" i="76"/>
  <c r="R15" i="76"/>
  <c r="T15" i="76"/>
  <c r="R19" i="76"/>
  <c r="T19" i="76"/>
  <c r="R8" i="75"/>
  <c r="T8" i="75"/>
  <c r="P7" i="76"/>
  <c r="T7" i="76"/>
  <c r="P16" i="76"/>
  <c r="T16" i="76"/>
  <c r="R20" i="75"/>
  <c r="T20" i="75"/>
  <c r="P12" i="76"/>
  <c r="T12" i="76"/>
  <c r="P7" i="75"/>
  <c r="T7" i="75"/>
  <c r="P11" i="75"/>
  <c r="T11" i="75"/>
  <c r="R19" i="75"/>
  <c r="T19" i="75"/>
  <c r="P8" i="76"/>
  <c r="T8" i="76"/>
  <c r="R17" i="76"/>
  <c r="T17" i="76"/>
  <c r="P12" i="75"/>
  <c r="T12" i="75"/>
  <c r="P21" i="75"/>
  <c r="T21" i="75"/>
  <c r="P6" i="75"/>
  <c r="T6" i="75"/>
  <c r="R10" i="75"/>
  <c r="T10" i="75"/>
  <c r="R14" i="75"/>
  <c r="T14" i="75"/>
  <c r="P18" i="75"/>
  <c r="T18" i="75"/>
  <c r="P9" i="76"/>
  <c r="T9" i="76"/>
  <c r="P14" i="76"/>
  <c r="T14" i="76"/>
  <c r="P18" i="76"/>
  <c r="T18" i="76"/>
  <c r="P21" i="76"/>
  <c r="T21" i="76"/>
  <c r="K7" i="76"/>
  <c r="K11" i="76"/>
  <c r="K15" i="76"/>
  <c r="K19" i="76"/>
  <c r="K8" i="76"/>
  <c r="K12" i="76"/>
  <c r="K16" i="76"/>
  <c r="K20" i="76"/>
  <c r="K9" i="76"/>
  <c r="K13" i="76"/>
  <c r="K17" i="76"/>
  <c r="K21" i="76"/>
  <c r="K6" i="76"/>
  <c r="K10" i="76"/>
  <c r="K14" i="76"/>
  <c r="K18" i="76"/>
  <c r="C23" i="75"/>
  <c r="C23" i="76"/>
  <c r="G30" i="77"/>
  <c r="F30" i="77"/>
  <c r="P20" i="76"/>
  <c r="R20" i="76"/>
  <c r="R7" i="76"/>
  <c r="R9" i="76"/>
  <c r="R21" i="76"/>
  <c r="P11" i="76"/>
  <c r="R11" i="76"/>
  <c r="P13" i="76"/>
  <c r="R13" i="76"/>
  <c r="R8" i="76"/>
  <c r="R12" i="76"/>
  <c r="Q24" i="76"/>
  <c r="P15" i="76"/>
  <c r="P19" i="76"/>
  <c r="L24" i="76"/>
  <c r="J24" i="76"/>
  <c r="R16" i="76"/>
  <c r="P17" i="76"/>
  <c r="R10" i="76"/>
  <c r="R14" i="76"/>
  <c r="R6" i="76"/>
  <c r="R18" i="76"/>
  <c r="I24" i="76"/>
  <c r="S24" i="76"/>
  <c r="L24" i="75"/>
  <c r="R21" i="75"/>
  <c r="R7" i="75"/>
  <c r="R16" i="75"/>
  <c r="R12" i="75"/>
  <c r="R15" i="75"/>
  <c r="P10" i="75"/>
  <c r="P20" i="75"/>
  <c r="J24" i="75"/>
  <c r="P8" i="75"/>
  <c r="Q24" i="75"/>
  <c r="R17" i="75"/>
  <c r="I24" i="75"/>
  <c r="P14" i="75"/>
  <c r="R11" i="75"/>
  <c r="P19" i="75"/>
  <c r="K6" i="75"/>
  <c r="R6" i="75"/>
  <c r="R9" i="75"/>
  <c r="R13" i="75"/>
  <c r="R18" i="75"/>
  <c r="S24" i="75"/>
  <c r="S14" i="74"/>
  <c r="Q14" i="74"/>
  <c r="N14" i="74"/>
  <c r="O14" i="74" s="1"/>
  <c r="L14" i="74"/>
  <c r="J14" i="74"/>
  <c r="I14" i="74"/>
  <c r="F14" i="74"/>
  <c r="D14" i="74" s="1"/>
  <c r="C14" i="74"/>
  <c r="S20" i="74"/>
  <c r="Q20" i="74"/>
  <c r="N20" i="74"/>
  <c r="O20" i="74" s="1"/>
  <c r="L20" i="74"/>
  <c r="J20" i="74"/>
  <c r="I20" i="74"/>
  <c r="F20" i="74"/>
  <c r="C20" i="74"/>
  <c r="S9" i="74"/>
  <c r="Q9" i="74"/>
  <c r="N9" i="74"/>
  <c r="O9" i="74" s="1"/>
  <c r="L9" i="74"/>
  <c r="J9" i="74"/>
  <c r="I9" i="74"/>
  <c r="C9" i="74"/>
  <c r="R9" i="74" l="1"/>
  <c r="T9" i="74"/>
  <c r="Q9" i="89" s="1"/>
  <c r="R20" i="74"/>
  <c r="T20" i="74"/>
  <c r="Q20" i="89" s="1"/>
  <c r="R14" i="74"/>
  <c r="T14" i="74"/>
  <c r="Q14" i="89" s="1"/>
  <c r="T24" i="75"/>
  <c r="W7" i="89" s="1"/>
  <c r="T24" i="76"/>
  <c r="W8" i="89" s="1"/>
  <c r="J24" i="85"/>
  <c r="J24" i="86"/>
  <c r="J24" i="78"/>
  <c r="J24" i="81"/>
  <c r="J24" i="87"/>
  <c r="J24" i="80"/>
  <c r="J24" i="84"/>
  <c r="J24" i="88"/>
  <c r="F29" i="76"/>
  <c r="F28" i="76"/>
  <c r="K24" i="76"/>
  <c r="K9" i="74"/>
  <c r="K20" i="74"/>
  <c r="K14" i="74"/>
  <c r="G29" i="76"/>
  <c r="R24" i="76"/>
  <c r="P24" i="76"/>
  <c r="G28" i="76"/>
  <c r="R24" i="75"/>
  <c r="P14" i="74"/>
  <c r="P20" i="74"/>
  <c r="P9" i="74"/>
  <c r="T26" i="76" l="1"/>
  <c r="F31" i="76"/>
  <c r="G31" i="76"/>
  <c r="S21" i="74"/>
  <c r="Q21" i="74"/>
  <c r="O21" i="74"/>
  <c r="L21" i="74"/>
  <c r="J21" i="74"/>
  <c r="I21" i="74"/>
  <c r="S19" i="74"/>
  <c r="Q19" i="74"/>
  <c r="N19" i="74"/>
  <c r="O19" i="74" s="1"/>
  <c r="L19" i="74"/>
  <c r="J19" i="74"/>
  <c r="I19" i="74"/>
  <c r="S18" i="74"/>
  <c r="Q18" i="74"/>
  <c r="N18" i="74"/>
  <c r="O18" i="74" s="1"/>
  <c r="L18" i="74"/>
  <c r="J18" i="74"/>
  <c r="I18" i="74"/>
  <c r="S17" i="74"/>
  <c r="Q17" i="74"/>
  <c r="N17" i="74"/>
  <c r="O17" i="74" s="1"/>
  <c r="L17" i="74"/>
  <c r="J17" i="74"/>
  <c r="I17" i="74"/>
  <c r="S16" i="74"/>
  <c r="Q16" i="74"/>
  <c r="N16" i="74"/>
  <c r="O16" i="74" s="1"/>
  <c r="L16" i="74"/>
  <c r="J16" i="74"/>
  <c r="I16" i="74"/>
  <c r="S15" i="74"/>
  <c r="Q15" i="74"/>
  <c r="N15" i="74"/>
  <c r="O15" i="74" s="1"/>
  <c r="L15" i="74"/>
  <c r="J15" i="74"/>
  <c r="I15" i="74"/>
  <c r="S13" i="74"/>
  <c r="Q13" i="74"/>
  <c r="N13" i="74"/>
  <c r="O13" i="74" s="1"/>
  <c r="L13" i="74"/>
  <c r="J13" i="74"/>
  <c r="I13" i="74"/>
  <c r="S12" i="74"/>
  <c r="Q12" i="74"/>
  <c r="N12" i="74"/>
  <c r="O12" i="74" s="1"/>
  <c r="L12" i="74"/>
  <c r="J12" i="74"/>
  <c r="I12" i="74"/>
  <c r="S11" i="74"/>
  <c r="Q11" i="74"/>
  <c r="N11" i="74"/>
  <c r="O11" i="74" s="1"/>
  <c r="L11" i="74"/>
  <c r="J11" i="74"/>
  <c r="I11" i="74"/>
  <c r="S10" i="74"/>
  <c r="Q10" i="74"/>
  <c r="N10" i="74"/>
  <c r="O10" i="74" s="1"/>
  <c r="L10" i="74"/>
  <c r="J10" i="74"/>
  <c r="I10" i="74"/>
  <c r="S8" i="74"/>
  <c r="Q8" i="74"/>
  <c r="N8" i="74"/>
  <c r="O8" i="74" s="1"/>
  <c r="L8" i="74"/>
  <c r="J8" i="74"/>
  <c r="I8" i="74"/>
  <c r="S7" i="74"/>
  <c r="Q7" i="74"/>
  <c r="N7" i="74"/>
  <c r="O7" i="74" s="1"/>
  <c r="L7" i="74"/>
  <c r="J7" i="74"/>
  <c r="I7" i="74"/>
  <c r="S6" i="74"/>
  <c r="T6" i="74" s="1"/>
  <c r="Q6" i="74"/>
  <c r="N6" i="74"/>
  <c r="L6" i="74"/>
  <c r="J6" i="74"/>
  <c r="I6" i="74"/>
  <c r="O41" i="76"/>
  <c r="D3" i="76"/>
  <c r="M27" i="76" s="1"/>
  <c r="D3" i="75"/>
  <c r="M27" i="75" s="1"/>
  <c r="M34" i="74"/>
  <c r="H24" i="74"/>
  <c r="E24" i="74"/>
  <c r="C21" i="74"/>
  <c r="C19" i="74"/>
  <c r="C18" i="74"/>
  <c r="C17" i="74"/>
  <c r="C16" i="74"/>
  <c r="C15" i="74"/>
  <c r="C13" i="74"/>
  <c r="C12" i="74"/>
  <c r="C11" i="74"/>
  <c r="C10" i="74"/>
  <c r="C8" i="74"/>
  <c r="C7" i="74"/>
  <c r="C6" i="74"/>
  <c r="D3" i="74"/>
  <c r="P8" i="74" l="1"/>
  <c r="T8" i="74"/>
  <c r="Q8" i="89" s="1"/>
  <c r="Q6" i="89"/>
  <c r="P11" i="74"/>
  <c r="T11" i="74"/>
  <c r="Q11" i="89" s="1"/>
  <c r="P13" i="74"/>
  <c r="T13" i="74"/>
  <c r="Q13" i="89" s="1"/>
  <c r="P16" i="74"/>
  <c r="T16" i="74"/>
  <c r="Q16" i="89" s="1"/>
  <c r="P18" i="74"/>
  <c r="T18" i="74"/>
  <c r="Q18" i="89" s="1"/>
  <c r="P21" i="74"/>
  <c r="T21" i="74"/>
  <c r="Q21" i="89" s="1"/>
  <c r="P7" i="74"/>
  <c r="T7" i="74"/>
  <c r="Q7" i="89" s="1"/>
  <c r="P10" i="74"/>
  <c r="T10" i="74"/>
  <c r="Q10" i="89" s="1"/>
  <c r="P12" i="74"/>
  <c r="T12" i="74"/>
  <c r="Q12" i="89" s="1"/>
  <c r="P15" i="74"/>
  <c r="T15" i="74"/>
  <c r="Q15" i="89" s="1"/>
  <c r="P17" i="74"/>
  <c r="T17" i="74"/>
  <c r="Q17" i="89" s="1"/>
  <c r="R19" i="74"/>
  <c r="T19" i="74"/>
  <c r="Q19" i="89" s="1"/>
  <c r="C23" i="74"/>
  <c r="K10" i="74"/>
  <c r="K21" i="74"/>
  <c r="K8" i="74"/>
  <c r="K11" i="74"/>
  <c r="K13" i="74"/>
  <c r="K18" i="74"/>
  <c r="K7" i="74"/>
  <c r="K12" i="74"/>
  <c r="K16" i="74"/>
  <c r="K17" i="74"/>
  <c r="K19" i="74"/>
  <c r="R13" i="74"/>
  <c r="R10" i="74"/>
  <c r="R8" i="74"/>
  <c r="R15" i="74"/>
  <c r="Q24" i="74"/>
  <c r="R16" i="74"/>
  <c r="J24" i="74"/>
  <c r="S24" i="74"/>
  <c r="L24" i="74"/>
  <c r="R6" i="74"/>
  <c r="R21" i="74"/>
  <c r="N24" i="74"/>
  <c r="P19" i="74"/>
  <c r="I24" i="74"/>
  <c r="R11" i="74"/>
  <c r="R17" i="74"/>
  <c r="K6" i="74"/>
  <c r="P6" i="74"/>
  <c r="R7" i="74"/>
  <c r="R12" i="74"/>
  <c r="R18" i="74"/>
  <c r="K2" i="63"/>
  <c r="Q24" i="89" l="1"/>
  <c r="P37" i="88" s="1"/>
  <c r="T24" i="74"/>
  <c r="W6" i="89" s="1"/>
  <c r="W22" i="89" s="1"/>
  <c r="R24" i="74"/>
  <c r="M27" i="74"/>
  <c r="G29" i="74"/>
  <c r="P24" i="74"/>
  <c r="G28" i="74"/>
  <c r="F7" i="66"/>
  <c r="F15" i="66"/>
  <c r="F16" i="66"/>
  <c r="F24" i="66"/>
  <c r="R23" i="66"/>
  <c r="S23" i="66" s="1"/>
  <c r="P23" i="66"/>
  <c r="N23" i="66"/>
  <c r="K23" i="66"/>
  <c r="I23" i="66"/>
  <c r="H23" i="66"/>
  <c r="J23" i="66" s="1"/>
  <c r="R22" i="66"/>
  <c r="P22" i="66"/>
  <c r="K22" i="66"/>
  <c r="I22" i="66"/>
  <c r="H22" i="66"/>
  <c r="J22" i="66" s="1"/>
  <c r="R21" i="66"/>
  <c r="P21" i="66"/>
  <c r="K21" i="66"/>
  <c r="I21" i="66"/>
  <c r="H21" i="66"/>
  <c r="J21" i="66" s="1"/>
  <c r="R20" i="66"/>
  <c r="P20" i="66"/>
  <c r="K20" i="66"/>
  <c r="I20" i="66"/>
  <c r="H20" i="66"/>
  <c r="J20" i="66" s="1"/>
  <c r="R19" i="66"/>
  <c r="P19" i="66"/>
  <c r="K19" i="66"/>
  <c r="I19" i="66"/>
  <c r="H19" i="66"/>
  <c r="J19" i="66" s="1"/>
  <c r="O18" i="66"/>
  <c r="N18" i="66"/>
  <c r="R17" i="66"/>
  <c r="P17" i="66"/>
  <c r="K17" i="66"/>
  <c r="I17" i="66"/>
  <c r="H17" i="66"/>
  <c r="J17" i="66" s="1"/>
  <c r="R15" i="66"/>
  <c r="S15" i="66" s="1"/>
  <c r="P15" i="66"/>
  <c r="R14" i="66"/>
  <c r="P14" i="66"/>
  <c r="K14" i="66"/>
  <c r="I14" i="66"/>
  <c r="H14" i="66"/>
  <c r="J14" i="66" s="1"/>
  <c r="R13" i="66"/>
  <c r="P13" i="66"/>
  <c r="K13" i="66"/>
  <c r="I13" i="66"/>
  <c r="H13" i="66"/>
  <c r="J13" i="66" s="1"/>
  <c r="R12" i="66"/>
  <c r="P12" i="66"/>
  <c r="K12" i="66"/>
  <c r="I12" i="66"/>
  <c r="H12" i="66"/>
  <c r="J12" i="66" s="1"/>
  <c r="R11" i="66"/>
  <c r="P11" i="66"/>
  <c r="K11" i="66"/>
  <c r="I11" i="66"/>
  <c r="H11" i="66"/>
  <c r="J11" i="66" s="1"/>
  <c r="R10" i="66"/>
  <c r="S10" i="66" s="1"/>
  <c r="P10" i="66"/>
  <c r="K10" i="66"/>
  <c r="I10" i="66"/>
  <c r="H10" i="66"/>
  <c r="J10" i="66" s="1"/>
  <c r="R9" i="66"/>
  <c r="P9" i="66"/>
  <c r="K9" i="66"/>
  <c r="I9" i="66"/>
  <c r="H9" i="66"/>
  <c r="J9" i="66" s="1"/>
  <c r="R8" i="66"/>
  <c r="P8" i="66"/>
  <c r="K8" i="66"/>
  <c r="I8" i="66"/>
  <c r="H8" i="66"/>
  <c r="J8" i="66" s="1"/>
  <c r="R6" i="66"/>
  <c r="P6" i="66"/>
  <c r="K6" i="66"/>
  <c r="I6" i="66"/>
  <c r="H6" i="66"/>
  <c r="J6" i="66" s="1"/>
  <c r="F7" i="65"/>
  <c r="F15" i="65"/>
  <c r="F16" i="65"/>
  <c r="F24" i="65"/>
  <c r="R23" i="65"/>
  <c r="P23" i="65"/>
  <c r="N23" i="65"/>
  <c r="K23" i="65"/>
  <c r="I23" i="65"/>
  <c r="H23" i="65"/>
  <c r="R22" i="65"/>
  <c r="P22" i="65"/>
  <c r="K22" i="65"/>
  <c r="I22" i="65"/>
  <c r="H22" i="65"/>
  <c r="R21" i="65"/>
  <c r="P21" i="65"/>
  <c r="K21" i="65"/>
  <c r="I21" i="65"/>
  <c r="H21" i="65"/>
  <c r="R20" i="65"/>
  <c r="P20" i="65"/>
  <c r="K20" i="65"/>
  <c r="I20" i="65"/>
  <c r="H20" i="65"/>
  <c r="R19" i="65"/>
  <c r="P19" i="65"/>
  <c r="K19" i="65"/>
  <c r="I19" i="65"/>
  <c r="H19" i="65"/>
  <c r="O18" i="65"/>
  <c r="N18" i="65"/>
  <c r="R17" i="65"/>
  <c r="P17" i="65"/>
  <c r="K17" i="65"/>
  <c r="I17" i="65"/>
  <c r="H17" i="65"/>
  <c r="R15" i="65"/>
  <c r="S15" i="65" s="1"/>
  <c r="P15" i="65"/>
  <c r="R14" i="65"/>
  <c r="P14" i="65"/>
  <c r="K14" i="65"/>
  <c r="I14" i="65"/>
  <c r="H14" i="65"/>
  <c r="R13" i="65"/>
  <c r="P13" i="65"/>
  <c r="K13" i="65"/>
  <c r="I13" i="65"/>
  <c r="H13" i="65"/>
  <c r="R12" i="65"/>
  <c r="P12" i="65"/>
  <c r="K12" i="65"/>
  <c r="I12" i="65"/>
  <c r="H12" i="65"/>
  <c r="R11" i="65"/>
  <c r="P11" i="65"/>
  <c r="K11" i="65"/>
  <c r="I11" i="65"/>
  <c r="H11" i="65"/>
  <c r="R10" i="65"/>
  <c r="P10" i="65"/>
  <c r="K10" i="65"/>
  <c r="I10" i="65"/>
  <c r="H10" i="65"/>
  <c r="R9" i="65"/>
  <c r="P9" i="65"/>
  <c r="K9" i="65"/>
  <c r="I9" i="65"/>
  <c r="H9" i="65"/>
  <c r="R8" i="65"/>
  <c r="P8" i="65"/>
  <c r="K8" i="65"/>
  <c r="I8" i="65"/>
  <c r="H8" i="65"/>
  <c r="R6" i="65"/>
  <c r="P6" i="65"/>
  <c r="K6" i="65"/>
  <c r="I6" i="65"/>
  <c r="H6" i="65"/>
  <c r="F7" i="64"/>
  <c r="L7" i="65" s="1"/>
  <c r="F15" i="64"/>
  <c r="L15" i="65" s="1"/>
  <c r="F16" i="64"/>
  <c r="L16" i="65" s="1"/>
  <c r="F24" i="64"/>
  <c r="R23" i="64"/>
  <c r="P23" i="64"/>
  <c r="N23" i="64"/>
  <c r="K23" i="64"/>
  <c r="I23" i="64"/>
  <c r="H23" i="64"/>
  <c r="R22" i="64"/>
  <c r="P22" i="64"/>
  <c r="K22" i="64"/>
  <c r="I22" i="64"/>
  <c r="H22" i="64"/>
  <c r="J22" i="64" s="1"/>
  <c r="R21" i="64"/>
  <c r="P21" i="64"/>
  <c r="K21" i="64"/>
  <c r="I21" i="64"/>
  <c r="H21" i="64"/>
  <c r="R20" i="64"/>
  <c r="S20" i="64" s="1"/>
  <c r="P20" i="64"/>
  <c r="K20" i="64"/>
  <c r="I20" i="64"/>
  <c r="H20" i="64"/>
  <c r="J20" i="64" s="1"/>
  <c r="R19" i="64"/>
  <c r="P19" i="64"/>
  <c r="K19" i="64"/>
  <c r="I19" i="64"/>
  <c r="H19" i="64"/>
  <c r="O18" i="64"/>
  <c r="N18" i="64"/>
  <c r="R17" i="64"/>
  <c r="P17" i="64"/>
  <c r="K17" i="64"/>
  <c r="I17" i="64"/>
  <c r="H17" i="64"/>
  <c r="R15" i="64"/>
  <c r="S15" i="64" s="1"/>
  <c r="P15" i="64"/>
  <c r="R14" i="64"/>
  <c r="P14" i="64"/>
  <c r="K14" i="64"/>
  <c r="I14" i="64"/>
  <c r="H14" i="64"/>
  <c r="J14" i="64" s="1"/>
  <c r="R13" i="64"/>
  <c r="P13" i="64"/>
  <c r="K13" i="64"/>
  <c r="I13" i="64"/>
  <c r="H13" i="64"/>
  <c r="R12" i="64"/>
  <c r="P12" i="64"/>
  <c r="K12" i="64"/>
  <c r="I12" i="64"/>
  <c r="H12" i="64"/>
  <c r="R11" i="64"/>
  <c r="P11" i="64"/>
  <c r="K11" i="64"/>
  <c r="I11" i="64"/>
  <c r="H11" i="64"/>
  <c r="J11" i="64" s="1"/>
  <c r="R10" i="64"/>
  <c r="P10" i="64"/>
  <c r="K10" i="64"/>
  <c r="I10" i="64"/>
  <c r="H10" i="64"/>
  <c r="J10" i="64" s="1"/>
  <c r="R9" i="64"/>
  <c r="P9" i="64"/>
  <c r="K9" i="64"/>
  <c r="I9" i="64"/>
  <c r="H9" i="64"/>
  <c r="R8" i="64"/>
  <c r="P8" i="64"/>
  <c r="K8" i="64"/>
  <c r="I8" i="64"/>
  <c r="H8" i="64"/>
  <c r="R6" i="64"/>
  <c r="P6" i="64"/>
  <c r="K6" i="64"/>
  <c r="I6" i="64"/>
  <c r="H6" i="64"/>
  <c r="F7" i="63"/>
  <c r="L7" i="64" s="1"/>
  <c r="F15" i="63"/>
  <c r="L15" i="64" s="1"/>
  <c r="F16" i="63"/>
  <c r="L16" i="64" s="1"/>
  <c r="F24" i="63"/>
  <c r="R23" i="63"/>
  <c r="P23" i="63"/>
  <c r="N23" i="63"/>
  <c r="K23" i="63"/>
  <c r="I23" i="63"/>
  <c r="H23" i="63"/>
  <c r="J23" i="63" s="1"/>
  <c r="R22" i="63"/>
  <c r="P22" i="63"/>
  <c r="M22" i="63"/>
  <c r="N22" i="63" s="1"/>
  <c r="K22" i="63"/>
  <c r="I22" i="63"/>
  <c r="H22" i="63"/>
  <c r="J22" i="63" s="1"/>
  <c r="C22" i="63"/>
  <c r="R21" i="63"/>
  <c r="P21" i="63"/>
  <c r="M21" i="63"/>
  <c r="N21" i="63" s="1"/>
  <c r="K21" i="63"/>
  <c r="I21" i="63"/>
  <c r="H21" i="63"/>
  <c r="J21" i="63" s="1"/>
  <c r="R20" i="63"/>
  <c r="P20" i="63"/>
  <c r="M20" i="63"/>
  <c r="N20" i="63" s="1"/>
  <c r="K20" i="63"/>
  <c r="I20" i="63"/>
  <c r="H20" i="63"/>
  <c r="J20" i="63" s="1"/>
  <c r="R19" i="63"/>
  <c r="P19" i="63"/>
  <c r="M19" i="63"/>
  <c r="K19" i="63"/>
  <c r="I19" i="63"/>
  <c r="H19" i="63"/>
  <c r="O18" i="63"/>
  <c r="N18" i="63"/>
  <c r="R17" i="63"/>
  <c r="P17" i="63"/>
  <c r="M17" i="63"/>
  <c r="N17" i="63" s="1"/>
  <c r="K17" i="63"/>
  <c r="I17" i="63"/>
  <c r="H17" i="63"/>
  <c r="J17" i="63" s="1"/>
  <c r="R15" i="63"/>
  <c r="S15" i="63" s="1"/>
  <c r="P15" i="63"/>
  <c r="R14" i="63"/>
  <c r="P14" i="63"/>
  <c r="M14" i="63"/>
  <c r="K14" i="63"/>
  <c r="I14" i="63"/>
  <c r="H14" i="63"/>
  <c r="R13" i="63"/>
  <c r="P13" i="63"/>
  <c r="M13" i="63"/>
  <c r="N13" i="63" s="1"/>
  <c r="K13" i="63"/>
  <c r="I13" i="63"/>
  <c r="H13" i="63"/>
  <c r="J13" i="63" s="1"/>
  <c r="R12" i="63"/>
  <c r="P12" i="63"/>
  <c r="M12" i="63"/>
  <c r="K12" i="63"/>
  <c r="I12" i="63"/>
  <c r="H12" i="63"/>
  <c r="R11" i="63"/>
  <c r="P11" i="63"/>
  <c r="M11" i="63"/>
  <c r="N11" i="63" s="1"/>
  <c r="K11" i="63"/>
  <c r="I11" i="63"/>
  <c r="H11" i="63"/>
  <c r="J11" i="63" s="1"/>
  <c r="R10" i="63"/>
  <c r="P10" i="63"/>
  <c r="M10" i="63"/>
  <c r="N10" i="63" s="1"/>
  <c r="K10" i="63"/>
  <c r="I10" i="63"/>
  <c r="H10" i="63"/>
  <c r="R9" i="63"/>
  <c r="P9" i="63"/>
  <c r="M9" i="63"/>
  <c r="K9" i="63"/>
  <c r="I9" i="63"/>
  <c r="H9" i="63"/>
  <c r="J9" i="63" s="1"/>
  <c r="R8" i="63"/>
  <c r="P8" i="63"/>
  <c r="M8" i="63"/>
  <c r="K8" i="63"/>
  <c r="I8" i="63"/>
  <c r="H8" i="63"/>
  <c r="R6" i="63"/>
  <c r="P6" i="63"/>
  <c r="K6" i="63"/>
  <c r="I6" i="63"/>
  <c r="H6" i="63"/>
  <c r="J6" i="63" s="1"/>
  <c r="F7" i="62"/>
  <c r="L7" i="63" s="1"/>
  <c r="F15" i="62"/>
  <c r="L15" i="63" s="1"/>
  <c r="F16" i="62"/>
  <c r="L16" i="63" s="1"/>
  <c r="F24" i="62"/>
  <c r="F7" i="61"/>
  <c r="L7" i="62" s="1"/>
  <c r="F15" i="61"/>
  <c r="L15" i="62" s="1"/>
  <c r="F16" i="61"/>
  <c r="L16" i="62" s="1"/>
  <c r="F24" i="61"/>
  <c r="R23" i="62"/>
  <c r="P23" i="62"/>
  <c r="N23" i="62"/>
  <c r="K23" i="62"/>
  <c r="I23" i="62"/>
  <c r="H23" i="62"/>
  <c r="J23" i="62" s="1"/>
  <c r="E23" i="62"/>
  <c r="C23" i="62" s="1"/>
  <c r="R22" i="62"/>
  <c r="P22" i="62"/>
  <c r="M22" i="62"/>
  <c r="N22" i="62" s="1"/>
  <c r="K22" i="62"/>
  <c r="I22" i="62"/>
  <c r="H22" i="62"/>
  <c r="J22" i="62" s="1"/>
  <c r="C22" i="62"/>
  <c r="R21" i="62"/>
  <c r="P21" i="62"/>
  <c r="M21" i="62"/>
  <c r="N21" i="62" s="1"/>
  <c r="K21" i="62"/>
  <c r="I21" i="62"/>
  <c r="H21" i="62"/>
  <c r="E21" i="62"/>
  <c r="C21" i="62" s="1"/>
  <c r="R20" i="62"/>
  <c r="P20" i="62"/>
  <c r="M20" i="62"/>
  <c r="N20" i="62" s="1"/>
  <c r="K20" i="62"/>
  <c r="I20" i="62"/>
  <c r="H20" i="62"/>
  <c r="J20" i="62" s="1"/>
  <c r="E20" i="62"/>
  <c r="C20" i="62" s="1"/>
  <c r="R19" i="62"/>
  <c r="P19" i="62"/>
  <c r="M19" i="62"/>
  <c r="N19" i="62" s="1"/>
  <c r="K19" i="62"/>
  <c r="I19" i="62"/>
  <c r="H19" i="62"/>
  <c r="J19" i="62" s="1"/>
  <c r="E19" i="62"/>
  <c r="C19" i="62" s="1"/>
  <c r="O18" i="62"/>
  <c r="N18" i="62"/>
  <c r="R17" i="62"/>
  <c r="P17" i="62"/>
  <c r="M17" i="62"/>
  <c r="N17" i="62" s="1"/>
  <c r="K17" i="62"/>
  <c r="I17" i="62"/>
  <c r="H17" i="62"/>
  <c r="E17" i="62"/>
  <c r="C17" i="62" s="1"/>
  <c r="P15" i="62"/>
  <c r="R14" i="62"/>
  <c r="P14" i="62"/>
  <c r="M14" i="62"/>
  <c r="K14" i="62"/>
  <c r="I14" i="62"/>
  <c r="H14" i="62"/>
  <c r="J14" i="62" s="1"/>
  <c r="E14" i="62"/>
  <c r="C14" i="62" s="1"/>
  <c r="R13" i="62"/>
  <c r="P13" i="62"/>
  <c r="M13" i="62"/>
  <c r="N13" i="62" s="1"/>
  <c r="K13" i="62"/>
  <c r="I13" i="62"/>
  <c r="H13" i="62"/>
  <c r="E13" i="62"/>
  <c r="C13" i="62" s="1"/>
  <c r="R12" i="62"/>
  <c r="P12" i="62"/>
  <c r="M12" i="62"/>
  <c r="N12" i="62" s="1"/>
  <c r="K12" i="62"/>
  <c r="I12" i="62"/>
  <c r="H12" i="62"/>
  <c r="J12" i="62" s="1"/>
  <c r="E12" i="62"/>
  <c r="C12" i="62" s="1"/>
  <c r="R11" i="62"/>
  <c r="P11" i="62"/>
  <c r="M11" i="62"/>
  <c r="N11" i="62" s="1"/>
  <c r="K11" i="62"/>
  <c r="I11" i="62"/>
  <c r="H11" i="62"/>
  <c r="J11" i="62" s="1"/>
  <c r="R10" i="62"/>
  <c r="P10" i="62"/>
  <c r="M10" i="62"/>
  <c r="N10" i="62" s="1"/>
  <c r="K10" i="62"/>
  <c r="I10" i="62"/>
  <c r="H10" i="62"/>
  <c r="J10" i="62" s="1"/>
  <c r="E10" i="62"/>
  <c r="C10" i="62" s="1"/>
  <c r="R9" i="62"/>
  <c r="P9" i="62"/>
  <c r="M9" i="62"/>
  <c r="N9" i="62" s="1"/>
  <c r="K9" i="62"/>
  <c r="I9" i="62"/>
  <c r="H9" i="62"/>
  <c r="E9" i="62"/>
  <c r="C9" i="62" s="1"/>
  <c r="R8" i="62"/>
  <c r="P8" i="62"/>
  <c r="M8" i="62"/>
  <c r="N8" i="62" s="1"/>
  <c r="K8" i="62"/>
  <c r="I8" i="62"/>
  <c r="H8" i="62"/>
  <c r="J8" i="62" s="1"/>
  <c r="E8" i="62"/>
  <c r="C8" i="62" s="1"/>
  <c r="R6" i="62"/>
  <c r="P6" i="62"/>
  <c r="K6" i="62"/>
  <c r="I6" i="62"/>
  <c r="H6" i="62"/>
  <c r="J6" i="62" s="1"/>
  <c r="E6" i="62"/>
  <c r="C6" i="62" s="1"/>
  <c r="R23" i="61"/>
  <c r="P23" i="61"/>
  <c r="N23" i="61"/>
  <c r="K23" i="61"/>
  <c r="I23" i="61"/>
  <c r="H23" i="61"/>
  <c r="R22" i="61"/>
  <c r="P22" i="61"/>
  <c r="K22" i="61"/>
  <c r="I22" i="61"/>
  <c r="H22" i="61"/>
  <c r="J22" i="61" s="1"/>
  <c r="C22" i="61"/>
  <c r="R21" i="61"/>
  <c r="P21" i="61"/>
  <c r="K21" i="61"/>
  <c r="I21" i="61"/>
  <c r="H21" i="61"/>
  <c r="R20" i="61"/>
  <c r="P20" i="61"/>
  <c r="K20" i="61"/>
  <c r="I20" i="61"/>
  <c r="H20" i="61"/>
  <c r="J20" i="61" s="1"/>
  <c r="R19" i="61"/>
  <c r="P19" i="61"/>
  <c r="K19" i="61"/>
  <c r="I19" i="61"/>
  <c r="H19" i="61"/>
  <c r="O18" i="61"/>
  <c r="N18" i="61"/>
  <c r="R17" i="61"/>
  <c r="P17" i="61"/>
  <c r="K17" i="61"/>
  <c r="I17" i="61"/>
  <c r="H17" i="61"/>
  <c r="J17" i="61" s="1"/>
  <c r="R15" i="61"/>
  <c r="S15" i="61" s="1"/>
  <c r="P15" i="61"/>
  <c r="R14" i="61"/>
  <c r="P14" i="61"/>
  <c r="K14" i="61"/>
  <c r="I14" i="61"/>
  <c r="H14" i="61"/>
  <c r="J14" i="61" s="1"/>
  <c r="R13" i="61"/>
  <c r="P13" i="61"/>
  <c r="M13" i="61"/>
  <c r="N13" i="61" s="1"/>
  <c r="K13" i="61"/>
  <c r="I13" i="61"/>
  <c r="H13" i="61"/>
  <c r="J13" i="61" s="1"/>
  <c r="R12" i="61"/>
  <c r="P12" i="61"/>
  <c r="K12" i="61"/>
  <c r="I12" i="61"/>
  <c r="H12" i="61"/>
  <c r="J12" i="61" s="1"/>
  <c r="R11" i="61"/>
  <c r="P11" i="61"/>
  <c r="K11" i="61"/>
  <c r="I11" i="61"/>
  <c r="H11" i="61"/>
  <c r="R10" i="61"/>
  <c r="P10" i="61"/>
  <c r="K10" i="61"/>
  <c r="I10" i="61"/>
  <c r="H10" i="61"/>
  <c r="J10" i="61" s="1"/>
  <c r="R9" i="61"/>
  <c r="P9" i="61"/>
  <c r="K9" i="61"/>
  <c r="I9" i="61"/>
  <c r="H9" i="61"/>
  <c r="J9" i="61" s="1"/>
  <c r="R8" i="61"/>
  <c r="P8" i="61"/>
  <c r="K8" i="61"/>
  <c r="I8" i="61"/>
  <c r="H8" i="61"/>
  <c r="J8" i="61" s="1"/>
  <c r="R6" i="61"/>
  <c r="P6" i="61"/>
  <c r="K6" i="61"/>
  <c r="I6" i="61"/>
  <c r="H6" i="61"/>
  <c r="J6" i="61" s="1"/>
  <c r="E27" i="53"/>
  <c r="D7" i="53"/>
  <c r="H7" i="53"/>
  <c r="I7" i="53"/>
  <c r="M7" i="53"/>
  <c r="P7" i="53"/>
  <c r="Q7" i="53"/>
  <c r="K27" i="53"/>
  <c r="D15" i="53"/>
  <c r="H15" i="53"/>
  <c r="I15" i="53"/>
  <c r="M15" i="53"/>
  <c r="D16" i="53"/>
  <c r="H16" i="53"/>
  <c r="I16" i="53"/>
  <c r="M16" i="53"/>
  <c r="D18" i="53"/>
  <c r="H18" i="53"/>
  <c r="I18" i="53"/>
  <c r="M18" i="53"/>
  <c r="D24" i="53"/>
  <c r="H24" i="53"/>
  <c r="I24" i="53"/>
  <c r="L24" i="53"/>
  <c r="M24" i="53"/>
  <c r="P24" i="53"/>
  <c r="C7" i="53"/>
  <c r="N46" i="66" s="1"/>
  <c r="C15" i="53"/>
  <c r="C16" i="53"/>
  <c r="C18" i="53"/>
  <c r="C24" i="53"/>
  <c r="G27" i="53"/>
  <c r="B24" i="53"/>
  <c r="B23" i="53"/>
  <c r="B22" i="53"/>
  <c r="B21" i="53"/>
  <c r="B20" i="53"/>
  <c r="B19" i="53"/>
  <c r="B18" i="53"/>
  <c r="B17" i="53"/>
  <c r="B16" i="53"/>
  <c r="B15" i="53"/>
  <c r="B14" i="53"/>
  <c r="B13" i="53"/>
  <c r="B12" i="53"/>
  <c r="B11" i="53"/>
  <c r="B10" i="53"/>
  <c r="B9" i="53"/>
  <c r="B8" i="53"/>
  <c r="B7" i="53"/>
  <c r="B6" i="53"/>
  <c r="C3" i="53"/>
  <c r="L37" i="66"/>
  <c r="G27" i="66"/>
  <c r="D27" i="66"/>
  <c r="B24" i="66"/>
  <c r="B23" i="66"/>
  <c r="B22" i="66"/>
  <c r="B21" i="66"/>
  <c r="B20" i="66"/>
  <c r="B19" i="66"/>
  <c r="B18" i="66"/>
  <c r="B17" i="66"/>
  <c r="B16" i="66"/>
  <c r="B15" i="66"/>
  <c r="B14" i="66"/>
  <c r="B13" i="66"/>
  <c r="B12" i="66"/>
  <c r="B11" i="66"/>
  <c r="B10" i="66"/>
  <c r="B9" i="66"/>
  <c r="B8" i="66"/>
  <c r="B7" i="66"/>
  <c r="B6" i="66"/>
  <c r="C3" i="66"/>
  <c r="L37" i="65"/>
  <c r="G27" i="65"/>
  <c r="D27" i="65"/>
  <c r="B24" i="65"/>
  <c r="B23" i="65"/>
  <c r="B22" i="65"/>
  <c r="B21" i="65"/>
  <c r="B20" i="65"/>
  <c r="B19" i="65"/>
  <c r="B18" i="65"/>
  <c r="B17" i="65"/>
  <c r="B16" i="65"/>
  <c r="B15" i="65"/>
  <c r="B14" i="65"/>
  <c r="B13" i="65"/>
  <c r="B12" i="65"/>
  <c r="B11" i="65"/>
  <c r="B10" i="65"/>
  <c r="B9" i="65"/>
  <c r="B8" i="65"/>
  <c r="B7" i="65"/>
  <c r="B6" i="65"/>
  <c r="C3" i="65"/>
  <c r="L37" i="64"/>
  <c r="G27" i="64"/>
  <c r="D27" i="64"/>
  <c r="B24" i="64"/>
  <c r="B23" i="64"/>
  <c r="B22" i="64"/>
  <c r="B21" i="64"/>
  <c r="B20" i="64"/>
  <c r="B19" i="64"/>
  <c r="B18" i="64"/>
  <c r="B17" i="64"/>
  <c r="B16" i="64"/>
  <c r="B15" i="64"/>
  <c r="B14" i="64"/>
  <c r="B13" i="64"/>
  <c r="B12" i="64"/>
  <c r="B11" i="64"/>
  <c r="B10" i="64"/>
  <c r="B9" i="64"/>
  <c r="B8" i="64"/>
  <c r="B7" i="64"/>
  <c r="B6" i="64"/>
  <c r="C3" i="64"/>
  <c r="L37" i="63"/>
  <c r="G27" i="63"/>
  <c r="D27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B6" i="63"/>
  <c r="C3" i="63"/>
  <c r="L37" i="62"/>
  <c r="G27" i="62"/>
  <c r="D27" i="62"/>
  <c r="B24" i="62"/>
  <c r="B23" i="62"/>
  <c r="B22" i="62"/>
  <c r="B21" i="62"/>
  <c r="B20" i="62"/>
  <c r="B19" i="62"/>
  <c r="B18" i="62"/>
  <c r="B17" i="62"/>
  <c r="B16" i="62"/>
  <c r="B15" i="62"/>
  <c r="B14" i="62"/>
  <c r="B13" i="62"/>
  <c r="B12" i="62"/>
  <c r="B11" i="62"/>
  <c r="B10" i="62"/>
  <c r="B9" i="62"/>
  <c r="B8" i="62"/>
  <c r="B7" i="62"/>
  <c r="B6" i="62"/>
  <c r="C3" i="62"/>
  <c r="L37" i="61"/>
  <c r="G27" i="61"/>
  <c r="D27" i="61"/>
  <c r="B24" i="61"/>
  <c r="B23" i="61"/>
  <c r="B22" i="61"/>
  <c r="B21" i="61"/>
  <c r="B20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7" i="61"/>
  <c r="B6" i="61"/>
  <c r="C3" i="61"/>
  <c r="O6" i="62" l="1"/>
  <c r="S6" i="62"/>
  <c r="O17" i="62"/>
  <c r="S17" i="62"/>
  <c r="O6" i="61"/>
  <c r="S6" i="61"/>
  <c r="O11" i="61"/>
  <c r="S11" i="61"/>
  <c r="O14" i="61"/>
  <c r="S14" i="61"/>
  <c r="O21" i="61"/>
  <c r="S21" i="61"/>
  <c r="O23" i="61"/>
  <c r="S23" i="61"/>
  <c r="O9" i="62"/>
  <c r="S9" i="62"/>
  <c r="O12" i="62"/>
  <c r="S12" i="62"/>
  <c r="O22" i="62"/>
  <c r="S22" i="62"/>
  <c r="O6" i="63"/>
  <c r="S6" i="63"/>
  <c r="O9" i="63"/>
  <c r="S9" i="63"/>
  <c r="O11" i="63"/>
  <c r="S11" i="63"/>
  <c r="O13" i="63"/>
  <c r="S13" i="63"/>
  <c r="O20" i="63"/>
  <c r="S20" i="63"/>
  <c r="O6" i="64"/>
  <c r="S6" i="64"/>
  <c r="O11" i="64"/>
  <c r="S11" i="64"/>
  <c r="O22" i="64"/>
  <c r="S22" i="64"/>
  <c r="O8" i="65"/>
  <c r="S8" i="65"/>
  <c r="O12" i="65"/>
  <c r="S12" i="65"/>
  <c r="O19" i="65"/>
  <c r="S19" i="65"/>
  <c r="Q9" i="66"/>
  <c r="S9" i="66"/>
  <c r="O13" i="66"/>
  <c r="S13" i="66"/>
  <c r="O17" i="66"/>
  <c r="S17" i="66"/>
  <c r="O20" i="66"/>
  <c r="S20" i="66"/>
  <c r="O22" i="61"/>
  <c r="S22" i="61"/>
  <c r="O14" i="62"/>
  <c r="S14" i="62"/>
  <c r="O8" i="61"/>
  <c r="S8" i="61"/>
  <c r="O12" i="61"/>
  <c r="S12" i="61"/>
  <c r="O8" i="62"/>
  <c r="S8" i="62"/>
  <c r="O11" i="62"/>
  <c r="S11" i="62"/>
  <c r="O21" i="62"/>
  <c r="S21" i="62"/>
  <c r="O22" i="63"/>
  <c r="S22" i="63"/>
  <c r="O8" i="64"/>
  <c r="S8" i="64"/>
  <c r="O12" i="64"/>
  <c r="S12" i="64"/>
  <c r="O19" i="64"/>
  <c r="S19" i="64"/>
  <c r="O9" i="65"/>
  <c r="S9" i="65"/>
  <c r="Q13" i="65"/>
  <c r="S13" i="65"/>
  <c r="O17" i="65"/>
  <c r="S17" i="65"/>
  <c r="O20" i="65"/>
  <c r="S20" i="65"/>
  <c r="O23" i="65"/>
  <c r="S23" i="65"/>
  <c r="O14" i="66"/>
  <c r="S14" i="66"/>
  <c r="O21" i="66"/>
  <c r="S21" i="66"/>
  <c r="O9" i="61"/>
  <c r="S9" i="61"/>
  <c r="O19" i="61"/>
  <c r="S19" i="61"/>
  <c r="Q20" i="62"/>
  <c r="S20" i="62"/>
  <c r="O8" i="63"/>
  <c r="S8" i="63"/>
  <c r="O12" i="63"/>
  <c r="S12" i="63"/>
  <c r="O14" i="63"/>
  <c r="S14" i="63"/>
  <c r="O17" i="63"/>
  <c r="S17" i="63"/>
  <c r="O19" i="63"/>
  <c r="S19" i="63"/>
  <c r="O21" i="63"/>
  <c r="S21" i="63"/>
  <c r="O9" i="64"/>
  <c r="S9" i="64"/>
  <c r="O13" i="64"/>
  <c r="S13" i="64"/>
  <c r="Q17" i="64"/>
  <c r="S17" i="64"/>
  <c r="O23" i="64"/>
  <c r="S23" i="64"/>
  <c r="O10" i="65"/>
  <c r="S10" i="65"/>
  <c r="O14" i="65"/>
  <c r="S14" i="65"/>
  <c r="O21" i="65"/>
  <c r="S21" i="65"/>
  <c r="O6" i="66"/>
  <c r="S6" i="66"/>
  <c r="O11" i="66"/>
  <c r="S11" i="66"/>
  <c r="O22" i="66"/>
  <c r="S22" i="66"/>
  <c r="O10" i="63"/>
  <c r="S10" i="63"/>
  <c r="O10" i="61"/>
  <c r="S10" i="61"/>
  <c r="O13" i="61"/>
  <c r="S13" i="61"/>
  <c r="O17" i="61"/>
  <c r="S17" i="61"/>
  <c r="O20" i="61"/>
  <c r="S20" i="61"/>
  <c r="O10" i="62"/>
  <c r="S10" i="62"/>
  <c r="Q13" i="62"/>
  <c r="S13" i="62"/>
  <c r="O19" i="62"/>
  <c r="S19" i="62"/>
  <c r="O23" i="62"/>
  <c r="S23" i="62"/>
  <c r="O23" i="63"/>
  <c r="S23" i="63"/>
  <c r="O10" i="64"/>
  <c r="S10" i="64"/>
  <c r="O14" i="64"/>
  <c r="S14" i="64"/>
  <c r="O21" i="64"/>
  <c r="S21" i="64"/>
  <c r="O6" i="65"/>
  <c r="S6" i="65"/>
  <c r="O11" i="65"/>
  <c r="S11" i="65"/>
  <c r="O22" i="65"/>
  <c r="S22" i="65"/>
  <c r="O8" i="66"/>
  <c r="S8" i="66"/>
  <c r="O12" i="66"/>
  <c r="S12" i="66"/>
  <c r="O19" i="66"/>
  <c r="S19" i="66"/>
  <c r="G31" i="74"/>
  <c r="L15" i="66"/>
  <c r="J9" i="65"/>
  <c r="J17" i="65"/>
  <c r="J20" i="65"/>
  <c r="J11" i="65"/>
  <c r="J22" i="65"/>
  <c r="L16" i="66"/>
  <c r="J19" i="65"/>
  <c r="J13" i="65"/>
  <c r="L7" i="66"/>
  <c r="J6" i="64"/>
  <c r="Q23" i="63"/>
  <c r="Q14" i="61"/>
  <c r="Q14" i="63"/>
  <c r="Q21" i="61"/>
  <c r="Q23" i="62"/>
  <c r="Q9" i="65"/>
  <c r="Q14" i="66"/>
  <c r="Q21" i="66"/>
  <c r="Q10" i="63"/>
  <c r="Q13" i="63"/>
  <c r="O13" i="65"/>
  <c r="Q21" i="63"/>
  <c r="Q8" i="64"/>
  <c r="Q23" i="65"/>
  <c r="O10" i="66"/>
  <c r="Q10" i="66"/>
  <c r="O23" i="66"/>
  <c r="Q23" i="66"/>
  <c r="Q14" i="65"/>
  <c r="Q21" i="65"/>
  <c r="J9" i="62"/>
  <c r="J13" i="62"/>
  <c r="J21" i="62"/>
  <c r="J8" i="63"/>
  <c r="J10" i="63"/>
  <c r="J19" i="63"/>
  <c r="J8" i="65"/>
  <c r="J12" i="65"/>
  <c r="J17" i="62"/>
  <c r="J23" i="64"/>
  <c r="J6" i="65"/>
  <c r="J14" i="63"/>
  <c r="J13" i="64"/>
  <c r="J21" i="64"/>
  <c r="J10" i="65"/>
  <c r="J14" i="65"/>
  <c r="J21" i="65"/>
  <c r="J23" i="65"/>
  <c r="Q13" i="66"/>
  <c r="O9" i="66"/>
  <c r="Q10" i="65"/>
  <c r="Q19" i="64"/>
  <c r="Q22" i="64"/>
  <c r="O17" i="64"/>
  <c r="Q20" i="63"/>
  <c r="Q9" i="63"/>
  <c r="Q10" i="61"/>
  <c r="Q23" i="61"/>
  <c r="Q10" i="62"/>
  <c r="Q21" i="62"/>
  <c r="J21" i="61"/>
  <c r="J11" i="61"/>
  <c r="J19" i="61"/>
  <c r="J23" i="61"/>
  <c r="F24" i="53"/>
  <c r="Q9" i="62"/>
  <c r="O13" i="62"/>
  <c r="O20" i="62"/>
  <c r="Q8" i="61"/>
  <c r="Q17" i="66"/>
  <c r="Q20" i="65"/>
  <c r="Q12" i="64"/>
  <c r="Q22" i="61"/>
  <c r="Q6" i="64"/>
  <c r="K27" i="61"/>
  <c r="K27" i="62"/>
  <c r="Q8" i="66"/>
  <c r="Q14" i="62"/>
  <c r="Q21" i="64"/>
  <c r="K27" i="65"/>
  <c r="I27" i="66"/>
  <c r="Q17" i="61"/>
  <c r="Q19" i="61"/>
  <c r="Q8" i="63"/>
  <c r="Q10" i="64"/>
  <c r="Q11" i="66"/>
  <c r="Q6" i="61"/>
  <c r="Q12" i="61"/>
  <c r="P27" i="61"/>
  <c r="Q20" i="61"/>
  <c r="Q12" i="62"/>
  <c r="Q9" i="64"/>
  <c r="Q23" i="64"/>
  <c r="Q12" i="65"/>
  <c r="Q12" i="66"/>
  <c r="Q11" i="61"/>
  <c r="Q6" i="62"/>
  <c r="Q8" i="62"/>
  <c r="P27" i="62"/>
  <c r="K27" i="63"/>
  <c r="H27" i="62"/>
  <c r="Q6" i="63"/>
  <c r="Q14" i="64"/>
  <c r="Q6" i="65"/>
  <c r="Q8" i="65"/>
  <c r="P27" i="65"/>
  <c r="Q20" i="66"/>
  <c r="Q22" i="66"/>
  <c r="I27" i="62"/>
  <c r="P27" i="63"/>
  <c r="Q12" i="63"/>
  <c r="Q13" i="64"/>
  <c r="Q20" i="64"/>
  <c r="R27" i="66"/>
  <c r="P27" i="66"/>
  <c r="Q19" i="66"/>
  <c r="I27" i="63"/>
  <c r="K27" i="64"/>
  <c r="P27" i="64"/>
  <c r="H27" i="65"/>
  <c r="K27" i="66"/>
  <c r="H27" i="63"/>
  <c r="I27" i="64"/>
  <c r="I27" i="65"/>
  <c r="J27" i="53"/>
  <c r="E31" i="66"/>
  <c r="J27" i="66"/>
  <c r="E32" i="66"/>
  <c r="H27" i="66"/>
  <c r="Q6" i="66"/>
  <c r="Q11" i="65"/>
  <c r="Q17" i="65"/>
  <c r="Q19" i="65"/>
  <c r="Q22" i="65"/>
  <c r="R27" i="65"/>
  <c r="Q11" i="64"/>
  <c r="R27" i="64"/>
  <c r="H27" i="64"/>
  <c r="Q11" i="63"/>
  <c r="Q17" i="63"/>
  <c r="Q19" i="63"/>
  <c r="Q22" i="63"/>
  <c r="R27" i="63"/>
  <c r="Q11" i="62"/>
  <c r="Q17" i="62"/>
  <c r="Q19" i="62"/>
  <c r="Q22" i="62"/>
  <c r="R27" i="62"/>
  <c r="Q9" i="61"/>
  <c r="R27" i="61"/>
  <c r="H27" i="61"/>
  <c r="I27" i="61"/>
  <c r="Q13" i="61"/>
  <c r="S26" i="65" l="1"/>
  <c r="S26" i="61"/>
  <c r="S26" i="66"/>
  <c r="S26" i="64"/>
  <c r="S26" i="63"/>
  <c r="S26" i="62"/>
  <c r="E31" i="65"/>
  <c r="J27" i="65"/>
  <c r="E32" i="65"/>
  <c r="J27" i="62"/>
  <c r="E31" i="62"/>
  <c r="E32" i="62"/>
  <c r="E31" i="61"/>
  <c r="F32" i="65"/>
  <c r="F31" i="66"/>
  <c r="L30" i="64"/>
  <c r="L30" i="61"/>
  <c r="E32" i="61"/>
  <c r="J27" i="61"/>
  <c r="F31" i="62"/>
  <c r="F31" i="61"/>
  <c r="O27" i="61"/>
  <c r="L30" i="63"/>
  <c r="O27" i="63"/>
  <c r="E34" i="66"/>
  <c r="F32" i="62"/>
  <c r="Q27" i="62"/>
  <c r="Q27" i="63"/>
  <c r="Q27" i="65"/>
  <c r="F32" i="61"/>
  <c r="O27" i="65"/>
  <c r="O27" i="53"/>
  <c r="N27" i="53"/>
  <c r="O27" i="66"/>
  <c r="F32" i="66"/>
  <c r="Q27" i="66"/>
  <c r="L30" i="66"/>
  <c r="L30" i="65"/>
  <c r="F31" i="65"/>
  <c r="Q27" i="64"/>
  <c r="F32" i="63"/>
  <c r="F31" i="63"/>
  <c r="L30" i="62"/>
  <c r="O27" i="62"/>
  <c r="Q27" i="61"/>
  <c r="E34" i="62" l="1"/>
  <c r="E34" i="61"/>
  <c r="E34" i="65"/>
  <c r="F34" i="61"/>
  <c r="F34" i="65"/>
  <c r="F34" i="62"/>
  <c r="F34" i="66"/>
  <c r="F34" i="63"/>
  <c r="F24" i="73" l="1"/>
  <c r="F16" i="73"/>
  <c r="L16" i="61" s="1"/>
  <c r="F15" i="73"/>
  <c r="L15" i="61" s="1"/>
  <c r="F7" i="73"/>
  <c r="L7" i="61" s="1"/>
  <c r="R23" i="73"/>
  <c r="P23" i="73"/>
  <c r="N23" i="73"/>
  <c r="K23" i="73"/>
  <c r="I23" i="73"/>
  <c r="H23" i="73"/>
  <c r="E23" i="73"/>
  <c r="C23" i="73" s="1"/>
  <c r="R22" i="73"/>
  <c r="P22" i="73"/>
  <c r="K22" i="73"/>
  <c r="I22" i="73"/>
  <c r="H22" i="73"/>
  <c r="C22" i="73"/>
  <c r="R21" i="73"/>
  <c r="P21" i="73"/>
  <c r="K21" i="73"/>
  <c r="I21" i="73"/>
  <c r="H21" i="73"/>
  <c r="E21" i="73"/>
  <c r="C21" i="73" s="1"/>
  <c r="R20" i="73"/>
  <c r="P20" i="73"/>
  <c r="K20" i="73"/>
  <c r="I20" i="73"/>
  <c r="H20" i="73"/>
  <c r="E20" i="73"/>
  <c r="C20" i="73" s="1"/>
  <c r="R19" i="73"/>
  <c r="P19" i="73"/>
  <c r="K19" i="73"/>
  <c r="I19" i="73"/>
  <c r="H19" i="73"/>
  <c r="E19" i="73"/>
  <c r="C19" i="73" s="1"/>
  <c r="O18" i="73"/>
  <c r="N18" i="73"/>
  <c r="R17" i="73"/>
  <c r="P17" i="73"/>
  <c r="K17" i="73"/>
  <c r="I17" i="73"/>
  <c r="H17" i="73"/>
  <c r="E17" i="73"/>
  <c r="C17" i="73" s="1"/>
  <c r="R15" i="73"/>
  <c r="S15" i="73" s="1"/>
  <c r="P15" i="73"/>
  <c r="R14" i="73"/>
  <c r="P14" i="73"/>
  <c r="K14" i="73"/>
  <c r="I14" i="73"/>
  <c r="H14" i="73"/>
  <c r="E14" i="73"/>
  <c r="C14" i="73" s="1"/>
  <c r="R13" i="73"/>
  <c r="P13" i="73"/>
  <c r="K13" i="73"/>
  <c r="I13" i="73"/>
  <c r="H13" i="73"/>
  <c r="E13" i="73"/>
  <c r="C13" i="73" s="1"/>
  <c r="R12" i="73"/>
  <c r="P12" i="73"/>
  <c r="K12" i="73"/>
  <c r="I12" i="73"/>
  <c r="H12" i="73"/>
  <c r="E12" i="73"/>
  <c r="C12" i="73" s="1"/>
  <c r="R11" i="73"/>
  <c r="P11" i="73"/>
  <c r="K11" i="73"/>
  <c r="I11" i="73"/>
  <c r="H11" i="73"/>
  <c r="E11" i="73"/>
  <c r="C11" i="73" s="1"/>
  <c r="R10" i="73"/>
  <c r="P10" i="73"/>
  <c r="K10" i="73"/>
  <c r="I10" i="73"/>
  <c r="H10" i="73"/>
  <c r="E10" i="73"/>
  <c r="C10" i="73" s="1"/>
  <c r="R9" i="73"/>
  <c r="P9" i="73"/>
  <c r="K9" i="73"/>
  <c r="I9" i="73"/>
  <c r="H9" i="73"/>
  <c r="E9" i="73"/>
  <c r="C9" i="73" s="1"/>
  <c r="R8" i="73"/>
  <c r="P8" i="73"/>
  <c r="K8" i="73"/>
  <c r="I8" i="73"/>
  <c r="H8" i="73"/>
  <c r="E8" i="73"/>
  <c r="C8" i="73" s="1"/>
  <c r="R6" i="73"/>
  <c r="P6" i="73"/>
  <c r="K6" i="73"/>
  <c r="I6" i="73"/>
  <c r="H6" i="73"/>
  <c r="E6" i="73"/>
  <c r="C6" i="73" s="1"/>
  <c r="B24" i="73"/>
  <c r="B23" i="73"/>
  <c r="B22" i="73"/>
  <c r="B21" i="73"/>
  <c r="B20" i="73"/>
  <c r="B19" i="73"/>
  <c r="B18" i="73"/>
  <c r="B17" i="73"/>
  <c r="B16" i="73"/>
  <c r="B15" i="73"/>
  <c r="B14" i="73"/>
  <c r="B13" i="73"/>
  <c r="B12" i="73"/>
  <c r="B11" i="73"/>
  <c r="B10" i="73"/>
  <c r="B9" i="73"/>
  <c r="B8" i="73"/>
  <c r="B7" i="73"/>
  <c r="B6" i="73"/>
  <c r="Q6" i="73" l="1"/>
  <c r="S6" i="73"/>
  <c r="O9" i="73"/>
  <c r="S9" i="73"/>
  <c r="O11" i="73"/>
  <c r="S11" i="73"/>
  <c r="O13" i="73"/>
  <c r="S13" i="73"/>
  <c r="Q20" i="73"/>
  <c r="S20" i="73"/>
  <c r="Q22" i="73"/>
  <c r="S22" i="73"/>
  <c r="O8" i="73"/>
  <c r="S8" i="73"/>
  <c r="O10" i="73"/>
  <c r="S10" i="73"/>
  <c r="Q12" i="73"/>
  <c r="S12" i="73"/>
  <c r="O14" i="73"/>
  <c r="S14" i="73"/>
  <c r="O17" i="73"/>
  <c r="S17" i="73"/>
  <c r="O19" i="73"/>
  <c r="S19" i="73"/>
  <c r="O21" i="73"/>
  <c r="S21" i="73"/>
  <c r="O23" i="73"/>
  <c r="S23" i="73"/>
  <c r="J8" i="73"/>
  <c r="J10" i="73"/>
  <c r="J12" i="73"/>
  <c r="J14" i="73"/>
  <c r="J17" i="73"/>
  <c r="J19" i="73"/>
  <c r="J21" i="73"/>
  <c r="J23" i="73"/>
  <c r="J6" i="73"/>
  <c r="J9" i="73"/>
  <c r="J11" i="73"/>
  <c r="J13" i="73"/>
  <c r="J20" i="73"/>
  <c r="J22" i="73"/>
  <c r="Q21" i="73"/>
  <c r="Q11" i="73"/>
  <c r="Q19" i="73"/>
  <c r="O20" i="73"/>
  <c r="Q9" i="73"/>
  <c r="Q13" i="73"/>
  <c r="Q17" i="73"/>
  <c r="O6" i="73"/>
  <c r="Q8" i="73"/>
  <c r="Q23" i="73"/>
  <c r="O12" i="73"/>
  <c r="O22" i="73"/>
  <c r="Q10" i="73"/>
  <c r="Q14" i="73"/>
  <c r="S26" i="73" l="1"/>
  <c r="F7" i="69"/>
  <c r="F15" i="69"/>
  <c r="F16" i="69"/>
  <c r="F24" i="69"/>
  <c r="L16" i="73" l="1"/>
  <c r="F16" i="53"/>
  <c r="L15" i="73"/>
  <c r="F15" i="53"/>
  <c r="L7" i="73"/>
  <c r="F7" i="53"/>
  <c r="G27" i="73"/>
  <c r="D27" i="73"/>
  <c r="C3" i="73"/>
  <c r="L15" i="69"/>
  <c r="L16" i="69"/>
  <c r="L18" i="69"/>
  <c r="L7" i="69"/>
  <c r="L7" i="53" s="1"/>
  <c r="M12" i="69"/>
  <c r="L16" i="53" l="1"/>
  <c r="L15" i="53"/>
  <c r="L36" i="73"/>
  <c r="P27" i="73"/>
  <c r="K27" i="73"/>
  <c r="I27" i="73"/>
  <c r="J27" i="73"/>
  <c r="H27" i="73"/>
  <c r="E31" i="73"/>
  <c r="E27" i="73"/>
  <c r="E32" i="73"/>
  <c r="R27" i="73"/>
  <c r="C31" i="73"/>
  <c r="C27" i="73"/>
  <c r="L30" i="73" l="1"/>
  <c r="Q27" i="73"/>
  <c r="E34" i="73"/>
  <c r="C32" i="73"/>
  <c r="O27" i="73"/>
  <c r="F32" i="73"/>
  <c r="F31" i="73"/>
  <c r="F34" i="73" l="1"/>
  <c r="C34" i="73"/>
  <c r="M6" i="58" l="1"/>
  <c r="M8" i="58"/>
  <c r="M23" i="58"/>
  <c r="M23" i="53" s="1"/>
  <c r="M22" i="58"/>
  <c r="M21" i="58"/>
  <c r="M20" i="58"/>
  <c r="M19" i="58"/>
  <c r="M17" i="58"/>
  <c r="M14" i="58"/>
  <c r="M13" i="58"/>
  <c r="M12" i="58"/>
  <c r="M11" i="58"/>
  <c r="M10" i="58"/>
  <c r="M9" i="58"/>
  <c r="R23" i="69" l="1"/>
  <c r="S23" i="69" s="1"/>
  <c r="P23" i="69"/>
  <c r="K23" i="69"/>
  <c r="I23" i="69"/>
  <c r="H23" i="69"/>
  <c r="E23" i="69"/>
  <c r="C23" i="69" s="1"/>
  <c r="R22" i="69"/>
  <c r="S22" i="69" s="1"/>
  <c r="P22" i="69"/>
  <c r="K22" i="69"/>
  <c r="I22" i="69"/>
  <c r="H22" i="69"/>
  <c r="R21" i="69"/>
  <c r="S21" i="69" s="1"/>
  <c r="P21" i="69"/>
  <c r="K21" i="69"/>
  <c r="I21" i="69"/>
  <c r="H21" i="69"/>
  <c r="E21" i="69"/>
  <c r="C21" i="69" s="1"/>
  <c r="R20" i="69"/>
  <c r="S20" i="69" s="1"/>
  <c r="P20" i="69"/>
  <c r="K20" i="69"/>
  <c r="I20" i="69"/>
  <c r="H20" i="69"/>
  <c r="E20" i="69"/>
  <c r="C20" i="69" s="1"/>
  <c r="R19" i="69"/>
  <c r="S19" i="69" s="1"/>
  <c r="P19" i="69"/>
  <c r="K19" i="69"/>
  <c r="I19" i="69"/>
  <c r="H19" i="69"/>
  <c r="O18" i="69"/>
  <c r="N18" i="69"/>
  <c r="R17" i="69"/>
  <c r="S17" i="69" s="1"/>
  <c r="P17" i="69"/>
  <c r="K17" i="69"/>
  <c r="I17" i="69"/>
  <c r="H17" i="69"/>
  <c r="E17" i="69"/>
  <c r="C17" i="69" s="1"/>
  <c r="R15" i="69"/>
  <c r="S15" i="69" s="1"/>
  <c r="P15" i="69"/>
  <c r="R14" i="69"/>
  <c r="S14" i="69" s="1"/>
  <c r="P14" i="69"/>
  <c r="K14" i="69"/>
  <c r="I14" i="69"/>
  <c r="H14" i="69"/>
  <c r="R13" i="69"/>
  <c r="S13" i="69" s="1"/>
  <c r="P13" i="69"/>
  <c r="K13" i="69"/>
  <c r="I13" i="69"/>
  <c r="H13" i="69"/>
  <c r="E13" i="69"/>
  <c r="C13" i="69" s="1"/>
  <c r="R12" i="69"/>
  <c r="S12" i="69" s="1"/>
  <c r="P12" i="69"/>
  <c r="K12" i="69"/>
  <c r="I12" i="69"/>
  <c r="H12" i="69"/>
  <c r="R11" i="69"/>
  <c r="S11" i="69" s="1"/>
  <c r="P11" i="69"/>
  <c r="K11" i="69"/>
  <c r="I11" i="69"/>
  <c r="H11" i="69"/>
  <c r="E11" i="69"/>
  <c r="C11" i="69" s="1"/>
  <c r="R10" i="69"/>
  <c r="S10" i="69" s="1"/>
  <c r="P10" i="69"/>
  <c r="K10" i="69"/>
  <c r="I10" i="69"/>
  <c r="H10" i="69"/>
  <c r="E10" i="69"/>
  <c r="C10" i="69" s="1"/>
  <c r="R9" i="69"/>
  <c r="S9" i="69" s="1"/>
  <c r="P9" i="69"/>
  <c r="K9" i="69"/>
  <c r="I9" i="69"/>
  <c r="H9" i="69"/>
  <c r="R8" i="69"/>
  <c r="S8" i="69" s="1"/>
  <c r="P8" i="69"/>
  <c r="K8" i="69"/>
  <c r="I8" i="69"/>
  <c r="H8" i="69"/>
  <c r="R6" i="69"/>
  <c r="S6" i="69" s="1"/>
  <c r="P6" i="69"/>
  <c r="K6" i="69"/>
  <c r="I6" i="69"/>
  <c r="H6" i="69"/>
  <c r="E6" i="69"/>
  <c r="C6" i="69" s="1"/>
  <c r="G27" i="69"/>
  <c r="D27" i="69"/>
  <c r="B24" i="69"/>
  <c r="B23" i="69"/>
  <c r="B22" i="69"/>
  <c r="B21" i="69"/>
  <c r="B20" i="69"/>
  <c r="B19" i="69"/>
  <c r="B18" i="69"/>
  <c r="B17" i="69"/>
  <c r="B16" i="69"/>
  <c r="B15" i="69"/>
  <c r="B14" i="69"/>
  <c r="B13" i="69"/>
  <c r="B12" i="69"/>
  <c r="B11" i="69"/>
  <c r="B10" i="69"/>
  <c r="B9" i="69"/>
  <c r="B8" i="69"/>
  <c r="B7" i="69"/>
  <c r="B6" i="69"/>
  <c r="E6" i="58"/>
  <c r="N18" i="58"/>
  <c r="R9" i="58"/>
  <c r="R10" i="58"/>
  <c r="R11" i="58"/>
  <c r="S11" i="58" s="1"/>
  <c r="R12" i="58"/>
  <c r="S12" i="58" s="1"/>
  <c r="R13" i="58"/>
  <c r="R14" i="58"/>
  <c r="R15" i="58"/>
  <c r="S15" i="58" s="1"/>
  <c r="R16" i="58"/>
  <c r="S16" i="58" s="1"/>
  <c r="R17" i="58"/>
  <c r="R18" i="58"/>
  <c r="S18" i="58" s="1"/>
  <c r="R19" i="58"/>
  <c r="R20" i="58"/>
  <c r="R21" i="58"/>
  <c r="R22" i="58"/>
  <c r="R23" i="58"/>
  <c r="R8" i="58"/>
  <c r="R6" i="58"/>
  <c r="P8" i="58"/>
  <c r="P9" i="58"/>
  <c r="P10" i="58"/>
  <c r="P11" i="58"/>
  <c r="P12" i="58"/>
  <c r="P13" i="58"/>
  <c r="P14" i="58"/>
  <c r="P15" i="58"/>
  <c r="P16" i="58"/>
  <c r="P16" i="53" s="1"/>
  <c r="P17" i="58"/>
  <c r="P18" i="58"/>
  <c r="P18" i="53" s="1"/>
  <c r="P19" i="58"/>
  <c r="P20" i="58"/>
  <c r="P21" i="58"/>
  <c r="P22" i="58"/>
  <c r="P23" i="58"/>
  <c r="P6" i="58"/>
  <c r="O11" i="58"/>
  <c r="L19" i="58"/>
  <c r="L20" i="58"/>
  <c r="L21" i="58"/>
  <c r="L22" i="58"/>
  <c r="L23" i="58"/>
  <c r="L17" i="58"/>
  <c r="L14" i="58"/>
  <c r="L13" i="58"/>
  <c r="L12" i="58"/>
  <c r="L11" i="58"/>
  <c r="L10" i="58"/>
  <c r="L9" i="58"/>
  <c r="L8" i="58"/>
  <c r="L6" i="58"/>
  <c r="K23" i="58"/>
  <c r="K22" i="58"/>
  <c r="K21" i="58"/>
  <c r="K20" i="58"/>
  <c r="K19" i="58"/>
  <c r="K17" i="58"/>
  <c r="K14" i="58"/>
  <c r="K13" i="58"/>
  <c r="K12" i="58"/>
  <c r="K11" i="58"/>
  <c r="K10" i="58"/>
  <c r="K9" i="58"/>
  <c r="K8" i="58"/>
  <c r="K6" i="58"/>
  <c r="I23" i="58"/>
  <c r="I22" i="58"/>
  <c r="I21" i="58"/>
  <c r="I20" i="58"/>
  <c r="I19" i="58"/>
  <c r="I17" i="58"/>
  <c r="I14" i="58"/>
  <c r="I13" i="58"/>
  <c r="I12" i="58"/>
  <c r="I11" i="58"/>
  <c r="I10" i="58"/>
  <c r="I9" i="58"/>
  <c r="I8" i="58"/>
  <c r="I6" i="58"/>
  <c r="H23" i="58"/>
  <c r="H22" i="58"/>
  <c r="H21" i="58"/>
  <c r="H20" i="58"/>
  <c r="H19" i="58"/>
  <c r="H17" i="58"/>
  <c r="H14" i="58"/>
  <c r="H13" i="58"/>
  <c r="H12" i="58"/>
  <c r="H11" i="58"/>
  <c r="H10" i="58"/>
  <c r="H9" i="58"/>
  <c r="H8" i="58"/>
  <c r="H6" i="58"/>
  <c r="E20" i="58"/>
  <c r="C20" i="58" s="1"/>
  <c r="E21" i="58"/>
  <c r="C21" i="58" s="1"/>
  <c r="E22" i="58"/>
  <c r="C22" i="58" s="1"/>
  <c r="E23" i="58"/>
  <c r="C23" i="58" s="1"/>
  <c r="E19" i="58"/>
  <c r="C19" i="58" s="1"/>
  <c r="E17" i="58"/>
  <c r="C17" i="58" s="1"/>
  <c r="E13" i="58"/>
  <c r="C13" i="58" s="1"/>
  <c r="E11" i="58"/>
  <c r="C11" i="58" s="1"/>
  <c r="E10" i="58"/>
  <c r="C10" i="58" s="1"/>
  <c r="E9" i="58"/>
  <c r="C9" i="58" s="1"/>
  <c r="E8" i="58"/>
  <c r="C8" i="58" s="1"/>
  <c r="O23" i="58" l="1"/>
  <c r="S23" i="58"/>
  <c r="O19" i="58"/>
  <c r="S19" i="58"/>
  <c r="O22" i="58"/>
  <c r="S22" i="58"/>
  <c r="O14" i="58"/>
  <c r="S14" i="58"/>
  <c r="O10" i="58"/>
  <c r="S10" i="58"/>
  <c r="S26" i="69"/>
  <c r="O6" i="58"/>
  <c r="S6" i="58"/>
  <c r="O21" i="58"/>
  <c r="S21" i="58"/>
  <c r="O17" i="58"/>
  <c r="S17" i="58"/>
  <c r="O13" i="58"/>
  <c r="S13" i="58"/>
  <c r="O9" i="58"/>
  <c r="S9" i="58"/>
  <c r="O8" i="58"/>
  <c r="S8" i="58"/>
  <c r="O20" i="58"/>
  <c r="S20" i="58"/>
  <c r="I10" i="53"/>
  <c r="P14" i="53"/>
  <c r="P22" i="53"/>
  <c r="I23" i="53"/>
  <c r="I6" i="53"/>
  <c r="P11" i="53"/>
  <c r="I8" i="53"/>
  <c r="I19" i="53"/>
  <c r="P17" i="53"/>
  <c r="P12" i="53"/>
  <c r="P20" i="53"/>
  <c r="P6" i="53"/>
  <c r="I9" i="53"/>
  <c r="P10" i="53"/>
  <c r="I11" i="53"/>
  <c r="I14" i="53"/>
  <c r="P15" i="53"/>
  <c r="I17" i="53"/>
  <c r="I22" i="53"/>
  <c r="P23" i="53"/>
  <c r="P9" i="53"/>
  <c r="O18" i="58"/>
  <c r="I13" i="53"/>
  <c r="I21" i="53"/>
  <c r="P8" i="53"/>
  <c r="I12" i="53"/>
  <c r="P13" i="53"/>
  <c r="P19" i="53"/>
  <c r="I20" i="53"/>
  <c r="P21" i="53"/>
  <c r="H13" i="53"/>
  <c r="O13" i="69"/>
  <c r="O19" i="69"/>
  <c r="H21" i="53"/>
  <c r="H11" i="53"/>
  <c r="O14" i="69"/>
  <c r="H22" i="53"/>
  <c r="H19" i="53"/>
  <c r="H9" i="53"/>
  <c r="H17" i="53"/>
  <c r="O17" i="69"/>
  <c r="O22" i="69"/>
  <c r="H12" i="53"/>
  <c r="O12" i="69"/>
  <c r="H20" i="53"/>
  <c r="O20" i="69"/>
  <c r="H8" i="53"/>
  <c r="O8" i="69"/>
  <c r="O21" i="69"/>
  <c r="O11" i="69"/>
  <c r="H14" i="53"/>
  <c r="H6" i="53"/>
  <c r="O6" i="69"/>
  <c r="H10" i="53"/>
  <c r="O10" i="69"/>
  <c r="H23" i="53"/>
  <c r="O23" i="69"/>
  <c r="L6" i="69"/>
  <c r="L8" i="69"/>
  <c r="L12" i="69"/>
  <c r="L19" i="69"/>
  <c r="L11" i="69"/>
  <c r="L17" i="69"/>
  <c r="L22" i="69"/>
  <c r="L9" i="69"/>
  <c r="L13" i="69"/>
  <c r="L20" i="69"/>
  <c r="L10" i="69"/>
  <c r="L14" i="69"/>
  <c r="L21" i="69"/>
  <c r="F18" i="69"/>
  <c r="J8" i="69"/>
  <c r="J13" i="69"/>
  <c r="J19" i="69"/>
  <c r="J21" i="69"/>
  <c r="J9" i="69"/>
  <c r="J11" i="69"/>
  <c r="J17" i="69"/>
  <c r="J22" i="69"/>
  <c r="J23" i="58"/>
  <c r="L23" i="69"/>
  <c r="J12" i="69"/>
  <c r="J20" i="69"/>
  <c r="J6" i="69"/>
  <c r="J10" i="69"/>
  <c r="J23" i="69"/>
  <c r="J6" i="58"/>
  <c r="J22" i="58"/>
  <c r="J8" i="58"/>
  <c r="J19" i="58"/>
  <c r="J10" i="58"/>
  <c r="J21" i="58"/>
  <c r="J11" i="58"/>
  <c r="J17" i="58"/>
  <c r="J9" i="58"/>
  <c r="J13" i="58"/>
  <c r="J20" i="58"/>
  <c r="Q21" i="69"/>
  <c r="Q8" i="69"/>
  <c r="Q17" i="69"/>
  <c r="Q20" i="69"/>
  <c r="Q9" i="69"/>
  <c r="P27" i="69"/>
  <c r="Q12" i="69"/>
  <c r="I27" i="69"/>
  <c r="Q23" i="69"/>
  <c r="Q19" i="69"/>
  <c r="Q13" i="69"/>
  <c r="K27" i="69"/>
  <c r="Q6" i="69"/>
  <c r="Q22" i="69"/>
  <c r="H27" i="69"/>
  <c r="Q10" i="69"/>
  <c r="Q11" i="69"/>
  <c r="Q14" i="69"/>
  <c r="R27" i="69"/>
  <c r="S26" i="58" l="1"/>
  <c r="P27" i="53"/>
  <c r="I27" i="53"/>
  <c r="H27" i="53"/>
  <c r="L18" i="73"/>
  <c r="N6" i="69"/>
  <c r="F6" i="69" s="1"/>
  <c r="N23" i="69"/>
  <c r="Q27" i="69"/>
  <c r="F18" i="73" l="1"/>
  <c r="D3" i="53"/>
  <c r="L6" i="73"/>
  <c r="F23" i="69"/>
  <c r="F8" i="58"/>
  <c r="F6" i="58"/>
  <c r="L18" i="61" l="1"/>
  <c r="L23" i="73"/>
  <c r="N6" i="73"/>
  <c r="F6" i="73" s="1"/>
  <c r="L6" i="61" s="1"/>
  <c r="C23" i="44"/>
  <c r="C17" i="44"/>
  <c r="C14" i="44"/>
  <c r="C23" i="55"/>
  <c r="C17" i="55"/>
  <c r="C14" i="55"/>
  <c r="C23" i="42"/>
  <c r="C17" i="42"/>
  <c r="C14" i="42"/>
  <c r="C23" i="38"/>
  <c r="C17" i="38"/>
  <c r="C14" i="38"/>
  <c r="N6" i="61" l="1"/>
  <c r="F6" i="61" s="1"/>
  <c r="L6" i="62" s="1"/>
  <c r="N6" i="62" s="1"/>
  <c r="F6" i="62" s="1"/>
  <c r="L6" i="63" s="1"/>
  <c r="N6" i="63" s="1"/>
  <c r="F6" i="63" s="1"/>
  <c r="L6" i="64" s="1"/>
  <c r="F18" i="61"/>
  <c r="F23" i="73"/>
  <c r="C3" i="69"/>
  <c r="L30" i="69" s="1"/>
  <c r="N6" i="64" l="1"/>
  <c r="F6" i="64" s="1"/>
  <c r="L6" i="65" s="1"/>
  <c r="L23" i="61"/>
  <c r="L18" i="62"/>
  <c r="D27" i="58"/>
  <c r="G27" i="58"/>
  <c r="C3" i="58"/>
  <c r="D31" i="57"/>
  <c r="D30" i="57"/>
  <c r="N6" i="65" l="1"/>
  <c r="F6" i="65" s="1"/>
  <c r="F18" i="62"/>
  <c r="L18" i="63" s="1"/>
  <c r="F23" i="61"/>
  <c r="N17" i="58"/>
  <c r="N19" i="58"/>
  <c r="N20" i="58"/>
  <c r="N21" i="58"/>
  <c r="N22" i="58"/>
  <c r="N23" i="58"/>
  <c r="N8" i="58"/>
  <c r="N9" i="58"/>
  <c r="N10" i="58"/>
  <c r="N11" i="58"/>
  <c r="N13" i="58"/>
  <c r="N6" i="58"/>
  <c r="M7" i="57"/>
  <c r="M8" i="57"/>
  <c r="M9" i="57"/>
  <c r="M10" i="57"/>
  <c r="M11" i="57"/>
  <c r="M12" i="57"/>
  <c r="M13" i="57"/>
  <c r="M14" i="57"/>
  <c r="M15" i="57"/>
  <c r="M16" i="57"/>
  <c r="M17" i="57"/>
  <c r="M18" i="57"/>
  <c r="M19" i="57"/>
  <c r="M20" i="57"/>
  <c r="M21" i="57"/>
  <c r="M22" i="57"/>
  <c r="M23" i="57"/>
  <c r="M24" i="57"/>
  <c r="L6" i="66" l="1"/>
  <c r="M6" i="74"/>
  <c r="L23" i="62"/>
  <c r="M27" i="58"/>
  <c r="F9" i="58"/>
  <c r="F10" i="58"/>
  <c r="F11" i="58"/>
  <c r="F12" i="58"/>
  <c r="F13" i="58"/>
  <c r="F14" i="58"/>
  <c r="F17" i="58"/>
  <c r="F19" i="58"/>
  <c r="F20" i="58"/>
  <c r="F21" i="58"/>
  <c r="F22" i="58"/>
  <c r="F23" i="58"/>
  <c r="B7" i="58"/>
  <c r="N6" i="66" l="1"/>
  <c r="F6" i="66" s="1"/>
  <c r="F6" i="53" s="1"/>
  <c r="L6" i="53"/>
  <c r="O6" i="74"/>
  <c r="F18" i="63"/>
  <c r="F23" i="62"/>
  <c r="L37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F27" i="58"/>
  <c r="B6" i="58"/>
  <c r="E28" i="74" l="1"/>
  <c r="O24" i="74"/>
  <c r="E29" i="74"/>
  <c r="G6" i="74"/>
  <c r="M6" i="75" s="1"/>
  <c r="L23" i="63"/>
  <c r="L18" i="64"/>
  <c r="L27" i="58"/>
  <c r="H27" i="58"/>
  <c r="P27" i="58"/>
  <c r="I27" i="58"/>
  <c r="R27" i="58"/>
  <c r="K27" i="58"/>
  <c r="Q9" i="58"/>
  <c r="Q12" i="58"/>
  <c r="Q17" i="58"/>
  <c r="Q20" i="58"/>
  <c r="Q14" i="58"/>
  <c r="Q22" i="58"/>
  <c r="Q8" i="58"/>
  <c r="Q11" i="58"/>
  <c r="Q13" i="58"/>
  <c r="Q19" i="58"/>
  <c r="Q21" i="58"/>
  <c r="Q10" i="58"/>
  <c r="Q23" i="58"/>
  <c r="Q6" i="58"/>
  <c r="O6" i="75" l="1"/>
  <c r="E31" i="74"/>
  <c r="F18" i="64"/>
  <c r="F23" i="63"/>
  <c r="L30" i="58"/>
  <c r="Q27" i="58"/>
  <c r="G6" i="75" l="1"/>
  <c r="L23" i="64"/>
  <c r="L18" i="65"/>
  <c r="C22" i="42"/>
  <c r="M6" i="76" l="1"/>
  <c r="F18" i="65"/>
  <c r="F23" i="64"/>
  <c r="R8" i="57"/>
  <c r="R9" i="57"/>
  <c r="R10" i="57"/>
  <c r="R11" i="57"/>
  <c r="R12" i="57"/>
  <c r="R13" i="57"/>
  <c r="R14" i="57"/>
  <c r="R17" i="57"/>
  <c r="R18" i="57"/>
  <c r="R19" i="57"/>
  <c r="R20" i="57"/>
  <c r="R21" i="57"/>
  <c r="R22" i="57"/>
  <c r="R23" i="57"/>
  <c r="R24" i="57"/>
  <c r="R6" i="57"/>
  <c r="E19" i="57"/>
  <c r="O6" i="76" l="1"/>
  <c r="L23" i="65"/>
  <c r="L18" i="66"/>
  <c r="R8" i="56"/>
  <c r="R8" i="53" s="1"/>
  <c r="V8" i="53" s="1"/>
  <c r="R9" i="56"/>
  <c r="R9" i="53" s="1"/>
  <c r="V9" i="53" s="1"/>
  <c r="R10" i="56"/>
  <c r="R10" i="53" s="1"/>
  <c r="V10" i="53" s="1"/>
  <c r="R11" i="56"/>
  <c r="R11" i="53" s="1"/>
  <c r="V11" i="53" s="1"/>
  <c r="R12" i="56"/>
  <c r="R12" i="53" s="1"/>
  <c r="V12" i="53" s="1"/>
  <c r="R13" i="56"/>
  <c r="R13" i="53" s="1"/>
  <c r="V13" i="53" s="1"/>
  <c r="R14" i="56"/>
  <c r="R14" i="53" s="1"/>
  <c r="V14" i="53" s="1"/>
  <c r="R15" i="56"/>
  <c r="R16" i="56"/>
  <c r="R17" i="56"/>
  <c r="R17" i="53" s="1"/>
  <c r="V17" i="53" s="1"/>
  <c r="R19" i="56"/>
  <c r="R19" i="53" s="1"/>
  <c r="V19" i="53" s="1"/>
  <c r="R20" i="56"/>
  <c r="R20" i="53" s="1"/>
  <c r="V20" i="53" s="1"/>
  <c r="R21" i="56"/>
  <c r="R21" i="53" s="1"/>
  <c r="V21" i="53" s="1"/>
  <c r="R22" i="56"/>
  <c r="R22" i="53" s="1"/>
  <c r="R23" i="56"/>
  <c r="R23" i="53" s="1"/>
  <c r="V23" i="53" s="1"/>
  <c r="R24" i="56"/>
  <c r="R6" i="56"/>
  <c r="R6" i="53" s="1"/>
  <c r="V6" i="53" s="1"/>
  <c r="E8" i="56"/>
  <c r="E9" i="56"/>
  <c r="E10" i="56"/>
  <c r="E11" i="56"/>
  <c r="E12" i="56"/>
  <c r="E13" i="56"/>
  <c r="E14" i="56"/>
  <c r="C14" i="56" s="1"/>
  <c r="E17" i="56"/>
  <c r="C17" i="56" s="1"/>
  <c r="E19" i="56"/>
  <c r="E20" i="56"/>
  <c r="E21" i="56"/>
  <c r="E22" i="56"/>
  <c r="E23" i="56"/>
  <c r="C23" i="56" s="1"/>
  <c r="E6" i="56"/>
  <c r="G6" i="76" l="1"/>
  <c r="V27" i="53"/>
  <c r="R27" i="53"/>
  <c r="R30" i="53" s="1"/>
  <c r="F18" i="66"/>
  <c r="F18" i="53" s="1"/>
  <c r="L18" i="53"/>
  <c r="F23" i="65"/>
  <c r="D33" i="38"/>
  <c r="M21" i="74" l="1"/>
  <c r="G21" i="74" s="1"/>
  <c r="M21" i="75" s="1"/>
  <c r="L23" i="66"/>
  <c r="C30" i="42"/>
  <c r="D31" i="56"/>
  <c r="D30" i="56"/>
  <c r="D30" i="44"/>
  <c r="D31" i="55"/>
  <c r="D30" i="55"/>
  <c r="D31" i="42"/>
  <c r="D30" i="42"/>
  <c r="J39" i="38"/>
  <c r="J38" i="38"/>
  <c r="K38" i="38" s="1"/>
  <c r="J36" i="42"/>
  <c r="J35" i="42"/>
  <c r="F31" i="55"/>
  <c r="F31" i="57"/>
  <c r="F31" i="42"/>
  <c r="F30" i="55"/>
  <c r="F30" i="44"/>
  <c r="F30" i="56"/>
  <c r="F30" i="57"/>
  <c r="F30" i="42"/>
  <c r="E31" i="55"/>
  <c r="E31" i="44"/>
  <c r="E31" i="56"/>
  <c r="E31" i="57"/>
  <c r="E31" i="42"/>
  <c r="E30" i="55"/>
  <c r="E30" i="44"/>
  <c r="E30" i="56"/>
  <c r="E30" i="57"/>
  <c r="E30" i="42"/>
  <c r="C31" i="55"/>
  <c r="C31" i="44"/>
  <c r="C31" i="42"/>
  <c r="C30" i="55"/>
  <c r="C30" i="44"/>
  <c r="J36" i="56"/>
  <c r="J35" i="56"/>
  <c r="J36" i="44"/>
  <c r="J35" i="44"/>
  <c r="J35" i="55"/>
  <c r="F33" i="55"/>
  <c r="F34" i="38"/>
  <c r="F33" i="38"/>
  <c r="E34" i="38"/>
  <c r="F26" i="38"/>
  <c r="F11" i="42"/>
  <c r="F12" i="55"/>
  <c r="J36" i="55" s="1"/>
  <c r="F13" i="42"/>
  <c r="F13" i="55" s="1"/>
  <c r="F13" i="44" s="1"/>
  <c r="F13" i="57" s="1"/>
  <c r="F11" i="55"/>
  <c r="F11" i="44" s="1"/>
  <c r="F11" i="57" s="1"/>
  <c r="F15" i="55"/>
  <c r="F15" i="44" s="1"/>
  <c r="F6" i="55"/>
  <c r="F7" i="42"/>
  <c r="F7" i="55" s="1"/>
  <c r="F7" i="44" s="1"/>
  <c r="F7" i="57" s="1"/>
  <c r="F8" i="42"/>
  <c r="F8" i="55" s="1"/>
  <c r="F8" i="44" s="1"/>
  <c r="F9" i="42"/>
  <c r="F9" i="55" s="1"/>
  <c r="F9" i="44" s="1"/>
  <c r="F10" i="42"/>
  <c r="F10" i="55" s="1"/>
  <c r="F10" i="44" s="1"/>
  <c r="F14" i="42"/>
  <c r="F14" i="55" s="1"/>
  <c r="F14" i="44" s="1"/>
  <c r="F15" i="42"/>
  <c r="F16" i="42"/>
  <c r="F16" i="55" s="1"/>
  <c r="F16" i="44" s="1"/>
  <c r="F16" i="56" s="1"/>
  <c r="F17" i="42"/>
  <c r="F17" i="44" s="1"/>
  <c r="F18" i="42"/>
  <c r="F18" i="55" s="1"/>
  <c r="F18" i="44" s="1"/>
  <c r="F19" i="42"/>
  <c r="F19" i="55" s="1"/>
  <c r="F19" i="44" s="1"/>
  <c r="F20" i="42"/>
  <c r="F20" i="55" s="1"/>
  <c r="F20" i="44" s="1"/>
  <c r="F21" i="42"/>
  <c r="F21" i="55" s="1"/>
  <c r="F21" i="44" s="1"/>
  <c r="F21" i="56" s="1"/>
  <c r="F22" i="42"/>
  <c r="F22" i="55" s="1"/>
  <c r="F22" i="44" s="1"/>
  <c r="F22" i="57" s="1"/>
  <c r="F23" i="42"/>
  <c r="F23" i="55" s="1"/>
  <c r="F23" i="44" s="1"/>
  <c r="F23" i="57" s="1"/>
  <c r="F24" i="42"/>
  <c r="F24" i="55" s="1"/>
  <c r="F24" i="44" s="1"/>
  <c r="F6" i="42"/>
  <c r="G21" i="75" l="1"/>
  <c r="M21" i="76" s="1"/>
  <c r="F23" i="66"/>
  <c r="F23" i="53" s="1"/>
  <c r="L23" i="53"/>
  <c r="C33" i="55"/>
  <c r="J28" i="55" s="1"/>
  <c r="E33" i="57"/>
  <c r="C33" i="42"/>
  <c r="J28" i="42" s="1"/>
  <c r="K35" i="42"/>
  <c r="K35" i="55" s="1"/>
  <c r="K35" i="44" s="1"/>
  <c r="F33" i="57"/>
  <c r="D33" i="55"/>
  <c r="D33" i="42"/>
  <c r="E33" i="56"/>
  <c r="D33" i="57"/>
  <c r="D33" i="56"/>
  <c r="G31" i="55"/>
  <c r="F33" i="42"/>
  <c r="G31" i="42"/>
  <c r="E33" i="55"/>
  <c r="E33" i="44"/>
  <c r="C33" i="44"/>
  <c r="J28" i="44" s="1"/>
  <c r="J29" i="44" s="1"/>
  <c r="G30" i="55"/>
  <c r="G30" i="44"/>
  <c r="G30" i="42"/>
  <c r="E33" i="42"/>
  <c r="F9" i="56"/>
  <c r="F9" i="57"/>
  <c r="F21" i="57"/>
  <c r="F13" i="56"/>
  <c r="F11" i="56"/>
  <c r="F18" i="57"/>
  <c r="F18" i="56"/>
  <c r="F14" i="56"/>
  <c r="F14" i="57"/>
  <c r="F24" i="56"/>
  <c r="F24" i="57"/>
  <c r="F20" i="56"/>
  <c r="F20" i="57"/>
  <c r="F10" i="56"/>
  <c r="F10" i="57"/>
  <c r="F6" i="44"/>
  <c r="F26" i="55"/>
  <c r="F19" i="57"/>
  <c r="F19" i="56"/>
  <c r="F8" i="56"/>
  <c r="F8" i="57"/>
  <c r="F15" i="57"/>
  <c r="F15" i="56"/>
  <c r="F23" i="56"/>
  <c r="F22" i="56"/>
  <c r="F7" i="56"/>
  <c r="F16" i="57"/>
  <c r="F26" i="42"/>
  <c r="G21" i="76" l="1"/>
  <c r="K35" i="56"/>
  <c r="J29" i="55"/>
  <c r="J31" i="55" s="1"/>
  <c r="J29" i="42"/>
  <c r="J31" i="42" s="1"/>
  <c r="G33" i="55"/>
  <c r="G33" i="42"/>
  <c r="F12" i="56"/>
  <c r="F12" i="57"/>
  <c r="F26" i="44"/>
  <c r="F6" i="56"/>
  <c r="F6" i="57"/>
  <c r="F26" i="56" l="1"/>
  <c r="J36" i="57"/>
  <c r="F26" i="57"/>
  <c r="Q7" i="44" l="1"/>
  <c r="Q8" i="44"/>
  <c r="Q9" i="44"/>
  <c r="Q10" i="44"/>
  <c r="Q11" i="44"/>
  <c r="Q12" i="44"/>
  <c r="Q13" i="44"/>
  <c r="Q14" i="44"/>
  <c r="Q15" i="44"/>
  <c r="Q16" i="44"/>
  <c r="Q17" i="44"/>
  <c r="Q18" i="44"/>
  <c r="Q19" i="44"/>
  <c r="Q20" i="44"/>
  <c r="Q21" i="44"/>
  <c r="Q22" i="44"/>
  <c r="Q23" i="44"/>
  <c r="F31" i="44" s="1"/>
  <c r="Q24" i="44"/>
  <c r="F33" i="44" l="1"/>
  <c r="M7" i="44"/>
  <c r="L7" i="44" s="1"/>
  <c r="M8" i="44"/>
  <c r="M9" i="44"/>
  <c r="L9" i="44" s="1"/>
  <c r="M10" i="44"/>
  <c r="L10" i="44" s="1"/>
  <c r="M11" i="44"/>
  <c r="L11" i="44" s="1"/>
  <c r="M12" i="44"/>
  <c r="M13" i="44"/>
  <c r="L13" i="44" s="1"/>
  <c r="M14" i="44"/>
  <c r="L14" i="44" s="1"/>
  <c r="M15" i="44"/>
  <c r="L15" i="44" s="1"/>
  <c r="M16" i="44"/>
  <c r="M17" i="44"/>
  <c r="M18" i="44"/>
  <c r="L18" i="44" s="1"/>
  <c r="M19" i="44"/>
  <c r="M20" i="44"/>
  <c r="M21" i="44"/>
  <c r="L21" i="44" s="1"/>
  <c r="M22" i="44"/>
  <c r="L22" i="44" s="1"/>
  <c r="M23" i="44"/>
  <c r="L23" i="44" s="1"/>
  <c r="M24" i="44"/>
  <c r="L8" i="44"/>
  <c r="L12" i="44"/>
  <c r="L16" i="44"/>
  <c r="L20" i="44"/>
  <c r="L24" i="44"/>
  <c r="L22" i="56"/>
  <c r="L17" i="57"/>
  <c r="L10" i="57"/>
  <c r="L7" i="57"/>
  <c r="L8" i="57"/>
  <c r="L9" i="57"/>
  <c r="L11" i="57"/>
  <c r="L12" i="57"/>
  <c r="L13" i="57"/>
  <c r="L14" i="57"/>
  <c r="L15" i="57"/>
  <c r="L16" i="57"/>
  <c r="L21" i="57"/>
  <c r="L22" i="57"/>
  <c r="L23" i="57"/>
  <c r="M6" i="57"/>
  <c r="L6" i="57" s="1"/>
  <c r="M7" i="56"/>
  <c r="M8" i="56"/>
  <c r="L8" i="56" s="1"/>
  <c r="M9" i="56"/>
  <c r="L9" i="56" s="1"/>
  <c r="M10" i="56"/>
  <c r="L10" i="56" s="1"/>
  <c r="M11" i="56"/>
  <c r="L11" i="56" s="1"/>
  <c r="M12" i="56"/>
  <c r="L12" i="56" s="1"/>
  <c r="M13" i="56"/>
  <c r="L13" i="56" s="1"/>
  <c r="M14" i="56"/>
  <c r="L14" i="56" s="1"/>
  <c r="M15" i="56"/>
  <c r="L15" i="56" s="1"/>
  <c r="M16" i="56"/>
  <c r="L16" i="56" s="1"/>
  <c r="M17" i="56"/>
  <c r="L17" i="56" s="1"/>
  <c r="M18" i="56"/>
  <c r="L18" i="56" s="1"/>
  <c r="M19" i="56"/>
  <c r="M20" i="56"/>
  <c r="L20" i="56" s="1"/>
  <c r="M21" i="56"/>
  <c r="L21" i="56" s="1"/>
  <c r="M22" i="56"/>
  <c r="M23" i="56"/>
  <c r="L23" i="56" s="1"/>
  <c r="M24" i="56"/>
  <c r="L24" i="56" s="1"/>
  <c r="M6" i="56"/>
  <c r="L6" i="56" s="1"/>
  <c r="P26" i="68"/>
  <c r="O26" i="68"/>
  <c r="J25" i="68"/>
  <c r="M25" i="68" s="1"/>
  <c r="F25" i="68"/>
  <c r="E25" i="68"/>
  <c r="B25" i="68"/>
  <c r="J24" i="68"/>
  <c r="M24" i="68" s="1"/>
  <c r="F24" i="68"/>
  <c r="E24" i="68"/>
  <c r="B24" i="68"/>
  <c r="J23" i="68"/>
  <c r="M23" i="68" s="1"/>
  <c r="F23" i="68"/>
  <c r="E23" i="68"/>
  <c r="B23" i="68"/>
  <c r="J22" i="68"/>
  <c r="M22" i="68" s="1"/>
  <c r="F22" i="68"/>
  <c r="E22" i="68"/>
  <c r="B22" i="68"/>
  <c r="J21" i="68"/>
  <c r="M21" i="68" s="1"/>
  <c r="F21" i="68"/>
  <c r="E21" i="68"/>
  <c r="B21" i="68"/>
  <c r="J20" i="68"/>
  <c r="M20" i="68" s="1"/>
  <c r="F20" i="68"/>
  <c r="E20" i="68"/>
  <c r="B20" i="68"/>
  <c r="J19" i="68"/>
  <c r="M19" i="68" s="1"/>
  <c r="F19" i="68"/>
  <c r="E19" i="68"/>
  <c r="B19" i="68"/>
  <c r="J18" i="68"/>
  <c r="M18" i="68" s="1"/>
  <c r="F18" i="68"/>
  <c r="E18" i="68"/>
  <c r="B18" i="68"/>
  <c r="J17" i="68"/>
  <c r="M17" i="68" s="1"/>
  <c r="F17" i="68"/>
  <c r="E17" i="68"/>
  <c r="B17" i="68"/>
  <c r="J16" i="68"/>
  <c r="M16" i="68" s="1"/>
  <c r="F16" i="68"/>
  <c r="E16" i="68"/>
  <c r="B16" i="68"/>
  <c r="J15" i="68"/>
  <c r="M15" i="68" s="1"/>
  <c r="F15" i="68"/>
  <c r="E15" i="68"/>
  <c r="B15" i="68"/>
  <c r="J14" i="68"/>
  <c r="M14" i="68" s="1"/>
  <c r="F14" i="68"/>
  <c r="E14" i="68"/>
  <c r="B14" i="68"/>
  <c r="J13" i="68"/>
  <c r="I13" i="68"/>
  <c r="H13" i="68"/>
  <c r="G13" i="68"/>
  <c r="F13" i="68"/>
  <c r="E13" i="68"/>
  <c r="D13" i="68"/>
  <c r="C13" i="68"/>
  <c r="B13" i="68"/>
  <c r="J12" i="68"/>
  <c r="M12" i="68" s="1"/>
  <c r="I12" i="68"/>
  <c r="H12" i="68"/>
  <c r="G12" i="68"/>
  <c r="F12" i="68"/>
  <c r="E12" i="68"/>
  <c r="D12" i="68"/>
  <c r="C12" i="68"/>
  <c r="B12" i="68"/>
  <c r="J11" i="68"/>
  <c r="M11" i="68" s="1"/>
  <c r="F11" i="68"/>
  <c r="E11" i="68"/>
  <c r="B11" i="68"/>
  <c r="J10" i="68"/>
  <c r="M10" i="68" s="1"/>
  <c r="F10" i="68"/>
  <c r="E10" i="68"/>
  <c r="B10" i="68"/>
  <c r="J9" i="68"/>
  <c r="M9" i="68" s="1"/>
  <c r="I9" i="68"/>
  <c r="H9" i="68"/>
  <c r="G9" i="68"/>
  <c r="F9" i="68"/>
  <c r="E9" i="68"/>
  <c r="D9" i="68"/>
  <c r="C9" i="68"/>
  <c r="B9" i="68"/>
  <c r="J8" i="68"/>
  <c r="M8" i="68" s="1"/>
  <c r="F8" i="68"/>
  <c r="E8" i="68"/>
  <c r="B8" i="68"/>
  <c r="J7" i="68"/>
  <c r="M7" i="68" s="1"/>
  <c r="F7" i="68"/>
  <c r="E7" i="68"/>
  <c r="B7" i="68"/>
  <c r="J6" i="68"/>
  <c r="J27" i="68" s="1"/>
  <c r="F6" i="68"/>
  <c r="F27" i="68" s="1"/>
  <c r="E6" i="68"/>
  <c r="E27" i="68" s="1"/>
  <c r="B6" i="68"/>
  <c r="R26" i="57"/>
  <c r="P26" i="57"/>
  <c r="O26" i="57"/>
  <c r="K26" i="57"/>
  <c r="I26" i="57"/>
  <c r="H26" i="57"/>
  <c r="Q24" i="57"/>
  <c r="L24" i="57"/>
  <c r="B24" i="57"/>
  <c r="Q23" i="57"/>
  <c r="B23" i="57"/>
  <c r="Q22" i="57"/>
  <c r="B22" i="57"/>
  <c r="Q21" i="57"/>
  <c r="B21" i="57"/>
  <c r="Q20" i="57"/>
  <c r="L20" i="57"/>
  <c r="B20" i="57"/>
  <c r="Q19" i="57"/>
  <c r="L19" i="57"/>
  <c r="D19" i="57"/>
  <c r="C19" i="57"/>
  <c r="B19" i="57"/>
  <c r="Q18" i="57"/>
  <c r="Q18" i="53" s="1"/>
  <c r="L18" i="57"/>
  <c r="B18" i="57"/>
  <c r="Q17" i="57"/>
  <c r="B17" i="57"/>
  <c r="B16" i="57"/>
  <c r="B15" i="57"/>
  <c r="Q14" i="57"/>
  <c r="B14" i="57"/>
  <c r="Q13" i="57"/>
  <c r="B13" i="57"/>
  <c r="Q12" i="57"/>
  <c r="B12" i="57"/>
  <c r="Q11" i="57"/>
  <c r="B11" i="57"/>
  <c r="Q10" i="57"/>
  <c r="B10" i="57"/>
  <c r="Q9" i="57"/>
  <c r="B9" i="57"/>
  <c r="Q8" i="57"/>
  <c r="B8" i="57"/>
  <c r="Q7" i="57"/>
  <c r="D7" i="57"/>
  <c r="C7" i="57"/>
  <c r="B7" i="57"/>
  <c r="Q6" i="57"/>
  <c r="B6" i="57"/>
  <c r="D22" i="44"/>
  <c r="C22" i="44"/>
  <c r="B22" i="44"/>
  <c r="D7" i="44"/>
  <c r="C7" i="44"/>
  <c r="B7" i="44"/>
  <c r="D7" i="38"/>
  <c r="D8" i="38"/>
  <c r="M6" i="44"/>
  <c r="R26" i="56"/>
  <c r="P26" i="56"/>
  <c r="O26" i="56"/>
  <c r="K26" i="56"/>
  <c r="I26" i="56"/>
  <c r="H26" i="56"/>
  <c r="Q24" i="56"/>
  <c r="D24" i="56"/>
  <c r="B24" i="56"/>
  <c r="Q23" i="56"/>
  <c r="D23" i="56"/>
  <c r="B23" i="56"/>
  <c r="Q22" i="56"/>
  <c r="Q22" i="53" s="1"/>
  <c r="D22" i="56"/>
  <c r="C22" i="56"/>
  <c r="B22" i="56"/>
  <c r="Q21" i="56"/>
  <c r="D21" i="56"/>
  <c r="C21" i="56"/>
  <c r="B21" i="56"/>
  <c r="Q20" i="56"/>
  <c r="Q20" i="53" s="1"/>
  <c r="D20" i="56"/>
  <c r="C20" i="56"/>
  <c r="B20" i="56"/>
  <c r="Q19" i="56"/>
  <c r="Q19" i="53" s="1"/>
  <c r="D19" i="56"/>
  <c r="D19" i="53" s="1"/>
  <c r="C19" i="56"/>
  <c r="B19" i="56"/>
  <c r="Q18" i="56"/>
  <c r="D18" i="56"/>
  <c r="B18" i="56"/>
  <c r="Q17" i="56"/>
  <c r="D17" i="56"/>
  <c r="B17" i="56"/>
  <c r="Q16" i="56"/>
  <c r="Q16" i="53" s="1"/>
  <c r="D16" i="56"/>
  <c r="B16" i="56"/>
  <c r="Q15" i="56"/>
  <c r="Q15" i="53" s="1"/>
  <c r="D15" i="56"/>
  <c r="B15" i="56"/>
  <c r="Q14" i="56"/>
  <c r="Q14" i="53" s="1"/>
  <c r="D14" i="56"/>
  <c r="B14" i="56"/>
  <c r="Q13" i="56"/>
  <c r="D13" i="56"/>
  <c r="C13" i="56"/>
  <c r="B13" i="56"/>
  <c r="Q12" i="56"/>
  <c r="Q12" i="53" s="1"/>
  <c r="D12" i="56"/>
  <c r="C12" i="56"/>
  <c r="B12" i="56"/>
  <c r="Q11" i="56"/>
  <c r="D11" i="56"/>
  <c r="C11" i="56"/>
  <c r="B11" i="56"/>
  <c r="Q10" i="56"/>
  <c r="Q10" i="53" s="1"/>
  <c r="D10" i="56"/>
  <c r="C10" i="56"/>
  <c r="B10" i="56"/>
  <c r="Q9" i="56"/>
  <c r="D9" i="56"/>
  <c r="C9" i="56"/>
  <c r="B9" i="56"/>
  <c r="Q8" i="56"/>
  <c r="Q8" i="53" s="1"/>
  <c r="D8" i="56"/>
  <c r="C8" i="56"/>
  <c r="B8" i="56"/>
  <c r="Q7" i="56"/>
  <c r="L7" i="56"/>
  <c r="D7" i="56"/>
  <c r="C7" i="56"/>
  <c r="B7" i="56"/>
  <c r="Q6" i="56"/>
  <c r="D6" i="56"/>
  <c r="C6" i="56"/>
  <c r="B6" i="56"/>
  <c r="Q21" i="53" l="1"/>
  <c r="Q23" i="53"/>
  <c r="Q6" i="53"/>
  <c r="Q11" i="53"/>
  <c r="Q9" i="53"/>
  <c r="Q13" i="53"/>
  <c r="F31" i="56"/>
  <c r="F33" i="56" s="1"/>
  <c r="Q17" i="53"/>
  <c r="Q24" i="53"/>
  <c r="C30" i="56"/>
  <c r="G30" i="56" s="1"/>
  <c r="L17" i="44"/>
  <c r="D31" i="44"/>
  <c r="Q26" i="56"/>
  <c r="C31" i="56"/>
  <c r="C33" i="56" s="1"/>
  <c r="L19" i="56"/>
  <c r="L26" i="56" s="1"/>
  <c r="Q26" i="57"/>
  <c r="M26" i="56"/>
  <c r="L19" i="44"/>
  <c r="M26" i="57"/>
  <c r="M6" i="68"/>
  <c r="M26" i="68" s="1"/>
  <c r="L27" i="68"/>
  <c r="J30" i="68" s="1"/>
  <c r="J32" i="68" s="1"/>
  <c r="L26" i="57"/>
  <c r="C26" i="56"/>
  <c r="D26" i="56"/>
  <c r="C22" i="55"/>
  <c r="M7" i="55"/>
  <c r="M8" i="55"/>
  <c r="M9" i="55"/>
  <c r="L9" i="55" s="1"/>
  <c r="M10" i="55"/>
  <c r="L10" i="55" s="1"/>
  <c r="M11" i="55"/>
  <c r="L11" i="55" s="1"/>
  <c r="M12" i="55"/>
  <c r="L12" i="55" s="1"/>
  <c r="M13" i="55"/>
  <c r="L13" i="55" s="1"/>
  <c r="M14" i="55"/>
  <c r="L14" i="55" s="1"/>
  <c r="M15" i="55"/>
  <c r="L15" i="55" s="1"/>
  <c r="M16" i="55"/>
  <c r="L16" i="55" s="1"/>
  <c r="M17" i="55"/>
  <c r="L17" i="55" s="1"/>
  <c r="M18" i="55"/>
  <c r="L18" i="55" s="1"/>
  <c r="M19" i="55"/>
  <c r="L19" i="55" s="1"/>
  <c r="M20" i="55"/>
  <c r="L20" i="55" s="1"/>
  <c r="M21" i="55"/>
  <c r="L21" i="55" s="1"/>
  <c r="M22" i="55"/>
  <c r="L22" i="55" s="1"/>
  <c r="M23" i="55"/>
  <c r="L23" i="55" s="1"/>
  <c r="M24" i="55"/>
  <c r="M6" i="55"/>
  <c r="R26" i="55"/>
  <c r="P26" i="55"/>
  <c r="O26" i="55"/>
  <c r="K26" i="55"/>
  <c r="I26" i="55"/>
  <c r="H26" i="55"/>
  <c r="J33" i="55" s="1"/>
  <c r="Q24" i="55"/>
  <c r="L24" i="55"/>
  <c r="D24" i="55"/>
  <c r="B24" i="55"/>
  <c r="Q23" i="55"/>
  <c r="D23" i="55"/>
  <c r="B23" i="55"/>
  <c r="Q22" i="55"/>
  <c r="D22" i="55"/>
  <c r="B22" i="55"/>
  <c r="Q21" i="55"/>
  <c r="D21" i="55"/>
  <c r="C21" i="55"/>
  <c r="B21" i="55"/>
  <c r="Q20" i="55"/>
  <c r="D20" i="55"/>
  <c r="C20" i="55"/>
  <c r="B20" i="55"/>
  <c r="Q19" i="55"/>
  <c r="D19" i="55"/>
  <c r="C19" i="55"/>
  <c r="B19" i="55"/>
  <c r="Q18" i="55"/>
  <c r="D18" i="55"/>
  <c r="B18" i="55"/>
  <c r="Q17" i="55"/>
  <c r="D17" i="55"/>
  <c r="B17" i="55"/>
  <c r="Q16" i="55"/>
  <c r="D16" i="55"/>
  <c r="B16" i="55"/>
  <c r="Q15" i="55"/>
  <c r="D15" i="55"/>
  <c r="B15" i="55"/>
  <c r="Q14" i="55"/>
  <c r="D14" i="55"/>
  <c r="B14" i="55"/>
  <c r="Q13" i="55"/>
  <c r="D13" i="55"/>
  <c r="C13" i="55"/>
  <c r="B13" i="55"/>
  <c r="Q12" i="55"/>
  <c r="D12" i="55"/>
  <c r="C12" i="55"/>
  <c r="B12" i="55"/>
  <c r="Q11" i="55"/>
  <c r="D11" i="55"/>
  <c r="C11" i="55"/>
  <c r="B11" i="55"/>
  <c r="Q10" i="55"/>
  <c r="D10" i="55"/>
  <c r="C10" i="55"/>
  <c r="B10" i="55"/>
  <c r="Q9" i="55"/>
  <c r="D9" i="55"/>
  <c r="C9" i="55"/>
  <c r="B9" i="55"/>
  <c r="Q8" i="55"/>
  <c r="D8" i="55"/>
  <c r="C8" i="55"/>
  <c r="B8" i="55"/>
  <c r="Q7" i="55"/>
  <c r="L7" i="55"/>
  <c r="D7" i="55"/>
  <c r="C7" i="55"/>
  <c r="B7" i="55"/>
  <c r="Q6" i="55"/>
  <c r="D6" i="55"/>
  <c r="C6" i="55"/>
  <c r="B6" i="55"/>
  <c r="C22" i="38"/>
  <c r="Q22" i="38"/>
  <c r="M22" i="38"/>
  <c r="L22" i="38" s="1"/>
  <c r="D22" i="38"/>
  <c r="B22" i="38"/>
  <c r="Q22" i="42"/>
  <c r="M22" i="42"/>
  <c r="L22" i="42" s="1"/>
  <c r="D22" i="42"/>
  <c r="B22" i="42"/>
  <c r="D7" i="42"/>
  <c r="D8" i="42"/>
  <c r="M7" i="42"/>
  <c r="M8" i="42"/>
  <c r="M9" i="42"/>
  <c r="L9" i="42" s="1"/>
  <c r="M10" i="42"/>
  <c r="M11" i="42"/>
  <c r="L11" i="42" s="1"/>
  <c r="M12" i="42"/>
  <c r="M13" i="42"/>
  <c r="M14" i="42"/>
  <c r="M15" i="42"/>
  <c r="L15" i="42" s="1"/>
  <c r="M16" i="42"/>
  <c r="M17" i="42"/>
  <c r="M18" i="42"/>
  <c r="L18" i="42" s="1"/>
  <c r="G20" i="68" s="1"/>
  <c r="M19" i="42"/>
  <c r="L19" i="42" s="1"/>
  <c r="M20" i="42"/>
  <c r="L20" i="42" s="1"/>
  <c r="M21" i="42"/>
  <c r="M23" i="42"/>
  <c r="L23" i="42" s="1"/>
  <c r="G24" i="68" s="1"/>
  <c r="M24" i="42"/>
  <c r="L8" i="42"/>
  <c r="G7" i="68" s="1"/>
  <c r="Q7" i="42"/>
  <c r="C7" i="42"/>
  <c r="B7" i="42"/>
  <c r="C8" i="42"/>
  <c r="C9" i="42"/>
  <c r="C10" i="42"/>
  <c r="C11" i="42"/>
  <c r="C12" i="42"/>
  <c r="C13" i="42"/>
  <c r="C19" i="42"/>
  <c r="C20" i="42"/>
  <c r="C21" i="42"/>
  <c r="M6" i="42"/>
  <c r="Q27" i="53" l="1"/>
  <c r="J28" i="56"/>
  <c r="J29" i="56" s="1"/>
  <c r="J31" i="56" s="1"/>
  <c r="J33" i="56" s="1"/>
  <c r="D33" i="44"/>
  <c r="G31" i="44"/>
  <c r="G33" i="44" s="1"/>
  <c r="G31" i="56"/>
  <c r="G33" i="56" s="1"/>
  <c r="G22" i="68"/>
  <c r="L16" i="42"/>
  <c r="G18" i="68" s="1"/>
  <c r="L14" i="42"/>
  <c r="L10" i="42"/>
  <c r="G8" i="68"/>
  <c r="G11" i="68"/>
  <c r="G17" i="68"/>
  <c r="L6" i="42"/>
  <c r="L21" i="42"/>
  <c r="L17" i="42"/>
  <c r="L13" i="42"/>
  <c r="L12" i="42"/>
  <c r="G14" i="68" s="1"/>
  <c r="H7" i="68"/>
  <c r="L24" i="42"/>
  <c r="G21" i="68"/>
  <c r="Q26" i="55"/>
  <c r="D26" i="55"/>
  <c r="M26" i="55"/>
  <c r="C26" i="55"/>
  <c r="L6" i="55"/>
  <c r="L8" i="55"/>
  <c r="Q7" i="38"/>
  <c r="Q8" i="38"/>
  <c r="M7" i="38"/>
  <c r="M8" i="38"/>
  <c r="M9" i="38"/>
  <c r="M10" i="38"/>
  <c r="C7" i="38"/>
  <c r="B7" i="38"/>
  <c r="C11" i="38"/>
  <c r="C12" i="38"/>
  <c r="C13" i="38"/>
  <c r="D11" i="38"/>
  <c r="H8" i="68" l="1"/>
  <c r="H10" i="68"/>
  <c r="G23" i="68"/>
  <c r="G25" i="68"/>
  <c r="G19" i="68"/>
  <c r="G10" i="68"/>
  <c r="G16" i="68"/>
  <c r="G15" i="68"/>
  <c r="L26" i="55"/>
  <c r="B8" i="44" l="1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3" i="44"/>
  <c r="B24" i="44"/>
  <c r="B6" i="44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3" i="42"/>
  <c r="B24" i="42"/>
  <c r="B6" i="42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3" i="38"/>
  <c r="B24" i="38"/>
  <c r="B6" i="38"/>
  <c r="Q11" i="38" l="1"/>
  <c r="Q12" i="38"/>
  <c r="Q13" i="38"/>
  <c r="Q14" i="38"/>
  <c r="Q15" i="38"/>
  <c r="Q16" i="38"/>
  <c r="Q17" i="38"/>
  <c r="Q18" i="38"/>
  <c r="Q19" i="38"/>
  <c r="Q20" i="38"/>
  <c r="Q21" i="38"/>
  <c r="Q23" i="38"/>
  <c r="Q24" i="38"/>
  <c r="Q9" i="38"/>
  <c r="Q10" i="38"/>
  <c r="M11" i="38"/>
  <c r="M12" i="38"/>
  <c r="M13" i="38"/>
  <c r="M14" i="38"/>
  <c r="M15" i="38"/>
  <c r="M16" i="38"/>
  <c r="M17" i="38"/>
  <c r="M18" i="38"/>
  <c r="M19" i="38"/>
  <c r="M20" i="38"/>
  <c r="M21" i="38"/>
  <c r="M23" i="38"/>
  <c r="M24" i="38"/>
  <c r="L6" i="44"/>
  <c r="R26" i="44"/>
  <c r="P26" i="44"/>
  <c r="O26" i="44"/>
  <c r="K26" i="44"/>
  <c r="I26" i="44"/>
  <c r="H26" i="44"/>
  <c r="D24" i="44"/>
  <c r="D23" i="44"/>
  <c r="D21" i="44"/>
  <c r="C21" i="44"/>
  <c r="D20" i="44"/>
  <c r="C20" i="44"/>
  <c r="D19" i="44"/>
  <c r="C19" i="44"/>
  <c r="D18" i="44"/>
  <c r="D17" i="44"/>
  <c r="D16" i="44"/>
  <c r="D15" i="44"/>
  <c r="D14" i="44"/>
  <c r="D13" i="44"/>
  <c r="C13" i="44"/>
  <c r="D12" i="44"/>
  <c r="C12" i="44"/>
  <c r="D11" i="44"/>
  <c r="C11" i="44"/>
  <c r="D10" i="44"/>
  <c r="C10" i="44"/>
  <c r="D9" i="44"/>
  <c r="C9" i="44"/>
  <c r="D8" i="44"/>
  <c r="C8" i="44"/>
  <c r="Q6" i="44"/>
  <c r="D6" i="44"/>
  <c r="C6" i="44"/>
  <c r="H23" i="68" l="1"/>
  <c r="H19" i="68"/>
  <c r="H15" i="68"/>
  <c r="H25" i="68"/>
  <c r="H21" i="68"/>
  <c r="H17" i="68"/>
  <c r="H11" i="68"/>
  <c r="H24" i="68"/>
  <c r="H20" i="68"/>
  <c r="H16" i="68"/>
  <c r="H22" i="68"/>
  <c r="H18" i="68"/>
  <c r="H14" i="68"/>
  <c r="G6" i="68"/>
  <c r="G27" i="68" s="1"/>
  <c r="C14" i="68"/>
  <c r="D7" i="68"/>
  <c r="C11" i="68"/>
  <c r="C17" i="68"/>
  <c r="C16" i="68"/>
  <c r="C15" i="68"/>
  <c r="Q26" i="44"/>
  <c r="D26" i="44"/>
  <c r="C26" i="44"/>
  <c r="M26" i="44"/>
  <c r="L26" i="44"/>
  <c r="R26" i="42" l="1"/>
  <c r="P26" i="42"/>
  <c r="O26" i="42"/>
  <c r="K26" i="42"/>
  <c r="I26" i="42"/>
  <c r="H26" i="42"/>
  <c r="J33" i="42" s="1"/>
  <c r="Q24" i="42"/>
  <c r="D24" i="42"/>
  <c r="Q23" i="42"/>
  <c r="D23" i="42"/>
  <c r="Q21" i="42"/>
  <c r="D21" i="42"/>
  <c r="Q20" i="42"/>
  <c r="D20" i="42"/>
  <c r="Q19" i="42"/>
  <c r="D19" i="42"/>
  <c r="Q18" i="42"/>
  <c r="D18" i="42"/>
  <c r="Q17" i="42"/>
  <c r="D17" i="42"/>
  <c r="Q16" i="42"/>
  <c r="D16" i="42"/>
  <c r="Q15" i="42"/>
  <c r="D15" i="42"/>
  <c r="Q14" i="42"/>
  <c r="D14" i="42"/>
  <c r="Q13" i="42"/>
  <c r="D13" i="42"/>
  <c r="Q12" i="42"/>
  <c r="D12" i="42"/>
  <c r="Q11" i="42"/>
  <c r="D11" i="42"/>
  <c r="Q10" i="42"/>
  <c r="D10" i="42"/>
  <c r="Q9" i="42"/>
  <c r="D9" i="42"/>
  <c r="Q8" i="42"/>
  <c r="Q6" i="42"/>
  <c r="D6" i="42"/>
  <c r="C6" i="42"/>
  <c r="D11" i="68" l="1"/>
  <c r="I7" i="68"/>
  <c r="I10" i="68"/>
  <c r="I14" i="68"/>
  <c r="I16" i="68"/>
  <c r="I18" i="68"/>
  <c r="I20" i="68"/>
  <c r="I22" i="68"/>
  <c r="I24" i="68"/>
  <c r="I8" i="68"/>
  <c r="I11" i="68"/>
  <c r="I15" i="68"/>
  <c r="I17" i="68"/>
  <c r="I19" i="68"/>
  <c r="I21" i="68"/>
  <c r="I23" i="68"/>
  <c r="I25" i="68"/>
  <c r="Q26" i="42"/>
  <c r="D26" i="42"/>
  <c r="C26" i="42"/>
  <c r="Q6" i="38"/>
  <c r="I6" i="68" l="1"/>
  <c r="I27" i="68" s="1"/>
  <c r="R26" i="38"/>
  <c r="D13" i="38"/>
  <c r="C6" i="38"/>
  <c r="C8" i="38"/>
  <c r="C9" i="38"/>
  <c r="C10" i="38"/>
  <c r="C19" i="38"/>
  <c r="C20" i="38"/>
  <c r="C21" i="38"/>
  <c r="C33" i="38" l="1"/>
  <c r="D15" i="68"/>
  <c r="C23" i="68"/>
  <c r="C19" i="68"/>
  <c r="C7" i="68"/>
  <c r="C22" i="68"/>
  <c r="C18" i="68"/>
  <c r="C6" i="68"/>
  <c r="C27" i="68" s="1"/>
  <c r="C25" i="68"/>
  <c r="C21" i="68"/>
  <c r="C10" i="68"/>
  <c r="C24" i="68"/>
  <c r="C20" i="68"/>
  <c r="C8" i="68"/>
  <c r="D20" i="38" l="1"/>
  <c r="D21" i="38"/>
  <c r="D23" i="38"/>
  <c r="D24" i="38"/>
  <c r="D25" i="68" l="1"/>
  <c r="D24" i="68"/>
  <c r="D23" i="68"/>
  <c r="D22" i="68"/>
  <c r="C34" i="38"/>
  <c r="E33" i="38"/>
  <c r="P26" i="38"/>
  <c r="K26" i="38"/>
  <c r="F36" i="38" l="1"/>
  <c r="C36" i="38"/>
  <c r="E36" i="38"/>
  <c r="H26" i="38"/>
  <c r="D19" i="38"/>
  <c r="D18" i="38"/>
  <c r="D17" i="38"/>
  <c r="D16" i="38"/>
  <c r="D15" i="38"/>
  <c r="D14" i="38"/>
  <c r="D12" i="38"/>
  <c r="D10" i="38"/>
  <c r="D9" i="38"/>
  <c r="D6" i="38"/>
  <c r="D6" i="68" l="1"/>
  <c r="D27" i="68" s="1"/>
  <c r="D16" i="68"/>
  <c r="D20" i="68"/>
  <c r="D10" i="68"/>
  <c r="D18" i="68"/>
  <c r="D14" i="68"/>
  <c r="D19" i="68"/>
  <c r="D8" i="68"/>
  <c r="D17" i="68"/>
  <c r="D21" i="68"/>
  <c r="G34" i="38"/>
  <c r="H31" i="42" s="1"/>
  <c r="H31" i="55" s="1"/>
  <c r="D26" i="38"/>
  <c r="Q26" i="38"/>
  <c r="C26" i="38" l="1"/>
  <c r="D36" i="38"/>
  <c r="J31" i="38" s="1"/>
  <c r="G33" i="38"/>
  <c r="I26" i="38"/>
  <c r="G36" i="38" l="1"/>
  <c r="H30" i="42"/>
  <c r="J32" i="38"/>
  <c r="J34" i="38" s="1"/>
  <c r="J36" i="38" s="1"/>
  <c r="K36" i="38" s="1"/>
  <c r="K33" i="42" s="1"/>
  <c r="K33" i="55" s="1"/>
  <c r="O26" i="38"/>
  <c r="L26" i="38"/>
  <c r="M6" i="38"/>
  <c r="H33" i="42" l="1"/>
  <c r="H30" i="55"/>
  <c r="H33" i="55" s="1"/>
  <c r="H6" i="68"/>
  <c r="H27" i="68" s="1"/>
  <c r="M26" i="38"/>
  <c r="M26" i="42" l="1"/>
  <c r="L7" i="42"/>
  <c r="L26" i="42" l="1"/>
  <c r="J31" i="44"/>
  <c r="J33" i="44" s="1"/>
  <c r="K33" i="44" s="1"/>
  <c r="K33" i="56" s="1"/>
  <c r="E12" i="57" l="1"/>
  <c r="E9" i="57"/>
  <c r="E23" i="57"/>
  <c r="C23" i="57" s="1"/>
  <c r="E13" i="57"/>
  <c r="E14" i="57"/>
  <c r="C14" i="57" s="1"/>
  <c r="E11" i="57"/>
  <c r="E20" i="57"/>
  <c r="E17" i="57"/>
  <c r="C17" i="57" s="1"/>
  <c r="E6" i="57"/>
  <c r="E22" i="57"/>
  <c r="E8" i="57"/>
  <c r="E10" i="57"/>
  <c r="E21" i="57"/>
  <c r="D12" i="57" l="1"/>
  <c r="D12" i="53" s="1"/>
  <c r="C12" i="57"/>
  <c r="C9" i="57"/>
  <c r="D9" i="57"/>
  <c r="D9" i="53" s="1"/>
  <c r="D23" i="57"/>
  <c r="D23" i="53" s="1"/>
  <c r="D24" i="57"/>
  <c r="D13" i="57"/>
  <c r="D13" i="53" s="1"/>
  <c r="C13" i="57"/>
  <c r="D16" i="57"/>
  <c r="D15" i="57"/>
  <c r="D14" i="57"/>
  <c r="D14" i="53" s="1"/>
  <c r="D11" i="57"/>
  <c r="D11" i="53" s="1"/>
  <c r="C11" i="57"/>
  <c r="C20" i="57"/>
  <c r="D20" i="57"/>
  <c r="D20" i="53" s="1"/>
  <c r="D17" i="57"/>
  <c r="D17" i="53" s="1"/>
  <c r="D18" i="57"/>
  <c r="C6" i="57"/>
  <c r="D6" i="57"/>
  <c r="D6" i="53" s="1"/>
  <c r="D22" i="57"/>
  <c r="D22" i="53" s="1"/>
  <c r="C22" i="57"/>
  <c r="C8" i="57"/>
  <c r="D8" i="57"/>
  <c r="D8" i="53" s="1"/>
  <c r="C10" i="57"/>
  <c r="D10" i="57"/>
  <c r="D10" i="53" s="1"/>
  <c r="C30" i="57"/>
  <c r="J35" i="57"/>
  <c r="K35" i="57" s="1"/>
  <c r="D21" i="57"/>
  <c r="D21" i="53" s="1"/>
  <c r="C21" i="57"/>
  <c r="D27" i="53" l="1"/>
  <c r="C31" i="57"/>
  <c r="G31" i="57" s="1"/>
  <c r="G30" i="57"/>
  <c r="C26" i="57"/>
  <c r="D26" i="57"/>
  <c r="C33" i="57" l="1"/>
  <c r="J28" i="57" s="1"/>
  <c r="J29" i="57" s="1"/>
  <c r="J31" i="57" s="1"/>
  <c r="G33" i="57"/>
  <c r="J33" i="57" l="1"/>
  <c r="K33" i="57" s="1"/>
  <c r="C6" i="58" l="1"/>
  <c r="E12" i="58" l="1"/>
  <c r="C12" i="58" s="1"/>
  <c r="O12" i="58"/>
  <c r="J12" i="58"/>
  <c r="N12" i="58"/>
  <c r="E14" i="58"/>
  <c r="J14" i="58"/>
  <c r="N14" i="58"/>
  <c r="O27" i="58" l="1"/>
  <c r="F32" i="58"/>
  <c r="F31" i="58"/>
  <c r="D31" i="58"/>
  <c r="D32" i="58"/>
  <c r="N27" i="58"/>
  <c r="J27" i="58"/>
  <c r="E31" i="58"/>
  <c r="E32" i="58"/>
  <c r="C14" i="58"/>
  <c r="C27" i="58" s="1"/>
  <c r="E27" i="58"/>
  <c r="C31" i="58"/>
  <c r="L36" i="58"/>
  <c r="M36" i="58" s="1"/>
  <c r="F34" i="58" l="1"/>
  <c r="C32" i="58"/>
  <c r="G32" i="58" s="1"/>
  <c r="G31" i="58"/>
  <c r="E34" i="58"/>
  <c r="D34" i="58"/>
  <c r="G34" i="58" l="1"/>
  <c r="C34" i="58"/>
  <c r="L29" i="58" l="1"/>
  <c r="D3" i="58" s="1"/>
  <c r="M30" i="58" s="1"/>
  <c r="L32" i="58" l="1"/>
  <c r="L34" i="58" s="1"/>
  <c r="M34" i="58" s="1"/>
  <c r="C22" i="69" l="1"/>
  <c r="E19" i="69"/>
  <c r="O9" i="69" l="1"/>
  <c r="E9" i="69"/>
  <c r="C9" i="69" s="1"/>
  <c r="E12" i="69" l="1"/>
  <c r="C12" i="69" s="1"/>
  <c r="N12" i="69"/>
  <c r="F31" i="69"/>
  <c r="O27" i="69"/>
  <c r="F32" i="69"/>
  <c r="F12" i="69" l="1"/>
  <c r="F34" i="69"/>
  <c r="E8" i="69"/>
  <c r="E14" i="69"/>
  <c r="C14" i="69" s="1"/>
  <c r="J14" i="69"/>
  <c r="L37" i="73" l="1"/>
  <c r="L12" i="73"/>
  <c r="L37" i="69"/>
  <c r="M37" i="69" s="1"/>
  <c r="J27" i="69"/>
  <c r="E32" i="69"/>
  <c r="E31" i="69"/>
  <c r="C8" i="69"/>
  <c r="E27" i="69"/>
  <c r="L36" i="69"/>
  <c r="M36" i="69" s="1"/>
  <c r="M37" i="73" l="1"/>
  <c r="M37" i="61" s="1"/>
  <c r="M37" i="62" s="1"/>
  <c r="M37" i="63" s="1"/>
  <c r="M37" i="64" s="1"/>
  <c r="M37" i="65" s="1"/>
  <c r="M36" i="73"/>
  <c r="C32" i="69"/>
  <c r="E34" i="69"/>
  <c r="C19" i="69"/>
  <c r="M37" i="66" l="1"/>
  <c r="N34" i="74" s="1"/>
  <c r="C31" i="69"/>
  <c r="C27" i="69"/>
  <c r="N34" i="76" l="1"/>
  <c r="N34" i="75"/>
  <c r="C34" i="69"/>
  <c r="L27" i="69" l="1"/>
  <c r="D32" i="62" l="1"/>
  <c r="N27" i="62"/>
  <c r="E23" i="61" l="1"/>
  <c r="C23" i="61" s="1"/>
  <c r="E11" i="61"/>
  <c r="C11" i="61" s="1"/>
  <c r="E6" i="61"/>
  <c r="C6" i="61" s="1"/>
  <c r="E10" i="61"/>
  <c r="C10" i="61" s="1"/>
  <c r="E21" i="61"/>
  <c r="C21" i="61" s="1"/>
  <c r="E17" i="61"/>
  <c r="E8" i="61" l="1"/>
  <c r="C8" i="61" s="1"/>
  <c r="C17" i="61"/>
  <c r="E20" i="61" l="1"/>
  <c r="C20" i="61" s="1"/>
  <c r="E13" i="61"/>
  <c r="C13" i="61" s="1"/>
  <c r="E19" i="61"/>
  <c r="C19" i="61" s="1"/>
  <c r="E9" i="61"/>
  <c r="C9" i="61" s="1"/>
  <c r="E12" i="61"/>
  <c r="E14" i="61" l="1"/>
  <c r="C14" i="61" s="1"/>
  <c r="C12" i="61"/>
  <c r="L36" i="61" l="1"/>
  <c r="M36" i="61" s="1"/>
  <c r="C31" i="61"/>
  <c r="C32" i="61"/>
  <c r="E27" i="61"/>
  <c r="C27" i="61"/>
  <c r="C34" i="61" l="1"/>
  <c r="F14" i="62" l="1"/>
  <c r="L14" i="63" s="1"/>
  <c r="F8" i="62" l="1"/>
  <c r="L8" i="63" l="1"/>
  <c r="N14" i="63" l="1"/>
  <c r="N8" i="63"/>
  <c r="F8" i="63" s="1"/>
  <c r="L8" i="64" s="1"/>
  <c r="E11" i="62" l="1"/>
  <c r="E17" i="63"/>
  <c r="C17" i="63" s="1"/>
  <c r="N9" i="63"/>
  <c r="N19" i="63"/>
  <c r="E19" i="63"/>
  <c r="C19" i="63" s="1"/>
  <c r="F14" i="63"/>
  <c r="L14" i="64" s="1"/>
  <c r="E11" i="63"/>
  <c r="C11" i="63" s="1"/>
  <c r="E8" i="63"/>
  <c r="C8" i="63" s="1"/>
  <c r="E14" i="63"/>
  <c r="C14" i="63" s="1"/>
  <c r="E23" i="63"/>
  <c r="C23" i="63" s="1"/>
  <c r="E13" i="63"/>
  <c r="C13" i="63" s="1"/>
  <c r="E6" i="63"/>
  <c r="C6" i="63" s="1"/>
  <c r="E10" i="63"/>
  <c r="C10" i="63" s="1"/>
  <c r="E9" i="63"/>
  <c r="C9" i="63" s="1"/>
  <c r="E20" i="63"/>
  <c r="C20" i="63" s="1"/>
  <c r="E21" i="63"/>
  <c r="C11" i="62" l="1"/>
  <c r="C27" i="62" s="1"/>
  <c r="L36" i="62"/>
  <c r="M36" i="62" s="1"/>
  <c r="E27" i="62"/>
  <c r="C31" i="62"/>
  <c r="C21" i="63"/>
  <c r="C32" i="62" l="1"/>
  <c r="G32" i="62" s="1"/>
  <c r="C34" i="62" l="1"/>
  <c r="F9" i="63"/>
  <c r="L9" i="64" l="1"/>
  <c r="N12" i="63" l="1"/>
  <c r="J12" i="63"/>
  <c r="E12" i="63"/>
  <c r="C12" i="63" l="1"/>
  <c r="C32" i="63" s="1"/>
  <c r="L36" i="63"/>
  <c r="M36" i="63" s="1"/>
  <c r="C31" i="63"/>
  <c r="E27" i="63"/>
  <c r="J27" i="63"/>
  <c r="E32" i="63"/>
  <c r="E31" i="63"/>
  <c r="N27" i="63"/>
  <c r="D32" i="63"/>
  <c r="D31" i="63"/>
  <c r="D34" i="63" l="1"/>
  <c r="G32" i="63"/>
  <c r="C27" i="63"/>
  <c r="C34" i="63"/>
  <c r="G31" i="63"/>
  <c r="E34" i="63"/>
  <c r="G34" i="63" l="1"/>
  <c r="C22" i="65" l="1"/>
  <c r="E11" i="65" l="1"/>
  <c r="C11" i="65" s="1"/>
  <c r="E14" i="65"/>
  <c r="C14" i="65" s="1"/>
  <c r="E23" i="65"/>
  <c r="C23" i="65" s="1"/>
  <c r="E6" i="65"/>
  <c r="C6" i="65" s="1"/>
  <c r="E10" i="65"/>
  <c r="C10" i="65" s="1"/>
  <c r="E13" i="65"/>
  <c r="C13" i="65" s="1"/>
  <c r="E20" i="65"/>
  <c r="C20" i="65" s="1"/>
  <c r="E9" i="65"/>
  <c r="C9" i="65" s="1"/>
  <c r="E21" i="65"/>
  <c r="C21" i="65" l="1"/>
  <c r="F17" i="62" l="1"/>
  <c r="L17" i="63" s="1"/>
  <c r="F17" i="63" s="1"/>
  <c r="L17" i="64" s="1"/>
  <c r="F19" i="62"/>
  <c r="L19" i="63" s="1"/>
  <c r="F19" i="63" s="1"/>
  <c r="L19" i="64" s="1"/>
  <c r="C22" i="64" l="1"/>
  <c r="E19" i="64" l="1"/>
  <c r="C19" i="64" s="1"/>
  <c r="J19" i="64"/>
  <c r="E23" i="64"/>
  <c r="C23" i="64" s="1"/>
  <c r="E21" i="64"/>
  <c r="C21" i="64" s="1"/>
  <c r="E20" i="64"/>
  <c r="C20" i="64" s="1"/>
  <c r="O20" i="64"/>
  <c r="E11" i="64"/>
  <c r="C11" i="64" s="1"/>
  <c r="E10" i="64"/>
  <c r="C10" i="64" s="1"/>
  <c r="E14" i="64"/>
  <c r="C14" i="64" s="1"/>
  <c r="E13" i="64"/>
  <c r="C13" i="64" s="1"/>
  <c r="E6" i="64"/>
  <c r="C6" i="64" s="1"/>
  <c r="E8" i="64"/>
  <c r="C8" i="64" s="1"/>
  <c r="J8" i="64"/>
  <c r="E9" i="64"/>
  <c r="C9" i="64" s="1"/>
  <c r="J9" i="64"/>
  <c r="E19" i="65"/>
  <c r="C19" i="65" s="1"/>
  <c r="E12" i="65"/>
  <c r="C12" i="65" s="1"/>
  <c r="E8" i="65"/>
  <c r="C8" i="65" s="1"/>
  <c r="E17" i="65"/>
  <c r="E17" i="64"/>
  <c r="C17" i="64" s="1"/>
  <c r="J17" i="64"/>
  <c r="E12" i="64"/>
  <c r="J12" i="64"/>
  <c r="F31" i="64" l="1"/>
  <c r="O27" i="64"/>
  <c r="F32" i="64"/>
  <c r="C17" i="65"/>
  <c r="C27" i="65" s="1"/>
  <c r="E27" i="65"/>
  <c r="C31" i="65"/>
  <c r="L36" i="65"/>
  <c r="E31" i="64"/>
  <c r="J27" i="64"/>
  <c r="E32" i="64"/>
  <c r="L36" i="64"/>
  <c r="M36" i="64" s="1"/>
  <c r="C12" i="64"/>
  <c r="C31" i="64"/>
  <c r="E27" i="64"/>
  <c r="F34" i="64" l="1"/>
  <c r="C32" i="65"/>
  <c r="C34" i="65" s="1"/>
  <c r="M36" i="65"/>
  <c r="C27" i="64"/>
  <c r="C32" i="64"/>
  <c r="C34" i="64" s="1"/>
  <c r="E34" i="64"/>
  <c r="E6" i="66" l="1"/>
  <c r="C6" i="66" s="1"/>
  <c r="C6" i="53" s="1"/>
  <c r="E11" i="66"/>
  <c r="C11" i="66" s="1"/>
  <c r="C11" i="53" s="1"/>
  <c r="E23" i="66"/>
  <c r="C23" i="66" s="1"/>
  <c r="C23" i="53" s="1"/>
  <c r="E8" i="66"/>
  <c r="C8" i="66" s="1"/>
  <c r="C8" i="53" s="1"/>
  <c r="E10" i="66"/>
  <c r="C10" i="66" s="1"/>
  <c r="C10" i="53" s="1"/>
  <c r="C22" i="66"/>
  <c r="C22" i="53" s="1"/>
  <c r="E20" i="66"/>
  <c r="C20" i="66" s="1"/>
  <c r="C20" i="53" s="1"/>
  <c r="E21" i="66"/>
  <c r="N45" i="66" l="1"/>
  <c r="N48" i="66" s="1"/>
  <c r="O40" i="76"/>
  <c r="O43" i="76" s="1"/>
  <c r="C21" i="66"/>
  <c r="C21" i="53" l="1"/>
  <c r="E14" i="66" l="1"/>
  <c r="C14" i="66" s="1"/>
  <c r="C14" i="53" s="1"/>
  <c r="E17" i="66"/>
  <c r="C17" i="66" s="1"/>
  <c r="C17" i="53" s="1"/>
  <c r="E12" i="66"/>
  <c r="C12" i="66" s="1"/>
  <c r="C12" i="53" s="1"/>
  <c r="E19" i="66"/>
  <c r="C19" i="66" s="1"/>
  <c r="C19" i="53" s="1"/>
  <c r="E9" i="66"/>
  <c r="C9" i="66" s="1"/>
  <c r="C9" i="53" s="1"/>
  <c r="E13" i="66"/>
  <c r="C13" i="66" l="1"/>
  <c r="C32" i="66" s="1"/>
  <c r="C31" i="66"/>
  <c r="E27" i="66"/>
  <c r="L36" i="66"/>
  <c r="M36" i="66" s="1"/>
  <c r="C13" i="53" l="1"/>
  <c r="C27" i="53" s="1"/>
  <c r="C27" i="66"/>
  <c r="C34" i="66"/>
  <c r="D20" i="74" l="1"/>
  <c r="F18" i="74"/>
  <c r="D18" i="74" s="1"/>
  <c r="F13" i="74"/>
  <c r="F11" i="74"/>
  <c r="D11" i="74" s="1"/>
  <c r="F9" i="74"/>
  <c r="D9" i="74" s="1"/>
  <c r="F6" i="74"/>
  <c r="F21" i="74" l="1"/>
  <c r="D21" i="74" s="1"/>
  <c r="F8" i="74"/>
  <c r="D8" i="74" s="1"/>
  <c r="F12" i="74"/>
  <c r="D12" i="74" s="1"/>
  <c r="D6" i="74"/>
  <c r="F19" i="74"/>
  <c r="D19" i="74" s="1"/>
  <c r="F7" i="74"/>
  <c r="D7" i="74" s="1"/>
  <c r="F10" i="74"/>
  <c r="D10" i="74" s="1"/>
  <c r="D13" i="74"/>
  <c r="F16" i="74"/>
  <c r="D16" i="74" l="1"/>
  <c r="N6" i="76" l="1"/>
  <c r="P15" i="75" l="1"/>
  <c r="K8" i="75"/>
  <c r="F10" i="75" l="1"/>
  <c r="D10" i="75" s="1"/>
  <c r="G29" i="75"/>
  <c r="P24" i="75"/>
  <c r="G28" i="75"/>
  <c r="F21" i="75"/>
  <c r="D21" i="75" s="1"/>
  <c r="F18" i="75"/>
  <c r="D18" i="75" s="1"/>
  <c r="F19" i="75"/>
  <c r="D19" i="75" s="1"/>
  <c r="F11" i="75"/>
  <c r="D11" i="75" s="1"/>
  <c r="F7" i="75"/>
  <c r="D7" i="75" s="1"/>
  <c r="F8" i="75"/>
  <c r="D8" i="75" s="1"/>
  <c r="F6" i="75"/>
  <c r="D6" i="75" s="1"/>
  <c r="F13" i="75"/>
  <c r="D13" i="75" s="1"/>
  <c r="K15" i="74"/>
  <c r="F15" i="74"/>
  <c r="F20" i="75"/>
  <c r="D20" i="75" s="1"/>
  <c r="F14" i="75"/>
  <c r="D14" i="75" s="1"/>
  <c r="F15" i="75"/>
  <c r="D15" i="75" s="1"/>
  <c r="F9" i="75"/>
  <c r="G31" i="75" l="1"/>
  <c r="D15" i="74"/>
  <c r="K24" i="74"/>
  <c r="F29" i="74"/>
  <c r="F28" i="74"/>
  <c r="D9" i="75"/>
  <c r="F31" i="74" l="1"/>
  <c r="K12" i="75" l="1"/>
  <c r="F12" i="75"/>
  <c r="D12" i="75" s="1"/>
  <c r="F16" i="75"/>
  <c r="F17" i="74"/>
  <c r="D16" i="75" l="1"/>
  <c r="D17" i="74"/>
  <c r="M33" i="74"/>
  <c r="N33" i="74" s="1"/>
  <c r="D29" i="74"/>
  <c r="H29" i="74" s="1"/>
  <c r="F24" i="74"/>
  <c r="D24" i="74" l="1"/>
  <c r="C24" i="74"/>
  <c r="D28" i="74"/>
  <c r="H28" i="74" s="1"/>
  <c r="H31" i="74" s="1"/>
  <c r="D31" i="74" l="1"/>
  <c r="M26" i="74" s="1"/>
  <c r="M29" i="74" s="1"/>
  <c r="M31" i="74" s="1"/>
  <c r="E3" i="74" l="1"/>
  <c r="N27" i="74" s="1"/>
  <c r="N31" i="74"/>
  <c r="K17" i="75" l="1"/>
  <c r="F17" i="75"/>
  <c r="F6" i="76"/>
  <c r="F15" i="76"/>
  <c r="D15" i="76" s="1"/>
  <c r="F13" i="76"/>
  <c r="D13" i="76" s="1"/>
  <c r="F21" i="76"/>
  <c r="D21" i="76" s="1"/>
  <c r="F7" i="76"/>
  <c r="D7" i="76" s="1"/>
  <c r="F8" i="76"/>
  <c r="D8" i="76" s="1"/>
  <c r="F9" i="76"/>
  <c r="D9" i="76" s="1"/>
  <c r="F14" i="76"/>
  <c r="D14" i="76" s="1"/>
  <c r="F16" i="76"/>
  <c r="D16" i="76" s="1"/>
  <c r="F17" i="76"/>
  <c r="D17" i="76" s="1"/>
  <c r="F11" i="76"/>
  <c r="D11" i="76" s="1"/>
  <c r="F18" i="76"/>
  <c r="D18" i="76" s="1"/>
  <c r="F20" i="76"/>
  <c r="D20" i="76" s="1"/>
  <c r="F10" i="76"/>
  <c r="D10" i="76" s="1"/>
  <c r="F12" i="76"/>
  <c r="D12" i="76" s="1"/>
  <c r="F19" i="76"/>
  <c r="D19" i="76" s="1"/>
  <c r="D17" i="75" l="1"/>
  <c r="D24" i="75" s="1"/>
  <c r="F24" i="75"/>
  <c r="D28" i="75"/>
  <c r="M33" i="75"/>
  <c r="N33" i="75" s="1"/>
  <c r="F28" i="75"/>
  <c r="K24" i="75"/>
  <c r="F29" i="75"/>
  <c r="D6" i="76"/>
  <c r="D24" i="76" s="1"/>
  <c r="F24" i="76"/>
  <c r="M33" i="76"/>
  <c r="N33" i="76" s="1"/>
  <c r="D28" i="76"/>
  <c r="D29" i="76" l="1"/>
  <c r="D31" i="76" s="1"/>
  <c r="D29" i="75"/>
  <c r="D31" i="75" s="1"/>
  <c r="F31" i="75"/>
  <c r="M6" i="69" l="1"/>
  <c r="M21" i="69" l="1"/>
  <c r="M14" i="69"/>
  <c r="M9" i="69"/>
  <c r="M19" i="69"/>
  <c r="M22" i="69"/>
  <c r="M8" i="69"/>
  <c r="M20" i="69"/>
  <c r="M17" i="69"/>
  <c r="M10" i="69"/>
  <c r="M13" i="69"/>
  <c r="M11" i="69"/>
  <c r="N13" i="69" l="1"/>
  <c r="F13" i="69" s="1"/>
  <c r="L13" i="73" s="1"/>
  <c r="N11" i="69"/>
  <c r="F11" i="69" s="1"/>
  <c r="L11" i="73" s="1"/>
  <c r="N17" i="69"/>
  <c r="F17" i="69" s="1"/>
  <c r="L17" i="73" s="1"/>
  <c r="N8" i="69"/>
  <c r="N14" i="69"/>
  <c r="F14" i="69" s="1"/>
  <c r="L14" i="73" s="1"/>
  <c r="N10" i="69"/>
  <c r="F10" i="69" s="1"/>
  <c r="N19" i="69"/>
  <c r="F19" i="69" s="1"/>
  <c r="L19" i="73" s="1"/>
  <c r="N22" i="69"/>
  <c r="F22" i="69" s="1"/>
  <c r="L22" i="73" s="1"/>
  <c r="N21" i="69"/>
  <c r="F21" i="69" s="1"/>
  <c r="L21" i="73" s="1"/>
  <c r="N20" i="69"/>
  <c r="F20" i="69" s="1"/>
  <c r="L20" i="73" s="1"/>
  <c r="N9" i="69"/>
  <c r="F9" i="69" s="1"/>
  <c r="L9" i="73" s="1"/>
  <c r="M27" i="69"/>
  <c r="L10" i="73" l="1"/>
  <c r="N27" i="69"/>
  <c r="D32" i="69"/>
  <c r="G32" i="69" s="1"/>
  <c r="F8" i="69"/>
  <c r="D31" i="69"/>
  <c r="M6" i="63"/>
  <c r="M27" i="63" s="1"/>
  <c r="M6" i="62"/>
  <c r="M27" i="62" s="1"/>
  <c r="M6" i="73"/>
  <c r="M6" i="61"/>
  <c r="G31" i="69" l="1"/>
  <c r="G34" i="69" s="1"/>
  <c r="D34" i="69"/>
  <c r="L29" i="69" s="1"/>
  <c r="F27" i="69"/>
  <c r="L8" i="73"/>
  <c r="M6" i="64"/>
  <c r="L32" i="69" l="1"/>
  <c r="L34" i="69" s="1"/>
  <c r="M34" i="69" s="1"/>
  <c r="D3" i="69"/>
  <c r="M30" i="69" s="1"/>
  <c r="L27" i="73"/>
  <c r="M6" i="65"/>
  <c r="M6" i="66" l="1"/>
  <c r="M6" i="53" l="1"/>
  <c r="N6" i="75" l="1"/>
  <c r="M12" i="73" l="1"/>
  <c r="M8" i="64"/>
  <c r="N8" i="64" l="1"/>
  <c r="N12" i="73"/>
  <c r="F12" i="73" s="1"/>
  <c r="L12" i="61" s="1"/>
  <c r="M14" i="64" l="1"/>
  <c r="N14" i="64" s="1"/>
  <c r="F14" i="64" s="1"/>
  <c r="L14" i="65" s="1"/>
  <c r="F8" i="64"/>
  <c r="L8" i="65" l="1"/>
  <c r="M9" i="64"/>
  <c r="N9" i="64" l="1"/>
  <c r="F9" i="64" l="1"/>
  <c r="L9" i="65" l="1"/>
  <c r="M19" i="64" l="1"/>
  <c r="N19" i="64" s="1"/>
  <c r="F19" i="64" s="1"/>
  <c r="L19" i="65" s="1"/>
  <c r="M17" i="64"/>
  <c r="N17" i="64" s="1"/>
  <c r="F17" i="64" s="1"/>
  <c r="L17" i="65" s="1"/>
  <c r="M9" i="73" l="1"/>
  <c r="M21" i="73"/>
  <c r="M14" i="73"/>
  <c r="M17" i="73"/>
  <c r="M22" i="73"/>
  <c r="M11" i="73"/>
  <c r="M20" i="73"/>
  <c r="M19" i="73"/>
  <c r="M13" i="73"/>
  <c r="N13" i="73" l="1"/>
  <c r="F13" i="73" s="1"/>
  <c r="L13" i="61" s="1"/>
  <c r="N11" i="73"/>
  <c r="F11" i="73" s="1"/>
  <c r="L11" i="61" s="1"/>
  <c r="N21" i="73"/>
  <c r="F21" i="73" s="1"/>
  <c r="L21" i="61" s="1"/>
  <c r="N19" i="73"/>
  <c r="F19" i="73" s="1"/>
  <c r="L19" i="61" s="1"/>
  <c r="N17" i="73"/>
  <c r="F17" i="73" s="1"/>
  <c r="L17" i="61" s="1"/>
  <c r="M10" i="73"/>
  <c r="N20" i="73"/>
  <c r="F20" i="73" s="1"/>
  <c r="L20" i="61" s="1"/>
  <c r="N14" i="73"/>
  <c r="F14" i="73" s="1"/>
  <c r="L14" i="61" s="1"/>
  <c r="N9" i="73"/>
  <c r="F9" i="73" s="1"/>
  <c r="L9" i="61" s="1"/>
  <c r="N22" i="73"/>
  <c r="F22" i="73" s="1"/>
  <c r="L22" i="61" s="1"/>
  <c r="M8" i="73"/>
  <c r="N10" i="73" l="1"/>
  <c r="F10" i="73" s="1"/>
  <c r="N8" i="73"/>
  <c r="M27" i="73"/>
  <c r="F13" i="61"/>
  <c r="L13" i="62" s="1"/>
  <c r="F13" i="62" s="1"/>
  <c r="L13" i="63" s="1"/>
  <c r="F13" i="63" s="1"/>
  <c r="L13" i="64" s="1"/>
  <c r="D32" i="73" l="1"/>
  <c r="G32" i="73" s="1"/>
  <c r="N27" i="73"/>
  <c r="F8" i="73"/>
  <c r="D31" i="73"/>
  <c r="L10" i="61"/>
  <c r="D34" i="73" l="1"/>
  <c r="L29" i="73" s="1"/>
  <c r="G31" i="73"/>
  <c r="G34" i="73" s="1"/>
  <c r="F27" i="73"/>
  <c r="L8" i="61"/>
  <c r="M12" i="61" l="1"/>
  <c r="L27" i="61"/>
  <c r="L32" i="73"/>
  <c r="L34" i="73" s="1"/>
  <c r="M34" i="73" s="1"/>
  <c r="D3" i="73"/>
  <c r="M30" i="73" s="1"/>
  <c r="M14" i="65" l="1"/>
  <c r="N14" i="65" s="1"/>
  <c r="F14" i="65" s="1"/>
  <c r="N12" i="61"/>
  <c r="F12" i="61" s="1"/>
  <c r="L12" i="62" s="1"/>
  <c r="M8" i="65"/>
  <c r="M17" i="65" l="1"/>
  <c r="N17" i="65" s="1"/>
  <c r="F17" i="65" s="1"/>
  <c r="M19" i="65"/>
  <c r="N19" i="65" s="1"/>
  <c r="F19" i="65" s="1"/>
  <c r="F12" i="62"/>
  <c r="L12" i="63" s="1"/>
  <c r="F12" i="63" s="1"/>
  <c r="L12" i="64" s="1"/>
  <c r="L14" i="66"/>
  <c r="M15" i="74"/>
  <c r="G15" i="74" s="1"/>
  <c r="M15" i="75" s="1"/>
  <c r="M14" i="74"/>
  <c r="G14" i="74" s="1"/>
  <c r="M14" i="75" s="1"/>
  <c r="N8" i="65"/>
  <c r="L19" i="66" l="1"/>
  <c r="M17" i="74"/>
  <c r="G17" i="74" s="1"/>
  <c r="M17" i="75" s="1"/>
  <c r="F8" i="65"/>
  <c r="M16" i="74"/>
  <c r="G16" i="74" s="1"/>
  <c r="M16" i="75" s="1"/>
  <c r="L17" i="66"/>
  <c r="M9" i="65"/>
  <c r="M21" i="61" l="1"/>
  <c r="M19" i="61"/>
  <c r="M20" i="61"/>
  <c r="M14" i="61"/>
  <c r="M9" i="61"/>
  <c r="M11" i="61"/>
  <c r="M7" i="74"/>
  <c r="L8" i="66"/>
  <c r="M17" i="61"/>
  <c r="M22" i="61"/>
  <c r="N9" i="65"/>
  <c r="M13" i="64"/>
  <c r="F9" i="65" l="1"/>
  <c r="N11" i="61"/>
  <c r="F11" i="61" s="1"/>
  <c r="L11" i="62" s="1"/>
  <c r="N14" i="61"/>
  <c r="F14" i="61" s="1"/>
  <c r="L14" i="62" s="1"/>
  <c r="N19" i="61"/>
  <c r="F19" i="61" s="1"/>
  <c r="L19" i="62" s="1"/>
  <c r="L19" i="53" s="1"/>
  <c r="N13" i="64"/>
  <c r="F13" i="64" s="1"/>
  <c r="L13" i="65" s="1"/>
  <c r="N22" i="61"/>
  <c r="F22" i="61" s="1"/>
  <c r="L22" i="62" s="1"/>
  <c r="N20" i="61"/>
  <c r="F20" i="61" s="1"/>
  <c r="L20" i="62" s="1"/>
  <c r="N21" i="61"/>
  <c r="F21" i="61" s="1"/>
  <c r="L21" i="62" s="1"/>
  <c r="N9" i="61"/>
  <c r="F9" i="61" s="1"/>
  <c r="L9" i="62" s="1"/>
  <c r="N17" i="61"/>
  <c r="F17" i="61" s="1"/>
  <c r="L17" i="62" s="1"/>
  <c r="L17" i="53" s="1"/>
  <c r="G7" i="74"/>
  <c r="F21" i="62" l="1"/>
  <c r="L21" i="63" s="1"/>
  <c r="F21" i="63" s="1"/>
  <c r="L21" i="64" s="1"/>
  <c r="M7" i="75"/>
  <c r="F9" i="62"/>
  <c r="F20" i="62"/>
  <c r="L20" i="63" s="1"/>
  <c r="F20" i="63" s="1"/>
  <c r="L20" i="64" s="1"/>
  <c r="D31" i="62"/>
  <c r="L14" i="53"/>
  <c r="M10" i="61"/>
  <c r="F22" i="62"/>
  <c r="L22" i="63" s="1"/>
  <c r="F22" i="63" s="1"/>
  <c r="L22" i="64" s="1"/>
  <c r="F11" i="62"/>
  <c r="L11" i="63" s="1"/>
  <c r="F11" i="63" s="1"/>
  <c r="L11" i="64" s="1"/>
  <c r="M8" i="74"/>
  <c r="L9" i="66"/>
  <c r="M8" i="61"/>
  <c r="N8" i="61" l="1"/>
  <c r="M27" i="61"/>
  <c r="G31" i="62"/>
  <c r="G34" i="62" s="1"/>
  <c r="D34" i="62"/>
  <c r="M12" i="64"/>
  <c r="G8" i="74"/>
  <c r="N10" i="61"/>
  <c r="F10" i="61" s="1"/>
  <c r="L9" i="63"/>
  <c r="N12" i="64" l="1"/>
  <c r="F12" i="64" s="1"/>
  <c r="L12" i="65" s="1"/>
  <c r="N14" i="75"/>
  <c r="O14" i="75" s="1"/>
  <c r="G14" i="75" s="1"/>
  <c r="M14" i="76" s="1"/>
  <c r="L10" i="62"/>
  <c r="N15" i="75"/>
  <c r="O15" i="75" s="1"/>
  <c r="G15" i="75" s="1"/>
  <c r="M15" i="76" s="1"/>
  <c r="M14" i="66"/>
  <c r="L9" i="53"/>
  <c r="M8" i="75"/>
  <c r="N27" i="61"/>
  <c r="F8" i="61"/>
  <c r="D32" i="61"/>
  <c r="G32" i="61" s="1"/>
  <c r="D31" i="61"/>
  <c r="N16" i="75" l="1"/>
  <c r="O16" i="75" s="1"/>
  <c r="G16" i="75" s="1"/>
  <c r="M16" i="76" s="1"/>
  <c r="L8" i="62"/>
  <c r="F27" i="61"/>
  <c r="M17" i="66"/>
  <c r="N17" i="75"/>
  <c r="O17" i="75" s="1"/>
  <c r="G17" i="75" s="1"/>
  <c r="M17" i="76" s="1"/>
  <c r="D34" i="61"/>
  <c r="L29" i="61" s="1"/>
  <c r="G31" i="61"/>
  <c r="G34" i="61" s="1"/>
  <c r="N14" i="66"/>
  <c r="F14" i="66" s="1"/>
  <c r="F14" i="53" s="1"/>
  <c r="M14" i="53"/>
  <c r="M19" i="66"/>
  <c r="F10" i="62"/>
  <c r="M13" i="65" l="1"/>
  <c r="N19" i="66"/>
  <c r="F19" i="66" s="1"/>
  <c r="F19" i="53" s="1"/>
  <c r="M19" i="53"/>
  <c r="N17" i="66"/>
  <c r="F17" i="66" s="1"/>
  <c r="F17" i="53" s="1"/>
  <c r="M17" i="53"/>
  <c r="L27" i="62"/>
  <c r="L8" i="53"/>
  <c r="M9" i="66"/>
  <c r="L32" i="61"/>
  <c r="L34" i="61" s="1"/>
  <c r="M34" i="61" s="1"/>
  <c r="L29" i="62" s="1"/>
  <c r="D3" i="61"/>
  <c r="M30" i="61" s="1"/>
  <c r="N8" i="75"/>
  <c r="O8" i="75" s="1"/>
  <c r="G8" i="75" s="1"/>
  <c r="M8" i="76" s="1"/>
  <c r="L10" i="63"/>
  <c r="F27" i="62"/>
  <c r="M11" i="64"/>
  <c r="M8" i="66"/>
  <c r="N11" i="64" l="1"/>
  <c r="F11" i="64" s="1"/>
  <c r="L11" i="65" s="1"/>
  <c r="M21" i="64"/>
  <c r="N8" i="66"/>
  <c r="M8" i="53"/>
  <c r="M20" i="64"/>
  <c r="F10" i="63"/>
  <c r="L27" i="63"/>
  <c r="D3" i="62"/>
  <c r="M30" i="62" s="1"/>
  <c r="L32" i="62"/>
  <c r="L34" i="62" s="1"/>
  <c r="M34" i="62" s="1"/>
  <c r="L29" i="63" s="1"/>
  <c r="N9" i="66"/>
  <c r="F9" i="66" s="1"/>
  <c r="F9" i="53" s="1"/>
  <c r="M9" i="53"/>
  <c r="N13" i="65"/>
  <c r="F13" i="65" s="1"/>
  <c r="M22" i="64"/>
  <c r="N21" i="64" l="1"/>
  <c r="F21" i="64" s="1"/>
  <c r="L21" i="65" s="1"/>
  <c r="N22" i="64"/>
  <c r="F22" i="64" s="1"/>
  <c r="L22" i="65" s="1"/>
  <c r="M13" i="74"/>
  <c r="G13" i="74" s="1"/>
  <c r="M13" i="75" s="1"/>
  <c r="L13" i="66"/>
  <c r="L13" i="53" s="1"/>
  <c r="D3" i="63"/>
  <c r="M30" i="63" s="1"/>
  <c r="L32" i="63"/>
  <c r="L34" i="63" s="1"/>
  <c r="M34" i="63" s="1"/>
  <c r="F27" i="63"/>
  <c r="L10" i="64"/>
  <c r="N20" i="64"/>
  <c r="F20" i="64" s="1"/>
  <c r="L20" i="65" s="1"/>
  <c r="F8" i="66"/>
  <c r="N7" i="75"/>
  <c r="O7" i="75" l="1"/>
  <c r="F8" i="53"/>
  <c r="L27" i="64"/>
  <c r="N15" i="76" l="1"/>
  <c r="O15" i="76" s="1"/>
  <c r="G15" i="76" s="1"/>
  <c r="M12" i="65"/>
  <c r="G7" i="75"/>
  <c r="N14" i="76"/>
  <c r="O14" i="76" s="1"/>
  <c r="G14" i="76" s="1"/>
  <c r="N17" i="76" l="1"/>
  <c r="O17" i="76" s="1"/>
  <c r="G17" i="76" s="1"/>
  <c r="N12" i="65"/>
  <c r="F12" i="65" s="1"/>
  <c r="N16" i="76"/>
  <c r="O16" i="76" s="1"/>
  <c r="G16" i="76" s="1"/>
  <c r="M7" i="76"/>
  <c r="M11" i="65"/>
  <c r="M10" i="64"/>
  <c r="M20" i="65" l="1"/>
  <c r="M13" i="66"/>
  <c r="N11" i="65"/>
  <c r="F11" i="65" s="1"/>
  <c r="M12" i="74"/>
  <c r="G12" i="74" s="1"/>
  <c r="M12" i="75" s="1"/>
  <c r="L12" i="66"/>
  <c r="L12" i="53" s="1"/>
  <c r="N13" i="75"/>
  <c r="O13" i="75" s="1"/>
  <c r="G13" i="75" s="1"/>
  <c r="M13" i="76" s="1"/>
  <c r="M21" i="65"/>
  <c r="N10" i="64"/>
  <c r="M27" i="64"/>
  <c r="M22" i="65"/>
  <c r="N8" i="76" l="1"/>
  <c r="O8" i="76" s="1"/>
  <c r="G8" i="76" s="1"/>
  <c r="N13" i="66"/>
  <c r="F13" i="66" s="1"/>
  <c r="F13" i="53" s="1"/>
  <c r="M13" i="53"/>
  <c r="N22" i="65"/>
  <c r="F22" i="65" s="1"/>
  <c r="F10" i="64"/>
  <c r="D32" i="64"/>
  <c r="G32" i="64" s="1"/>
  <c r="D31" i="64"/>
  <c r="N27" i="64"/>
  <c r="N20" i="65"/>
  <c r="F20" i="65" s="1"/>
  <c r="N21" i="65"/>
  <c r="F21" i="65" s="1"/>
  <c r="M11" i="74"/>
  <c r="G11" i="74" s="1"/>
  <c r="M11" i="75" s="1"/>
  <c r="L11" i="66"/>
  <c r="L11" i="53" s="1"/>
  <c r="N12" i="75" l="1"/>
  <c r="O12" i="75" s="1"/>
  <c r="G12" i="75" s="1"/>
  <c r="M12" i="76" s="1"/>
  <c r="M18" i="74"/>
  <c r="G18" i="74" s="1"/>
  <c r="M18" i="75" s="1"/>
  <c r="L20" i="66"/>
  <c r="L20" i="53" s="1"/>
  <c r="L10" i="65"/>
  <c r="F27" i="64"/>
  <c r="N13" i="76"/>
  <c r="O13" i="76" s="1"/>
  <c r="G13" i="76" s="1"/>
  <c r="M12" i="66"/>
  <c r="L21" i="66"/>
  <c r="L21" i="53" s="1"/>
  <c r="M19" i="74"/>
  <c r="G19" i="74" s="1"/>
  <c r="M19" i="75" s="1"/>
  <c r="G31" i="64"/>
  <c r="G34" i="64" s="1"/>
  <c r="D34" i="64"/>
  <c r="L29" i="64" s="1"/>
  <c r="L22" i="66"/>
  <c r="L22" i="53" s="1"/>
  <c r="M20" i="74"/>
  <c r="G20" i="74" s="1"/>
  <c r="M20" i="75" s="1"/>
  <c r="N7" i="76"/>
  <c r="O7" i="76" l="1"/>
  <c r="L32" i="64"/>
  <c r="L34" i="64" s="1"/>
  <c r="M34" i="64" s="1"/>
  <c r="D3" i="64"/>
  <c r="M30" i="64" s="1"/>
  <c r="N12" i="66"/>
  <c r="F12" i="66" s="1"/>
  <c r="F12" i="53" s="1"/>
  <c r="M12" i="53"/>
  <c r="L27" i="65"/>
  <c r="O12" i="76" l="1"/>
  <c r="G12" i="76" s="1"/>
  <c r="N19" i="75"/>
  <c r="O19" i="75" s="1"/>
  <c r="G19" i="75" s="1"/>
  <c r="M19" i="76" s="1"/>
  <c r="M21" i="66"/>
  <c r="G7" i="76"/>
  <c r="M10" i="65"/>
  <c r="M11" i="66"/>
  <c r="N18" i="75" l="1"/>
  <c r="O18" i="75" s="1"/>
  <c r="G18" i="75" s="1"/>
  <c r="M18" i="76" s="1"/>
  <c r="N19" i="76"/>
  <c r="O19" i="76" s="1"/>
  <c r="G19" i="76" s="1"/>
  <c r="N10" i="65"/>
  <c r="M27" i="65"/>
  <c r="N11" i="75"/>
  <c r="O11" i="75" s="1"/>
  <c r="G11" i="75" s="1"/>
  <c r="M11" i="76" s="1"/>
  <c r="N11" i="66"/>
  <c r="F11" i="66" s="1"/>
  <c r="F11" i="53" s="1"/>
  <c r="M11" i="53"/>
  <c r="N21" i="66"/>
  <c r="F21" i="66" s="1"/>
  <c r="F21" i="53" s="1"/>
  <c r="M21" i="53"/>
  <c r="N20" i="75"/>
  <c r="O20" i="75" s="1"/>
  <c r="G20" i="75" s="1"/>
  <c r="M20" i="76" s="1"/>
  <c r="M20" i="66"/>
  <c r="M22" i="66"/>
  <c r="N18" i="76" l="1"/>
  <c r="O18" i="76" s="1"/>
  <c r="G18" i="76" s="1"/>
  <c r="N11" i="76"/>
  <c r="O11" i="76" s="1"/>
  <c r="G11" i="76" s="1"/>
  <c r="N20" i="66"/>
  <c r="F20" i="66" s="1"/>
  <c r="F20" i="53" s="1"/>
  <c r="M20" i="53"/>
  <c r="N20" i="76"/>
  <c r="O20" i="76" s="1"/>
  <c r="G20" i="76" s="1"/>
  <c r="N22" i="66"/>
  <c r="F22" i="66" s="1"/>
  <c r="F22" i="53" s="1"/>
  <c r="M22" i="53"/>
  <c r="F10" i="65"/>
  <c r="D32" i="65"/>
  <c r="G32" i="65" s="1"/>
  <c r="N27" i="65"/>
  <c r="D31" i="65"/>
  <c r="G31" i="65" l="1"/>
  <c r="G34" i="65" s="1"/>
  <c r="D34" i="65"/>
  <c r="L29" i="65" s="1"/>
  <c r="L10" i="66"/>
  <c r="M10" i="74"/>
  <c r="G10" i="74" s="1"/>
  <c r="M10" i="75" s="1"/>
  <c r="M9" i="74"/>
  <c r="F27" i="65"/>
  <c r="L27" i="66" l="1"/>
  <c r="L10" i="53"/>
  <c r="L27" i="53" s="1"/>
  <c r="N10" i="75"/>
  <c r="O10" i="75" s="1"/>
  <c r="G10" i="75" s="1"/>
  <c r="M10" i="76" s="1"/>
  <c r="L32" i="65"/>
  <c r="L34" i="65" s="1"/>
  <c r="M34" i="65" s="1"/>
  <c r="D3" i="65"/>
  <c r="M30" i="65" s="1"/>
  <c r="G9" i="74"/>
  <c r="M24" i="74"/>
  <c r="M10" i="66"/>
  <c r="M9" i="75" l="1"/>
  <c r="M24" i="75" s="1"/>
  <c r="G24" i="74"/>
  <c r="N10" i="66"/>
  <c r="M27" i="66"/>
  <c r="M10" i="53"/>
  <c r="M27" i="53" s="1"/>
  <c r="N9" i="75"/>
  <c r="O9" i="75" l="1"/>
  <c r="N24" i="75"/>
  <c r="F10" i="66"/>
  <c r="N27" i="66"/>
  <c r="D31" i="66"/>
  <c r="D32" i="66"/>
  <c r="G32" i="66" s="1"/>
  <c r="N10" i="76"/>
  <c r="O10" i="76" s="1"/>
  <c r="G10" i="76" s="1"/>
  <c r="F27" i="66" l="1"/>
  <c r="F10" i="53"/>
  <c r="F27" i="53" s="1"/>
  <c r="G31" i="66"/>
  <c r="G34" i="66" s="1"/>
  <c r="D34" i="66"/>
  <c r="L29" i="66" s="1"/>
  <c r="G9" i="75"/>
  <c r="O24" i="75"/>
  <c r="E28" i="75"/>
  <c r="E29" i="75"/>
  <c r="H29" i="75" s="1"/>
  <c r="L32" i="66" l="1"/>
  <c r="L34" i="66" s="1"/>
  <c r="D3" i="66"/>
  <c r="M30" i="66" s="1"/>
  <c r="H28" i="75"/>
  <c r="H31" i="75" s="1"/>
  <c r="E31" i="75"/>
  <c r="M26" i="75" s="1"/>
  <c r="M9" i="76"/>
  <c r="G24" i="75"/>
  <c r="M24" i="76" l="1"/>
  <c r="N9" i="76"/>
  <c r="O9" i="76" s="1"/>
  <c r="M29" i="75"/>
  <c r="M31" i="75" s="1"/>
  <c r="N31" i="75" s="1"/>
  <c r="E3" i="75"/>
  <c r="N27" i="75" s="1"/>
  <c r="N41" i="66"/>
  <c r="N43" i="66" s="1"/>
  <c r="N50" i="66" s="1"/>
  <c r="N51" i="66" s="1"/>
  <c r="M34" i="66"/>
  <c r="N24" i="76" l="1"/>
  <c r="G9" i="76"/>
  <c r="G24" i="76" s="1"/>
  <c r="O24" i="76"/>
  <c r="E29" i="76"/>
  <c r="H29" i="76" s="1"/>
  <c r="E28" i="76"/>
  <c r="H28" i="76" l="1"/>
  <c r="H31" i="76" s="1"/>
  <c r="E31" i="76"/>
  <c r="M26" i="76" s="1"/>
  <c r="M29" i="76" l="1"/>
  <c r="M31" i="76" s="1"/>
  <c r="E3" i="76"/>
  <c r="N27" i="76" s="1"/>
  <c r="N31" i="76" l="1"/>
  <c r="O36" i="76"/>
  <c r="O38" i="76" s="1"/>
  <c r="O45" i="76" s="1"/>
  <c r="O46" i="76" s="1"/>
  <c r="K6" i="86" l="1"/>
  <c r="L6" i="86" s="1"/>
  <c r="K6" i="87"/>
  <c r="L6" i="87" s="1"/>
  <c r="K6" i="88"/>
  <c r="L6" i="88" s="1"/>
  <c r="K6" i="84"/>
  <c r="K6" i="85"/>
  <c r="L6" i="85" s="1"/>
  <c r="K6" i="83"/>
  <c r="L6" i="84" l="1"/>
  <c r="L6" i="82"/>
  <c r="L6" i="83"/>
  <c r="K6" i="78" l="1"/>
  <c r="K6" i="79" l="1"/>
  <c r="L6" i="78"/>
  <c r="L6" i="79" l="1"/>
  <c r="K6" i="80" l="1"/>
  <c r="L6" i="80" s="1"/>
  <c r="K6" i="81"/>
  <c r="L6" i="81" l="1"/>
  <c r="J24" i="79"/>
  <c r="J14" i="89" l="1"/>
  <c r="J24" i="77" l="1"/>
  <c r="G12" i="81" l="1"/>
  <c r="F12" i="81"/>
  <c r="G13" i="81"/>
  <c r="F13" i="81"/>
  <c r="G15" i="81"/>
  <c r="F15" i="81"/>
  <c r="G17" i="81"/>
  <c r="F17" i="81"/>
  <c r="G16" i="81"/>
  <c r="F16" i="81"/>
  <c r="J12" i="82" l="1"/>
  <c r="F17" i="89"/>
  <c r="J17" i="82"/>
  <c r="F13" i="89"/>
  <c r="J13" i="82"/>
  <c r="F16" i="89"/>
  <c r="J16" i="82"/>
  <c r="F15" i="89"/>
  <c r="J15" i="82"/>
  <c r="H16" i="81"/>
  <c r="G16" i="89"/>
  <c r="H15" i="81"/>
  <c r="G15" i="89"/>
  <c r="H12" i="81"/>
  <c r="G24" i="81"/>
  <c r="G12" i="89"/>
  <c r="H17" i="81"/>
  <c r="G17" i="89"/>
  <c r="H13" i="81"/>
  <c r="G13" i="89"/>
  <c r="F24" i="81"/>
  <c r="F12" i="89"/>
  <c r="J17" i="89" l="1"/>
  <c r="J15" i="89"/>
  <c r="J13" i="89"/>
  <c r="J12" i="89"/>
  <c r="J16" i="89"/>
  <c r="F24" i="89"/>
  <c r="K31" i="89" s="1"/>
  <c r="M31" i="89" s="1"/>
  <c r="J24" i="82"/>
  <c r="F27" i="81"/>
  <c r="G24" i="89"/>
  <c r="H24" i="81"/>
  <c r="F28" i="81"/>
  <c r="J24" i="89" l="1"/>
  <c r="K34" i="89" s="1"/>
  <c r="F30" i="81"/>
  <c r="E17" i="85" l="1"/>
  <c r="P30" i="89" l="1"/>
  <c r="T7" i="88" l="1"/>
  <c r="U7" i="88" s="1"/>
  <c r="K16" i="83" l="1"/>
  <c r="K17" i="77" l="1"/>
  <c r="K12" i="77"/>
  <c r="E7" i="80" l="1"/>
  <c r="E8" i="80"/>
  <c r="E11" i="80"/>
  <c r="E12" i="80"/>
  <c r="E14" i="80"/>
  <c r="E20" i="80"/>
  <c r="E6" i="85" l="1"/>
  <c r="E12" i="88"/>
  <c r="E14" i="88"/>
  <c r="D8" i="80"/>
  <c r="B8" i="80" s="1"/>
  <c r="E8" i="84"/>
  <c r="E11" i="84"/>
  <c r="E20" i="81"/>
  <c r="E14" i="82"/>
  <c r="E9" i="87"/>
  <c r="E11" i="83"/>
  <c r="E18" i="85"/>
  <c r="E18" i="81"/>
  <c r="D18" i="81" s="1"/>
  <c r="B18" i="81" s="1"/>
  <c r="E9" i="81"/>
  <c r="D9" i="81" s="1"/>
  <c r="B9" i="81" s="1"/>
  <c r="E8" i="88"/>
  <c r="D8" i="88" s="1"/>
  <c r="B8" i="88" s="1"/>
  <c r="E9" i="82"/>
  <c r="D17" i="85"/>
  <c r="B17" i="85" s="1"/>
  <c r="E14" i="85"/>
  <c r="E12" i="85"/>
  <c r="E19" i="83"/>
  <c r="E12" i="83"/>
  <c r="E18" i="86"/>
  <c r="D18" i="86" s="1"/>
  <c r="B18" i="86" s="1"/>
  <c r="E16" i="88"/>
  <c r="D16" i="88" s="1"/>
  <c r="B16" i="88" s="1"/>
  <c r="E18" i="87"/>
  <c r="D18" i="87" s="1"/>
  <c r="B18" i="87" s="1"/>
  <c r="E18" i="84"/>
  <c r="D18" i="84" s="1"/>
  <c r="B18" i="84" s="1"/>
  <c r="E16" i="82"/>
  <c r="D16" i="82" s="1"/>
  <c r="B16" i="82" s="1"/>
  <c r="E15" i="82"/>
  <c r="E7" i="82"/>
  <c r="E12" i="84"/>
  <c r="E12" i="81"/>
  <c r="E19" i="82"/>
  <c r="E11" i="88"/>
  <c r="D11" i="88" s="1"/>
  <c r="B11" i="88" s="1"/>
  <c r="E9" i="86"/>
  <c r="D9" i="86" s="1"/>
  <c r="B9" i="86" s="1"/>
  <c r="E20" i="87"/>
  <c r="D20" i="87" s="1"/>
  <c r="B20" i="87" s="1"/>
  <c r="E10" i="87"/>
  <c r="D10" i="87" s="1"/>
  <c r="B10" i="87" s="1"/>
  <c r="E21" i="88"/>
  <c r="E15" i="88"/>
  <c r="E9" i="88"/>
  <c r="E19" i="88"/>
  <c r="E13" i="86"/>
  <c r="E17" i="86"/>
  <c r="E20" i="86"/>
  <c r="D20" i="86" s="1"/>
  <c r="B20" i="86" s="1"/>
  <c r="E20" i="85"/>
  <c r="D20" i="85" s="1"/>
  <c r="B20" i="85" s="1"/>
  <c r="E20" i="84"/>
  <c r="D20" i="84" s="1"/>
  <c r="B20" i="84" s="1"/>
  <c r="E17" i="84"/>
  <c r="E13" i="84"/>
  <c r="E7" i="84"/>
  <c r="D7" i="84" s="1"/>
  <c r="B7" i="84" s="1"/>
  <c r="E8" i="83"/>
  <c r="E14" i="83"/>
  <c r="D14" i="83" s="1"/>
  <c r="B14" i="83" s="1"/>
  <c r="E12" i="82"/>
  <c r="D12" i="82" s="1"/>
  <c r="B12" i="82" s="1"/>
  <c r="E21" i="82"/>
  <c r="E8" i="82"/>
  <c r="D8" i="82" s="1"/>
  <c r="B8" i="82" s="1"/>
  <c r="E11" i="82"/>
  <c r="D11" i="82" s="1"/>
  <c r="B11" i="82" s="1"/>
  <c r="E14" i="81"/>
  <c r="D14" i="81" s="1"/>
  <c r="B14" i="81" s="1"/>
  <c r="E10" i="88"/>
  <c r="D10" i="88" s="1"/>
  <c r="B10" i="88" s="1"/>
  <c r="E7" i="88"/>
  <c r="E13" i="88"/>
  <c r="D13" i="88" s="1"/>
  <c r="B13" i="88" s="1"/>
  <c r="E17" i="88"/>
  <c r="D17" i="88" s="1"/>
  <c r="B17" i="88" s="1"/>
  <c r="E18" i="88"/>
  <c r="D18" i="88" s="1"/>
  <c r="B18" i="88" s="1"/>
  <c r="E20" i="88"/>
  <c r="D20" i="88" s="1"/>
  <c r="B20" i="88" s="1"/>
  <c r="E6" i="88"/>
  <c r="E17" i="87"/>
  <c r="E13" i="87"/>
  <c r="E11" i="87"/>
  <c r="E12" i="87"/>
  <c r="D12" i="87" s="1"/>
  <c r="B12" i="87" s="1"/>
  <c r="E6" i="87"/>
  <c r="E7" i="87"/>
  <c r="D7" i="87" s="1"/>
  <c r="B7" i="87" s="1"/>
  <c r="E8" i="87"/>
  <c r="D8" i="87" s="1"/>
  <c r="B8" i="87" s="1"/>
  <c r="E14" i="87"/>
  <c r="E16" i="87"/>
  <c r="D16" i="87" s="1"/>
  <c r="B16" i="87" s="1"/>
  <c r="E21" i="87"/>
  <c r="E15" i="87"/>
  <c r="D15" i="87" s="1"/>
  <c r="B15" i="87" s="1"/>
  <c r="E19" i="87"/>
  <c r="D19" i="87" s="1"/>
  <c r="B19" i="87" s="1"/>
  <c r="E21" i="86"/>
  <c r="D21" i="86" s="1"/>
  <c r="B21" i="86" s="1"/>
  <c r="E8" i="86"/>
  <c r="D8" i="86" s="1"/>
  <c r="B8" i="86" s="1"/>
  <c r="E10" i="86"/>
  <c r="E11" i="86"/>
  <c r="D11" i="86" s="1"/>
  <c r="B11" i="86" s="1"/>
  <c r="E12" i="86"/>
  <c r="D12" i="86" s="1"/>
  <c r="B12" i="86" s="1"/>
  <c r="E6" i="86"/>
  <c r="E7" i="86"/>
  <c r="D7" i="86" s="1"/>
  <c r="B7" i="86" s="1"/>
  <c r="E14" i="86"/>
  <c r="E16" i="86"/>
  <c r="E15" i="86"/>
  <c r="D15" i="86" s="1"/>
  <c r="B15" i="86" s="1"/>
  <c r="E19" i="86"/>
  <c r="D19" i="86" s="1"/>
  <c r="B19" i="86" s="1"/>
  <c r="E19" i="85"/>
  <c r="D19" i="85" s="1"/>
  <c r="B19" i="85" s="1"/>
  <c r="E7" i="85"/>
  <c r="E15" i="85"/>
  <c r="E8" i="85"/>
  <c r="D8" i="85" s="1"/>
  <c r="B8" i="85" s="1"/>
  <c r="E11" i="85"/>
  <c r="D11" i="85" s="1"/>
  <c r="B11" i="85" s="1"/>
  <c r="E9" i="85"/>
  <c r="D9" i="85" s="1"/>
  <c r="B9" i="85" s="1"/>
  <c r="E16" i="85"/>
  <c r="D16" i="85" s="1"/>
  <c r="B16" i="85" s="1"/>
  <c r="E10" i="85"/>
  <c r="D10" i="85" s="1"/>
  <c r="B10" i="85" s="1"/>
  <c r="E13" i="85"/>
  <c r="E21" i="85"/>
  <c r="D21" i="85" s="1"/>
  <c r="B21" i="85" s="1"/>
  <c r="E6" i="84"/>
  <c r="E9" i="84"/>
  <c r="E10" i="84"/>
  <c r="D10" i="84" s="1"/>
  <c r="B10" i="84" s="1"/>
  <c r="E14" i="84"/>
  <c r="D14" i="84" s="1"/>
  <c r="B14" i="84" s="1"/>
  <c r="E16" i="84"/>
  <c r="D16" i="84" s="1"/>
  <c r="B16" i="84" s="1"/>
  <c r="E21" i="84"/>
  <c r="D21" i="84" s="1"/>
  <c r="B21" i="84" s="1"/>
  <c r="E15" i="84"/>
  <c r="D15" i="84" s="1"/>
  <c r="B15" i="84" s="1"/>
  <c r="E19" i="84"/>
  <c r="E20" i="83"/>
  <c r="D20" i="83" s="1"/>
  <c r="B20" i="83" s="1"/>
  <c r="E10" i="83"/>
  <c r="E13" i="83"/>
  <c r="D13" i="83" s="1"/>
  <c r="B13" i="83" s="1"/>
  <c r="E6" i="83"/>
  <c r="E7" i="83"/>
  <c r="D7" i="83" s="1"/>
  <c r="B7" i="83" s="1"/>
  <c r="E9" i="83"/>
  <c r="D9" i="83" s="1"/>
  <c r="B9" i="83" s="1"/>
  <c r="E15" i="83"/>
  <c r="D15" i="83" s="1"/>
  <c r="B15" i="83" s="1"/>
  <c r="E18" i="83"/>
  <c r="E17" i="83"/>
  <c r="D17" i="83" s="1"/>
  <c r="B17" i="83" s="1"/>
  <c r="E21" i="83"/>
  <c r="D21" i="83" s="1"/>
  <c r="B21" i="83" s="1"/>
  <c r="E10" i="82"/>
  <c r="E13" i="82"/>
  <c r="E17" i="82"/>
  <c r="E18" i="82"/>
  <c r="D18" i="82" s="1"/>
  <c r="B18" i="82" s="1"/>
  <c r="E20" i="82"/>
  <c r="D20" i="82" s="1"/>
  <c r="B20" i="82" s="1"/>
  <c r="E6" i="82"/>
  <c r="E6" i="81"/>
  <c r="E7" i="81"/>
  <c r="D7" i="81" s="1"/>
  <c r="B7" i="81" s="1"/>
  <c r="E16" i="81"/>
  <c r="D16" i="81" s="1"/>
  <c r="B16" i="81" s="1"/>
  <c r="E19" i="81"/>
  <c r="D19" i="81" s="1"/>
  <c r="B19" i="81" s="1"/>
  <c r="E8" i="81"/>
  <c r="D8" i="81" s="1"/>
  <c r="B8" i="81" s="1"/>
  <c r="E11" i="81"/>
  <c r="D11" i="81" s="1"/>
  <c r="B11" i="81" s="1"/>
  <c r="E15" i="81"/>
  <c r="E10" i="81"/>
  <c r="D10" i="81" s="1"/>
  <c r="B10" i="81" s="1"/>
  <c r="E13" i="81"/>
  <c r="E17" i="81"/>
  <c r="D17" i="81" s="1"/>
  <c r="B17" i="81" s="1"/>
  <c r="E21" i="81"/>
  <c r="D21" i="81" s="1"/>
  <c r="B21" i="81" s="1"/>
  <c r="D7" i="80"/>
  <c r="B7" i="80" s="1"/>
  <c r="D12" i="80"/>
  <c r="B12" i="80" s="1"/>
  <c r="E19" i="80"/>
  <c r="D20" i="80"/>
  <c r="B20" i="80" s="1"/>
  <c r="E6" i="80"/>
  <c r="D11" i="80"/>
  <c r="B11" i="80" s="1"/>
  <c r="D14" i="80"/>
  <c r="B14" i="80" s="1"/>
  <c r="E15" i="80"/>
  <c r="D15" i="80" s="1"/>
  <c r="B15" i="80" s="1"/>
  <c r="E16" i="80"/>
  <c r="E18" i="80"/>
  <c r="D18" i="80" s="1"/>
  <c r="B18" i="80" s="1"/>
  <c r="E9" i="80"/>
  <c r="D9" i="80" s="1"/>
  <c r="B9" i="80" s="1"/>
  <c r="E10" i="80"/>
  <c r="D10" i="80" s="1"/>
  <c r="B10" i="80" s="1"/>
  <c r="E13" i="80"/>
  <c r="D13" i="80" s="1"/>
  <c r="B13" i="80" s="1"/>
  <c r="E17" i="80"/>
  <c r="D17" i="80" s="1"/>
  <c r="B17" i="80" s="1"/>
  <c r="E21" i="80"/>
  <c r="D21" i="80" s="1"/>
  <c r="B21" i="80" s="1"/>
  <c r="D16" i="80" l="1"/>
  <c r="B16" i="80" s="1"/>
  <c r="D6" i="80"/>
  <c r="K33" i="80"/>
  <c r="D27" i="80"/>
  <c r="D28" i="80"/>
  <c r="D19" i="80"/>
  <c r="B19" i="80" s="1"/>
  <c r="D13" i="81"/>
  <c r="B13" i="81" s="1"/>
  <c r="D13" i="82"/>
  <c r="B13" i="82" s="1"/>
  <c r="D10" i="82"/>
  <c r="B10" i="82" s="1"/>
  <c r="D19" i="84"/>
  <c r="B19" i="84" s="1"/>
  <c r="D6" i="84"/>
  <c r="K33" i="84"/>
  <c r="D27" i="84"/>
  <c r="D13" i="85"/>
  <c r="B13" i="85" s="1"/>
  <c r="D15" i="85"/>
  <c r="B15" i="85" s="1"/>
  <c r="D7" i="85"/>
  <c r="B7" i="85" s="1"/>
  <c r="D14" i="86"/>
  <c r="B14" i="86" s="1"/>
  <c r="D10" i="86"/>
  <c r="B10" i="86" s="1"/>
  <c r="D17" i="87"/>
  <c r="B17" i="87" s="1"/>
  <c r="D17" i="86"/>
  <c r="B17" i="86" s="1"/>
  <c r="D19" i="88"/>
  <c r="B19" i="88" s="1"/>
  <c r="D12" i="84"/>
  <c r="B12" i="84" s="1"/>
  <c r="D12" i="85"/>
  <c r="B12" i="85" s="1"/>
  <c r="D14" i="88"/>
  <c r="B14" i="88" s="1"/>
  <c r="D6" i="81"/>
  <c r="K33" i="81"/>
  <c r="D17" i="82"/>
  <c r="B17" i="82" s="1"/>
  <c r="D16" i="86"/>
  <c r="B16" i="86" s="1"/>
  <c r="D14" i="87"/>
  <c r="B14" i="87" s="1"/>
  <c r="D6" i="87"/>
  <c r="D27" i="87"/>
  <c r="K33" i="87"/>
  <c r="D11" i="87"/>
  <c r="B11" i="87" s="1"/>
  <c r="D21" i="82"/>
  <c r="B21" i="82" s="1"/>
  <c r="D13" i="86"/>
  <c r="B13" i="86" s="1"/>
  <c r="D21" i="88"/>
  <c r="B21" i="88" s="1"/>
  <c r="D19" i="82"/>
  <c r="B19" i="82" s="1"/>
  <c r="D12" i="81"/>
  <c r="B12" i="81" s="1"/>
  <c r="D7" i="82"/>
  <c r="B7" i="82" s="1"/>
  <c r="D12" i="83"/>
  <c r="B12" i="83" s="1"/>
  <c r="D14" i="85"/>
  <c r="B14" i="85" s="1"/>
  <c r="D11" i="83"/>
  <c r="B11" i="83" s="1"/>
  <c r="D14" i="82"/>
  <c r="B14" i="82" s="1"/>
  <c r="D11" i="84"/>
  <c r="B11" i="84" s="1"/>
  <c r="D8" i="84"/>
  <c r="B8" i="84" s="1"/>
  <c r="D18" i="83"/>
  <c r="B18" i="83" s="1"/>
  <c r="D6" i="83"/>
  <c r="D15" i="81"/>
  <c r="B15" i="81" s="1"/>
  <c r="D6" i="82"/>
  <c r="D27" i="82"/>
  <c r="K33" i="82"/>
  <c r="D10" i="83"/>
  <c r="B10" i="83" s="1"/>
  <c r="D9" i="84"/>
  <c r="B9" i="84" s="1"/>
  <c r="D6" i="86"/>
  <c r="D28" i="86" s="1"/>
  <c r="K33" i="86"/>
  <c r="D27" i="86"/>
  <c r="D21" i="87"/>
  <c r="B21" i="87" s="1"/>
  <c r="D13" i="87"/>
  <c r="B13" i="87" s="1"/>
  <c r="D7" i="88"/>
  <c r="B7" i="88" s="1"/>
  <c r="D8" i="83"/>
  <c r="B8" i="83" s="1"/>
  <c r="D13" i="84"/>
  <c r="B13" i="84" s="1"/>
  <c r="D17" i="84"/>
  <c r="B17" i="84" s="1"/>
  <c r="D9" i="88"/>
  <c r="B9" i="88" s="1"/>
  <c r="D15" i="88"/>
  <c r="B15" i="88" s="1"/>
  <c r="D15" i="82"/>
  <c r="B15" i="82" s="1"/>
  <c r="D9" i="82"/>
  <c r="B9" i="82" s="1"/>
  <c r="D18" i="85"/>
  <c r="B18" i="85" s="1"/>
  <c r="D9" i="87"/>
  <c r="B9" i="87" s="1"/>
  <c r="D20" i="81"/>
  <c r="B20" i="81" s="1"/>
  <c r="D12" i="88"/>
  <c r="B12" i="88" s="1"/>
  <c r="D6" i="85"/>
  <c r="K33" i="85"/>
  <c r="D27" i="85"/>
  <c r="D28" i="85"/>
  <c r="D6" i="88"/>
  <c r="D27" i="88"/>
  <c r="K33" i="88"/>
  <c r="D19" i="83"/>
  <c r="B19" i="83" s="1"/>
  <c r="E16" i="83"/>
  <c r="D16" i="83" s="1"/>
  <c r="B16" i="83" s="1"/>
  <c r="L16" i="83"/>
  <c r="D28" i="88" l="1"/>
  <c r="D30" i="88" s="1"/>
  <c r="D27" i="81"/>
  <c r="D24" i="88"/>
  <c r="B24" i="88"/>
  <c r="B6" i="88"/>
  <c r="B23" i="88" s="1"/>
  <c r="B24" i="85"/>
  <c r="B6" i="85"/>
  <c r="B23" i="85" s="1"/>
  <c r="D24" i="85"/>
  <c r="D24" i="82"/>
  <c r="B6" i="82"/>
  <c r="B23" i="82" s="1"/>
  <c r="B24" i="82"/>
  <c r="D27" i="83"/>
  <c r="D28" i="87"/>
  <c r="D28" i="84"/>
  <c r="D30" i="84" s="1"/>
  <c r="D30" i="80"/>
  <c r="D30" i="85"/>
  <c r="D24" i="83"/>
  <c r="B24" i="83"/>
  <c r="B6" i="83"/>
  <c r="B23" i="83" s="1"/>
  <c r="D28" i="81"/>
  <c r="D30" i="81" s="1"/>
  <c r="D24" i="84"/>
  <c r="B24" i="84"/>
  <c r="B6" i="84"/>
  <c r="B23" i="84" s="1"/>
  <c r="D24" i="86"/>
  <c r="B24" i="86"/>
  <c r="B6" i="86"/>
  <c r="B23" i="86" s="1"/>
  <c r="D28" i="82"/>
  <c r="D30" i="82" s="1"/>
  <c r="K33" i="83"/>
  <c r="D30" i="87"/>
  <c r="B6" i="81"/>
  <c r="B23" i="81" s="1"/>
  <c r="D24" i="81"/>
  <c r="B24" i="81"/>
  <c r="D24" i="80"/>
  <c r="B6" i="80"/>
  <c r="B23" i="80" s="1"/>
  <c r="B24" i="80"/>
  <c r="D30" i="86"/>
  <c r="D28" i="83"/>
  <c r="D24" i="87"/>
  <c r="B6" i="87"/>
  <c r="B23" i="87" s="1"/>
  <c r="B24" i="87"/>
  <c r="D30" i="83" l="1"/>
  <c r="E13" i="78" l="1"/>
  <c r="E21" i="78"/>
  <c r="E18" i="78"/>
  <c r="D18" i="78" s="1"/>
  <c r="B18" i="78" s="1"/>
  <c r="E17" i="78"/>
  <c r="E8" i="78"/>
  <c r="D8" i="78" s="1"/>
  <c r="B8" i="78" s="1"/>
  <c r="E6" i="78"/>
  <c r="D6" i="78" l="1"/>
  <c r="E20" i="79"/>
  <c r="E15" i="79"/>
  <c r="E10" i="79"/>
  <c r="E9" i="79"/>
  <c r="D9" i="79" s="1"/>
  <c r="B9" i="79" s="1"/>
  <c r="E7" i="79"/>
  <c r="D7" i="79" s="1"/>
  <c r="B7" i="79" s="1"/>
  <c r="E18" i="79"/>
  <c r="E14" i="79"/>
  <c r="D14" i="79" s="1"/>
  <c r="B14" i="79" s="1"/>
  <c r="E19" i="79"/>
  <c r="D19" i="79" s="1"/>
  <c r="B19" i="79" s="1"/>
  <c r="E16" i="79"/>
  <c r="D16" i="79" s="1"/>
  <c r="B16" i="79" s="1"/>
  <c r="E21" i="79"/>
  <c r="D21" i="79" s="1"/>
  <c r="B21" i="79" s="1"/>
  <c r="E6" i="79"/>
  <c r="E13" i="79"/>
  <c r="D13" i="79" s="1"/>
  <c r="B13" i="79" s="1"/>
  <c r="E8" i="79"/>
  <c r="D8" i="79" s="1"/>
  <c r="B8" i="79" s="1"/>
  <c r="E11" i="79"/>
  <c r="D11" i="79" s="1"/>
  <c r="B11" i="79" s="1"/>
  <c r="E12" i="79"/>
  <c r="D12" i="79" s="1"/>
  <c r="B12" i="79" s="1"/>
  <c r="E17" i="79"/>
  <c r="D17" i="79" s="1"/>
  <c r="B17" i="79" s="1"/>
  <c r="E20" i="78"/>
  <c r="E7" i="78"/>
  <c r="D7" i="78" s="1"/>
  <c r="B7" i="78" s="1"/>
  <c r="E9" i="78"/>
  <c r="D9" i="78" s="1"/>
  <c r="B9" i="78" s="1"/>
  <c r="E11" i="78"/>
  <c r="D11" i="78" s="1"/>
  <c r="B11" i="78" s="1"/>
  <c r="E12" i="78"/>
  <c r="D12" i="78" s="1"/>
  <c r="B12" i="78" s="1"/>
  <c r="E14" i="78"/>
  <c r="D14" i="78" s="1"/>
  <c r="B14" i="78" s="1"/>
  <c r="E16" i="78"/>
  <c r="D16" i="78" s="1"/>
  <c r="B16" i="78" s="1"/>
  <c r="D13" i="78"/>
  <c r="B13" i="78" s="1"/>
  <c r="D17" i="78"/>
  <c r="B17" i="78" s="1"/>
  <c r="D21" i="78"/>
  <c r="B21" i="78" s="1"/>
  <c r="E10" i="78"/>
  <c r="D10" i="78" s="1"/>
  <c r="B10" i="78" s="1"/>
  <c r="E15" i="78"/>
  <c r="D15" i="78" s="1"/>
  <c r="B15" i="78" s="1"/>
  <c r="E19" i="78"/>
  <c r="D19" i="78" s="1"/>
  <c r="B19" i="78" s="1"/>
  <c r="D18" i="79" l="1"/>
  <c r="B18" i="79" s="1"/>
  <c r="K33" i="78"/>
  <c r="D20" i="78"/>
  <c r="B20" i="78" s="1"/>
  <c r="D6" i="79"/>
  <c r="K33" i="79"/>
  <c r="D27" i="79"/>
  <c r="D10" i="79"/>
  <c r="B10" i="79" s="1"/>
  <c r="D20" i="79"/>
  <c r="B20" i="79" s="1"/>
  <c r="D27" i="78"/>
  <c r="D28" i="78"/>
  <c r="D15" i="79"/>
  <c r="B15" i="79" s="1"/>
  <c r="B6" i="78"/>
  <c r="B23" i="78" s="1"/>
  <c r="B24" i="78"/>
  <c r="D24" i="78"/>
  <c r="D30" i="78" l="1"/>
  <c r="D24" i="79"/>
  <c r="B6" i="79"/>
  <c r="B23" i="79" s="1"/>
  <c r="B24" i="79"/>
  <c r="D28" i="79"/>
  <c r="D30" i="79" s="1"/>
  <c r="K7" i="77" l="1"/>
  <c r="K8" i="77"/>
  <c r="K9" i="77"/>
  <c r="K11" i="77"/>
  <c r="K10" i="77"/>
  <c r="K18" i="77"/>
  <c r="K19" i="77"/>
  <c r="K20" i="77"/>
  <c r="K21" i="77"/>
  <c r="K6" i="77"/>
  <c r="L20" i="77" l="1"/>
  <c r="L11" i="77"/>
  <c r="L19" i="77"/>
  <c r="L9" i="77"/>
  <c r="K6" i="89"/>
  <c r="L6" i="77"/>
  <c r="L18" i="77"/>
  <c r="L8" i="77"/>
  <c r="L21" i="77"/>
  <c r="L10" i="77"/>
  <c r="L7" i="77"/>
  <c r="E8" i="77" l="1"/>
  <c r="D8" i="77" s="1"/>
  <c r="E9" i="77"/>
  <c r="D9" i="77" s="1"/>
  <c r="E11" i="77"/>
  <c r="D11" i="77" s="1"/>
  <c r="E10" i="77"/>
  <c r="D10" i="77" s="1"/>
  <c r="E14" i="77"/>
  <c r="D14" i="77" s="1"/>
  <c r="E15" i="77"/>
  <c r="D15" i="77" s="1"/>
  <c r="E16" i="77"/>
  <c r="D16" i="77" s="1"/>
  <c r="E18" i="77"/>
  <c r="D18" i="77" s="1"/>
  <c r="E19" i="77"/>
  <c r="D19" i="77" s="1"/>
  <c r="E20" i="77"/>
  <c r="D20" i="77" s="1"/>
  <c r="E21" i="77"/>
  <c r="D21" i="77" s="1"/>
  <c r="D21" i="89" l="1"/>
  <c r="B21" i="89" s="1"/>
  <c r="B21" i="77"/>
  <c r="D15" i="89"/>
  <c r="B15" i="89" s="1"/>
  <c r="B15" i="77"/>
  <c r="B11" i="77"/>
  <c r="D11" i="89"/>
  <c r="B11" i="89" s="1"/>
  <c r="B8" i="77"/>
  <c r="D8" i="89"/>
  <c r="B8" i="89" s="1"/>
  <c r="B18" i="77"/>
  <c r="D18" i="89"/>
  <c r="B18" i="89" s="1"/>
  <c r="B20" i="77"/>
  <c r="D20" i="89"/>
  <c r="B20" i="89" s="1"/>
  <c r="E12" i="77"/>
  <c r="D12" i="77" s="1"/>
  <c r="L12" i="77"/>
  <c r="D19" i="89"/>
  <c r="B19" i="89" s="1"/>
  <c r="B19" i="77"/>
  <c r="E17" i="77"/>
  <c r="D17" i="77" s="1"/>
  <c r="L17" i="77"/>
  <c r="D14" i="89"/>
  <c r="B14" i="89" s="1"/>
  <c r="B14" i="77"/>
  <c r="D16" i="89"/>
  <c r="B16" i="89" s="1"/>
  <c r="B16" i="77"/>
  <c r="B10" i="77"/>
  <c r="D10" i="89"/>
  <c r="B10" i="89" s="1"/>
  <c r="D9" i="89"/>
  <c r="B9" i="89" s="1"/>
  <c r="B9" i="77"/>
  <c r="B17" i="77" l="1"/>
  <c r="D17" i="89"/>
  <c r="B17" i="89" s="1"/>
  <c r="D12" i="89"/>
  <c r="B12" i="89" s="1"/>
  <c r="B12" i="77"/>
  <c r="E13" i="77"/>
  <c r="D13" i="77" s="1"/>
  <c r="B13" i="77" l="1"/>
  <c r="D13" i="89"/>
  <c r="B13" i="89" s="1"/>
  <c r="E7" i="77" l="1"/>
  <c r="D7" i="77" s="1"/>
  <c r="D7" i="89" l="1"/>
  <c r="B7" i="89" s="1"/>
  <c r="B7" i="77"/>
  <c r="E6" i="77" l="1"/>
  <c r="D6" i="77" l="1"/>
  <c r="D27" i="77"/>
  <c r="K33" i="77"/>
  <c r="M33" i="77" s="1"/>
  <c r="M33" i="78" s="1"/>
  <c r="M33" i="79" s="1"/>
  <c r="M33" i="80" s="1"/>
  <c r="M33" i="81" s="1"/>
  <c r="M33" i="82" s="1"/>
  <c r="M33" i="83" s="1"/>
  <c r="M33" i="84" s="1"/>
  <c r="M33" i="85" s="1"/>
  <c r="M33" i="86" s="1"/>
  <c r="M33" i="87" s="1"/>
  <c r="M33" i="88" s="1"/>
  <c r="D28" i="77"/>
  <c r="D30" i="77" s="1"/>
  <c r="D24" i="77" l="1"/>
  <c r="B6" i="77"/>
  <c r="B23" i="77" s="1"/>
  <c r="D6" i="89"/>
  <c r="B24" i="77"/>
  <c r="B24" i="89" l="1"/>
  <c r="D24" i="89"/>
  <c r="B6" i="89"/>
  <c r="B23" i="89" s="1"/>
  <c r="K33" i="89" s="1"/>
  <c r="K13" i="77"/>
  <c r="K14" i="77"/>
  <c r="K15" i="77"/>
  <c r="K16" i="77"/>
  <c r="L16" i="77" l="1"/>
  <c r="L15" i="77"/>
  <c r="L14" i="77"/>
  <c r="L13" i="77"/>
  <c r="K24" i="77"/>
  <c r="L24" i="77" l="1"/>
  <c r="E28" i="77"/>
  <c r="H28" i="77" s="1"/>
  <c r="E27" i="77"/>
  <c r="E30" i="77" l="1"/>
  <c r="H27" i="77"/>
  <c r="H30" i="77" s="1"/>
  <c r="K34" i="77" l="1"/>
  <c r="M34" i="77" s="1"/>
  <c r="K26" i="77"/>
  <c r="K29" i="77" l="1"/>
  <c r="K31" i="77" s="1"/>
  <c r="M31" i="77" s="1"/>
  <c r="D3" i="77"/>
  <c r="L27" i="77" s="1"/>
  <c r="K8" i="82" l="1"/>
  <c r="L8" i="82" s="1"/>
  <c r="K18" i="82"/>
  <c r="L18" i="82" s="1"/>
  <c r="K8" i="83"/>
  <c r="L8" i="83" s="1"/>
  <c r="K8" i="84"/>
  <c r="L8" i="84" s="1"/>
  <c r="K8" i="85"/>
  <c r="L8" i="85" s="1"/>
  <c r="K16" i="85"/>
  <c r="L16" i="85" s="1"/>
  <c r="K8" i="87"/>
  <c r="L8" i="87" s="1"/>
  <c r="K7" i="82"/>
  <c r="K11" i="82"/>
  <c r="L11" i="82" s="1"/>
  <c r="K9" i="82"/>
  <c r="L9" i="82" s="1"/>
  <c r="K19" i="82"/>
  <c r="L19" i="82" s="1"/>
  <c r="K10" i="82"/>
  <c r="L10" i="82" s="1"/>
  <c r="K14" i="82"/>
  <c r="L14" i="82" s="1"/>
  <c r="K20" i="82"/>
  <c r="L20" i="82" s="1"/>
  <c r="K12" i="83"/>
  <c r="L12" i="83" s="1"/>
  <c r="K16" i="84"/>
  <c r="L16" i="84" s="1"/>
  <c r="K8" i="86"/>
  <c r="L8" i="86" s="1"/>
  <c r="K16" i="86"/>
  <c r="L16" i="86" s="1"/>
  <c r="K21" i="82"/>
  <c r="L21" i="82" s="1"/>
  <c r="K20" i="83"/>
  <c r="L20" i="83" s="1"/>
  <c r="K12" i="84"/>
  <c r="L12" i="84" s="1"/>
  <c r="K20" i="84"/>
  <c r="L20" i="84" s="1"/>
  <c r="K12" i="85"/>
  <c r="L12" i="85" s="1"/>
  <c r="K20" i="85"/>
  <c r="L20" i="85" s="1"/>
  <c r="K12" i="86"/>
  <c r="L12" i="86" s="1"/>
  <c r="K20" i="86"/>
  <c r="L20" i="86" s="1"/>
  <c r="K12" i="87"/>
  <c r="L12" i="87" s="1"/>
  <c r="K16" i="87"/>
  <c r="L16" i="87" s="1"/>
  <c r="K20" i="87"/>
  <c r="L20" i="87" s="1"/>
  <c r="K8" i="88"/>
  <c r="L8" i="88" s="1"/>
  <c r="K12" i="88"/>
  <c r="L12" i="88" s="1"/>
  <c r="K16" i="88"/>
  <c r="L16" i="88" s="1"/>
  <c r="K20" i="88"/>
  <c r="L20" i="88" s="1"/>
  <c r="K7" i="83"/>
  <c r="K11" i="83"/>
  <c r="L11" i="83" s="1"/>
  <c r="K15" i="83"/>
  <c r="L15" i="83" s="1"/>
  <c r="K19" i="83"/>
  <c r="L19" i="83" s="1"/>
  <c r="K7" i="84"/>
  <c r="K11" i="84"/>
  <c r="L11" i="84" s="1"/>
  <c r="K15" i="84"/>
  <c r="L15" i="84" s="1"/>
  <c r="K19" i="84"/>
  <c r="L19" i="84" s="1"/>
  <c r="K7" i="85"/>
  <c r="K11" i="85"/>
  <c r="L11" i="85" s="1"/>
  <c r="K15" i="85"/>
  <c r="L15" i="85" s="1"/>
  <c r="K19" i="85"/>
  <c r="L19" i="85" s="1"/>
  <c r="K7" i="86"/>
  <c r="K11" i="86"/>
  <c r="L11" i="86" s="1"/>
  <c r="K15" i="86"/>
  <c r="L15" i="86" s="1"/>
  <c r="K19" i="86"/>
  <c r="L19" i="86" s="1"/>
  <c r="K7" i="87"/>
  <c r="K11" i="87"/>
  <c r="L11" i="87" s="1"/>
  <c r="K15" i="87"/>
  <c r="L15" i="87" s="1"/>
  <c r="K19" i="87"/>
  <c r="L19" i="87" s="1"/>
  <c r="K7" i="88"/>
  <c r="K11" i="88"/>
  <c r="L11" i="88" s="1"/>
  <c r="K15" i="88"/>
  <c r="L15" i="88" s="1"/>
  <c r="K19" i="88"/>
  <c r="L19" i="88" s="1"/>
  <c r="K10" i="83"/>
  <c r="L10" i="83" s="1"/>
  <c r="K14" i="83"/>
  <c r="L14" i="83" s="1"/>
  <c r="K18" i="83"/>
  <c r="L18" i="83" s="1"/>
  <c r="K10" i="84"/>
  <c r="L10" i="84" s="1"/>
  <c r="K14" i="84"/>
  <c r="L14" i="84" s="1"/>
  <c r="K18" i="84"/>
  <c r="L18" i="84" s="1"/>
  <c r="K10" i="85"/>
  <c r="L10" i="85" s="1"/>
  <c r="K14" i="85"/>
  <c r="L14" i="85" s="1"/>
  <c r="K18" i="85"/>
  <c r="L18" i="85" s="1"/>
  <c r="K10" i="86"/>
  <c r="L10" i="86" s="1"/>
  <c r="K14" i="86"/>
  <c r="L14" i="86" s="1"/>
  <c r="K18" i="86"/>
  <c r="L18" i="86" s="1"/>
  <c r="K10" i="87"/>
  <c r="L10" i="87" s="1"/>
  <c r="K14" i="87"/>
  <c r="L14" i="87" s="1"/>
  <c r="K18" i="87"/>
  <c r="L18" i="87" s="1"/>
  <c r="K10" i="88"/>
  <c r="L10" i="88" s="1"/>
  <c r="K14" i="88"/>
  <c r="L14" i="88" s="1"/>
  <c r="K18" i="88"/>
  <c r="L18" i="88" s="1"/>
  <c r="K9" i="83"/>
  <c r="L9" i="83" s="1"/>
  <c r="K13" i="83"/>
  <c r="L13" i="83" s="1"/>
  <c r="K17" i="83"/>
  <c r="L17" i="83" s="1"/>
  <c r="K21" i="83"/>
  <c r="L21" i="83" s="1"/>
  <c r="K9" i="84"/>
  <c r="L9" i="84" s="1"/>
  <c r="K13" i="84"/>
  <c r="L13" i="84" s="1"/>
  <c r="K17" i="84"/>
  <c r="L17" i="84" s="1"/>
  <c r="K21" i="84"/>
  <c r="L21" i="84" s="1"/>
  <c r="K9" i="85"/>
  <c r="L9" i="85" s="1"/>
  <c r="K13" i="85"/>
  <c r="L13" i="85" s="1"/>
  <c r="K17" i="85"/>
  <c r="L17" i="85" s="1"/>
  <c r="K21" i="85"/>
  <c r="L21" i="85" s="1"/>
  <c r="K9" i="86"/>
  <c r="L9" i="86" s="1"/>
  <c r="K13" i="86"/>
  <c r="L13" i="86" s="1"/>
  <c r="K17" i="86"/>
  <c r="L17" i="86" s="1"/>
  <c r="K21" i="86"/>
  <c r="L21" i="86" s="1"/>
  <c r="K9" i="87"/>
  <c r="L9" i="87" s="1"/>
  <c r="K13" i="87"/>
  <c r="L13" i="87" s="1"/>
  <c r="K17" i="87"/>
  <c r="L17" i="87" s="1"/>
  <c r="K21" i="87"/>
  <c r="L21" i="87" s="1"/>
  <c r="K9" i="88"/>
  <c r="L9" i="88" s="1"/>
  <c r="K13" i="88"/>
  <c r="L13" i="88" s="1"/>
  <c r="K17" i="88"/>
  <c r="L17" i="88" s="1"/>
  <c r="K21" i="88"/>
  <c r="L21" i="88" s="1"/>
  <c r="K8" i="81"/>
  <c r="L8" i="81" s="1"/>
  <c r="K12" i="81"/>
  <c r="L12" i="81" s="1"/>
  <c r="K16" i="81"/>
  <c r="L16" i="81" s="1"/>
  <c r="K20" i="81"/>
  <c r="L20" i="81" s="1"/>
  <c r="K9" i="81"/>
  <c r="L9" i="81" s="1"/>
  <c r="K13" i="81"/>
  <c r="L13" i="81" s="1"/>
  <c r="K17" i="81"/>
  <c r="L17" i="81" s="1"/>
  <c r="K21" i="81"/>
  <c r="L21" i="81" s="1"/>
  <c r="K10" i="81"/>
  <c r="L10" i="81" s="1"/>
  <c r="K14" i="81"/>
  <c r="L14" i="81" s="1"/>
  <c r="K18" i="81"/>
  <c r="L18" i="81" s="1"/>
  <c r="K7" i="81"/>
  <c r="K11" i="81"/>
  <c r="L11" i="81" s="1"/>
  <c r="K15" i="81"/>
  <c r="L15" i="81" s="1"/>
  <c r="K19" i="81"/>
  <c r="L19" i="81" s="1"/>
  <c r="L7" i="81" l="1"/>
  <c r="K24" i="81"/>
  <c r="L7" i="82"/>
  <c r="K24" i="88"/>
  <c r="L7" i="88"/>
  <c r="L7" i="87"/>
  <c r="K24" i="87"/>
  <c r="L7" i="86"/>
  <c r="K24" i="86"/>
  <c r="L7" i="85"/>
  <c r="K24" i="85"/>
  <c r="K24" i="84"/>
  <c r="L7" i="84"/>
  <c r="L7" i="83"/>
  <c r="K24" i="83"/>
  <c r="K10" i="80"/>
  <c r="L10" i="80" s="1"/>
  <c r="K14" i="80"/>
  <c r="L14" i="80" s="1"/>
  <c r="K18" i="80"/>
  <c r="L18" i="80" s="1"/>
  <c r="K9" i="80"/>
  <c r="L9" i="80" s="1"/>
  <c r="K13" i="80"/>
  <c r="L13" i="80" s="1"/>
  <c r="K17" i="80"/>
  <c r="L17" i="80" s="1"/>
  <c r="K21" i="80"/>
  <c r="L21" i="80" s="1"/>
  <c r="K8" i="80"/>
  <c r="L8" i="80" s="1"/>
  <c r="K12" i="80"/>
  <c r="L12" i="80" s="1"/>
  <c r="K16" i="80"/>
  <c r="L16" i="80" s="1"/>
  <c r="K20" i="80"/>
  <c r="L20" i="80" s="1"/>
  <c r="K7" i="80"/>
  <c r="K11" i="80"/>
  <c r="L11" i="80" s="1"/>
  <c r="K15" i="80"/>
  <c r="L15" i="80" s="1"/>
  <c r="K19" i="80"/>
  <c r="L19" i="80" s="1"/>
  <c r="K10" i="79"/>
  <c r="L10" i="79" s="1"/>
  <c r="K14" i="79"/>
  <c r="L14" i="79" s="1"/>
  <c r="K18" i="79"/>
  <c r="L18" i="79" s="1"/>
  <c r="K8" i="79"/>
  <c r="L8" i="79" s="1"/>
  <c r="K12" i="79"/>
  <c r="L12" i="79" s="1"/>
  <c r="K16" i="79"/>
  <c r="L16" i="79" s="1"/>
  <c r="K20" i="79"/>
  <c r="L20" i="79" s="1"/>
  <c r="K9" i="79"/>
  <c r="L9" i="79" s="1"/>
  <c r="K13" i="79"/>
  <c r="L13" i="79" s="1"/>
  <c r="K17" i="79"/>
  <c r="L17" i="79" s="1"/>
  <c r="K21" i="79"/>
  <c r="L21" i="79" s="1"/>
  <c r="K7" i="79"/>
  <c r="K11" i="79"/>
  <c r="L11" i="79" s="1"/>
  <c r="K15" i="79"/>
  <c r="L15" i="79" s="1"/>
  <c r="K19" i="79"/>
  <c r="L19" i="79" s="1"/>
  <c r="K24" i="79" l="1"/>
  <c r="L7" i="79"/>
  <c r="K24" i="80"/>
  <c r="L7" i="80"/>
  <c r="E27" i="83"/>
  <c r="E28" i="83"/>
  <c r="H28" i="83" s="1"/>
  <c r="L24" i="83"/>
  <c r="E28" i="85"/>
  <c r="H28" i="85" s="1"/>
  <c r="E27" i="85"/>
  <c r="L24" i="85"/>
  <c r="L24" i="87"/>
  <c r="E27" i="87"/>
  <c r="E28" i="87"/>
  <c r="H28" i="87" s="1"/>
  <c r="E28" i="84"/>
  <c r="H28" i="84" s="1"/>
  <c r="L24" i="84"/>
  <c r="E27" i="84"/>
  <c r="E28" i="88"/>
  <c r="H28" i="88" s="1"/>
  <c r="E27" i="88"/>
  <c r="L24" i="88"/>
  <c r="L24" i="86"/>
  <c r="E27" i="86"/>
  <c r="E28" i="86"/>
  <c r="H28" i="86" s="1"/>
  <c r="L24" i="81"/>
  <c r="E27" i="81"/>
  <c r="E28" i="81"/>
  <c r="H28" i="81" s="1"/>
  <c r="E30" i="87" l="1"/>
  <c r="K34" i="87" s="1"/>
  <c r="H27" i="87"/>
  <c r="H30" i="87" s="1"/>
  <c r="L24" i="80"/>
  <c r="E28" i="80"/>
  <c r="H28" i="80" s="1"/>
  <c r="E27" i="80"/>
  <c r="E30" i="88"/>
  <c r="K34" i="88" s="1"/>
  <c r="H27" i="88"/>
  <c r="H30" i="88" s="1"/>
  <c r="E30" i="86"/>
  <c r="K34" i="86" s="1"/>
  <c r="H27" i="86"/>
  <c r="H30" i="86" s="1"/>
  <c r="H27" i="81"/>
  <c r="H30" i="81" s="1"/>
  <c r="E30" i="81"/>
  <c r="K34" i="81" s="1"/>
  <c r="H27" i="84"/>
  <c r="H30" i="84" s="1"/>
  <c r="E30" i="84"/>
  <c r="K34" i="84" s="1"/>
  <c r="E28" i="79"/>
  <c r="H28" i="79" s="1"/>
  <c r="L24" i="79"/>
  <c r="E27" i="79"/>
  <c r="H27" i="85"/>
  <c r="H30" i="85" s="1"/>
  <c r="E30" i="85"/>
  <c r="K34" i="85" s="1"/>
  <c r="H27" i="83"/>
  <c r="H30" i="83" s="1"/>
  <c r="E30" i="83"/>
  <c r="K34" i="83" s="1"/>
  <c r="K7" i="78"/>
  <c r="K8" i="78"/>
  <c r="K9" i="78"/>
  <c r="K10" i="78"/>
  <c r="K11" i="78"/>
  <c r="K12" i="78"/>
  <c r="K13" i="78"/>
  <c r="K14" i="78"/>
  <c r="K15" i="78"/>
  <c r="K16" i="78"/>
  <c r="K17" i="78"/>
  <c r="K18" i="78"/>
  <c r="L14" i="78" l="1"/>
  <c r="K14" i="89"/>
  <c r="L10" i="78"/>
  <c r="K10" i="89"/>
  <c r="H27" i="79"/>
  <c r="H30" i="79" s="1"/>
  <c r="E30" i="79"/>
  <c r="K34" i="79" s="1"/>
  <c r="L17" i="78"/>
  <c r="L13" i="78"/>
  <c r="L9" i="78"/>
  <c r="K9" i="89"/>
  <c r="L16" i="78"/>
  <c r="L12" i="78"/>
  <c r="L8" i="78"/>
  <c r="K8" i="89"/>
  <c r="L18" i="78"/>
  <c r="K18" i="89"/>
  <c r="L15" i="78"/>
  <c r="L11" i="78"/>
  <c r="K11" i="89"/>
  <c r="L7" i="78"/>
  <c r="K7" i="89"/>
  <c r="E30" i="80"/>
  <c r="K34" i="80" s="1"/>
  <c r="H27" i="80"/>
  <c r="H30" i="80" s="1"/>
  <c r="K19" i="78"/>
  <c r="K21" i="78"/>
  <c r="L19" i="78" l="1"/>
  <c r="K19" i="89"/>
  <c r="L21" i="78"/>
  <c r="K21" i="89"/>
  <c r="E28" i="78"/>
  <c r="H28" i="78" s="1"/>
  <c r="E27" i="78"/>
  <c r="K20" i="78"/>
  <c r="K24" i="78" s="1"/>
  <c r="E30" i="78" l="1"/>
  <c r="H27" i="78"/>
  <c r="H30" i="78" s="1"/>
  <c r="L20" i="78"/>
  <c r="L24" i="78" s="1"/>
  <c r="K20" i="89"/>
  <c r="K12" i="82"/>
  <c r="K17" i="82"/>
  <c r="K13" i="82"/>
  <c r="K16" i="82"/>
  <c r="K15" i="82"/>
  <c r="L13" i="82" l="1"/>
  <c r="K13" i="89"/>
  <c r="L17" i="82"/>
  <c r="K17" i="89"/>
  <c r="L15" i="82"/>
  <c r="K15" i="89"/>
  <c r="L12" i="82"/>
  <c r="K24" i="82"/>
  <c r="K12" i="89"/>
  <c r="L16" i="82"/>
  <c r="K16" i="89"/>
  <c r="K26" i="78"/>
  <c r="K34" i="78"/>
  <c r="M34" i="78" s="1"/>
  <c r="M34" i="79" s="1"/>
  <c r="M34" i="80" s="1"/>
  <c r="M34" i="81" s="1"/>
  <c r="K29" i="78" l="1"/>
  <c r="K31" i="78" s="1"/>
  <c r="M31" i="78" s="1"/>
  <c r="K26" i="79" s="1"/>
  <c r="D3" i="78"/>
  <c r="L27" i="78" s="1"/>
  <c r="E28" i="82"/>
  <c r="H28" i="82" s="1"/>
  <c r="E27" i="82"/>
  <c r="L24" i="82"/>
  <c r="K24" i="89"/>
  <c r="E30" i="82" l="1"/>
  <c r="K34" i="82" s="1"/>
  <c r="M34" i="82" s="1"/>
  <c r="M34" i="83" s="1"/>
  <c r="M34" i="84" s="1"/>
  <c r="M34" i="85" s="1"/>
  <c r="M34" i="86" s="1"/>
  <c r="M34" i="87" s="1"/>
  <c r="M34" i="88" s="1"/>
  <c r="H27" i="82"/>
  <c r="H30" i="82" s="1"/>
  <c r="D3" i="79"/>
  <c r="L27" i="79" s="1"/>
  <c r="K29" i="79"/>
  <c r="K31" i="79" s="1"/>
  <c r="M31" i="79" s="1"/>
  <c r="K26" i="80" s="1"/>
  <c r="K29" i="80" l="1"/>
  <c r="K31" i="80" s="1"/>
  <c r="M31" i="80" s="1"/>
  <c r="K26" i="81" s="1"/>
  <c r="D3" i="80"/>
  <c r="L27" i="80" s="1"/>
  <c r="K29" i="81" l="1"/>
  <c r="K31" i="81" s="1"/>
  <c r="M31" i="81" s="1"/>
  <c r="K26" i="82" s="1"/>
  <c r="D3" i="81"/>
  <c r="L27" i="81" s="1"/>
  <c r="D3" i="82" l="1"/>
  <c r="L27" i="82" s="1"/>
  <c r="K29" i="82"/>
  <c r="K31" i="82" s="1"/>
  <c r="M31" i="82" s="1"/>
  <c r="K26" i="83" s="1"/>
  <c r="D3" i="83" l="1"/>
  <c r="L27" i="83" s="1"/>
  <c r="K29" i="83"/>
  <c r="K31" i="83" s="1"/>
  <c r="M31" i="83" s="1"/>
  <c r="K26" i="84" s="1"/>
  <c r="K29" i="84" l="1"/>
  <c r="K31" i="84" s="1"/>
  <c r="M31" i="84" s="1"/>
  <c r="K26" i="85" s="1"/>
  <c r="D3" i="84"/>
  <c r="L27" i="84" s="1"/>
  <c r="K29" i="85" l="1"/>
  <c r="K31" i="85" s="1"/>
  <c r="M31" i="85" s="1"/>
  <c r="K26" i="86" s="1"/>
  <c r="D3" i="85"/>
  <c r="L27" i="85" s="1"/>
  <c r="K29" i="86" l="1"/>
  <c r="K31" i="86" s="1"/>
  <c r="M31" i="86" s="1"/>
  <c r="K26" i="87" s="1"/>
  <c r="D3" i="86"/>
  <c r="L27" i="86" s="1"/>
  <c r="D3" i="87" l="1"/>
  <c r="L27" i="87" s="1"/>
  <c r="K29" i="87"/>
  <c r="K31" i="87" s="1"/>
  <c r="M31" i="87" s="1"/>
  <c r="K26" i="88" s="1"/>
  <c r="D3" i="88" l="1"/>
  <c r="L27" i="88" s="1"/>
  <c r="K29" i="88"/>
  <c r="K31" i="88" s="1"/>
  <c r="M31" i="88" s="1"/>
  <c r="O37" i="88" s="1"/>
  <c r="R8" i="88" l="1"/>
  <c r="R17" i="88"/>
  <c r="R13" i="88"/>
  <c r="R6" i="88"/>
  <c r="R11" i="88"/>
  <c r="R7" i="88"/>
  <c r="R9" i="88"/>
  <c r="R21" i="88"/>
  <c r="R19" i="88"/>
  <c r="R14" i="88"/>
  <c r="R15" i="88"/>
  <c r="R10" i="88"/>
  <c r="R18" i="88"/>
  <c r="R12" i="88"/>
  <c r="R20" i="88"/>
  <c r="R16" i="88"/>
  <c r="X6" i="89" l="1"/>
  <c r="R24" i="88"/>
  <c r="R26" i="88" s="1"/>
</calcChain>
</file>

<file path=xl/comments1.xml><?xml version="1.0" encoding="utf-8"?>
<comments xmlns="http://schemas.openxmlformats.org/spreadsheetml/2006/main">
  <authors>
    <author>DJUOMBESSY</author>
  </authors>
  <commentList>
    <comment ref="K3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TCHEMNOU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K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TCHEMNOU</t>
        </r>
      </text>
    </comment>
  </commentList>
</comments>
</file>

<file path=xl/sharedStrings.xml><?xml version="1.0" encoding="utf-8"?>
<sst xmlns="http://schemas.openxmlformats.org/spreadsheetml/2006/main" count="2095" uniqueCount="91">
  <si>
    <t>ASSOCIATION</t>
  </si>
  <si>
    <t>ASELBY</t>
  </si>
  <si>
    <t>ANNEE</t>
  </si>
  <si>
    <t xml:space="preserve">TONTINE </t>
  </si>
  <si>
    <t>MATRICULE</t>
  </si>
  <si>
    <t>NOM ET PRENOM</t>
  </si>
  <si>
    <t>MONTANT TONTINE</t>
  </si>
  <si>
    <t>PENALITE</t>
  </si>
  <si>
    <t>ECHEC</t>
  </si>
  <si>
    <t>BANQUE</t>
  </si>
  <si>
    <t>AS201619</t>
  </si>
  <si>
    <t>AS201621</t>
  </si>
  <si>
    <t>AS201628</t>
  </si>
  <si>
    <t>TOTAL</t>
  </si>
  <si>
    <t>ESPECES</t>
  </si>
  <si>
    <t>AVALISTE</t>
  </si>
  <si>
    <t xml:space="preserve"> </t>
  </si>
  <si>
    <t>TONTINE</t>
  </si>
  <si>
    <t>INTERET PETIT LOT</t>
  </si>
  <si>
    <t>MODE VERSEMENT REMBOURSEMENT</t>
  </si>
  <si>
    <t>MODE VERSEMENT TONTINE</t>
  </si>
  <si>
    <t>MODE VERSEMENT TONTINE PRINCIPAL</t>
  </si>
  <si>
    <t>REMBOURSEMENT PETIT LOT</t>
  </si>
  <si>
    <t>MONTANT TONTINE LOT PRINCIPAL</t>
  </si>
  <si>
    <t>INTERET LOT PRINCIPAL</t>
  </si>
  <si>
    <t>VENTE PETIT LOT</t>
  </si>
  <si>
    <t>MODE VERSEMENT VENTE PETIT LOT</t>
  </si>
  <si>
    <t>VENTE LOT PRINCIPAL</t>
  </si>
  <si>
    <t>SOLDE EN CAISSE</t>
  </si>
  <si>
    <t>AS201613</t>
  </si>
  <si>
    <t>AS201647</t>
  </si>
  <si>
    <t>AS201626</t>
  </si>
  <si>
    <t>AS201649</t>
  </si>
  <si>
    <t>PETIT LOT</t>
  </si>
  <si>
    <t>NUMERO CHEQUE</t>
  </si>
  <si>
    <t>TONTINE + REMB + INTERET VENTE</t>
  </si>
  <si>
    <t>AS201602</t>
  </si>
  <si>
    <t>AS201604</t>
  </si>
  <si>
    <t>AS201605</t>
  </si>
  <si>
    <t>AS201610</t>
  </si>
  <si>
    <t>AS201611</t>
  </si>
  <si>
    <t>AS201618</t>
  </si>
  <si>
    <t>AS201633</t>
  </si>
  <si>
    <t>AS201638</t>
  </si>
  <si>
    <t>2019/2020</t>
  </si>
  <si>
    <t>MONTANT REMBOURSE</t>
  </si>
  <si>
    <t>MONTANT A REMOURSER</t>
  </si>
  <si>
    <t>MONTANT A REMBOURSER</t>
  </si>
  <si>
    <t>CRITERE</t>
  </si>
  <si>
    <t>MISE A PRIX INTERET LOT PRINCIPAL</t>
  </si>
  <si>
    <t>AS201603</t>
  </si>
  <si>
    <t>AS201655</t>
  </si>
  <si>
    <t>ECHEC TONTINE</t>
  </si>
  <si>
    <t>ECHEC REMBOURSEMENT</t>
  </si>
  <si>
    <t>REPORT ECHEC  PETIT LOT</t>
  </si>
  <si>
    <t>VENDUE</t>
  </si>
  <si>
    <t>RELIQUAT</t>
  </si>
  <si>
    <t>CUMUL</t>
  </si>
  <si>
    <t>TONIINE</t>
  </si>
  <si>
    <t xml:space="preserve">TAUX TONTINE </t>
  </si>
  <si>
    <t>LOT PRINCIPAL</t>
  </si>
  <si>
    <t>NBRE PART</t>
  </si>
  <si>
    <t>MOIS ACHAT</t>
  </si>
  <si>
    <t>MOIS ACHAT2</t>
  </si>
  <si>
    <t>MOIS ACHAT3</t>
  </si>
  <si>
    <t>TCHEMHOU EMMANUEL</t>
  </si>
  <si>
    <t>CHINGUE FABRICE</t>
  </si>
  <si>
    <t>DETTE</t>
  </si>
  <si>
    <t>INTERET PAR ADHERENT</t>
  </si>
  <si>
    <t>A DISTRIBUER</t>
  </si>
  <si>
    <t>AS201608</t>
  </si>
  <si>
    <t>AS201653</t>
  </si>
  <si>
    <t>AS201624</t>
  </si>
  <si>
    <t>TOTAL PART</t>
  </si>
  <si>
    <t>NBRE ADHERENT</t>
  </si>
  <si>
    <t>NBREPART</t>
  </si>
  <si>
    <t>MODE VERSEMENT</t>
  </si>
  <si>
    <t>MONTANT A REMBOURSER PETIT LOT</t>
  </si>
  <si>
    <t>MODE VERSEMENTLOT PRINCIPAL</t>
  </si>
  <si>
    <t>MONTANT  LOT PRINCIPAL</t>
  </si>
  <si>
    <t>PART VENDUE</t>
  </si>
  <si>
    <t>ECHEC TONTINE MOIS</t>
  </si>
  <si>
    <t>ECHEC REMBOURSEMENT MOIS</t>
  </si>
  <si>
    <t>DATE OBTENTION</t>
  </si>
  <si>
    <t>TONTINE + REMB + INTERET VENTE+RELIQUAT</t>
  </si>
  <si>
    <t>INTERET DU</t>
  </si>
  <si>
    <t>ATTENDU</t>
  </si>
  <si>
    <t>EN ATTENTE</t>
  </si>
  <si>
    <t>INTERET A PERCEVOIR</t>
  </si>
  <si>
    <t>INTERET A DISTRIBUER</t>
  </si>
  <si>
    <t>reliquat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</si>
</sst>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C]d\-mmm\-yy;@"/>
    <numFmt numFmtId="165" formatCode="[$-40C]d\-mmm;@"/>
    <numFmt numFmtId="166" formatCode="[$-40C]mmmm\-yy;@"/>
    <numFmt numFmtId="167" formatCode="[$-40C]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B050"/>
      <name val="Britannic Bold"/>
      <family val="2"/>
    </font>
    <font>
      <sz val="16"/>
      <color rgb="FF0070C0"/>
      <name val="Britannic Bold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7" fillId="0" borderId="0" xfId="0" applyNumberFormat="1" applyFont="1"/>
    <xf numFmtId="0" fontId="6" fillId="0" borderId="0" xfId="0" applyFont="1"/>
    <xf numFmtId="3" fontId="9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1" fillId="0" borderId="0" xfId="0" applyFont="1"/>
    <xf numFmtId="3" fontId="11" fillId="0" borderId="0" xfId="0" applyNumberFormat="1" applyFont="1"/>
    <xf numFmtId="3" fontId="10" fillId="0" borderId="0" xfId="0" applyNumberFormat="1" applyFont="1"/>
    <xf numFmtId="3" fontId="8" fillId="0" borderId="0" xfId="0" applyNumberFormat="1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6" fillId="0" borderId="0" xfId="0" applyNumberFormat="1" applyFont="1"/>
    <xf numFmtId="14" fontId="0" fillId="0" borderId="0" xfId="0" applyNumberFormat="1"/>
    <xf numFmtId="14" fontId="10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7" fontId="0" fillId="0" borderId="0" xfId="0" applyNumberFormat="1"/>
    <xf numFmtId="165" fontId="0" fillId="0" borderId="0" xfId="0" applyNumberForma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3" fontId="15" fillId="0" borderId="0" xfId="0" applyNumberFormat="1" applyFont="1"/>
    <xf numFmtId="3" fontId="16" fillId="0" borderId="0" xfId="0" applyNumberFormat="1" applyFont="1"/>
    <xf numFmtId="3" fontId="17" fillId="0" borderId="0" xfId="0" applyNumberFormat="1" applyFont="1"/>
    <xf numFmtId="167" fontId="18" fillId="0" borderId="0" xfId="0" applyNumberFormat="1" applyFont="1"/>
    <xf numFmtId="3" fontId="12" fillId="0" borderId="0" xfId="0" applyNumberFormat="1" applyFont="1"/>
    <xf numFmtId="3" fontId="6" fillId="0" borderId="0" xfId="0" applyNumberFormat="1" applyFont="1"/>
    <xf numFmtId="3" fontId="19" fillId="0" borderId="0" xfId="0" applyNumberFormat="1" applyFont="1"/>
    <xf numFmtId="3" fontId="18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3" fontId="21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ABBOR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ABBOR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2TABBOR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2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NOV20"/>
      <sheetName val="HISTODEC20"/>
      <sheetName val="HISTOTEST"/>
    </sheetNames>
    <sheetDataSet>
      <sheetData sheetId="0"/>
      <sheetData sheetId="1">
        <row r="6">
          <cell r="A6" t="str">
            <v>MATRICULE</v>
          </cell>
          <cell r="B6" t="str">
            <v>NOM ET PRENOM</v>
          </cell>
          <cell r="C6" t="str">
            <v>BONUS MALUS</v>
          </cell>
          <cell r="D6" t="str">
            <v>HISTORIQUE</v>
          </cell>
          <cell r="E6" t="str">
            <v>NBRE DE LOT</v>
          </cell>
          <cell r="F6" t="str">
            <v>TONTINE 30 000</v>
          </cell>
          <cell r="G6" t="str">
            <v>NBRE DE LOT</v>
          </cell>
          <cell r="H6" t="str">
            <v>TONTINE 75 000</v>
          </cell>
          <cell r="I6" t="str">
            <v>NBRE DE LOT</v>
          </cell>
          <cell r="J6" t="str">
            <v>TONTINE 100 000</v>
          </cell>
          <cell r="K6" t="str">
            <v>REMBOURSEMENT PETIT LOT T30</v>
          </cell>
          <cell r="L6" t="str">
            <v>REMBOURSEMENT PETIT LOT T75</v>
          </cell>
          <cell r="M6" t="str">
            <v>REMBOURSEMENT PETIT LOT T100</v>
          </cell>
          <cell r="N6" t="str">
            <v>REMBOURSEMENT DETTE</v>
          </cell>
          <cell r="O6" t="str">
            <v>MONTANT</v>
          </cell>
          <cell r="P6" t="str">
            <v>SANCTION</v>
          </cell>
          <cell r="Q6" t="str">
            <v>PENALITE VERSEMENT ESPECES</v>
          </cell>
          <cell r="R6" t="str">
            <v>ACHAT LOT PRINCIPAL T30</v>
          </cell>
          <cell r="S6" t="str">
            <v>ACHAT LOT PRINCIPAL T75</v>
          </cell>
          <cell r="T6" t="str">
            <v>ACHAT LOT PRINCIPAL T10</v>
          </cell>
          <cell r="U6" t="str">
            <v>MODE PAIEMENT TONTINE</v>
          </cell>
          <cell r="V6" t="str">
            <v>MODE PAIEMENT LOT PRINCIPAL</v>
          </cell>
          <cell r="W6" t="str">
            <v>MODE PAIEMENT REMBOURSEMENT DETTS</v>
          </cell>
          <cell r="X6" t="str">
            <v>PENALITE ECHEC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1</v>
          </cell>
          <cell r="F7">
            <v>30000</v>
          </cell>
          <cell r="G7">
            <v>1</v>
          </cell>
          <cell r="H7">
            <v>75000</v>
          </cell>
          <cell r="J7">
            <v>0</v>
          </cell>
          <cell r="O7">
            <v>105000</v>
          </cell>
          <cell r="R7">
            <v>20000</v>
          </cell>
          <cell r="U7" t="str">
            <v>BANQUE</v>
          </cell>
          <cell r="V7" t="str">
            <v>BANQUE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176000</v>
          </cell>
          <cell r="E8">
            <v>1</v>
          </cell>
          <cell r="F8">
            <v>30000</v>
          </cell>
          <cell r="G8">
            <v>1</v>
          </cell>
          <cell r="H8">
            <v>75000</v>
          </cell>
          <cell r="J8">
            <v>0</v>
          </cell>
          <cell r="L8">
            <v>71000</v>
          </cell>
          <cell r="O8">
            <v>176000</v>
          </cell>
          <cell r="P8">
            <v>6000</v>
          </cell>
          <cell r="U8" t="str">
            <v>ESPECES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1</v>
          </cell>
          <cell r="F9">
            <v>30000</v>
          </cell>
          <cell r="H9">
            <v>0</v>
          </cell>
          <cell r="J9">
            <v>0</v>
          </cell>
          <cell r="O9">
            <v>30000</v>
          </cell>
          <cell r="P9">
            <v>6000</v>
          </cell>
          <cell r="U9" t="str">
            <v>ESPECES</v>
          </cell>
        </row>
        <row r="10">
          <cell r="A10" t="str">
            <v>AS201605</v>
          </cell>
          <cell r="B10" t="str">
            <v>DJOUKWE NANGUEN GUY BLAISE</v>
          </cell>
          <cell r="C10">
            <v>20000</v>
          </cell>
          <cell r="D10">
            <v>160000</v>
          </cell>
          <cell r="E10">
            <v>1</v>
          </cell>
          <cell r="F10">
            <v>34500</v>
          </cell>
          <cell r="G10">
            <v>1</v>
          </cell>
          <cell r="H10">
            <v>75000</v>
          </cell>
          <cell r="J10">
            <v>0</v>
          </cell>
          <cell r="K10">
            <v>30500</v>
          </cell>
          <cell r="O10">
            <v>140000</v>
          </cell>
          <cell r="U10" t="str">
            <v>BANQUE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1130000</v>
          </cell>
          <cell r="E11">
            <v>1</v>
          </cell>
          <cell r="F11">
            <v>30000</v>
          </cell>
          <cell r="H11">
            <v>0</v>
          </cell>
          <cell r="I11">
            <v>1</v>
          </cell>
          <cell r="J11">
            <v>100000</v>
          </cell>
          <cell r="N11">
            <v>1000000</v>
          </cell>
          <cell r="O11">
            <v>1130000</v>
          </cell>
          <cell r="T11">
            <v>100000</v>
          </cell>
          <cell r="U11" t="str">
            <v>BANQUE</v>
          </cell>
          <cell r="V11" t="str">
            <v>BANQUE</v>
          </cell>
          <cell r="W11" t="str">
            <v>BANQUE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30000</v>
          </cell>
          <cell r="E12">
            <v>1</v>
          </cell>
          <cell r="F12">
            <v>30000</v>
          </cell>
          <cell r="H12">
            <v>0</v>
          </cell>
          <cell r="J12">
            <v>0</v>
          </cell>
          <cell r="O12">
            <v>30000</v>
          </cell>
          <cell r="U12" t="str">
            <v>BANQUE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30000</v>
          </cell>
          <cell r="E13">
            <v>1</v>
          </cell>
          <cell r="F13">
            <v>30000</v>
          </cell>
          <cell r="H13">
            <v>0</v>
          </cell>
          <cell r="J13">
            <v>0</v>
          </cell>
          <cell r="O13">
            <v>30000</v>
          </cell>
          <cell r="P13">
            <v>32000</v>
          </cell>
          <cell r="R13">
            <v>20000</v>
          </cell>
          <cell r="U13" t="str">
            <v>BANQUE</v>
          </cell>
          <cell r="V13" t="str">
            <v>BANQUE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30000</v>
          </cell>
          <cell r="E14">
            <v>1</v>
          </cell>
          <cell r="F14">
            <v>30000</v>
          </cell>
          <cell r="H14">
            <v>0</v>
          </cell>
          <cell r="J14">
            <v>0</v>
          </cell>
          <cell r="O14">
            <v>30000</v>
          </cell>
          <cell r="P14">
            <v>33000</v>
          </cell>
          <cell r="U14" t="str">
            <v>BANQUE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1</v>
          </cell>
          <cell r="F15">
            <v>30000</v>
          </cell>
          <cell r="G15">
            <v>1</v>
          </cell>
          <cell r="H15">
            <v>75000</v>
          </cell>
          <cell r="J15">
            <v>0</v>
          </cell>
          <cell r="O15">
            <v>105000</v>
          </cell>
          <cell r="P15">
            <v>44000</v>
          </cell>
          <cell r="U15" t="str">
            <v>BANQUE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240000</v>
          </cell>
          <cell r="E16">
            <v>1</v>
          </cell>
          <cell r="F16">
            <v>65000</v>
          </cell>
          <cell r="G16">
            <v>1</v>
          </cell>
          <cell r="H16">
            <v>75000</v>
          </cell>
          <cell r="I16">
            <v>1</v>
          </cell>
          <cell r="J16">
            <v>100000</v>
          </cell>
          <cell r="O16">
            <v>240000</v>
          </cell>
          <cell r="P16">
            <v>16000</v>
          </cell>
          <cell r="U16" t="str">
            <v>BANQUE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131000</v>
          </cell>
          <cell r="E17">
            <v>1</v>
          </cell>
          <cell r="F17">
            <v>30000</v>
          </cell>
          <cell r="H17">
            <v>0</v>
          </cell>
          <cell r="I17">
            <v>1</v>
          </cell>
          <cell r="J17">
            <v>100000</v>
          </cell>
          <cell r="K17">
            <v>1000</v>
          </cell>
          <cell r="O17">
            <v>131000</v>
          </cell>
          <cell r="P17">
            <v>16000</v>
          </cell>
          <cell r="U17" t="str">
            <v>ESPECES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260000</v>
          </cell>
          <cell r="E18">
            <v>1</v>
          </cell>
          <cell r="F18">
            <v>33500</v>
          </cell>
          <cell r="G18">
            <v>1</v>
          </cell>
          <cell r="H18">
            <v>75000</v>
          </cell>
          <cell r="I18">
            <v>1</v>
          </cell>
          <cell r="J18">
            <v>100000</v>
          </cell>
          <cell r="L18">
            <v>51500</v>
          </cell>
          <cell r="O18">
            <v>260000</v>
          </cell>
          <cell r="P18">
            <v>16000</v>
          </cell>
          <cell r="U18" t="str">
            <v>BANQUE</v>
          </cell>
          <cell r="V18" t="str">
            <v>BANQUE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1</v>
          </cell>
          <cell r="F19">
            <v>30000</v>
          </cell>
          <cell r="H19">
            <v>0</v>
          </cell>
          <cell r="J19">
            <v>0</v>
          </cell>
          <cell r="O19">
            <v>30000</v>
          </cell>
          <cell r="P19">
            <v>16000</v>
          </cell>
          <cell r="U19" t="str">
            <v>BANQUE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616500</v>
          </cell>
          <cell r="E20">
            <v>1</v>
          </cell>
          <cell r="F20">
            <v>30000</v>
          </cell>
          <cell r="G20">
            <v>3</v>
          </cell>
          <cell r="H20">
            <v>225000</v>
          </cell>
          <cell r="I20">
            <v>2</v>
          </cell>
          <cell r="J20">
            <v>200000</v>
          </cell>
          <cell r="M20">
            <v>161500</v>
          </cell>
          <cell r="O20">
            <v>616500</v>
          </cell>
          <cell r="U20" t="str">
            <v>BANQUE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130000</v>
          </cell>
          <cell r="E21">
            <v>1</v>
          </cell>
          <cell r="F21">
            <v>30000</v>
          </cell>
          <cell r="H21">
            <v>0</v>
          </cell>
          <cell r="I21">
            <v>1</v>
          </cell>
          <cell r="J21">
            <v>100000</v>
          </cell>
          <cell r="O21">
            <v>130000</v>
          </cell>
          <cell r="P21">
            <v>16000</v>
          </cell>
          <cell r="U21" t="str">
            <v>BANQUE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1</v>
          </cell>
          <cell r="F22">
            <v>30000</v>
          </cell>
          <cell r="G22">
            <v>1</v>
          </cell>
          <cell r="H22">
            <v>75000</v>
          </cell>
          <cell r="J22">
            <v>0</v>
          </cell>
          <cell r="O22">
            <v>105000</v>
          </cell>
          <cell r="P22">
            <v>22000</v>
          </cell>
          <cell r="U22" t="str">
            <v>BANQUE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130000</v>
          </cell>
          <cell r="E23">
            <v>1</v>
          </cell>
          <cell r="F23">
            <v>30000</v>
          </cell>
          <cell r="H23">
            <v>0</v>
          </cell>
          <cell r="I23">
            <v>1</v>
          </cell>
          <cell r="J23">
            <v>100000</v>
          </cell>
          <cell r="O23">
            <v>130000</v>
          </cell>
          <cell r="P23">
            <v>13000</v>
          </cell>
          <cell r="U23" t="str">
            <v>BANQUE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130000</v>
          </cell>
          <cell r="E24">
            <v>1</v>
          </cell>
          <cell r="F24">
            <v>30000</v>
          </cell>
          <cell r="H24">
            <v>0</v>
          </cell>
          <cell r="I24">
            <v>1</v>
          </cell>
          <cell r="J24">
            <v>100000</v>
          </cell>
          <cell r="O24">
            <v>130000</v>
          </cell>
          <cell r="P24">
            <v>44000</v>
          </cell>
          <cell r="U24" t="str">
            <v>BANQUE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200000</v>
          </cell>
          <cell r="E25">
            <v>1</v>
          </cell>
          <cell r="F25">
            <v>50000</v>
          </cell>
          <cell r="G25">
            <v>2</v>
          </cell>
          <cell r="H25">
            <v>150000</v>
          </cell>
          <cell r="J25">
            <v>0</v>
          </cell>
          <cell r="O25">
            <v>200000</v>
          </cell>
          <cell r="P25">
            <v>6000</v>
          </cell>
          <cell r="S25">
            <v>180000</v>
          </cell>
          <cell r="U25" t="str">
            <v>BANQUE</v>
          </cell>
          <cell r="V25" t="str">
            <v>BANQUE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163000</v>
          </cell>
          <cell r="E26">
            <v>1</v>
          </cell>
          <cell r="F26">
            <v>30000</v>
          </cell>
          <cell r="G26">
            <v>1</v>
          </cell>
          <cell r="H26">
            <v>75000</v>
          </cell>
          <cell r="J26">
            <v>0</v>
          </cell>
          <cell r="K26">
            <v>58000</v>
          </cell>
          <cell r="O26">
            <v>163000</v>
          </cell>
          <cell r="P26">
            <v>10000</v>
          </cell>
          <cell r="U26" t="str">
            <v>ESPECES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E27">
            <v>1</v>
          </cell>
          <cell r="H27">
            <v>0</v>
          </cell>
          <cell r="I27">
            <v>1</v>
          </cell>
          <cell r="J27">
            <v>0</v>
          </cell>
          <cell r="O27">
            <v>0</v>
          </cell>
          <cell r="P27">
            <v>32000</v>
          </cell>
          <cell r="U27" t="str">
            <v>ECHEC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1</v>
          </cell>
          <cell r="F28">
            <v>30000</v>
          </cell>
          <cell r="H28">
            <v>0</v>
          </cell>
          <cell r="I28">
            <v>1</v>
          </cell>
          <cell r="J28">
            <v>100000</v>
          </cell>
          <cell r="O28">
            <v>130000</v>
          </cell>
          <cell r="P28">
            <v>16000</v>
          </cell>
          <cell r="U28" t="str">
            <v>BANQUE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1</v>
          </cell>
          <cell r="F29">
            <v>30000</v>
          </cell>
          <cell r="G29">
            <v>1</v>
          </cell>
          <cell r="H29">
            <v>75000</v>
          </cell>
          <cell r="J29">
            <v>0</v>
          </cell>
          <cell r="O29">
            <v>105000</v>
          </cell>
          <cell r="P29">
            <v>30000</v>
          </cell>
          <cell r="U29" t="str">
            <v>BANQUE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40000</v>
          </cell>
          <cell r="E30">
            <v>1</v>
          </cell>
          <cell r="F30">
            <v>40000</v>
          </cell>
          <cell r="H30">
            <v>0</v>
          </cell>
          <cell r="J30">
            <v>0</v>
          </cell>
          <cell r="O30">
            <v>40000</v>
          </cell>
          <cell r="P30">
            <v>41000</v>
          </cell>
          <cell r="U30" t="str">
            <v>BANQUE</v>
          </cell>
        </row>
        <row r="31">
          <cell r="A31" t="str">
            <v>AS201637</v>
          </cell>
          <cell r="B31" t="str">
            <v>SIME MATHIEU</v>
          </cell>
          <cell r="C31">
            <v>0</v>
          </cell>
          <cell r="D31">
            <v>230000</v>
          </cell>
          <cell r="E31">
            <v>1</v>
          </cell>
          <cell r="F31">
            <v>30000</v>
          </cell>
          <cell r="H31">
            <v>0</v>
          </cell>
          <cell r="I31">
            <v>2</v>
          </cell>
          <cell r="J31">
            <v>200000</v>
          </cell>
          <cell r="O31">
            <v>230000</v>
          </cell>
          <cell r="P31">
            <v>16000</v>
          </cell>
          <cell r="U31" t="str">
            <v>BANQUE</v>
          </cell>
        </row>
        <row r="32">
          <cell r="A32" t="str">
            <v>AS201636</v>
          </cell>
          <cell r="B32" t="str">
            <v>SIMO FONGANG ERIC</v>
          </cell>
          <cell r="C32">
            <v>0</v>
          </cell>
          <cell r="E32">
            <v>1</v>
          </cell>
          <cell r="H32">
            <v>0</v>
          </cell>
          <cell r="I32">
            <v>2</v>
          </cell>
          <cell r="J32">
            <v>0</v>
          </cell>
          <cell r="O32">
            <v>0</v>
          </cell>
          <cell r="U32" t="str">
            <v>ECHEC</v>
          </cell>
        </row>
        <row r="33">
          <cell r="A33" t="str">
            <v>AS201638</v>
          </cell>
          <cell r="B33" t="str">
            <v>SIMO PIERRE</v>
          </cell>
          <cell r="C33">
            <v>0</v>
          </cell>
          <cell r="D33">
            <v>115000</v>
          </cell>
          <cell r="E33">
            <v>1</v>
          </cell>
          <cell r="F33">
            <v>40000</v>
          </cell>
          <cell r="G33">
            <v>1</v>
          </cell>
          <cell r="H33">
            <v>75000</v>
          </cell>
          <cell r="J33">
            <v>0</v>
          </cell>
          <cell r="O33">
            <v>115000</v>
          </cell>
          <cell r="P33">
            <v>3000</v>
          </cell>
          <cell r="U33" t="str">
            <v>BANQUE</v>
          </cell>
        </row>
        <row r="34">
          <cell r="A34" t="str">
            <v>AS201655</v>
          </cell>
          <cell r="B34" t="str">
            <v>TCHEMHOU EMMANUEL</v>
          </cell>
          <cell r="C34">
            <v>0</v>
          </cell>
          <cell r="D34">
            <v>80000</v>
          </cell>
          <cell r="E34">
            <v>1</v>
          </cell>
          <cell r="F34">
            <v>5000</v>
          </cell>
          <cell r="G34">
            <v>1</v>
          </cell>
          <cell r="H34">
            <v>75000</v>
          </cell>
          <cell r="J34">
            <v>0</v>
          </cell>
          <cell r="O34">
            <v>80000</v>
          </cell>
          <cell r="U34" t="str">
            <v>BANQUE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130000</v>
          </cell>
          <cell r="E35">
            <v>1</v>
          </cell>
          <cell r="F35">
            <v>30000</v>
          </cell>
          <cell r="H35">
            <v>0</v>
          </cell>
          <cell r="I35">
            <v>1</v>
          </cell>
          <cell r="J35">
            <v>100000</v>
          </cell>
          <cell r="O35">
            <v>130000</v>
          </cell>
          <cell r="U35" t="str">
            <v>BANQUE</v>
          </cell>
        </row>
        <row r="36">
          <cell r="A36" t="str">
            <v>AS201644</v>
          </cell>
          <cell r="B36" t="str">
            <v>TIEYAM ERNEST</v>
          </cell>
          <cell r="C36">
            <v>0</v>
          </cell>
          <cell r="E36">
            <v>1</v>
          </cell>
          <cell r="H36">
            <v>0</v>
          </cell>
          <cell r="I36">
            <v>1</v>
          </cell>
          <cell r="J36">
            <v>0</v>
          </cell>
          <cell r="O36">
            <v>0</v>
          </cell>
          <cell r="P36">
            <v>44000</v>
          </cell>
          <cell r="U36" t="str">
            <v>ECHEC</v>
          </cell>
        </row>
        <row r="37">
          <cell r="A37" t="str">
            <v>AS201646</v>
          </cell>
          <cell r="B37" t="str">
            <v>YEPMOU JEAN JACQUES</v>
          </cell>
          <cell r="C37">
            <v>0</v>
          </cell>
          <cell r="D37">
            <v>30000</v>
          </cell>
          <cell r="E37">
            <v>1</v>
          </cell>
          <cell r="F37">
            <v>30000</v>
          </cell>
          <cell r="H37">
            <v>0</v>
          </cell>
          <cell r="J37">
            <v>0</v>
          </cell>
          <cell r="O37">
            <v>30000</v>
          </cell>
          <cell r="P37">
            <v>38000</v>
          </cell>
          <cell r="U37" t="str">
            <v>BANQUE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280000</v>
          </cell>
          <cell r="E38">
            <v>1</v>
          </cell>
          <cell r="F38">
            <v>30000</v>
          </cell>
          <cell r="G38">
            <v>2</v>
          </cell>
          <cell r="H38">
            <v>150000</v>
          </cell>
          <cell r="I38">
            <v>1</v>
          </cell>
          <cell r="J38">
            <v>100000</v>
          </cell>
          <cell r="O38">
            <v>280000</v>
          </cell>
          <cell r="P38">
            <v>16000</v>
          </cell>
          <cell r="U38" t="str">
            <v>BANQUE</v>
          </cell>
        </row>
      </sheetData>
      <sheetData sheetId="2">
        <row r="6">
          <cell r="A6" t="str">
            <v>MATRICULE</v>
          </cell>
          <cell r="B6" t="str">
            <v>NOM ET PRENOM</v>
          </cell>
          <cell r="C6" t="str">
            <v>BONUS MALUS</v>
          </cell>
          <cell r="D6" t="str">
            <v>HISTORIQUE</v>
          </cell>
          <cell r="E6" t="str">
            <v>NBRE DE LOT</v>
          </cell>
          <cell r="F6" t="str">
            <v>TONTINE 30 000</v>
          </cell>
          <cell r="G6" t="str">
            <v>NBRE DE LOT</v>
          </cell>
          <cell r="H6" t="str">
            <v>TONTINE 75 000</v>
          </cell>
          <cell r="I6" t="str">
            <v>NBRE DE LOT</v>
          </cell>
          <cell r="J6" t="str">
            <v>TONTINE 100 000</v>
          </cell>
          <cell r="K6" t="str">
            <v>REMBOURSEMENT PETIT LOT T30</v>
          </cell>
          <cell r="L6" t="str">
            <v>REMBOURSEMENT PETIT LOT T75</v>
          </cell>
          <cell r="M6" t="str">
            <v>REMBOURSEMENT PETIT LOT T100</v>
          </cell>
          <cell r="N6" t="str">
            <v>REMBOURSEMENT DETTE</v>
          </cell>
          <cell r="O6" t="str">
            <v>MONTANT</v>
          </cell>
          <cell r="P6" t="str">
            <v>SANCTION</v>
          </cell>
          <cell r="Q6" t="str">
            <v>PENALITE VERSEMENT ESPECES</v>
          </cell>
          <cell r="R6" t="str">
            <v>ACHAT LOT PRINCIPAL T30</v>
          </cell>
          <cell r="S6" t="str">
            <v>ACHAT LOT PRINCIPAL T75</v>
          </cell>
          <cell r="T6" t="str">
            <v>ACHAT LOT PRINCIPAL T10</v>
          </cell>
          <cell r="U6" t="str">
            <v>MODE PAIEMENT TONTINE</v>
          </cell>
          <cell r="V6" t="str">
            <v>MODE PAIEMENT LOT PRINCIPAL</v>
          </cell>
          <cell r="W6" t="str">
            <v>MODE PAIEMENT REMBOURSEMENT DETTS</v>
          </cell>
          <cell r="X6" t="str">
            <v>PENALITE ECHEC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1</v>
          </cell>
          <cell r="F7">
            <v>30000</v>
          </cell>
          <cell r="G7">
            <v>1</v>
          </cell>
          <cell r="H7">
            <v>75000</v>
          </cell>
          <cell r="J7">
            <v>0</v>
          </cell>
          <cell r="O7">
            <v>105000</v>
          </cell>
          <cell r="U7" t="str">
            <v>BANQUE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230000</v>
          </cell>
          <cell r="E8">
            <v>1</v>
          </cell>
          <cell r="F8">
            <v>29500</v>
          </cell>
          <cell r="G8">
            <v>1</v>
          </cell>
          <cell r="H8">
            <v>75000</v>
          </cell>
          <cell r="J8">
            <v>0</v>
          </cell>
          <cell r="K8">
            <v>53000</v>
          </cell>
          <cell r="L8">
            <v>72500</v>
          </cell>
          <cell r="O8">
            <v>230000</v>
          </cell>
          <cell r="U8" t="str">
            <v>BANQUE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100000</v>
          </cell>
          <cell r="E9">
            <v>1</v>
          </cell>
          <cell r="F9">
            <v>100000</v>
          </cell>
          <cell r="H9">
            <v>0</v>
          </cell>
          <cell r="J9">
            <v>0</v>
          </cell>
          <cell r="O9">
            <v>100000</v>
          </cell>
          <cell r="U9" t="str">
            <v>BANQUE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190000</v>
          </cell>
          <cell r="E10">
            <v>1</v>
          </cell>
          <cell r="F10">
            <v>32000</v>
          </cell>
          <cell r="G10">
            <v>1</v>
          </cell>
          <cell r="H10">
            <v>75000</v>
          </cell>
          <cell r="J10">
            <v>0</v>
          </cell>
          <cell r="L10">
            <v>83000</v>
          </cell>
          <cell r="O10">
            <v>190000</v>
          </cell>
          <cell r="U10" t="str">
            <v>BANQUE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130000</v>
          </cell>
          <cell r="E11">
            <v>1</v>
          </cell>
          <cell r="F11">
            <v>30000</v>
          </cell>
          <cell r="H11">
            <v>0</v>
          </cell>
          <cell r="I11">
            <v>1</v>
          </cell>
          <cell r="J11">
            <v>100000</v>
          </cell>
          <cell r="O11">
            <v>130000</v>
          </cell>
          <cell r="U11" t="str">
            <v>BANQUE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30000</v>
          </cell>
          <cell r="E12">
            <v>1</v>
          </cell>
          <cell r="F12">
            <v>30000</v>
          </cell>
          <cell r="H12">
            <v>0</v>
          </cell>
          <cell r="J12">
            <v>0</v>
          </cell>
          <cell r="O12">
            <v>30000</v>
          </cell>
          <cell r="U12" t="str">
            <v>BANQUE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30000</v>
          </cell>
          <cell r="E13">
            <v>1</v>
          </cell>
          <cell r="F13">
            <v>30000</v>
          </cell>
          <cell r="H13">
            <v>0</v>
          </cell>
          <cell r="J13">
            <v>0</v>
          </cell>
          <cell r="O13">
            <v>30000</v>
          </cell>
          <cell r="U13" t="str">
            <v>BANQUE</v>
          </cell>
        </row>
        <row r="14">
          <cell r="A14" t="str">
            <v>AS201610</v>
          </cell>
          <cell r="B14" t="str">
            <v>FOTSO THOMAS</v>
          </cell>
          <cell r="C14">
            <v>-1000000</v>
          </cell>
          <cell r="E14">
            <v>1</v>
          </cell>
          <cell r="F14">
            <v>0</v>
          </cell>
          <cell r="H14">
            <v>0</v>
          </cell>
          <cell r="J14">
            <v>0</v>
          </cell>
          <cell r="N14">
            <v>1000000</v>
          </cell>
          <cell r="O14">
            <v>1000000</v>
          </cell>
          <cell r="U14" t="str">
            <v>ECHEC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1</v>
          </cell>
          <cell r="F15">
            <v>30000</v>
          </cell>
          <cell r="G15">
            <v>1</v>
          </cell>
          <cell r="H15">
            <v>75000</v>
          </cell>
          <cell r="J15">
            <v>0</v>
          </cell>
          <cell r="O15">
            <v>105000</v>
          </cell>
          <cell r="R15">
            <v>20000</v>
          </cell>
          <cell r="U15" t="str">
            <v>BANQUE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240000</v>
          </cell>
          <cell r="E16">
            <v>1</v>
          </cell>
          <cell r="F16">
            <v>65000</v>
          </cell>
          <cell r="G16">
            <v>1</v>
          </cell>
          <cell r="H16">
            <v>75000</v>
          </cell>
          <cell r="I16">
            <v>1</v>
          </cell>
          <cell r="J16">
            <v>100000</v>
          </cell>
          <cell r="O16">
            <v>240000</v>
          </cell>
          <cell r="U16" t="str">
            <v>BANQUE</v>
          </cell>
        </row>
        <row r="17">
          <cell r="A17" t="str">
            <v>AS201617</v>
          </cell>
          <cell r="B17" t="str">
            <v>KOUAMOU MOISE</v>
          </cell>
          <cell r="C17">
            <v>80000</v>
          </cell>
          <cell r="D17">
            <v>210000</v>
          </cell>
          <cell r="E17">
            <v>1</v>
          </cell>
          <cell r="F17">
            <v>30000</v>
          </cell>
          <cell r="H17">
            <v>0</v>
          </cell>
          <cell r="I17">
            <v>1</v>
          </cell>
          <cell r="J17">
            <v>100000</v>
          </cell>
          <cell r="O17">
            <v>130000</v>
          </cell>
          <cell r="U17" t="str">
            <v>BANQUE</v>
          </cell>
        </row>
        <row r="18">
          <cell r="A18" t="str">
            <v>AS201619</v>
          </cell>
          <cell r="B18" t="str">
            <v>KOUATCHO MESSACK</v>
          </cell>
          <cell r="C18">
            <v>-835000</v>
          </cell>
          <cell r="D18">
            <v>370000</v>
          </cell>
          <cell r="E18">
            <v>1</v>
          </cell>
          <cell r="F18">
            <v>30000</v>
          </cell>
          <cell r="G18">
            <v>1</v>
          </cell>
          <cell r="H18">
            <v>75000</v>
          </cell>
          <cell r="I18">
            <v>1</v>
          </cell>
          <cell r="J18">
            <v>100000</v>
          </cell>
          <cell r="N18">
            <v>1000000</v>
          </cell>
          <cell r="O18">
            <v>1205000</v>
          </cell>
          <cell r="U18" t="str">
            <v>BANQUE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1</v>
          </cell>
          <cell r="F19">
            <v>30000</v>
          </cell>
          <cell r="H19">
            <v>0</v>
          </cell>
          <cell r="J19">
            <v>0</v>
          </cell>
          <cell r="O19">
            <v>30000</v>
          </cell>
          <cell r="U19" t="str">
            <v>BANQUE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455000</v>
          </cell>
          <cell r="E20">
            <v>1</v>
          </cell>
          <cell r="F20">
            <v>30000</v>
          </cell>
          <cell r="G20">
            <v>3</v>
          </cell>
          <cell r="H20">
            <v>225000</v>
          </cell>
          <cell r="I20">
            <v>2</v>
          </cell>
          <cell r="J20">
            <v>200000</v>
          </cell>
          <cell r="O20">
            <v>455000</v>
          </cell>
          <cell r="S20">
            <v>150000</v>
          </cell>
          <cell r="U20" t="str">
            <v>BANQUE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130000</v>
          </cell>
          <cell r="E21">
            <v>1</v>
          </cell>
          <cell r="F21">
            <v>30000</v>
          </cell>
          <cell r="H21">
            <v>0</v>
          </cell>
          <cell r="I21">
            <v>1</v>
          </cell>
          <cell r="J21">
            <v>100000</v>
          </cell>
          <cell r="O21">
            <v>130000</v>
          </cell>
          <cell r="R21">
            <v>20000</v>
          </cell>
          <cell r="U21" t="str">
            <v>BANQUE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1</v>
          </cell>
          <cell r="F22">
            <v>30000</v>
          </cell>
          <cell r="G22">
            <v>1</v>
          </cell>
          <cell r="H22">
            <v>75000</v>
          </cell>
          <cell r="J22">
            <v>0</v>
          </cell>
          <cell r="O22">
            <v>105000</v>
          </cell>
          <cell r="U22" t="str">
            <v>BANQUE</v>
          </cell>
        </row>
        <row r="23">
          <cell r="A23" t="str">
            <v>AS201622</v>
          </cell>
          <cell r="B23" t="str">
            <v>NDJOMO ETIENNE</v>
          </cell>
          <cell r="C23">
            <v>-460000</v>
          </cell>
          <cell r="D23">
            <v>174000</v>
          </cell>
          <cell r="E23">
            <v>1</v>
          </cell>
          <cell r="F23">
            <v>34000</v>
          </cell>
          <cell r="H23">
            <v>0</v>
          </cell>
          <cell r="I23">
            <v>1</v>
          </cell>
          <cell r="J23">
            <v>100000</v>
          </cell>
          <cell r="N23">
            <v>500000</v>
          </cell>
          <cell r="O23">
            <v>634000</v>
          </cell>
          <cell r="U23" t="str">
            <v>BANQUE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140000</v>
          </cell>
          <cell r="E24">
            <v>1</v>
          </cell>
          <cell r="F24">
            <v>40000</v>
          </cell>
          <cell r="H24">
            <v>0</v>
          </cell>
          <cell r="I24">
            <v>1</v>
          </cell>
          <cell r="J24">
            <v>100000</v>
          </cell>
          <cell r="O24">
            <v>140000</v>
          </cell>
          <cell r="U24" t="str">
            <v>BANQUE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180000</v>
          </cell>
          <cell r="E25">
            <v>1</v>
          </cell>
          <cell r="F25">
            <v>30000</v>
          </cell>
          <cell r="G25">
            <v>2</v>
          </cell>
          <cell r="H25">
            <v>150000</v>
          </cell>
          <cell r="J25">
            <v>0</v>
          </cell>
          <cell r="O25">
            <v>180000</v>
          </cell>
          <cell r="U25" t="str">
            <v>BANQUE</v>
          </cell>
        </row>
        <row r="26">
          <cell r="A26" t="str">
            <v>AS201628</v>
          </cell>
          <cell r="B26" t="str">
            <v>NKAMGANG JUSTIN DEJOLIE</v>
          </cell>
          <cell r="C26">
            <v>-1000000</v>
          </cell>
          <cell r="D26">
            <v>105000</v>
          </cell>
          <cell r="E26">
            <v>1</v>
          </cell>
          <cell r="F26">
            <v>30000</v>
          </cell>
          <cell r="G26">
            <v>1</v>
          </cell>
          <cell r="H26">
            <v>75000</v>
          </cell>
          <cell r="J26">
            <v>0</v>
          </cell>
          <cell r="N26">
            <v>1000000</v>
          </cell>
          <cell r="O26">
            <v>1105000</v>
          </cell>
          <cell r="U26" t="str">
            <v>ESPECES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E27">
            <v>1</v>
          </cell>
          <cell r="F27">
            <v>0</v>
          </cell>
          <cell r="H27">
            <v>0</v>
          </cell>
          <cell r="I27">
            <v>1</v>
          </cell>
          <cell r="J27">
            <v>0</v>
          </cell>
          <cell r="O27">
            <v>0</v>
          </cell>
          <cell r="U27" t="str">
            <v>ECHEC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262000</v>
          </cell>
          <cell r="E28">
            <v>1</v>
          </cell>
          <cell r="F28">
            <v>30000</v>
          </cell>
          <cell r="H28">
            <v>0</v>
          </cell>
          <cell r="I28">
            <v>1</v>
          </cell>
          <cell r="J28">
            <v>100000</v>
          </cell>
          <cell r="K28">
            <v>31000</v>
          </cell>
          <cell r="M28">
            <v>101000</v>
          </cell>
          <cell r="O28">
            <v>262000</v>
          </cell>
          <cell r="U28" t="str">
            <v>BANQUE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1</v>
          </cell>
          <cell r="F29">
            <v>30000</v>
          </cell>
          <cell r="G29">
            <v>1</v>
          </cell>
          <cell r="H29">
            <v>75000</v>
          </cell>
          <cell r="J29">
            <v>0</v>
          </cell>
          <cell r="O29">
            <v>105000</v>
          </cell>
          <cell r="U29" t="str">
            <v>BANQUE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40000</v>
          </cell>
          <cell r="E30">
            <v>1</v>
          </cell>
          <cell r="F30">
            <v>40000</v>
          </cell>
          <cell r="H30">
            <v>0</v>
          </cell>
          <cell r="J30">
            <v>0</v>
          </cell>
          <cell r="O30">
            <v>40000</v>
          </cell>
          <cell r="R30">
            <v>20000</v>
          </cell>
          <cell r="U30" t="str">
            <v>BANQUE</v>
          </cell>
        </row>
        <row r="31">
          <cell r="A31" t="str">
            <v>AS201637</v>
          </cell>
          <cell r="B31" t="str">
            <v>SIME MATHIEU</v>
          </cell>
          <cell r="C31">
            <v>0</v>
          </cell>
          <cell r="D31">
            <v>230000</v>
          </cell>
          <cell r="E31">
            <v>1</v>
          </cell>
          <cell r="F31">
            <v>30000</v>
          </cell>
          <cell r="H31">
            <v>0</v>
          </cell>
          <cell r="I31">
            <v>2</v>
          </cell>
          <cell r="J31">
            <v>200000</v>
          </cell>
          <cell r="O31">
            <v>230000</v>
          </cell>
          <cell r="U31" t="str">
            <v>BANQUE</v>
          </cell>
        </row>
        <row r="32">
          <cell r="A32" t="str">
            <v>AS201636</v>
          </cell>
          <cell r="B32" t="str">
            <v>SIMO FONGANG ERIC</v>
          </cell>
          <cell r="C32">
            <v>0</v>
          </cell>
          <cell r="D32">
            <v>260000</v>
          </cell>
          <cell r="E32">
            <v>1</v>
          </cell>
          <cell r="F32">
            <v>60000</v>
          </cell>
          <cell r="H32">
            <v>0</v>
          </cell>
          <cell r="I32">
            <v>2</v>
          </cell>
          <cell r="J32">
            <v>200000</v>
          </cell>
          <cell r="O32">
            <v>260000</v>
          </cell>
          <cell r="U32" t="str">
            <v>BANQUE</v>
          </cell>
        </row>
        <row r="33">
          <cell r="A33" t="str">
            <v>AS201638</v>
          </cell>
          <cell r="B33" t="str">
            <v>SIMO PIERRE</v>
          </cell>
          <cell r="C33">
            <v>0</v>
          </cell>
          <cell r="D33">
            <v>110000</v>
          </cell>
          <cell r="E33">
            <v>1</v>
          </cell>
          <cell r="F33">
            <v>35000</v>
          </cell>
          <cell r="G33">
            <v>1</v>
          </cell>
          <cell r="H33">
            <v>75000</v>
          </cell>
          <cell r="J33">
            <v>0</v>
          </cell>
          <cell r="O33">
            <v>110000</v>
          </cell>
          <cell r="U33" t="str">
            <v>BANQUE</v>
          </cell>
        </row>
        <row r="34">
          <cell r="A34" t="str">
            <v>AS201655</v>
          </cell>
          <cell r="B34" t="str">
            <v>TCHEMHOU EMMANUEL</v>
          </cell>
          <cell r="C34">
            <v>0</v>
          </cell>
          <cell r="D34">
            <v>85000</v>
          </cell>
          <cell r="E34">
            <v>1</v>
          </cell>
          <cell r="F34">
            <v>10000</v>
          </cell>
          <cell r="G34">
            <v>1</v>
          </cell>
          <cell r="H34">
            <v>75000</v>
          </cell>
          <cell r="J34">
            <v>0</v>
          </cell>
          <cell r="O34">
            <v>85000</v>
          </cell>
          <cell r="U34" t="str">
            <v>BANQUE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130000</v>
          </cell>
          <cell r="E35">
            <v>1</v>
          </cell>
          <cell r="F35">
            <v>30000</v>
          </cell>
          <cell r="H35">
            <v>0</v>
          </cell>
          <cell r="I35">
            <v>1</v>
          </cell>
          <cell r="J35">
            <v>100000</v>
          </cell>
          <cell r="O35">
            <v>130000</v>
          </cell>
          <cell r="U35" t="str">
            <v>BANQUE</v>
          </cell>
        </row>
        <row r="36">
          <cell r="A36" t="str">
            <v>AS201644</v>
          </cell>
          <cell r="B36" t="str">
            <v>TIEYAM ERNEST</v>
          </cell>
          <cell r="C36">
            <v>0</v>
          </cell>
          <cell r="E36">
            <v>1</v>
          </cell>
          <cell r="F36">
            <v>0</v>
          </cell>
          <cell r="H36">
            <v>0</v>
          </cell>
          <cell r="I36">
            <v>1</v>
          </cell>
          <cell r="J36">
            <v>0</v>
          </cell>
          <cell r="O36">
            <v>0</v>
          </cell>
          <cell r="R36">
            <v>20000</v>
          </cell>
          <cell r="U36" t="str">
            <v>ECHEC</v>
          </cell>
        </row>
        <row r="37">
          <cell r="A37" t="str">
            <v>AS201646</v>
          </cell>
          <cell r="B37" t="str">
            <v>YEPMOU JEAN JACQUES</v>
          </cell>
          <cell r="C37">
            <v>-1000000</v>
          </cell>
          <cell r="D37">
            <v>30000</v>
          </cell>
          <cell r="E37">
            <v>1</v>
          </cell>
          <cell r="F37">
            <v>30000</v>
          </cell>
          <cell r="H37">
            <v>0</v>
          </cell>
          <cell r="J37">
            <v>0</v>
          </cell>
          <cell r="N37">
            <v>1000000</v>
          </cell>
          <cell r="O37">
            <v>1030000</v>
          </cell>
          <cell r="U37" t="str">
            <v>BANQUE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280000</v>
          </cell>
          <cell r="E38">
            <v>1</v>
          </cell>
          <cell r="F38">
            <v>30000</v>
          </cell>
          <cell r="G38">
            <v>2</v>
          </cell>
          <cell r="H38">
            <v>150000</v>
          </cell>
          <cell r="I38">
            <v>1</v>
          </cell>
          <cell r="J38">
            <v>100000</v>
          </cell>
          <cell r="O38">
            <v>280000</v>
          </cell>
          <cell r="U38" t="str">
            <v>BANQUE</v>
          </cell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</sheetNames>
    <sheetDataSet>
      <sheetData sheetId="0"/>
      <sheetData sheetId="1"/>
      <sheetData sheetId="2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K6">
            <v>0</v>
          </cell>
          <cell r="L6">
            <v>1</v>
          </cell>
          <cell r="M6">
            <v>75000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105000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7000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207000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Q7">
            <v>102000</v>
          </cell>
          <cell r="R7">
            <v>0</v>
          </cell>
          <cell r="S7">
            <v>0</v>
          </cell>
          <cell r="T7">
            <v>0</v>
          </cell>
          <cell r="U7">
            <v>207000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43000</v>
          </cell>
          <cell r="AD7">
            <v>0</v>
          </cell>
          <cell r="AE7">
            <v>0</v>
          </cell>
          <cell r="AF7" t="str">
            <v>BANQUE</v>
          </cell>
          <cell r="AG7">
            <v>0</v>
          </cell>
          <cell r="AI7">
            <v>0</v>
          </cell>
          <cell r="AJ7">
            <v>200000</v>
          </cell>
          <cell r="AK7">
            <v>0</v>
          </cell>
          <cell r="AL7">
            <v>0</v>
          </cell>
          <cell r="AM7">
            <v>2000</v>
          </cell>
          <cell r="AN7">
            <v>0</v>
          </cell>
          <cell r="AO7">
            <v>0</v>
          </cell>
          <cell r="AP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0</v>
          </cell>
          <cell r="E8">
            <v>35000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5000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38000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12000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327000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18000</v>
          </cell>
          <cell r="L9">
            <v>1</v>
          </cell>
          <cell r="M9">
            <v>75000</v>
          </cell>
          <cell r="N9">
            <v>0</v>
          </cell>
          <cell r="O9">
            <v>0</v>
          </cell>
          <cell r="P9">
            <v>0</v>
          </cell>
          <cell r="Q9">
            <v>204000</v>
          </cell>
          <cell r="R9">
            <v>0</v>
          </cell>
          <cell r="S9">
            <v>0</v>
          </cell>
          <cell r="T9">
            <v>0</v>
          </cell>
          <cell r="U9">
            <v>327000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30000</v>
          </cell>
          <cell r="AJ9">
            <v>200000</v>
          </cell>
          <cell r="AK9">
            <v>0</v>
          </cell>
          <cell r="AL9">
            <v>1000</v>
          </cell>
          <cell r="AM9">
            <v>2000</v>
          </cell>
          <cell r="AN9">
            <v>0</v>
          </cell>
          <cell r="AO9">
            <v>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135000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0</v>
          </cell>
          <cell r="M10">
            <v>0</v>
          </cell>
          <cell r="N10">
            <v>1</v>
          </cell>
          <cell r="O10">
            <v>100000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135000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31000</v>
          </cell>
          <cell r="AJ10">
            <v>0</v>
          </cell>
          <cell r="AK10">
            <v>75000</v>
          </cell>
          <cell r="AL10">
            <v>1500</v>
          </cell>
          <cell r="AM10">
            <v>0</v>
          </cell>
          <cell r="AN10">
            <v>1000</v>
          </cell>
          <cell r="AO10">
            <v>0</v>
          </cell>
          <cell r="AP10" t="str">
            <v>ESPECES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30000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30000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7000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K14">
            <v>0</v>
          </cell>
          <cell r="L14">
            <v>1</v>
          </cell>
          <cell r="M14">
            <v>75000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105000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7000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240000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42000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0</v>
          </cell>
          <cell r="E16">
            <v>135000</v>
          </cell>
          <cell r="F16">
            <v>0</v>
          </cell>
          <cell r="G16">
            <v>3000</v>
          </cell>
          <cell r="H16" t="str">
            <v>ESPECES</v>
          </cell>
          <cell r="I16">
            <v>1</v>
          </cell>
          <cell r="J16">
            <v>30000</v>
          </cell>
          <cell r="K16">
            <v>5000</v>
          </cell>
          <cell r="L16">
            <v>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138000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12000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0</v>
          </cell>
          <cell r="E17">
            <v>412000</v>
          </cell>
          <cell r="F17">
            <v>0</v>
          </cell>
          <cell r="G17">
            <v>3000</v>
          </cell>
          <cell r="H17" t="str">
            <v>ESPECES</v>
          </cell>
          <cell r="I17">
            <v>1</v>
          </cell>
          <cell r="J17">
            <v>30000</v>
          </cell>
          <cell r="K17">
            <v>5000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202000</v>
          </cell>
          <cell r="R17">
            <v>0</v>
          </cell>
          <cell r="S17">
            <v>0</v>
          </cell>
          <cell r="T17">
            <v>0</v>
          </cell>
          <cell r="U17">
            <v>415000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90000</v>
          </cell>
          <cell r="AE17">
            <v>0</v>
          </cell>
          <cell r="AF17" t="str">
            <v>BANQUE</v>
          </cell>
          <cell r="AG17">
            <v>0</v>
          </cell>
          <cell r="AI17">
            <v>70000</v>
          </cell>
          <cell r="AJ17">
            <v>200000</v>
          </cell>
          <cell r="AK17">
            <v>50000</v>
          </cell>
          <cell r="AL17">
            <v>2000</v>
          </cell>
          <cell r="AM17">
            <v>2000</v>
          </cell>
          <cell r="AN17">
            <v>1000</v>
          </cell>
          <cell r="AO17">
            <v>0</v>
          </cell>
          <cell r="AP17" t="str">
            <v>BANQUE</v>
          </cell>
          <cell r="AQ17">
            <v>0</v>
          </cell>
          <cell r="AR17">
            <v>0</v>
          </cell>
          <cell r="AS17">
            <v>12000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30000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573000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5000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113000</v>
          </cell>
          <cell r="R19">
            <v>0</v>
          </cell>
          <cell r="S19">
            <v>0</v>
          </cell>
          <cell r="T19">
            <v>0</v>
          </cell>
          <cell r="U19">
            <v>573000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125000</v>
          </cell>
          <cell r="AF19" t="str">
            <v>BANQUE</v>
          </cell>
          <cell r="AG19">
            <v>0</v>
          </cell>
          <cell r="AI19">
            <v>0</v>
          </cell>
          <cell r="AJ19">
            <v>213000</v>
          </cell>
          <cell r="AK19">
            <v>0</v>
          </cell>
          <cell r="AL19">
            <v>0</v>
          </cell>
          <cell r="AM19">
            <v>2000</v>
          </cell>
          <cell r="AN19">
            <v>0</v>
          </cell>
          <cell r="AO19">
            <v>0</v>
          </cell>
          <cell r="AP19" t="str">
            <v>BANQUE</v>
          </cell>
          <cell r="AQ19">
            <v>0</v>
          </cell>
          <cell r="AR19">
            <v>0</v>
          </cell>
          <cell r="AS19">
            <v>12000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1</v>
          </cell>
          <cell r="M21">
            <v>75000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105000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137000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7000</v>
          </cell>
          <cell r="L22">
            <v>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137000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14000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140000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0</v>
          </cell>
          <cell r="E24">
            <v>185000</v>
          </cell>
          <cell r="F24">
            <v>0</v>
          </cell>
          <cell r="G24">
            <v>3000</v>
          </cell>
          <cell r="H24" t="str">
            <v>ESPECES</v>
          </cell>
          <cell r="I24">
            <v>1</v>
          </cell>
          <cell r="J24">
            <v>30000</v>
          </cell>
          <cell r="K24">
            <v>5000</v>
          </cell>
          <cell r="L24">
            <v>2</v>
          </cell>
          <cell r="M24">
            <v>150000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188000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0</v>
          </cell>
          <cell r="E25">
            <v>262000</v>
          </cell>
          <cell r="F25">
            <v>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K25">
            <v>5000</v>
          </cell>
          <cell r="L25">
            <v>1</v>
          </cell>
          <cell r="M25">
            <v>75000</v>
          </cell>
          <cell r="N25">
            <v>0</v>
          </cell>
          <cell r="O25">
            <v>0</v>
          </cell>
          <cell r="P25">
            <v>0</v>
          </cell>
          <cell r="Q25">
            <v>152000</v>
          </cell>
          <cell r="R25">
            <v>0</v>
          </cell>
          <cell r="S25">
            <v>0</v>
          </cell>
          <cell r="T25">
            <v>0</v>
          </cell>
          <cell r="U25">
            <v>265000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44000</v>
          </cell>
          <cell r="AD25">
            <v>0</v>
          </cell>
          <cell r="AE25">
            <v>0</v>
          </cell>
          <cell r="AF25" t="str">
            <v>BANQUE</v>
          </cell>
          <cell r="AG25">
            <v>0</v>
          </cell>
          <cell r="AI25">
            <v>0</v>
          </cell>
          <cell r="AJ25">
            <v>200000</v>
          </cell>
          <cell r="AK25">
            <v>0</v>
          </cell>
          <cell r="AL25">
            <v>0</v>
          </cell>
          <cell r="AM25">
            <v>2000</v>
          </cell>
          <cell r="AN25">
            <v>0</v>
          </cell>
          <cell r="AO25">
            <v>0</v>
          </cell>
          <cell r="AP25" t="str">
            <v>ESPECES</v>
          </cell>
          <cell r="AQ25">
            <v>0</v>
          </cell>
          <cell r="AR25">
            <v>0</v>
          </cell>
          <cell r="AS25">
            <v>12000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135000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5000</v>
          </cell>
          <cell r="L27">
            <v>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135000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12000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1</v>
          </cell>
          <cell r="M28">
            <v>75000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105000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50000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27000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230000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27000</v>
          </cell>
          <cell r="F31">
            <v>0</v>
          </cell>
          <cell r="G31">
            <v>3000</v>
          </cell>
          <cell r="H31" t="str">
            <v>ESPECES</v>
          </cell>
          <cell r="I31">
            <v>1</v>
          </cell>
          <cell r="J31">
            <v>27000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30000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4000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115000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17000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D33">
            <v>85000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10000</v>
          </cell>
          <cell r="K33">
            <v>0</v>
          </cell>
          <cell r="L33">
            <v>1</v>
          </cell>
          <cell r="M33">
            <v>75000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85000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10000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33000</v>
          </cell>
          <cell r="E34">
            <v>102000</v>
          </cell>
          <cell r="F34">
            <v>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K34">
            <v>5000</v>
          </cell>
          <cell r="L34">
            <v>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135000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12000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35000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5000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35000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12000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K37">
            <v>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280000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7000</v>
          </cell>
        </row>
        <row r="39">
          <cell r="B39" t="str">
            <v>TOTAUX</v>
          </cell>
          <cell r="C39">
            <v>0</v>
          </cell>
          <cell r="D39">
            <v>3262000</v>
          </cell>
          <cell r="E39">
            <v>1158000</v>
          </cell>
          <cell r="F39">
            <v>0</v>
          </cell>
          <cell r="G39">
            <v>18000</v>
          </cell>
          <cell r="H39">
            <v>0</v>
          </cell>
          <cell r="I39">
            <v>29</v>
          </cell>
          <cell r="J39">
            <v>847000</v>
          </cell>
          <cell r="K39">
            <v>150000</v>
          </cell>
          <cell r="L39">
            <v>18</v>
          </cell>
          <cell r="M39">
            <v>1350000</v>
          </cell>
          <cell r="N39">
            <v>13</v>
          </cell>
          <cell r="O39">
            <v>1300000</v>
          </cell>
          <cell r="P39">
            <v>0</v>
          </cell>
          <cell r="Q39">
            <v>773000</v>
          </cell>
          <cell r="R39">
            <v>0</v>
          </cell>
          <cell r="S39">
            <v>0</v>
          </cell>
          <cell r="T39">
            <v>0</v>
          </cell>
          <cell r="U39">
            <v>4438000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87000</v>
          </cell>
          <cell r="AD39">
            <v>90000</v>
          </cell>
          <cell r="AE39">
            <v>125000</v>
          </cell>
          <cell r="AF39">
            <v>0</v>
          </cell>
          <cell r="AG39">
            <v>0</v>
          </cell>
          <cell r="AH39">
            <v>0</v>
          </cell>
          <cell r="AI39">
            <v>131000</v>
          </cell>
          <cell r="AJ39">
            <v>1013000</v>
          </cell>
          <cell r="AK39">
            <v>125000</v>
          </cell>
          <cell r="AL39">
            <v>4500</v>
          </cell>
          <cell r="AM39">
            <v>10000</v>
          </cell>
          <cell r="AN39">
            <v>2000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353000</v>
          </cell>
          <cell r="AT39">
            <v>0</v>
          </cell>
          <cell r="AU39">
            <v>0</v>
          </cell>
        </row>
      </sheetData>
      <sheetData sheetId="3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317000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10000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Q7">
            <v>202000</v>
          </cell>
          <cell r="U7">
            <v>317000</v>
          </cell>
          <cell r="AI7">
            <v>100000</v>
          </cell>
          <cell r="AL7">
            <v>4000</v>
          </cell>
          <cell r="AP7" t="str">
            <v>BANQUE</v>
          </cell>
          <cell r="AQ7">
            <v>0</v>
          </cell>
          <cell r="AR7">
            <v>0</v>
          </cell>
          <cell r="AS7">
            <v>17000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E8">
            <v>30000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M8">
            <v>0</v>
          </cell>
          <cell r="O8">
            <v>0</v>
          </cell>
          <cell r="P8">
            <v>0</v>
          </cell>
          <cell r="U8">
            <v>33000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342000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4000</v>
          </cell>
          <cell r="L9">
            <v>1</v>
          </cell>
          <cell r="M9">
            <v>75000</v>
          </cell>
          <cell r="O9">
            <v>0</v>
          </cell>
          <cell r="P9">
            <v>31000</v>
          </cell>
          <cell r="Q9">
            <v>202000</v>
          </cell>
          <cell r="U9">
            <v>342000</v>
          </cell>
          <cell r="AD9">
            <v>75000</v>
          </cell>
          <cell r="AF9" t="str">
            <v>BANQUE</v>
          </cell>
          <cell r="AQ9">
            <v>0</v>
          </cell>
          <cell r="AR9">
            <v>0</v>
          </cell>
          <cell r="AS9">
            <v>11000</v>
          </cell>
          <cell r="AW9">
            <v>0</v>
          </cell>
          <cell r="AX9">
            <v>825000</v>
          </cell>
          <cell r="AY9">
            <v>0</v>
          </cell>
          <cell r="AZ9">
            <v>825000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240000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1500</v>
          </cell>
          <cell r="M10">
            <v>0</v>
          </cell>
          <cell r="N10">
            <v>1</v>
          </cell>
          <cell r="O10">
            <v>100000</v>
          </cell>
          <cell r="P10">
            <v>32500</v>
          </cell>
          <cell r="R10">
            <v>76000</v>
          </cell>
          <cell r="U10">
            <v>240000</v>
          </cell>
          <cell r="AI10">
            <v>50000</v>
          </cell>
          <cell r="AL10">
            <v>1500</v>
          </cell>
          <cell r="AP10" t="str">
            <v>BANQUE</v>
          </cell>
          <cell r="AQ10">
            <v>0</v>
          </cell>
          <cell r="AR10">
            <v>0</v>
          </cell>
          <cell r="AS10">
            <v>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240000</v>
          </cell>
          <cell r="AE15">
            <v>110000</v>
          </cell>
          <cell r="AF15" t="str">
            <v>BANQUE</v>
          </cell>
          <cell r="AQ15">
            <v>0</v>
          </cell>
          <cell r="AR15">
            <v>0</v>
          </cell>
          <cell r="AS15">
            <v>42000</v>
          </cell>
          <cell r="AW15">
            <v>0</v>
          </cell>
          <cell r="AX15">
            <v>0</v>
          </cell>
          <cell r="AY15">
            <v>1090000</v>
          </cell>
          <cell r="AZ15">
            <v>1090000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E16">
            <v>130000</v>
          </cell>
          <cell r="G16">
            <v>3000</v>
          </cell>
          <cell r="H16" t="str">
            <v>ESPECES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U16">
            <v>133000</v>
          </cell>
          <cell r="AC16">
            <v>35000</v>
          </cell>
          <cell r="AF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265000</v>
          </cell>
          <cell r="AX16">
            <v>0</v>
          </cell>
          <cell r="AY16">
            <v>0</v>
          </cell>
          <cell r="AZ16">
            <v>265000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333000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5000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72000</v>
          </cell>
          <cell r="R17">
            <v>51000</v>
          </cell>
          <cell r="U17">
            <v>333000</v>
          </cell>
          <cell r="AK17">
            <v>100000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12000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670000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215000</v>
          </cell>
          <cell r="R19">
            <v>0</v>
          </cell>
          <cell r="U19">
            <v>670000</v>
          </cell>
          <cell r="AJ19">
            <v>200000</v>
          </cell>
          <cell r="AK19">
            <v>37000</v>
          </cell>
          <cell r="AM19">
            <v>2000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F20">
            <v>495000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S20">
            <v>495000</v>
          </cell>
          <cell r="T20" t="str">
            <v>BANQUE</v>
          </cell>
          <cell r="U20">
            <v>525000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C21">
            <v>29000</v>
          </cell>
          <cell r="AF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271000</v>
          </cell>
          <cell r="AX21">
            <v>0</v>
          </cell>
          <cell r="AY21">
            <v>0</v>
          </cell>
          <cell r="AZ21">
            <v>271000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137000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7000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137000</v>
          </cell>
          <cell r="AQ22">
            <v>0</v>
          </cell>
          <cell r="AR22">
            <v>0</v>
          </cell>
          <cell r="AS22">
            <v>14000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140000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K23">
            <v>50000</v>
          </cell>
          <cell r="AN23">
            <v>1500</v>
          </cell>
          <cell r="AP23" t="str">
            <v>BANQUE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307000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0</v>
          </cell>
          <cell r="Q25">
            <v>202000</v>
          </cell>
          <cell r="U25">
            <v>310000</v>
          </cell>
          <cell r="AI25">
            <v>70500</v>
          </cell>
          <cell r="AJ25">
            <v>200000</v>
          </cell>
          <cell r="AL25">
            <v>2000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130000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130000</v>
          </cell>
          <cell r="AQ27">
            <v>0</v>
          </cell>
          <cell r="AR27">
            <v>0</v>
          </cell>
          <cell r="AS27">
            <v>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230000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17000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0</v>
          </cell>
          <cell r="U34">
            <v>130000</v>
          </cell>
          <cell r="AK34">
            <v>50000</v>
          </cell>
          <cell r="AN34">
            <v>2000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0</v>
          </cell>
          <cell r="D39">
            <v>4109000</v>
          </cell>
          <cell r="E39">
            <v>467000</v>
          </cell>
          <cell r="F39">
            <v>495000</v>
          </cell>
          <cell r="G39">
            <v>9000</v>
          </cell>
          <cell r="I39">
            <v>28</v>
          </cell>
          <cell r="J39">
            <v>810000</v>
          </cell>
          <cell r="K39">
            <v>107500</v>
          </cell>
          <cell r="L39">
            <v>18</v>
          </cell>
          <cell r="M39">
            <v>1275000</v>
          </cell>
          <cell r="N39">
            <v>13</v>
          </cell>
          <cell r="O39">
            <v>1300000</v>
          </cell>
          <cell r="P39">
            <v>135500</v>
          </cell>
          <cell r="Q39">
            <v>821000</v>
          </cell>
          <cell r="R39">
            <v>127000</v>
          </cell>
          <cell r="S39">
            <v>495000</v>
          </cell>
          <cell r="U39">
            <v>5080000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64000</v>
          </cell>
          <cell r="AD39">
            <v>75000</v>
          </cell>
          <cell r="AE39">
            <v>110000</v>
          </cell>
          <cell r="AG39">
            <v>0</v>
          </cell>
          <cell r="AH39">
            <v>0</v>
          </cell>
          <cell r="AI39">
            <v>220500</v>
          </cell>
          <cell r="AJ39">
            <v>400000</v>
          </cell>
          <cell r="AK39">
            <v>237000</v>
          </cell>
          <cell r="AL39">
            <v>7500</v>
          </cell>
          <cell r="AM39">
            <v>4000</v>
          </cell>
          <cell r="AN39">
            <v>8500</v>
          </cell>
          <cell r="AO39">
            <v>0</v>
          </cell>
          <cell r="AQ39">
            <v>0</v>
          </cell>
          <cell r="AR39">
            <v>0</v>
          </cell>
          <cell r="AS39">
            <v>296500</v>
          </cell>
          <cell r="AT39">
            <v>0</v>
          </cell>
          <cell r="AU39">
            <v>0</v>
          </cell>
        </row>
      </sheetData>
      <sheetData sheetId="4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214000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5000</v>
          </cell>
          <cell r="L7">
            <v>1</v>
          </cell>
          <cell r="M7">
            <v>75000</v>
          </cell>
          <cell r="O7">
            <v>0</v>
          </cell>
          <cell r="P7">
            <v>104000</v>
          </cell>
          <cell r="Q7">
            <v>0</v>
          </cell>
          <cell r="U7">
            <v>214000</v>
          </cell>
          <cell r="AJ7">
            <v>50000</v>
          </cell>
          <cell r="AM7">
            <v>1000</v>
          </cell>
          <cell r="AP7" t="str">
            <v>BANQUE</v>
          </cell>
          <cell r="AQ7">
            <v>0</v>
          </cell>
          <cell r="AR7">
            <v>0</v>
          </cell>
          <cell r="AS7">
            <v>12000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3000</v>
          </cell>
          <cell r="E8">
            <v>38000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5000</v>
          </cell>
          <cell r="M8">
            <v>0</v>
          </cell>
          <cell r="O8">
            <v>0</v>
          </cell>
          <cell r="P8">
            <v>0</v>
          </cell>
          <cell r="U8">
            <v>38000</v>
          </cell>
          <cell r="AQ8">
            <v>0</v>
          </cell>
          <cell r="AR8">
            <v>0</v>
          </cell>
          <cell r="AS8">
            <v>12000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110000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5000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0</v>
          </cell>
          <cell r="U9">
            <v>110000</v>
          </cell>
          <cell r="AJ9">
            <v>56000</v>
          </cell>
          <cell r="AM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12000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-1500</v>
          </cell>
          <cell r="D10">
            <v>180000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P10">
            <v>51500</v>
          </cell>
          <cell r="R10">
            <v>0</v>
          </cell>
          <cell r="U10">
            <v>181500</v>
          </cell>
          <cell r="AE10">
            <v>135000</v>
          </cell>
          <cell r="AF10" t="str">
            <v>BANQUE</v>
          </cell>
          <cell r="AI10">
            <v>23000</v>
          </cell>
          <cell r="AK10">
            <v>50000</v>
          </cell>
          <cell r="AL10">
            <v>500</v>
          </cell>
          <cell r="AN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1115000</v>
          </cell>
          <cell r="AZ10">
            <v>1115000</v>
          </cell>
        </row>
        <row r="11">
          <cell r="A11" t="str">
            <v>AS201651</v>
          </cell>
          <cell r="B11" t="str">
            <v>DOMOU FABIEN</v>
          </cell>
          <cell r="C11">
            <v>484000</v>
          </cell>
          <cell r="D11">
            <v>514000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30000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M12">
            <v>0</v>
          </cell>
          <cell r="O12">
            <v>0</v>
          </cell>
          <cell r="P12">
            <v>0</v>
          </cell>
          <cell r="U12">
            <v>30000</v>
          </cell>
          <cell r="AQ12">
            <v>0</v>
          </cell>
          <cell r="AR12">
            <v>0</v>
          </cell>
          <cell r="AS12">
            <v>7000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E13">
            <v>30000</v>
          </cell>
          <cell r="G13">
            <v>3000</v>
          </cell>
          <cell r="H13" t="str">
            <v>ESPECES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P13">
            <v>0</v>
          </cell>
          <cell r="U13">
            <v>33000</v>
          </cell>
          <cell r="AQ13">
            <v>0</v>
          </cell>
          <cell r="AR13">
            <v>0</v>
          </cell>
          <cell r="AS13">
            <v>4000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240000</v>
          </cell>
          <cell r="AQ15">
            <v>0</v>
          </cell>
          <cell r="AR15">
            <v>0</v>
          </cell>
          <cell r="AS15">
            <v>42000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110000</v>
          </cell>
          <cell r="E16">
            <v>20000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U16">
            <v>130000</v>
          </cell>
          <cell r="AK16">
            <v>50000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514000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206000</v>
          </cell>
          <cell r="R17">
            <v>103000</v>
          </cell>
          <cell r="U17">
            <v>514000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663000</v>
          </cell>
          <cell r="E19">
            <v>33000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202000</v>
          </cell>
          <cell r="R19">
            <v>39000</v>
          </cell>
          <cell r="U19">
            <v>696000</v>
          </cell>
          <cell r="AC19">
            <v>28000</v>
          </cell>
          <cell r="AF19" t="str">
            <v>BANQUE</v>
          </cell>
          <cell r="AJ19">
            <v>100000</v>
          </cell>
          <cell r="AK19">
            <v>100000</v>
          </cell>
          <cell r="AM19">
            <v>2000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432000</v>
          </cell>
          <cell r="AX19">
            <v>0</v>
          </cell>
          <cell r="AY19">
            <v>0</v>
          </cell>
          <cell r="AZ19">
            <v>432000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E20">
            <v>30000</v>
          </cell>
          <cell r="G20">
            <v>3000</v>
          </cell>
          <cell r="H20" t="str">
            <v>ESPECES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33000</v>
          </cell>
          <cell r="AQ20">
            <v>0</v>
          </cell>
          <cell r="AR20">
            <v>0</v>
          </cell>
          <cell r="AS20">
            <v>4000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137000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7000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137000</v>
          </cell>
          <cell r="AK22">
            <v>130500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14000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190000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8500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51500</v>
          </cell>
          <cell r="U23">
            <v>190000</v>
          </cell>
          <cell r="AQ23">
            <v>0</v>
          </cell>
          <cell r="AR23">
            <v>0</v>
          </cell>
          <cell r="AS23">
            <v>15500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384500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K25">
            <v>5000</v>
          </cell>
          <cell r="L25">
            <v>1</v>
          </cell>
          <cell r="M25">
            <v>75000</v>
          </cell>
          <cell r="O25">
            <v>0</v>
          </cell>
          <cell r="P25">
            <v>72500</v>
          </cell>
          <cell r="Q25">
            <v>202000</v>
          </cell>
          <cell r="U25">
            <v>387500</v>
          </cell>
          <cell r="AI25">
            <v>27500</v>
          </cell>
          <cell r="AJ25">
            <v>100000</v>
          </cell>
          <cell r="AL25">
            <v>500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12000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130000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130000</v>
          </cell>
          <cell r="AC27">
            <v>27000</v>
          </cell>
          <cell r="AF27" t="str">
            <v>BANQUE</v>
          </cell>
          <cell r="AK27">
            <v>50000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7000</v>
          </cell>
          <cell r="AW27">
            <v>333000</v>
          </cell>
          <cell r="AX27">
            <v>0</v>
          </cell>
          <cell r="AY27">
            <v>0</v>
          </cell>
          <cell r="AZ27">
            <v>333000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230000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D32">
            <v>75000</v>
          </cell>
          <cell r="AF32" t="str">
            <v>BANQUE</v>
          </cell>
          <cell r="AQ32">
            <v>0</v>
          </cell>
          <cell r="AR32">
            <v>0</v>
          </cell>
          <cell r="AS32">
            <v>17000</v>
          </cell>
          <cell r="AW32">
            <v>0</v>
          </cell>
          <cell r="AX32">
            <v>825000</v>
          </cell>
          <cell r="AY32">
            <v>0</v>
          </cell>
          <cell r="AZ32">
            <v>825000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E34">
            <v>52000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52000</v>
          </cell>
          <cell r="U34">
            <v>182000</v>
          </cell>
          <cell r="AC34">
            <v>25000</v>
          </cell>
          <cell r="AF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335000</v>
          </cell>
          <cell r="AX34">
            <v>0</v>
          </cell>
          <cell r="AY34">
            <v>0</v>
          </cell>
          <cell r="AZ34">
            <v>335000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E36">
            <v>30000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33000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D37">
            <v>75000</v>
          </cell>
          <cell r="AF37" t="str">
            <v>BANQUE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1725000</v>
          </cell>
          <cell r="AY37">
            <v>0</v>
          </cell>
          <cell r="AZ37">
            <v>1725000</v>
          </cell>
        </row>
        <row r="39">
          <cell r="B39" t="str">
            <v>TOTAUX</v>
          </cell>
          <cell r="C39">
            <v>485500</v>
          </cell>
          <cell r="D39">
            <v>4467000</v>
          </cell>
          <cell r="E39">
            <v>617500</v>
          </cell>
          <cell r="F39">
            <v>0</v>
          </cell>
          <cell r="G39">
            <v>15000</v>
          </cell>
          <cell r="I39">
            <v>29</v>
          </cell>
          <cell r="J39">
            <v>840000</v>
          </cell>
          <cell r="K39">
            <v>100500</v>
          </cell>
          <cell r="L39">
            <v>18</v>
          </cell>
          <cell r="M39">
            <v>1275000</v>
          </cell>
          <cell r="N39">
            <v>13</v>
          </cell>
          <cell r="O39">
            <v>1300000</v>
          </cell>
          <cell r="P39">
            <v>228000</v>
          </cell>
          <cell r="Q39">
            <v>610000</v>
          </cell>
          <cell r="R39">
            <v>245500</v>
          </cell>
          <cell r="S39">
            <v>0</v>
          </cell>
          <cell r="U39">
            <v>4614000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80000</v>
          </cell>
          <cell r="AD39">
            <v>150000</v>
          </cell>
          <cell r="AE39">
            <v>135000</v>
          </cell>
          <cell r="AG39">
            <v>0</v>
          </cell>
          <cell r="AH39">
            <v>0</v>
          </cell>
          <cell r="AI39">
            <v>50500</v>
          </cell>
          <cell r="AJ39">
            <v>306000</v>
          </cell>
          <cell r="AK39">
            <v>380500</v>
          </cell>
          <cell r="AL39">
            <v>1000</v>
          </cell>
          <cell r="AM39">
            <v>6000</v>
          </cell>
          <cell r="AN39">
            <v>7000</v>
          </cell>
          <cell r="AO39">
            <v>0</v>
          </cell>
          <cell r="AQ39">
            <v>0</v>
          </cell>
          <cell r="AR39">
            <v>0</v>
          </cell>
          <cell r="AS39">
            <v>287500</v>
          </cell>
          <cell r="AT39">
            <v>0</v>
          </cell>
          <cell r="AU39">
            <v>0</v>
          </cell>
        </row>
      </sheetData>
      <sheetData sheetId="5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D6">
            <v>75000</v>
          </cell>
          <cell r="AF6" t="str">
            <v>BANQUE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825000</v>
          </cell>
          <cell r="AY6">
            <v>0</v>
          </cell>
          <cell r="AZ6">
            <v>825000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160000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4000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Q7">
            <v>51000</v>
          </cell>
          <cell r="U7">
            <v>160000</v>
          </cell>
          <cell r="AJ7">
            <v>100000</v>
          </cell>
          <cell r="AM7">
            <v>2500</v>
          </cell>
          <cell r="AP7" t="str">
            <v>BANQUE</v>
          </cell>
          <cell r="AQ7">
            <v>0</v>
          </cell>
          <cell r="AR7">
            <v>0</v>
          </cell>
          <cell r="AS7">
            <v>11000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3000</v>
          </cell>
          <cell r="E8">
            <v>38000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5000</v>
          </cell>
          <cell r="M8">
            <v>0</v>
          </cell>
          <cell r="O8">
            <v>0</v>
          </cell>
          <cell r="P8">
            <v>0</v>
          </cell>
          <cell r="U8">
            <v>38000</v>
          </cell>
          <cell r="AQ8">
            <v>0</v>
          </cell>
          <cell r="AR8">
            <v>0</v>
          </cell>
          <cell r="AS8">
            <v>12000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165000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3000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57000</v>
          </cell>
          <cell r="U9">
            <v>165000</v>
          </cell>
          <cell r="AQ9">
            <v>0</v>
          </cell>
          <cell r="AR9">
            <v>0</v>
          </cell>
          <cell r="AS9">
            <v>10000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1500</v>
          </cell>
          <cell r="D10">
            <v>207500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P10">
            <v>25000</v>
          </cell>
          <cell r="R10">
            <v>51000</v>
          </cell>
          <cell r="U10">
            <v>206000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D13">
            <v>30000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P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240000</v>
          </cell>
          <cell r="AQ15">
            <v>0</v>
          </cell>
          <cell r="AR15">
            <v>0</v>
          </cell>
          <cell r="AS15">
            <v>42000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180000</v>
          </cell>
          <cell r="G16">
            <v>0</v>
          </cell>
          <cell r="H16" t="str">
            <v>BANQUE</v>
          </cell>
          <cell r="I16">
            <v>1</v>
          </cell>
          <cell r="J16">
            <v>29000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51000</v>
          </cell>
          <cell r="U16">
            <v>180000</v>
          </cell>
          <cell r="AI16">
            <v>30000</v>
          </cell>
          <cell r="AK16">
            <v>100000</v>
          </cell>
          <cell r="AL16">
            <v>1000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5500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205000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205000</v>
          </cell>
          <cell r="AE17">
            <v>130000</v>
          </cell>
          <cell r="AF17" t="str">
            <v>BANQUE</v>
          </cell>
          <cell r="AK17">
            <v>100000</v>
          </cell>
          <cell r="AL17">
            <v>1000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1170000</v>
          </cell>
          <cell r="AZ17">
            <v>1170000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659000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102000</v>
          </cell>
          <cell r="R19">
            <v>102000</v>
          </cell>
          <cell r="U19">
            <v>659000</v>
          </cell>
          <cell r="AJ19">
            <v>112000</v>
          </cell>
          <cell r="AK19">
            <v>100000</v>
          </cell>
          <cell r="AM19">
            <v>3000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269000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6500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132500</v>
          </cell>
          <cell r="U22">
            <v>269000</v>
          </cell>
          <cell r="AI22">
            <v>62000</v>
          </cell>
          <cell r="AK22">
            <v>200000</v>
          </cell>
          <cell r="AL22">
            <v>1500</v>
          </cell>
          <cell r="AN22">
            <v>2500</v>
          </cell>
          <cell r="AP22" t="str">
            <v>BANQUE</v>
          </cell>
          <cell r="AQ22">
            <v>0</v>
          </cell>
          <cell r="AR22">
            <v>0</v>
          </cell>
          <cell r="AS22">
            <v>13500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140000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  <cell r="AC24">
            <v>30000</v>
          </cell>
          <cell r="AF24" t="str">
            <v>BANQUE</v>
          </cell>
          <cell r="AJ24">
            <v>50000</v>
          </cell>
          <cell r="AM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380000</v>
          </cell>
          <cell r="AX24">
            <v>0</v>
          </cell>
          <cell r="AY24">
            <v>0</v>
          </cell>
          <cell r="AZ24">
            <v>380000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235000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28000</v>
          </cell>
          <cell r="Q25">
            <v>102000</v>
          </cell>
          <cell r="U25">
            <v>238000</v>
          </cell>
          <cell r="AI25">
            <v>60000</v>
          </cell>
          <cell r="AJ25">
            <v>100000</v>
          </cell>
          <cell r="AL25">
            <v>1500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181000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51000</v>
          </cell>
          <cell r="U27">
            <v>181000</v>
          </cell>
          <cell r="AQ27">
            <v>0</v>
          </cell>
          <cell r="AR27">
            <v>0</v>
          </cell>
          <cell r="AS27">
            <v>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230000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C32">
            <v>25000</v>
          </cell>
          <cell r="AF32" t="str">
            <v>BANQUE</v>
          </cell>
          <cell r="AQ32">
            <v>0</v>
          </cell>
          <cell r="AR32">
            <v>0</v>
          </cell>
          <cell r="AS32">
            <v>17000</v>
          </cell>
          <cell r="AW32">
            <v>335000</v>
          </cell>
          <cell r="AX32">
            <v>0</v>
          </cell>
          <cell r="AY32">
            <v>0</v>
          </cell>
          <cell r="AZ32">
            <v>335000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0</v>
          </cell>
          <cell r="U34">
            <v>130000</v>
          </cell>
          <cell r="AK34">
            <v>117500</v>
          </cell>
          <cell r="AN34">
            <v>3000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E36">
            <v>30000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33000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4500</v>
          </cell>
          <cell r="D39">
            <v>3966500</v>
          </cell>
          <cell r="E39">
            <v>303000</v>
          </cell>
          <cell r="F39">
            <v>0</v>
          </cell>
          <cell r="G39">
            <v>9000</v>
          </cell>
          <cell r="I39">
            <v>29</v>
          </cell>
          <cell r="J39">
            <v>839000</v>
          </cell>
          <cell r="K39">
            <v>98500</v>
          </cell>
          <cell r="L39">
            <v>18</v>
          </cell>
          <cell r="M39">
            <v>1275000</v>
          </cell>
          <cell r="N39">
            <v>13</v>
          </cell>
          <cell r="O39">
            <v>1300000</v>
          </cell>
          <cell r="P39">
            <v>53000</v>
          </cell>
          <cell r="Q39">
            <v>312000</v>
          </cell>
          <cell r="R39">
            <v>387500</v>
          </cell>
          <cell r="S39">
            <v>0</v>
          </cell>
          <cell r="U39">
            <v>4274000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55000</v>
          </cell>
          <cell r="AD39">
            <v>75000</v>
          </cell>
          <cell r="AE39">
            <v>130000</v>
          </cell>
          <cell r="AG39">
            <v>0</v>
          </cell>
          <cell r="AH39">
            <v>0</v>
          </cell>
          <cell r="AI39">
            <v>152000</v>
          </cell>
          <cell r="AJ39">
            <v>362000</v>
          </cell>
          <cell r="AK39">
            <v>617500</v>
          </cell>
          <cell r="AL39">
            <v>5000</v>
          </cell>
          <cell r="AM39">
            <v>8500</v>
          </cell>
          <cell r="AN39">
            <v>7500</v>
          </cell>
          <cell r="AO39">
            <v>0</v>
          </cell>
          <cell r="AQ39">
            <v>0</v>
          </cell>
          <cell r="AR39">
            <v>0</v>
          </cell>
          <cell r="AS39">
            <v>293000</v>
          </cell>
          <cell r="AT39">
            <v>0</v>
          </cell>
          <cell r="AU39">
            <v>0</v>
          </cell>
        </row>
      </sheetData>
      <sheetData sheetId="6">
        <row r="6">
          <cell r="A6" t="str">
            <v>AS201602</v>
          </cell>
          <cell r="B6" t="str">
            <v>BOUTCHOUANG WILLIAM</v>
          </cell>
          <cell r="C6">
            <v>0</v>
          </cell>
          <cell r="E6">
            <v>105000</v>
          </cell>
          <cell r="G6">
            <v>0</v>
          </cell>
          <cell r="H6" t="str">
            <v>ESPECES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210000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2500</v>
          </cell>
          <cell r="L7">
            <v>1</v>
          </cell>
          <cell r="M7">
            <v>75000</v>
          </cell>
          <cell r="O7">
            <v>0</v>
          </cell>
          <cell r="Q7">
            <v>102500</v>
          </cell>
          <cell r="T7" t="str">
            <v>BANQUE</v>
          </cell>
          <cell r="U7">
            <v>210000</v>
          </cell>
          <cell r="AI7">
            <v>60000</v>
          </cell>
          <cell r="AJ7">
            <v>100000</v>
          </cell>
          <cell r="AL7">
            <v>1000</v>
          </cell>
          <cell r="AM7">
            <v>2000</v>
          </cell>
          <cell r="AP7" t="str">
            <v>BANQUE</v>
          </cell>
          <cell r="AQ7">
            <v>0</v>
          </cell>
          <cell r="AR7">
            <v>0</v>
          </cell>
          <cell r="AS7">
            <v>9500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E8">
            <v>33000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3000</v>
          </cell>
          <cell r="M8">
            <v>0</v>
          </cell>
          <cell r="O8">
            <v>0</v>
          </cell>
          <cell r="U8">
            <v>36000</v>
          </cell>
          <cell r="AQ8">
            <v>0</v>
          </cell>
          <cell r="AR8">
            <v>0</v>
          </cell>
          <cell r="AS8">
            <v>10000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75000</v>
          </cell>
          <cell r="E9">
            <v>30000</v>
          </cell>
          <cell r="G9">
            <v>3000</v>
          </cell>
          <cell r="H9" t="str">
            <v>BANQUE</v>
          </cell>
          <cell r="I9">
            <v>1</v>
          </cell>
          <cell r="J9">
            <v>30000</v>
          </cell>
          <cell r="L9">
            <v>1</v>
          </cell>
          <cell r="M9">
            <v>75000</v>
          </cell>
          <cell r="O9">
            <v>0</v>
          </cell>
          <cell r="U9">
            <v>108000</v>
          </cell>
          <cell r="AI9">
            <v>60000</v>
          </cell>
          <cell r="AJ9">
            <v>150000</v>
          </cell>
          <cell r="AL9">
            <v>1500</v>
          </cell>
          <cell r="AM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130000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U10">
            <v>130000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E12">
            <v>32000</v>
          </cell>
          <cell r="G12">
            <v>3000</v>
          </cell>
          <cell r="H12" t="str">
            <v>ESPECES</v>
          </cell>
          <cell r="I12">
            <v>1</v>
          </cell>
          <cell r="J12">
            <v>30000</v>
          </cell>
          <cell r="K12">
            <v>2000</v>
          </cell>
          <cell r="M12">
            <v>0</v>
          </cell>
          <cell r="O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9000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S14">
            <v>1000000</v>
          </cell>
          <cell r="T14" t="str">
            <v>BANQUE</v>
          </cell>
          <cell r="U14">
            <v>1105000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240000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35000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U15">
            <v>240000</v>
          </cell>
          <cell r="AQ15">
            <v>0</v>
          </cell>
          <cell r="AR15">
            <v>0</v>
          </cell>
          <cell r="AS15">
            <v>42000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220000</v>
          </cell>
          <cell r="E16">
            <v>42000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31000</v>
          </cell>
          <cell r="R16">
            <v>101000</v>
          </cell>
          <cell r="U16">
            <v>262000</v>
          </cell>
          <cell r="AP16" t="str">
            <v>ESPECES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-101500</v>
          </cell>
          <cell r="D17">
            <v>205000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R17">
            <v>101500</v>
          </cell>
          <cell r="U17">
            <v>306500</v>
          </cell>
          <cell r="AC17">
            <v>25000</v>
          </cell>
          <cell r="AI17">
            <v>30000</v>
          </cell>
          <cell r="AJ17">
            <v>120500</v>
          </cell>
          <cell r="AK17">
            <v>100000</v>
          </cell>
          <cell r="AL17">
            <v>500</v>
          </cell>
          <cell r="AM17">
            <v>3000</v>
          </cell>
          <cell r="AN17">
            <v>1500</v>
          </cell>
          <cell r="AP17" t="str">
            <v>ESPECES</v>
          </cell>
          <cell r="AQ17">
            <v>0</v>
          </cell>
          <cell r="AR17">
            <v>0</v>
          </cell>
          <cell r="AS17">
            <v>7000</v>
          </cell>
          <cell r="AW17">
            <v>455500</v>
          </cell>
          <cell r="AX17">
            <v>0</v>
          </cell>
          <cell r="AY17">
            <v>0</v>
          </cell>
          <cell r="AZ17">
            <v>455500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E18">
            <v>30000</v>
          </cell>
          <cell r="G18">
            <v>3000</v>
          </cell>
          <cell r="H18" t="str">
            <v>ESPECES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U18">
            <v>33000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455000</v>
          </cell>
          <cell r="E19">
            <v>216000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Q19">
            <v>115000</v>
          </cell>
          <cell r="R19">
            <v>101000</v>
          </cell>
          <cell r="U19">
            <v>671000</v>
          </cell>
          <cell r="AD19">
            <v>75000</v>
          </cell>
          <cell r="AF19" t="str">
            <v>BANQUE</v>
          </cell>
          <cell r="AJ19">
            <v>50000</v>
          </cell>
          <cell r="AK19">
            <v>200000</v>
          </cell>
          <cell r="AM19">
            <v>1500</v>
          </cell>
          <cell r="AN19">
            <v>3000</v>
          </cell>
          <cell r="AP19" t="str">
            <v>ESPECES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2675000</v>
          </cell>
          <cell r="AY19">
            <v>0</v>
          </cell>
          <cell r="AZ19">
            <v>2675000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160500</v>
          </cell>
          <cell r="E22">
            <v>235500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M22">
            <v>0</v>
          </cell>
          <cell r="N22">
            <v>1</v>
          </cell>
          <cell r="O22">
            <v>100000</v>
          </cell>
          <cell r="P22">
            <v>63500</v>
          </cell>
          <cell r="R22">
            <v>202500</v>
          </cell>
          <cell r="U22">
            <v>396000</v>
          </cell>
          <cell r="AC22">
            <v>25000</v>
          </cell>
          <cell r="AI22">
            <v>16000</v>
          </cell>
          <cell r="AK22">
            <v>200000</v>
          </cell>
          <cell r="AL22">
            <v>500</v>
          </cell>
          <cell r="AN22">
            <v>3000</v>
          </cell>
          <cell r="AP22" t="str">
            <v>ESPECES</v>
          </cell>
          <cell r="AQ22">
            <v>0</v>
          </cell>
          <cell r="AR22">
            <v>0</v>
          </cell>
          <cell r="AS22">
            <v>7000</v>
          </cell>
          <cell r="AW22">
            <v>335000</v>
          </cell>
          <cell r="AX22">
            <v>0</v>
          </cell>
          <cell r="AY22">
            <v>0</v>
          </cell>
          <cell r="AZ22">
            <v>335000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E23">
            <v>130000</v>
          </cell>
          <cell r="G23">
            <v>3000</v>
          </cell>
          <cell r="H23" t="str">
            <v>ESPECES</v>
          </cell>
          <cell r="I23">
            <v>1</v>
          </cell>
          <cell r="J23">
            <v>30000</v>
          </cell>
          <cell r="M23">
            <v>0</v>
          </cell>
          <cell r="N23">
            <v>1</v>
          </cell>
          <cell r="O23">
            <v>100000</v>
          </cell>
          <cell r="U23">
            <v>133000</v>
          </cell>
          <cell r="AQ23">
            <v>0</v>
          </cell>
          <cell r="AR23">
            <v>0</v>
          </cell>
          <cell r="AS23">
            <v>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231000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Q24">
            <v>51000</v>
          </cell>
          <cell r="U24">
            <v>231000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268500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61500</v>
          </cell>
          <cell r="Q25">
            <v>102000</v>
          </cell>
          <cell r="U25">
            <v>271500</v>
          </cell>
          <cell r="AI25">
            <v>60000</v>
          </cell>
          <cell r="AJ25">
            <v>100000</v>
          </cell>
          <cell r="AL25">
            <v>1000</v>
          </cell>
          <cell r="AM25">
            <v>3000</v>
          </cell>
          <cell r="AP25" t="str">
            <v>ESPECES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130000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M27">
            <v>0</v>
          </cell>
          <cell r="N27">
            <v>1</v>
          </cell>
          <cell r="O27">
            <v>100000</v>
          </cell>
          <cell r="U27">
            <v>130000</v>
          </cell>
          <cell r="AE27">
            <v>115000</v>
          </cell>
          <cell r="AF27" t="str">
            <v>BANQUE</v>
          </cell>
          <cell r="AQ27">
            <v>0</v>
          </cell>
          <cell r="AR27">
            <v>0</v>
          </cell>
          <cell r="AS27">
            <v>7000</v>
          </cell>
          <cell r="AW27">
            <v>0</v>
          </cell>
          <cell r="AX27">
            <v>0</v>
          </cell>
          <cell r="AY27">
            <v>1085000</v>
          </cell>
          <cell r="AZ27">
            <v>1085000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U30">
            <v>230000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115000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17000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E34">
            <v>120500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R34">
            <v>120500</v>
          </cell>
          <cell r="U34">
            <v>250500</v>
          </cell>
          <cell r="AK34">
            <v>140000</v>
          </cell>
          <cell r="AN34">
            <v>1000</v>
          </cell>
          <cell r="AP34" t="str">
            <v>ESPECES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E36">
            <v>30000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U36">
            <v>33000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U37">
            <v>280000</v>
          </cell>
          <cell r="Z37">
            <v>1000000</v>
          </cell>
          <cell r="AA37" t="str">
            <v>BANQUE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-101500</v>
          </cell>
          <cell r="D39">
            <v>4236500</v>
          </cell>
          <cell r="E39">
            <v>1272500</v>
          </cell>
          <cell r="F39">
            <v>0</v>
          </cell>
          <cell r="G39">
            <v>21000</v>
          </cell>
          <cell r="I39">
            <v>29</v>
          </cell>
          <cell r="J39">
            <v>810000</v>
          </cell>
          <cell r="K39">
            <v>72500</v>
          </cell>
          <cell r="L39">
            <v>18</v>
          </cell>
          <cell r="M39">
            <v>1275000</v>
          </cell>
          <cell r="N39">
            <v>13</v>
          </cell>
          <cell r="O39">
            <v>1300000</v>
          </cell>
          <cell r="P39">
            <v>156000</v>
          </cell>
          <cell r="Q39">
            <v>370500</v>
          </cell>
          <cell r="R39">
            <v>626500</v>
          </cell>
          <cell r="S39">
            <v>1000000</v>
          </cell>
          <cell r="U39">
            <v>5631500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2000000</v>
          </cell>
          <cell r="AC39">
            <v>50000</v>
          </cell>
          <cell r="AD39">
            <v>75000</v>
          </cell>
          <cell r="AE39">
            <v>115000</v>
          </cell>
          <cell r="AG39">
            <v>0</v>
          </cell>
          <cell r="AH39">
            <v>0</v>
          </cell>
          <cell r="AI39">
            <v>226000</v>
          </cell>
          <cell r="AJ39">
            <v>520500</v>
          </cell>
          <cell r="AK39">
            <v>640000</v>
          </cell>
          <cell r="AL39">
            <v>4500</v>
          </cell>
          <cell r="AM39">
            <v>13000</v>
          </cell>
          <cell r="AN39">
            <v>8500</v>
          </cell>
          <cell r="AO39">
            <v>0</v>
          </cell>
          <cell r="AQ39">
            <v>0</v>
          </cell>
          <cell r="AR39">
            <v>0</v>
          </cell>
          <cell r="AS39">
            <v>261500</v>
          </cell>
          <cell r="AT39">
            <v>0</v>
          </cell>
          <cell r="AU39">
            <v>0</v>
          </cell>
        </row>
      </sheetData>
      <sheetData sheetId="7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296000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28000</v>
          </cell>
          <cell r="L7">
            <v>1</v>
          </cell>
          <cell r="M7">
            <v>75000</v>
          </cell>
          <cell r="O7">
            <v>0</v>
          </cell>
          <cell r="P7">
            <v>61000</v>
          </cell>
          <cell r="Q7">
            <v>102000</v>
          </cell>
          <cell r="U7">
            <v>296000</v>
          </cell>
          <cell r="AJ7">
            <v>138500</v>
          </cell>
          <cell r="AM7">
            <v>2000</v>
          </cell>
          <cell r="AP7" t="str">
            <v>BANQUE</v>
          </cell>
          <cell r="AQ7">
            <v>0</v>
          </cell>
          <cell r="AR7">
            <v>0</v>
          </cell>
          <cell r="AS7">
            <v>35000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34000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M8">
            <v>0</v>
          </cell>
          <cell r="O8">
            <v>0</v>
          </cell>
          <cell r="U8">
            <v>34000</v>
          </cell>
          <cell r="AQ8">
            <v>0</v>
          </cell>
          <cell r="AR8">
            <v>0</v>
          </cell>
          <cell r="AS8">
            <v>11000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235000</v>
          </cell>
          <cell r="E9">
            <v>85000</v>
          </cell>
          <cell r="G9">
            <v>3000</v>
          </cell>
          <cell r="H9" t="str">
            <v>BANQUE</v>
          </cell>
          <cell r="I9">
            <v>1</v>
          </cell>
          <cell r="J9">
            <v>30000</v>
          </cell>
          <cell r="L9">
            <v>1</v>
          </cell>
          <cell r="M9">
            <v>75000</v>
          </cell>
          <cell r="O9">
            <v>0</v>
          </cell>
          <cell r="P9">
            <v>61500</v>
          </cell>
          <cell r="Q9">
            <v>153500</v>
          </cell>
          <cell r="U9">
            <v>323000</v>
          </cell>
          <cell r="AJ9">
            <v>200000</v>
          </cell>
          <cell r="AM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130000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U10">
            <v>130000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F15">
            <v>277000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S15">
            <v>277000</v>
          </cell>
          <cell r="T15" t="str">
            <v>BANQUE</v>
          </cell>
          <cell r="U15">
            <v>527000</v>
          </cell>
          <cell r="AC15">
            <v>23000</v>
          </cell>
          <cell r="AQ15">
            <v>0</v>
          </cell>
          <cell r="AR15">
            <v>0</v>
          </cell>
          <cell r="AS15">
            <v>52000</v>
          </cell>
          <cell r="AW15">
            <v>60000</v>
          </cell>
          <cell r="AX15">
            <v>0</v>
          </cell>
          <cell r="AY15">
            <v>0</v>
          </cell>
          <cell r="AZ15">
            <v>60000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130000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U16">
            <v>130000</v>
          </cell>
          <cell r="AK16">
            <v>200000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460500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30500</v>
          </cell>
          <cell r="Q17">
            <v>123500</v>
          </cell>
          <cell r="R17">
            <v>101500</v>
          </cell>
          <cell r="U17">
            <v>460500</v>
          </cell>
          <cell r="AJ17">
            <v>100000</v>
          </cell>
          <cell r="AM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709500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Q19">
            <v>51500</v>
          </cell>
          <cell r="R19">
            <v>203000</v>
          </cell>
          <cell r="U19">
            <v>709500</v>
          </cell>
          <cell r="AJ19">
            <v>100000</v>
          </cell>
          <cell r="AK19">
            <v>200000</v>
          </cell>
          <cell r="AM19">
            <v>1000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349500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M22">
            <v>0</v>
          </cell>
          <cell r="N22">
            <v>1</v>
          </cell>
          <cell r="O22">
            <v>100000</v>
          </cell>
          <cell r="P22">
            <v>16500</v>
          </cell>
          <cell r="R22">
            <v>203000</v>
          </cell>
          <cell r="U22">
            <v>349500</v>
          </cell>
          <cell r="AP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130000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M23">
            <v>0</v>
          </cell>
          <cell r="N23">
            <v>1</v>
          </cell>
          <cell r="O23">
            <v>100000</v>
          </cell>
          <cell r="U23">
            <v>130000</v>
          </cell>
          <cell r="AC23">
            <v>23000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7000</v>
          </cell>
          <cell r="AW23">
            <v>337000</v>
          </cell>
          <cell r="AX23">
            <v>0</v>
          </cell>
          <cell r="AY23">
            <v>0</v>
          </cell>
          <cell r="AZ23">
            <v>337000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F24">
            <v>1000000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S24">
            <v>1000000</v>
          </cell>
          <cell r="T24" t="str">
            <v>BANQUE</v>
          </cell>
          <cell r="U24">
            <v>1180000</v>
          </cell>
          <cell r="Z24">
            <v>1000000</v>
          </cell>
          <cell r="AA24" t="str">
            <v>BANQUE</v>
          </cell>
          <cell r="AD24">
            <v>80000</v>
          </cell>
          <cell r="AF24" t="str">
            <v>BANQUE</v>
          </cell>
          <cell r="AJ24">
            <v>50000</v>
          </cell>
          <cell r="AM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1770000</v>
          </cell>
          <cell r="AY24">
            <v>0</v>
          </cell>
          <cell r="AZ24">
            <v>1770000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124500</v>
          </cell>
          <cell r="E25">
            <v>144500</v>
          </cell>
          <cell r="G25">
            <v>3000</v>
          </cell>
          <cell r="H25" t="str">
            <v>BANQUE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61000</v>
          </cell>
          <cell r="Q25">
            <v>103000</v>
          </cell>
          <cell r="U25">
            <v>272000</v>
          </cell>
          <cell r="AJ25">
            <v>100000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M27">
            <v>0</v>
          </cell>
          <cell r="N27">
            <v>1</v>
          </cell>
          <cell r="O27">
            <v>100000</v>
          </cell>
          <cell r="U27">
            <v>140000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U28">
            <v>105000</v>
          </cell>
          <cell r="AC28">
            <v>23000</v>
          </cell>
          <cell r="AQ28">
            <v>0</v>
          </cell>
          <cell r="AR28">
            <v>0</v>
          </cell>
          <cell r="AS28">
            <v>7000</v>
          </cell>
          <cell r="AW28">
            <v>337000</v>
          </cell>
          <cell r="AX28">
            <v>0</v>
          </cell>
          <cell r="AY28">
            <v>0</v>
          </cell>
          <cell r="AZ28">
            <v>337000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50000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20000</v>
          </cell>
          <cell r="M29">
            <v>0</v>
          </cell>
          <cell r="O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230000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M30">
            <v>0</v>
          </cell>
          <cell r="N30">
            <v>2</v>
          </cell>
          <cell r="O30">
            <v>200000</v>
          </cell>
          <cell r="U30">
            <v>230000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271000</v>
          </cell>
          <cell r="F34">
            <v>1000000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R34">
            <v>141000</v>
          </cell>
          <cell r="S34">
            <v>1000000</v>
          </cell>
          <cell r="T34" t="str">
            <v>BANQUE</v>
          </cell>
          <cell r="U34">
            <v>1271000</v>
          </cell>
          <cell r="Z34">
            <v>1000000</v>
          </cell>
          <cell r="AA34" t="str">
            <v>BANQUE</v>
          </cell>
          <cell r="AE34">
            <v>125000</v>
          </cell>
          <cell r="AF34" t="str">
            <v>BANQUE</v>
          </cell>
          <cell r="AK34">
            <v>173500</v>
          </cell>
          <cell r="AN34">
            <v>1500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1248500</v>
          </cell>
          <cell r="AZ34">
            <v>1248500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U37">
            <v>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0</v>
          </cell>
          <cell r="D39">
            <v>4695000</v>
          </cell>
          <cell r="E39">
            <v>229500</v>
          </cell>
          <cell r="F39">
            <v>2277000</v>
          </cell>
          <cell r="G39">
            <v>6000</v>
          </cell>
          <cell r="I39">
            <v>29</v>
          </cell>
          <cell r="J39">
            <v>810000</v>
          </cell>
          <cell r="K39">
            <v>127000</v>
          </cell>
          <cell r="L39">
            <v>18</v>
          </cell>
          <cell r="M39">
            <v>1275000</v>
          </cell>
          <cell r="N39">
            <v>13</v>
          </cell>
          <cell r="O39">
            <v>1300000</v>
          </cell>
          <cell r="P39">
            <v>230500</v>
          </cell>
          <cell r="Q39">
            <v>533500</v>
          </cell>
          <cell r="R39">
            <v>648500</v>
          </cell>
          <cell r="U39">
            <v>7207500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2000000</v>
          </cell>
          <cell r="AC39">
            <v>69000</v>
          </cell>
          <cell r="AD39">
            <v>80000</v>
          </cell>
          <cell r="AE39">
            <v>125000</v>
          </cell>
          <cell r="AG39">
            <v>0</v>
          </cell>
          <cell r="AH39">
            <v>0</v>
          </cell>
          <cell r="AI39">
            <v>0</v>
          </cell>
          <cell r="AJ39">
            <v>688500</v>
          </cell>
          <cell r="AK39">
            <v>773500</v>
          </cell>
          <cell r="AL39">
            <v>0</v>
          </cell>
          <cell r="AM39">
            <v>12000</v>
          </cell>
          <cell r="AN39">
            <v>7500</v>
          </cell>
          <cell r="AO39">
            <v>0</v>
          </cell>
          <cell r="AQ39">
            <v>0</v>
          </cell>
          <cell r="AR39">
            <v>0</v>
          </cell>
          <cell r="AS39">
            <v>316000</v>
          </cell>
          <cell r="AT39">
            <v>0</v>
          </cell>
          <cell r="AU39">
            <v>0</v>
          </cell>
        </row>
      </sheetData>
      <sheetData sheetId="8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245500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Q7">
            <v>140500</v>
          </cell>
          <cell r="U7">
            <v>245500</v>
          </cell>
          <cell r="AI7">
            <v>22500</v>
          </cell>
          <cell r="AJ7">
            <v>200000</v>
          </cell>
          <cell r="AL7">
            <v>1500</v>
          </cell>
          <cell r="AM7">
            <v>2000</v>
          </cell>
          <cell r="AP7" t="str">
            <v>ESPECES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M8">
            <v>0</v>
          </cell>
          <cell r="O8">
            <v>0</v>
          </cell>
          <cell r="P8">
            <v>0</v>
          </cell>
          <cell r="U8">
            <v>30000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310000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1000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204000</v>
          </cell>
          <cell r="U9">
            <v>310000</v>
          </cell>
          <cell r="AJ9">
            <v>149500</v>
          </cell>
          <cell r="AM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8000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130000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P10">
            <v>0</v>
          </cell>
          <cell r="R10">
            <v>0</v>
          </cell>
          <cell r="U10">
            <v>130000</v>
          </cell>
          <cell r="AC10">
            <v>24000</v>
          </cell>
          <cell r="AF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336000</v>
          </cell>
          <cell r="AX10">
            <v>0</v>
          </cell>
          <cell r="AY10">
            <v>0</v>
          </cell>
          <cell r="AZ10">
            <v>336000</v>
          </cell>
        </row>
        <row r="11">
          <cell r="A11" t="str">
            <v>AS201651</v>
          </cell>
          <cell r="B11" t="str">
            <v>DOMOU FABIEN</v>
          </cell>
          <cell r="C11">
            <v>-200000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S11">
            <v>200000</v>
          </cell>
          <cell r="T11" t="str">
            <v>BANQUE</v>
          </cell>
          <cell r="U11">
            <v>230000</v>
          </cell>
          <cell r="AC11">
            <v>23000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337000</v>
          </cell>
          <cell r="AX11">
            <v>0</v>
          </cell>
          <cell r="AY11">
            <v>0</v>
          </cell>
          <cell r="AZ11">
            <v>337000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250000</v>
          </cell>
          <cell r="AQ15">
            <v>0</v>
          </cell>
          <cell r="AR15">
            <v>0</v>
          </cell>
          <cell r="AS15">
            <v>52000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332000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202000</v>
          </cell>
          <cell r="U16">
            <v>332000</v>
          </cell>
          <cell r="AP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307000</v>
          </cell>
          <cell r="G17">
            <v>3000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102000</v>
          </cell>
          <cell r="R17">
            <v>0</v>
          </cell>
          <cell r="U17">
            <v>310000</v>
          </cell>
          <cell r="AJ17">
            <v>200000</v>
          </cell>
          <cell r="AK17">
            <v>200000</v>
          </cell>
          <cell r="AM17">
            <v>2000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758000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101000</v>
          </cell>
          <cell r="R19">
            <v>202000</v>
          </cell>
          <cell r="U19">
            <v>758000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130000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130000</v>
          </cell>
          <cell r="AE22">
            <v>100000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1100000</v>
          </cell>
          <cell r="AZ22">
            <v>1100000</v>
          </cell>
        </row>
        <row r="23">
          <cell r="A23" t="str">
            <v>AS201624</v>
          </cell>
          <cell r="B23" t="str">
            <v>NGONDIEP CLAUDE</v>
          </cell>
          <cell r="C23">
            <v>-202000</v>
          </cell>
          <cell r="D23">
            <v>140000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202000</v>
          </cell>
          <cell r="U23">
            <v>342000</v>
          </cell>
          <cell r="AP23" t="str">
            <v>BANQUE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150000</v>
          </cell>
          <cell r="E24">
            <v>81000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51000</v>
          </cell>
          <cell r="U24">
            <v>234000</v>
          </cell>
          <cell r="AJ24">
            <v>100000</v>
          </cell>
          <cell r="AM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207000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0</v>
          </cell>
          <cell r="Q25">
            <v>102000</v>
          </cell>
          <cell r="U25">
            <v>210000</v>
          </cell>
          <cell r="AI25">
            <v>20000</v>
          </cell>
          <cell r="AJ25">
            <v>200000</v>
          </cell>
          <cell r="AL25">
            <v>1000</v>
          </cell>
          <cell r="AM25">
            <v>2000</v>
          </cell>
          <cell r="AP25" t="str">
            <v>ESPECES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140000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D28">
            <v>75000</v>
          </cell>
          <cell r="AF28" t="str">
            <v>BANQUE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825000</v>
          </cell>
          <cell r="AY28">
            <v>0</v>
          </cell>
          <cell r="AZ28">
            <v>825000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E29">
            <v>47000</v>
          </cell>
          <cell r="G29">
            <v>3000</v>
          </cell>
          <cell r="H29" t="str">
            <v>ESPECES</v>
          </cell>
          <cell r="I29">
            <v>1</v>
          </cell>
          <cell r="J29">
            <v>30000</v>
          </cell>
          <cell r="K29">
            <v>17000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E30">
            <v>1</v>
          </cell>
          <cell r="AF30" t="str">
            <v>BANQUE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-1</v>
          </cell>
          <cell r="AZ30">
            <v>-1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305000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175000</v>
          </cell>
          <cell r="U34">
            <v>305000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-402000</v>
          </cell>
          <cell r="D39">
            <v>4202500</v>
          </cell>
          <cell r="E39">
            <v>335000</v>
          </cell>
          <cell r="F39">
            <v>0</v>
          </cell>
          <cell r="G39">
            <v>12000</v>
          </cell>
          <cell r="I39">
            <v>28</v>
          </cell>
          <cell r="J39">
            <v>780000</v>
          </cell>
          <cell r="K39">
            <v>103000</v>
          </cell>
          <cell r="L39">
            <v>18</v>
          </cell>
          <cell r="M39">
            <v>1275000</v>
          </cell>
          <cell r="N39">
            <v>11</v>
          </cell>
          <cell r="O39">
            <v>1100000</v>
          </cell>
          <cell r="P39">
            <v>0</v>
          </cell>
          <cell r="Q39">
            <v>700500</v>
          </cell>
          <cell r="R39">
            <v>781000</v>
          </cell>
          <cell r="S39">
            <v>200000</v>
          </cell>
          <cell r="U39">
            <v>4951500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47000</v>
          </cell>
          <cell r="AD39">
            <v>75000</v>
          </cell>
          <cell r="AE39">
            <v>100001</v>
          </cell>
          <cell r="AG39">
            <v>0</v>
          </cell>
          <cell r="AH39">
            <v>0</v>
          </cell>
          <cell r="AI39">
            <v>42500</v>
          </cell>
          <cell r="AJ39">
            <v>849500</v>
          </cell>
          <cell r="AK39">
            <v>200000</v>
          </cell>
          <cell r="AL39">
            <v>2500</v>
          </cell>
          <cell r="AM39">
            <v>9000</v>
          </cell>
          <cell r="AN39">
            <v>2000</v>
          </cell>
          <cell r="AO39">
            <v>0</v>
          </cell>
          <cell r="AQ39">
            <v>0</v>
          </cell>
          <cell r="AR39">
            <v>0</v>
          </cell>
          <cell r="AS39">
            <v>285000</v>
          </cell>
          <cell r="AT39">
            <v>0</v>
          </cell>
          <cell r="AU39">
            <v>0</v>
          </cell>
        </row>
      </sheetData>
      <sheetData sheetId="9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331000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24000</v>
          </cell>
          <cell r="Q7">
            <v>202000</v>
          </cell>
          <cell r="U7">
            <v>331000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M8">
            <v>0</v>
          </cell>
          <cell r="O8">
            <v>0</v>
          </cell>
          <cell r="P8">
            <v>0</v>
          </cell>
          <cell r="U8">
            <v>30000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260000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3500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151500</v>
          </cell>
          <cell r="U9">
            <v>260000</v>
          </cell>
          <cell r="AC9">
            <v>30000</v>
          </cell>
          <cell r="AF9" t="str">
            <v>BANQUE</v>
          </cell>
          <cell r="AQ9">
            <v>0</v>
          </cell>
          <cell r="AR9">
            <v>0</v>
          </cell>
          <cell r="AS9">
            <v>10500</v>
          </cell>
          <cell r="AW9">
            <v>330000</v>
          </cell>
          <cell r="AX9">
            <v>0</v>
          </cell>
          <cell r="AY9">
            <v>0</v>
          </cell>
          <cell r="AZ9">
            <v>330000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130000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M10">
            <v>0</v>
          </cell>
          <cell r="N10">
            <v>1</v>
          </cell>
          <cell r="O10">
            <v>100000</v>
          </cell>
          <cell r="P10">
            <v>0</v>
          </cell>
          <cell r="R10">
            <v>0</v>
          </cell>
          <cell r="U10">
            <v>130000</v>
          </cell>
          <cell r="AK10">
            <v>100000</v>
          </cell>
          <cell r="AN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830000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S11">
            <v>800000</v>
          </cell>
          <cell r="T11" t="str">
            <v>BANQUE</v>
          </cell>
          <cell r="U11">
            <v>830000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C14">
            <v>31000</v>
          </cell>
          <cell r="AD14">
            <v>75000</v>
          </cell>
          <cell r="AF14" t="str">
            <v>BANQUE</v>
          </cell>
          <cell r="AQ14">
            <v>0</v>
          </cell>
          <cell r="AR14">
            <v>0</v>
          </cell>
          <cell r="AS14">
            <v>7000</v>
          </cell>
          <cell r="AW14">
            <v>329000</v>
          </cell>
          <cell r="AX14">
            <v>825000</v>
          </cell>
          <cell r="AY14">
            <v>0</v>
          </cell>
          <cell r="AZ14">
            <v>1154000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250000</v>
          </cell>
          <cell r="AQ15">
            <v>0</v>
          </cell>
          <cell r="AR15">
            <v>0</v>
          </cell>
          <cell r="AS15">
            <v>52000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130000</v>
          </cell>
          <cell r="F16">
            <v>1000000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S16">
            <v>1000000</v>
          </cell>
          <cell r="U16">
            <v>1130000</v>
          </cell>
          <cell r="AE16">
            <v>130000</v>
          </cell>
          <cell r="AF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70000</v>
          </cell>
          <cell r="AZ16">
            <v>70000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833000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202000</v>
          </cell>
          <cell r="R17">
            <v>202000</v>
          </cell>
          <cell r="S17">
            <v>224000</v>
          </cell>
          <cell r="T17" t="str">
            <v>BANQUE</v>
          </cell>
          <cell r="U17">
            <v>833000</v>
          </cell>
          <cell r="AK17">
            <v>114000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455000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0</v>
          </cell>
          <cell r="R19">
            <v>0</v>
          </cell>
          <cell r="U19">
            <v>455000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D21">
            <v>75000</v>
          </cell>
          <cell r="AF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825000</v>
          </cell>
          <cell r="AY21">
            <v>0</v>
          </cell>
          <cell r="AZ21">
            <v>825000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157000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7000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S22">
            <v>20000</v>
          </cell>
          <cell r="T22" t="str">
            <v>BANQUE</v>
          </cell>
          <cell r="U22">
            <v>157000</v>
          </cell>
          <cell r="AQ22">
            <v>0</v>
          </cell>
          <cell r="AR22">
            <v>0</v>
          </cell>
          <cell r="AS22">
            <v>14000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140000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70000</v>
          </cell>
          <cell r="E24">
            <v>211000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101000</v>
          </cell>
          <cell r="U24">
            <v>284000</v>
          </cell>
          <cell r="AK24">
            <v>114000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328000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21000</v>
          </cell>
          <cell r="Q25">
            <v>202000</v>
          </cell>
          <cell r="U25">
            <v>328000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140000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E29">
            <v>32000</v>
          </cell>
          <cell r="G29">
            <v>3000</v>
          </cell>
          <cell r="H29" t="str">
            <v>ESPECES</v>
          </cell>
          <cell r="I29">
            <v>1</v>
          </cell>
          <cell r="J29">
            <v>30000</v>
          </cell>
          <cell r="K29">
            <v>2000</v>
          </cell>
          <cell r="M29">
            <v>0</v>
          </cell>
          <cell r="O29">
            <v>0</v>
          </cell>
          <cell r="P29">
            <v>0</v>
          </cell>
          <cell r="U29">
            <v>35000</v>
          </cell>
          <cell r="AQ29">
            <v>0</v>
          </cell>
          <cell r="AR29">
            <v>0</v>
          </cell>
          <cell r="AS29">
            <v>9000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130000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0</v>
          </cell>
          <cell r="U34">
            <v>130000</v>
          </cell>
          <cell r="AK34">
            <v>200000</v>
          </cell>
          <cell r="AN34">
            <v>2000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0</v>
          </cell>
          <cell r="D39">
            <v>5159000</v>
          </cell>
          <cell r="E39">
            <v>243000</v>
          </cell>
          <cell r="F39">
            <v>1000000</v>
          </cell>
          <cell r="G39">
            <v>6000</v>
          </cell>
          <cell r="I39">
            <v>28</v>
          </cell>
          <cell r="J39">
            <v>780000</v>
          </cell>
          <cell r="K39">
            <v>97500</v>
          </cell>
          <cell r="L39">
            <v>18</v>
          </cell>
          <cell r="M39">
            <v>1275000</v>
          </cell>
          <cell r="N39">
            <v>11</v>
          </cell>
          <cell r="O39">
            <v>1100000</v>
          </cell>
          <cell r="P39">
            <v>45000</v>
          </cell>
          <cell r="Q39">
            <v>858500</v>
          </cell>
          <cell r="R39">
            <v>202000</v>
          </cell>
          <cell r="S39">
            <v>2044000</v>
          </cell>
          <cell r="U39">
            <v>6408000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61000</v>
          </cell>
          <cell r="AD39">
            <v>150000</v>
          </cell>
          <cell r="AE39">
            <v>130000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828000</v>
          </cell>
          <cell r="AL39">
            <v>0</v>
          </cell>
          <cell r="AM39">
            <v>0</v>
          </cell>
          <cell r="AN39">
            <v>8000</v>
          </cell>
          <cell r="AO39">
            <v>0</v>
          </cell>
          <cell r="AQ39">
            <v>0</v>
          </cell>
          <cell r="AR39">
            <v>0</v>
          </cell>
          <cell r="AS39">
            <v>279500</v>
          </cell>
          <cell r="AT39">
            <v>0</v>
          </cell>
          <cell r="AU39">
            <v>0</v>
          </cell>
        </row>
      </sheetData>
      <sheetData sheetId="10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107000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2000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Q7">
            <v>0</v>
          </cell>
          <cell r="U7">
            <v>107000</v>
          </cell>
          <cell r="AQ7">
            <v>0</v>
          </cell>
          <cell r="AR7">
            <v>0</v>
          </cell>
          <cell r="AS7">
            <v>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M8">
            <v>0</v>
          </cell>
          <cell r="O8">
            <v>0</v>
          </cell>
          <cell r="P8">
            <v>0</v>
          </cell>
          <cell r="U8">
            <v>30000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107000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2000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0</v>
          </cell>
          <cell r="U9">
            <v>107000</v>
          </cell>
          <cell r="AQ9">
            <v>0</v>
          </cell>
          <cell r="AR9">
            <v>0</v>
          </cell>
          <cell r="AS9">
            <v>9000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235000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4000</v>
          </cell>
          <cell r="M10">
            <v>0</v>
          </cell>
          <cell r="N10">
            <v>1</v>
          </cell>
          <cell r="O10">
            <v>100000</v>
          </cell>
          <cell r="P10">
            <v>0</v>
          </cell>
          <cell r="R10">
            <v>101000</v>
          </cell>
          <cell r="U10">
            <v>235000</v>
          </cell>
          <cell r="AK10">
            <v>100000</v>
          </cell>
          <cell r="AN10">
            <v>5000</v>
          </cell>
          <cell r="AP10" t="str">
            <v>BANQUE</v>
          </cell>
          <cell r="AQ10">
            <v>0</v>
          </cell>
          <cell r="AR10">
            <v>0</v>
          </cell>
          <cell r="AS10">
            <v>11000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250000</v>
          </cell>
          <cell r="AQ15">
            <v>0</v>
          </cell>
          <cell r="AR15">
            <v>0</v>
          </cell>
          <cell r="AS15">
            <v>52000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130000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U16">
            <v>130000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-100000</v>
          </cell>
          <cell r="D17">
            <v>220000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115000</v>
          </cell>
          <cell r="U17">
            <v>320000</v>
          </cell>
          <cell r="AI17">
            <v>100000</v>
          </cell>
          <cell r="AK17">
            <v>141000</v>
          </cell>
          <cell r="AL17">
            <v>3000</v>
          </cell>
          <cell r="AN17">
            <v>4500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556000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0</v>
          </cell>
          <cell r="R19">
            <v>101000</v>
          </cell>
          <cell r="U19">
            <v>556000</v>
          </cell>
          <cell r="AI19">
            <v>50000</v>
          </cell>
          <cell r="AK19">
            <v>200000</v>
          </cell>
          <cell r="AL19">
            <v>1500</v>
          </cell>
          <cell r="AN19">
            <v>3500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140000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10000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140000</v>
          </cell>
          <cell r="AQ22">
            <v>0</v>
          </cell>
          <cell r="AR22">
            <v>0</v>
          </cell>
          <cell r="AS22">
            <v>17000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342000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202000</v>
          </cell>
          <cell r="U23">
            <v>342000</v>
          </cell>
          <cell r="AE23">
            <v>120000</v>
          </cell>
          <cell r="AF23" t="str">
            <v>BANQUE</v>
          </cell>
          <cell r="AK23">
            <v>100000</v>
          </cell>
          <cell r="AN23">
            <v>3000</v>
          </cell>
          <cell r="AP23" t="str">
            <v>BANQUE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1180000</v>
          </cell>
          <cell r="AZ23">
            <v>1180000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105000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0</v>
          </cell>
          <cell r="Q25">
            <v>0</v>
          </cell>
          <cell r="U25">
            <v>105000</v>
          </cell>
          <cell r="AI25">
            <v>21000</v>
          </cell>
          <cell r="AL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740000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S27">
            <v>600000</v>
          </cell>
          <cell r="T27" t="str">
            <v>BANQUE</v>
          </cell>
          <cell r="U27">
            <v>740000</v>
          </cell>
          <cell r="AP27" t="str">
            <v>BANQUE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30000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M29">
            <v>0</v>
          </cell>
          <cell r="O29">
            <v>0</v>
          </cell>
          <cell r="P29">
            <v>0</v>
          </cell>
          <cell r="U29">
            <v>30000</v>
          </cell>
          <cell r="AC29">
            <v>23000</v>
          </cell>
          <cell r="AF29" t="str">
            <v>BANQUE</v>
          </cell>
          <cell r="AQ29">
            <v>0</v>
          </cell>
          <cell r="AR29">
            <v>0</v>
          </cell>
          <cell r="AS29">
            <v>7000</v>
          </cell>
          <cell r="AW29">
            <v>337000</v>
          </cell>
          <cell r="AX29">
            <v>0</v>
          </cell>
          <cell r="AY29">
            <v>0</v>
          </cell>
          <cell r="AZ29">
            <v>337000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1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332000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202000</v>
          </cell>
          <cell r="U34">
            <v>332000</v>
          </cell>
          <cell r="AK34">
            <v>100000</v>
          </cell>
          <cell r="AN34">
            <v>1500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C37">
            <v>23000</v>
          </cell>
          <cell r="AF37" t="str">
            <v>BANQUE</v>
          </cell>
          <cell r="AQ37">
            <v>0</v>
          </cell>
          <cell r="AR37">
            <v>0</v>
          </cell>
          <cell r="AS37">
            <v>7000</v>
          </cell>
          <cell r="AW37">
            <v>337000</v>
          </cell>
          <cell r="AX37">
            <v>0</v>
          </cell>
          <cell r="AY37">
            <v>0</v>
          </cell>
          <cell r="AZ37">
            <v>337000</v>
          </cell>
        </row>
        <row r="39">
          <cell r="B39" t="str">
            <v>TOTAUX</v>
          </cell>
          <cell r="C39">
            <v>-100000</v>
          </cell>
          <cell r="D39">
            <v>4479000</v>
          </cell>
          <cell r="E39">
            <v>0</v>
          </cell>
          <cell r="F39">
            <v>0</v>
          </cell>
          <cell r="G39">
            <v>0</v>
          </cell>
          <cell r="I39">
            <v>28</v>
          </cell>
          <cell r="J39">
            <v>780000</v>
          </cell>
          <cell r="K39">
            <v>103000</v>
          </cell>
          <cell r="L39">
            <v>18</v>
          </cell>
          <cell r="M39">
            <v>1275000</v>
          </cell>
          <cell r="N39">
            <v>11</v>
          </cell>
          <cell r="O39">
            <v>1100000</v>
          </cell>
          <cell r="P39">
            <v>0</v>
          </cell>
          <cell r="Q39">
            <v>0</v>
          </cell>
          <cell r="R39">
            <v>721000</v>
          </cell>
          <cell r="S39">
            <v>600000</v>
          </cell>
          <cell r="U39">
            <v>4579000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46000</v>
          </cell>
          <cell r="AD39">
            <v>0</v>
          </cell>
          <cell r="AE39">
            <v>120000</v>
          </cell>
          <cell r="AG39">
            <v>0</v>
          </cell>
          <cell r="AH39">
            <v>0</v>
          </cell>
          <cell r="AI39">
            <v>171000</v>
          </cell>
          <cell r="AJ39">
            <v>0</v>
          </cell>
          <cell r="AK39">
            <v>641000</v>
          </cell>
          <cell r="AL39">
            <v>5000</v>
          </cell>
          <cell r="AM39">
            <v>0</v>
          </cell>
          <cell r="AN39">
            <v>17500</v>
          </cell>
          <cell r="AO39">
            <v>0</v>
          </cell>
          <cell r="AQ39">
            <v>0</v>
          </cell>
          <cell r="AR39">
            <v>0</v>
          </cell>
          <cell r="AS39">
            <v>285000</v>
          </cell>
          <cell r="AT39">
            <v>0</v>
          </cell>
          <cell r="AU39">
            <v>0</v>
          </cell>
        </row>
      </sheetData>
      <sheetData sheetId="11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U6">
            <v>105000</v>
          </cell>
          <cell r="AQ6">
            <v>0</v>
          </cell>
          <cell r="AR6">
            <v>0</v>
          </cell>
          <cell r="AS6">
            <v>7000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108500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3500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108500</v>
          </cell>
          <cell r="AP7" t="str">
            <v>BANQUE</v>
          </cell>
          <cell r="AQ7">
            <v>0</v>
          </cell>
          <cell r="AR7">
            <v>0</v>
          </cell>
          <cell r="AS7">
            <v>10500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M8">
            <v>0</v>
          </cell>
          <cell r="O8">
            <v>0</v>
          </cell>
          <cell r="P8">
            <v>0</v>
          </cell>
          <cell r="U8">
            <v>30000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105000</v>
          </cell>
          <cell r="G9">
            <v>3000</v>
          </cell>
          <cell r="H9" t="str">
            <v>BANQUE</v>
          </cell>
          <cell r="I9">
            <v>1</v>
          </cell>
          <cell r="J9">
            <v>30000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U9">
            <v>108000</v>
          </cell>
          <cell r="AJ9">
            <v>100000</v>
          </cell>
          <cell r="AM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310000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N10">
            <v>1</v>
          </cell>
          <cell r="O10">
            <v>100000</v>
          </cell>
          <cell r="P10">
            <v>0</v>
          </cell>
          <cell r="R10">
            <v>105000</v>
          </cell>
          <cell r="U10">
            <v>310000</v>
          </cell>
          <cell r="AI10">
            <v>30000</v>
          </cell>
          <cell r="AJ10">
            <v>50000</v>
          </cell>
          <cell r="AL10">
            <v>1000</v>
          </cell>
          <cell r="AM10">
            <v>1500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R15">
            <v>0</v>
          </cell>
          <cell r="U15">
            <v>250000</v>
          </cell>
          <cell r="AQ15">
            <v>0</v>
          </cell>
          <cell r="AR15">
            <v>0</v>
          </cell>
          <cell r="AS15">
            <v>52000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130000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R16">
            <v>0</v>
          </cell>
          <cell r="U16">
            <v>130000</v>
          </cell>
          <cell r="AI16">
            <v>30000</v>
          </cell>
          <cell r="AK16">
            <v>100000</v>
          </cell>
          <cell r="AL16">
            <v>1000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453500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103000</v>
          </cell>
          <cell r="R17">
            <v>145500</v>
          </cell>
          <cell r="U17">
            <v>453500</v>
          </cell>
          <cell r="AI17">
            <v>40000</v>
          </cell>
          <cell r="AJ17">
            <v>100000</v>
          </cell>
          <cell r="AK17">
            <v>200000</v>
          </cell>
          <cell r="AL17">
            <v>1500</v>
          </cell>
          <cell r="AM17">
            <v>2000</v>
          </cell>
          <cell r="AN17">
            <v>5500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710000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51500</v>
          </cell>
          <cell r="R19">
            <v>203500</v>
          </cell>
          <cell r="U19">
            <v>710000</v>
          </cell>
          <cell r="AE19">
            <v>100000</v>
          </cell>
          <cell r="AF19" t="str">
            <v>BANQUE</v>
          </cell>
          <cell r="AJ19">
            <v>80000</v>
          </cell>
          <cell r="AK19">
            <v>58500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2358500</v>
          </cell>
          <cell r="AZ19">
            <v>2358500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C20">
            <v>23000</v>
          </cell>
          <cell r="AF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337000</v>
          </cell>
          <cell r="AX20">
            <v>0</v>
          </cell>
          <cell r="AY20">
            <v>0</v>
          </cell>
          <cell r="AZ20">
            <v>337000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140000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10000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140000</v>
          </cell>
          <cell r="AQ22">
            <v>0</v>
          </cell>
          <cell r="AR22">
            <v>0</v>
          </cell>
          <cell r="AS22">
            <v>17000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E23">
            <v>308000</v>
          </cell>
          <cell r="G23">
            <v>3000</v>
          </cell>
          <cell r="H23" t="str">
            <v>ESPECES</v>
          </cell>
          <cell r="I23">
            <v>1</v>
          </cell>
          <cell r="J23">
            <v>30000</v>
          </cell>
          <cell r="L23">
            <v>1</v>
          </cell>
          <cell r="M23">
            <v>75000</v>
          </cell>
          <cell r="N23">
            <v>1</v>
          </cell>
          <cell r="O23">
            <v>100000</v>
          </cell>
          <cell r="P23">
            <v>0</v>
          </cell>
          <cell r="R23">
            <v>103000</v>
          </cell>
          <cell r="U23">
            <v>311000</v>
          </cell>
          <cell r="AI23">
            <v>30000</v>
          </cell>
          <cell r="AJ23">
            <v>100000</v>
          </cell>
          <cell r="AK23">
            <v>100000</v>
          </cell>
          <cell r="AL23">
            <v>1000</v>
          </cell>
          <cell r="AM23">
            <v>2000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U24">
            <v>180000</v>
          </cell>
          <cell r="AD24">
            <v>180000</v>
          </cell>
          <cell r="AF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1620000</v>
          </cell>
          <cell r="AY24">
            <v>0</v>
          </cell>
          <cell r="AZ24">
            <v>1620000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E25">
            <v>126500</v>
          </cell>
          <cell r="G25">
            <v>3000</v>
          </cell>
          <cell r="H25" t="str">
            <v>ESPECES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21500</v>
          </cell>
          <cell r="U25">
            <v>129500</v>
          </cell>
          <cell r="AI25">
            <v>30000</v>
          </cell>
          <cell r="AL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140000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105000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M33">
            <v>0</v>
          </cell>
          <cell r="O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231500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101500</v>
          </cell>
          <cell r="U34">
            <v>231500</v>
          </cell>
          <cell r="AK34">
            <v>100000</v>
          </cell>
          <cell r="AN34">
            <v>2000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E36">
            <v>30000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M36">
            <v>0</v>
          </cell>
          <cell r="O36">
            <v>0</v>
          </cell>
          <cell r="P36">
            <v>0</v>
          </cell>
          <cell r="U36">
            <v>33000</v>
          </cell>
          <cell r="AC36">
            <v>23000</v>
          </cell>
          <cell r="AF36" t="str">
            <v>BANQUE</v>
          </cell>
          <cell r="AQ36">
            <v>0</v>
          </cell>
          <cell r="AR36">
            <v>0</v>
          </cell>
          <cell r="AS36">
            <v>7000</v>
          </cell>
          <cell r="AW36">
            <v>337000</v>
          </cell>
          <cell r="AX36">
            <v>0</v>
          </cell>
          <cell r="AY36">
            <v>0</v>
          </cell>
          <cell r="AZ36">
            <v>337000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F37">
            <v>1000000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S37">
            <v>1000000</v>
          </cell>
          <cell r="U37">
            <v>1280000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0</v>
          </cell>
          <cell r="D39">
            <v>3828500</v>
          </cell>
          <cell r="E39">
            <v>464500</v>
          </cell>
          <cell r="F39">
            <v>1000000</v>
          </cell>
          <cell r="G39">
            <v>12000</v>
          </cell>
          <cell r="I39">
            <v>28</v>
          </cell>
          <cell r="J39">
            <v>780000</v>
          </cell>
          <cell r="K39">
            <v>78500</v>
          </cell>
          <cell r="L39">
            <v>20</v>
          </cell>
          <cell r="M39">
            <v>1500000</v>
          </cell>
          <cell r="N39">
            <v>11</v>
          </cell>
          <cell r="O39">
            <v>1100000</v>
          </cell>
          <cell r="P39">
            <v>176000</v>
          </cell>
          <cell r="Q39">
            <v>0</v>
          </cell>
          <cell r="R39">
            <v>658500</v>
          </cell>
          <cell r="S39">
            <v>1000000</v>
          </cell>
          <cell r="U39">
            <v>5305000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46000</v>
          </cell>
          <cell r="AD39">
            <v>180000</v>
          </cell>
          <cell r="AE39">
            <v>100000</v>
          </cell>
          <cell r="AG39">
            <v>0</v>
          </cell>
          <cell r="AH39">
            <v>0</v>
          </cell>
          <cell r="AI39">
            <v>160000</v>
          </cell>
          <cell r="AJ39">
            <v>430000</v>
          </cell>
          <cell r="AK39">
            <v>558500</v>
          </cell>
          <cell r="AL39">
            <v>5000</v>
          </cell>
          <cell r="AM39">
            <v>8500</v>
          </cell>
          <cell r="AN39">
            <v>14500</v>
          </cell>
          <cell r="AO39">
            <v>0</v>
          </cell>
          <cell r="AQ39">
            <v>0</v>
          </cell>
          <cell r="AR39">
            <v>0</v>
          </cell>
          <cell r="AS39">
            <v>260500</v>
          </cell>
          <cell r="AT39">
            <v>0</v>
          </cell>
          <cell r="AU39">
            <v>0</v>
          </cell>
        </row>
      </sheetData>
      <sheetData sheetId="12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L6">
            <v>1</v>
          </cell>
          <cell r="M6">
            <v>75000</v>
          </cell>
          <cell r="O6">
            <v>0</v>
          </cell>
          <cell r="P6">
            <v>0</v>
          </cell>
          <cell r="Q6">
            <v>0</v>
          </cell>
          <cell r="U6">
            <v>105000</v>
          </cell>
          <cell r="AC6">
            <v>23000</v>
          </cell>
          <cell r="AF6" t="str">
            <v>BANQUE</v>
          </cell>
          <cell r="AQ6">
            <v>0</v>
          </cell>
          <cell r="AR6">
            <v>0</v>
          </cell>
          <cell r="AS6">
            <v>7000</v>
          </cell>
          <cell r="AW6">
            <v>337000</v>
          </cell>
          <cell r="AX6">
            <v>0</v>
          </cell>
          <cell r="AY6">
            <v>0</v>
          </cell>
          <cell r="AZ6">
            <v>337000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105000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Q7">
            <v>0</v>
          </cell>
          <cell r="U7">
            <v>105000</v>
          </cell>
          <cell r="AJ7">
            <v>100000</v>
          </cell>
          <cell r="AM7">
            <v>2000</v>
          </cell>
          <cell r="AP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0</v>
          </cell>
          <cell r="M8">
            <v>0</v>
          </cell>
          <cell r="O8">
            <v>0</v>
          </cell>
          <cell r="P8">
            <v>0</v>
          </cell>
          <cell r="U8">
            <v>30000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207000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L9">
            <v>1</v>
          </cell>
          <cell r="M9">
            <v>75000</v>
          </cell>
          <cell r="O9">
            <v>0</v>
          </cell>
          <cell r="P9">
            <v>0</v>
          </cell>
          <cell r="Q9">
            <v>102000</v>
          </cell>
          <cell r="U9">
            <v>207000</v>
          </cell>
          <cell r="AJ9">
            <v>100000</v>
          </cell>
          <cell r="AM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290000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2500</v>
          </cell>
          <cell r="L10">
            <v>1</v>
          </cell>
          <cell r="M10">
            <v>75000</v>
          </cell>
          <cell r="N10">
            <v>1</v>
          </cell>
          <cell r="O10">
            <v>100000</v>
          </cell>
          <cell r="P10">
            <v>31000</v>
          </cell>
          <cell r="Q10">
            <v>51500</v>
          </cell>
          <cell r="R10">
            <v>0</v>
          </cell>
          <cell r="U10">
            <v>290000</v>
          </cell>
          <cell r="AQ10">
            <v>0</v>
          </cell>
          <cell r="AR10">
            <v>0</v>
          </cell>
          <cell r="AS10">
            <v>9500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U11">
            <v>30000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C12">
            <v>23000</v>
          </cell>
          <cell r="AF12" t="str">
            <v>BANQUE</v>
          </cell>
          <cell r="AQ12">
            <v>0</v>
          </cell>
          <cell r="AR12">
            <v>0</v>
          </cell>
          <cell r="AS12">
            <v>12000</v>
          </cell>
          <cell r="AW12">
            <v>337000</v>
          </cell>
          <cell r="AX12">
            <v>0</v>
          </cell>
          <cell r="AY12">
            <v>0</v>
          </cell>
          <cell r="AZ12">
            <v>337000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L14">
            <v>1</v>
          </cell>
          <cell r="M14">
            <v>75000</v>
          </cell>
          <cell r="O14">
            <v>0</v>
          </cell>
          <cell r="P14">
            <v>0</v>
          </cell>
          <cell r="Q14">
            <v>0</v>
          </cell>
          <cell r="U14">
            <v>105000</v>
          </cell>
          <cell r="AQ14">
            <v>0</v>
          </cell>
          <cell r="AR14">
            <v>0</v>
          </cell>
          <cell r="AS14">
            <v>7000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250000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250000</v>
          </cell>
          <cell r="AQ15">
            <v>0</v>
          </cell>
          <cell r="AR15">
            <v>0</v>
          </cell>
          <cell r="AS15">
            <v>52000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263000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L16">
            <v>0</v>
          </cell>
          <cell r="M16">
            <v>0</v>
          </cell>
          <cell r="N16">
            <v>1</v>
          </cell>
          <cell r="O16">
            <v>100000</v>
          </cell>
          <cell r="P16">
            <v>31000</v>
          </cell>
          <cell r="R16">
            <v>102000</v>
          </cell>
          <cell r="U16">
            <v>263000</v>
          </cell>
          <cell r="AP16" t="str">
            <v>BANQUE</v>
          </cell>
          <cell r="AQ16">
            <v>0</v>
          </cell>
          <cell r="AR16">
            <v>0</v>
          </cell>
          <cell r="AS16">
            <v>7000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445500</v>
          </cell>
          <cell r="E17">
            <v>108500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41500</v>
          </cell>
          <cell r="Q17">
            <v>102000</v>
          </cell>
          <cell r="R17">
            <v>205500</v>
          </cell>
          <cell r="U17">
            <v>554000</v>
          </cell>
          <cell r="AJ17">
            <v>200000</v>
          </cell>
          <cell r="AK17">
            <v>100000</v>
          </cell>
          <cell r="AM17">
            <v>2000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U18">
            <v>30000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595500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81000</v>
          </cell>
          <cell r="R19">
            <v>59500</v>
          </cell>
          <cell r="U19">
            <v>595500</v>
          </cell>
          <cell r="AD19">
            <v>85000</v>
          </cell>
          <cell r="AF19" t="str">
            <v>BANQUE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2715000</v>
          </cell>
          <cell r="AY19">
            <v>0</v>
          </cell>
          <cell r="AZ19">
            <v>2715000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U20">
            <v>30000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L21">
            <v>1</v>
          </cell>
          <cell r="M21">
            <v>75000</v>
          </cell>
          <cell r="O21">
            <v>0</v>
          </cell>
          <cell r="P21">
            <v>0</v>
          </cell>
          <cell r="Q21">
            <v>0</v>
          </cell>
          <cell r="U21">
            <v>105000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140000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10000</v>
          </cell>
          <cell r="L22">
            <v>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R22">
            <v>0</v>
          </cell>
          <cell r="U22">
            <v>140000</v>
          </cell>
          <cell r="AQ22">
            <v>0</v>
          </cell>
          <cell r="AR22">
            <v>0</v>
          </cell>
          <cell r="AS22">
            <v>17000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220000</v>
          </cell>
          <cell r="E23">
            <v>237000</v>
          </cell>
          <cell r="G23">
            <v>3000</v>
          </cell>
          <cell r="H23" t="str">
            <v>BANQUE</v>
          </cell>
          <cell r="I23">
            <v>1</v>
          </cell>
          <cell r="J23">
            <v>30000</v>
          </cell>
          <cell r="K23">
            <v>15000</v>
          </cell>
          <cell r="L23">
            <v>1</v>
          </cell>
          <cell r="M23">
            <v>75000</v>
          </cell>
          <cell r="N23">
            <v>1</v>
          </cell>
          <cell r="O23">
            <v>100000</v>
          </cell>
          <cell r="P23">
            <v>31000</v>
          </cell>
          <cell r="Q23">
            <v>102000</v>
          </cell>
          <cell r="R23">
            <v>104000</v>
          </cell>
          <cell r="U23">
            <v>460000</v>
          </cell>
          <cell r="AJ23">
            <v>150000</v>
          </cell>
          <cell r="AK23">
            <v>100000</v>
          </cell>
          <cell r="AM23">
            <v>3000</v>
          </cell>
          <cell r="AN23">
            <v>1000</v>
          </cell>
          <cell r="AP23" t="str">
            <v>BANQUE</v>
          </cell>
          <cell r="AQ23">
            <v>0</v>
          </cell>
          <cell r="AR23">
            <v>0</v>
          </cell>
          <cell r="AS23">
            <v>22000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180000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2</v>
          </cell>
          <cell r="M24">
            <v>150000</v>
          </cell>
          <cell r="O24">
            <v>0</v>
          </cell>
          <cell r="P24">
            <v>0</v>
          </cell>
          <cell r="Q24">
            <v>0</v>
          </cell>
          <cell r="U24">
            <v>180000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135500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1</v>
          </cell>
          <cell r="M25">
            <v>75000</v>
          </cell>
          <cell r="O25">
            <v>0</v>
          </cell>
          <cell r="P25">
            <v>30500</v>
          </cell>
          <cell r="Q25">
            <v>0</v>
          </cell>
          <cell r="U25">
            <v>135500</v>
          </cell>
          <cell r="AJ25">
            <v>123500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140000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L27">
            <v>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R27">
            <v>0</v>
          </cell>
          <cell r="U27">
            <v>140000</v>
          </cell>
          <cell r="AQ27">
            <v>0</v>
          </cell>
          <cell r="AR27">
            <v>0</v>
          </cell>
          <cell r="AS27">
            <v>17000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105000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105000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G33">
            <v>0</v>
          </cell>
          <cell r="H33" t="str">
            <v>ECHEC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  <cell r="Q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232000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L34">
            <v>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R34">
            <v>102000</v>
          </cell>
          <cell r="U34">
            <v>232000</v>
          </cell>
          <cell r="AK34">
            <v>74000</v>
          </cell>
          <cell r="AN34">
            <v>1000</v>
          </cell>
          <cell r="AP34" t="str">
            <v>BANQUE</v>
          </cell>
          <cell r="AQ34">
            <v>0</v>
          </cell>
          <cell r="AR34">
            <v>0</v>
          </cell>
          <cell r="AS34">
            <v>7000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U36">
            <v>30000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280000</v>
          </cell>
          <cell r="AE37">
            <v>100000</v>
          </cell>
          <cell r="AF37" t="str">
            <v>BANQUE</v>
          </cell>
          <cell r="AQ37">
            <v>0</v>
          </cell>
          <cell r="AR37">
            <v>0</v>
          </cell>
          <cell r="AS37">
            <v>7000</v>
          </cell>
          <cell r="AW37">
            <v>0</v>
          </cell>
          <cell r="AX37">
            <v>0</v>
          </cell>
          <cell r="AY37">
            <v>1100000</v>
          </cell>
          <cell r="AZ37">
            <v>1100000</v>
          </cell>
        </row>
        <row r="39">
          <cell r="B39" t="str">
            <v>TOTAUX</v>
          </cell>
          <cell r="C39">
            <v>0</v>
          </cell>
          <cell r="D39">
            <v>4313500</v>
          </cell>
          <cell r="E39">
            <v>345500</v>
          </cell>
          <cell r="F39">
            <v>0</v>
          </cell>
          <cell r="G39">
            <v>3000</v>
          </cell>
          <cell r="I39">
            <v>28</v>
          </cell>
          <cell r="J39">
            <v>780000</v>
          </cell>
          <cell r="K39">
            <v>102500</v>
          </cell>
          <cell r="L39">
            <v>20</v>
          </cell>
          <cell r="M39">
            <v>1500000</v>
          </cell>
          <cell r="N39">
            <v>11</v>
          </cell>
          <cell r="O39">
            <v>1100000</v>
          </cell>
          <cell r="P39">
            <v>165000</v>
          </cell>
          <cell r="Q39">
            <v>438500</v>
          </cell>
          <cell r="R39">
            <v>573000</v>
          </cell>
          <cell r="S39">
            <v>0</v>
          </cell>
          <cell r="U39">
            <v>4662000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46000</v>
          </cell>
          <cell r="AD39">
            <v>85000</v>
          </cell>
          <cell r="AE39">
            <v>100000</v>
          </cell>
          <cell r="AG39">
            <v>0</v>
          </cell>
          <cell r="AH39">
            <v>0</v>
          </cell>
          <cell r="AI39">
            <v>0</v>
          </cell>
          <cell r="AJ39">
            <v>773500</v>
          </cell>
          <cell r="AK39">
            <v>374000</v>
          </cell>
          <cell r="AL39">
            <v>0</v>
          </cell>
          <cell r="AM39">
            <v>12000</v>
          </cell>
          <cell r="AN39">
            <v>4000</v>
          </cell>
          <cell r="AO39">
            <v>0</v>
          </cell>
          <cell r="AQ39">
            <v>0</v>
          </cell>
          <cell r="AR39">
            <v>0</v>
          </cell>
          <cell r="AS39">
            <v>284500</v>
          </cell>
          <cell r="AT39">
            <v>0</v>
          </cell>
          <cell r="AU39">
            <v>0</v>
          </cell>
        </row>
      </sheetData>
      <sheetData sheetId="13">
        <row r="6">
          <cell r="A6" t="str">
            <v>AS201602</v>
          </cell>
          <cell r="B6" t="str">
            <v>BOUTCHOUANG WILLIAM</v>
          </cell>
          <cell r="C6">
            <v>0</v>
          </cell>
          <cell r="D6">
            <v>105000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1</v>
          </cell>
          <cell r="J6">
            <v>30000</v>
          </cell>
          <cell r="K6">
            <v>0</v>
          </cell>
          <cell r="L6">
            <v>1</v>
          </cell>
          <cell r="M6">
            <v>75000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105000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7000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0</v>
          </cell>
          <cell r="D7">
            <v>207000</v>
          </cell>
          <cell r="E7">
            <v>0</v>
          </cell>
          <cell r="F7">
            <v>1000000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Q7">
            <v>102000</v>
          </cell>
          <cell r="R7">
            <v>0</v>
          </cell>
          <cell r="S7">
            <v>1000000</v>
          </cell>
          <cell r="T7" t="str">
            <v>BANQUE</v>
          </cell>
          <cell r="U7">
            <v>1207000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AS201654</v>
          </cell>
          <cell r="B8" t="str">
            <v>DJOMOU TCHANDA</v>
          </cell>
          <cell r="C8">
            <v>0</v>
          </cell>
          <cell r="D8">
            <v>30000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30000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AS201605</v>
          </cell>
          <cell r="B9" t="str">
            <v>DJOUKWE NANGUEN GUY BLAISE</v>
          </cell>
          <cell r="C9">
            <v>0</v>
          </cell>
          <cell r="D9">
            <v>207000</v>
          </cell>
          <cell r="E9">
            <v>0</v>
          </cell>
          <cell r="F9">
            <v>1000000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1</v>
          </cell>
          <cell r="M9">
            <v>75000</v>
          </cell>
          <cell r="N9">
            <v>0</v>
          </cell>
          <cell r="O9">
            <v>0</v>
          </cell>
          <cell r="P9">
            <v>0</v>
          </cell>
          <cell r="Q9">
            <v>102000</v>
          </cell>
          <cell r="R9">
            <v>0</v>
          </cell>
          <cell r="S9">
            <v>1000000</v>
          </cell>
          <cell r="T9" t="str">
            <v>BANQUE</v>
          </cell>
          <cell r="U9">
            <v>1207000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120000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V9">
            <v>0</v>
          </cell>
          <cell r="AW9">
            <v>0</v>
          </cell>
          <cell r="AX9">
            <v>-220000</v>
          </cell>
          <cell r="AY9">
            <v>0</v>
          </cell>
          <cell r="AZ9">
            <v>-220000</v>
          </cell>
        </row>
        <row r="10">
          <cell r="A10" t="str">
            <v>AS201608</v>
          </cell>
          <cell r="B10" t="str">
            <v>DJUOMBESSY ANTOINE</v>
          </cell>
          <cell r="C10">
            <v>0</v>
          </cell>
          <cell r="D10">
            <v>205000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1</v>
          </cell>
          <cell r="O10">
            <v>100000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205000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AS201651</v>
          </cell>
          <cell r="B11" t="str">
            <v>DOMOU FABIEN</v>
          </cell>
          <cell r="C11">
            <v>0</v>
          </cell>
          <cell r="D11">
            <v>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30000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7000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AS201609</v>
          </cell>
          <cell r="B12" t="str">
            <v>DONHOU DAVID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AS201610</v>
          </cell>
          <cell r="B13" t="str">
            <v>FOTSO THOMAS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AS201611</v>
          </cell>
          <cell r="B14" t="str">
            <v>HENGUE PAUL OMER</v>
          </cell>
          <cell r="C14">
            <v>0</v>
          </cell>
          <cell r="D14">
            <v>105000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I14">
            <v>1</v>
          </cell>
          <cell r="J14">
            <v>30000</v>
          </cell>
          <cell r="K14">
            <v>0</v>
          </cell>
          <cell r="L14">
            <v>1</v>
          </cell>
          <cell r="M14">
            <v>75000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105000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7000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AS201613</v>
          </cell>
          <cell r="B15" t="str">
            <v>HOTCHO BENJAMIN</v>
          </cell>
          <cell r="C15">
            <v>0</v>
          </cell>
          <cell r="D15">
            <v>973000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45000</v>
          </cell>
          <cell r="L15">
            <v>1</v>
          </cell>
          <cell r="M15">
            <v>75000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>
            <v>723000</v>
          </cell>
          <cell r="T15" t="str">
            <v>BANQUE</v>
          </cell>
          <cell r="U15">
            <v>973000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52000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AS201617</v>
          </cell>
          <cell r="B16" t="str">
            <v>KOUAMOU MOISE</v>
          </cell>
          <cell r="C16">
            <v>0</v>
          </cell>
          <cell r="D16">
            <v>130000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130000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7000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AS201619</v>
          </cell>
          <cell r="B17" t="str">
            <v>KOUATCHO MESSACK</v>
          </cell>
          <cell r="C17">
            <v>0</v>
          </cell>
          <cell r="D17">
            <v>306000</v>
          </cell>
          <cell r="E17">
            <v>0</v>
          </cell>
          <cell r="F17">
            <v>978000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202000</v>
          </cell>
          <cell r="R17">
            <v>101000</v>
          </cell>
          <cell r="S17">
            <v>776000</v>
          </cell>
          <cell r="T17" t="str">
            <v>BANQUE</v>
          </cell>
          <cell r="U17">
            <v>1284000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AS201620</v>
          </cell>
          <cell r="B18" t="str">
            <v>LOWE JEAN</v>
          </cell>
          <cell r="C18">
            <v>0</v>
          </cell>
          <cell r="D18">
            <v>30000</v>
          </cell>
          <cell r="E18">
            <v>0</v>
          </cell>
          <cell r="F18">
            <v>500000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500000</v>
          </cell>
          <cell r="T18" t="str">
            <v>BANQUE</v>
          </cell>
          <cell r="U18">
            <v>530000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AS201649</v>
          </cell>
          <cell r="B19" t="str">
            <v>MBOGNING TUGMA GUY</v>
          </cell>
          <cell r="C19">
            <v>0</v>
          </cell>
          <cell r="D19">
            <v>653000</v>
          </cell>
          <cell r="E19">
            <v>4000</v>
          </cell>
          <cell r="F19">
            <v>1000000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3</v>
          </cell>
          <cell r="M19">
            <v>225000</v>
          </cell>
          <cell r="N19">
            <v>2</v>
          </cell>
          <cell r="O19">
            <v>200000</v>
          </cell>
          <cell r="P19">
            <v>0</v>
          </cell>
          <cell r="Q19">
            <v>101000</v>
          </cell>
          <cell r="R19">
            <v>101000</v>
          </cell>
          <cell r="S19">
            <v>1000000</v>
          </cell>
          <cell r="T19" t="str">
            <v>BANQUE</v>
          </cell>
          <cell r="U19">
            <v>1657000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AS201639</v>
          </cell>
          <cell r="B20" t="str">
            <v>NANGUEN MARTIN</v>
          </cell>
          <cell r="C20">
            <v>0</v>
          </cell>
          <cell r="D20">
            <v>30000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7000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AS201621</v>
          </cell>
          <cell r="B21" t="str">
            <v>NANKAM APPOLINAIRE</v>
          </cell>
          <cell r="C21">
            <v>0</v>
          </cell>
          <cell r="D21">
            <v>105000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1</v>
          </cell>
          <cell r="M21">
            <v>75000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105000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AS201622</v>
          </cell>
          <cell r="B22" t="str">
            <v>NDJOMO ETIENNE</v>
          </cell>
          <cell r="C22">
            <v>0</v>
          </cell>
          <cell r="D22">
            <v>640000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10000</v>
          </cell>
          <cell r="L22">
            <v>0</v>
          </cell>
          <cell r="M22">
            <v>0</v>
          </cell>
          <cell r="N22">
            <v>1</v>
          </cell>
          <cell r="O22">
            <v>100000</v>
          </cell>
          <cell r="P22">
            <v>0</v>
          </cell>
          <cell r="Q22">
            <v>0</v>
          </cell>
          <cell r="R22">
            <v>0</v>
          </cell>
          <cell r="S22">
            <v>500000</v>
          </cell>
          <cell r="T22" t="str">
            <v>BANQUE</v>
          </cell>
          <cell r="U22">
            <v>640000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17000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AS201624</v>
          </cell>
          <cell r="B23" t="str">
            <v>NGONDIEP CLAUDE</v>
          </cell>
          <cell r="C23">
            <v>0</v>
          </cell>
          <cell r="D23">
            <v>1480000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21000</v>
          </cell>
          <cell r="L23">
            <v>1</v>
          </cell>
          <cell r="M23">
            <v>75000</v>
          </cell>
          <cell r="N23">
            <v>1</v>
          </cell>
          <cell r="O23">
            <v>100000</v>
          </cell>
          <cell r="P23">
            <v>0</v>
          </cell>
          <cell r="Q23">
            <v>153000</v>
          </cell>
          <cell r="R23">
            <v>101000</v>
          </cell>
          <cell r="S23">
            <v>1000000</v>
          </cell>
          <cell r="T23" t="str">
            <v>BANQUE</v>
          </cell>
          <cell r="U23">
            <v>1480000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125000</v>
          </cell>
          <cell r="AE23">
            <v>0</v>
          </cell>
          <cell r="AF23" t="str">
            <v>BANQUE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28000</v>
          </cell>
          <cell r="AV23">
            <v>0</v>
          </cell>
          <cell r="AW23">
            <v>0</v>
          </cell>
          <cell r="AX23">
            <v>775000</v>
          </cell>
          <cell r="AY23">
            <v>0</v>
          </cell>
          <cell r="AZ23">
            <v>775000</v>
          </cell>
        </row>
        <row r="24">
          <cell r="A24" t="str">
            <v>AS201626</v>
          </cell>
          <cell r="B24" t="str">
            <v>NGUIEMEGNI MATHIEU BLAISE</v>
          </cell>
          <cell r="C24">
            <v>0</v>
          </cell>
          <cell r="D24">
            <v>1180000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0</v>
          </cell>
          <cell r="L24">
            <v>2</v>
          </cell>
          <cell r="M24">
            <v>150000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1180000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7000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AS201628</v>
          </cell>
          <cell r="B25" t="str">
            <v>NKAMGANG JUSTIN DEJOLIE</v>
          </cell>
          <cell r="C25">
            <v>0</v>
          </cell>
          <cell r="D25">
            <v>230500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1</v>
          </cell>
          <cell r="M25">
            <v>75000</v>
          </cell>
          <cell r="N25">
            <v>0</v>
          </cell>
          <cell r="O25">
            <v>0</v>
          </cell>
          <cell r="P25">
            <v>0</v>
          </cell>
          <cell r="Q25">
            <v>125500</v>
          </cell>
          <cell r="R25">
            <v>0</v>
          </cell>
          <cell r="S25">
            <v>0</v>
          </cell>
          <cell r="T25">
            <v>0</v>
          </cell>
          <cell r="U25">
            <v>230500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28500</v>
          </cell>
          <cell r="AK25">
            <v>0</v>
          </cell>
          <cell r="AL25">
            <v>0</v>
          </cell>
          <cell r="AM25">
            <v>1000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AS201614</v>
          </cell>
          <cell r="B26" t="str">
            <v>NKEHE DAVID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AS201629</v>
          </cell>
          <cell r="B27" t="str">
            <v>NKEPSEU DIEUDONNE</v>
          </cell>
          <cell r="C27">
            <v>0</v>
          </cell>
          <cell r="D27">
            <v>540000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</v>
          </cell>
          <cell r="J27">
            <v>30000</v>
          </cell>
          <cell r="K27">
            <v>10000</v>
          </cell>
          <cell r="L27">
            <v>0</v>
          </cell>
          <cell r="M27">
            <v>0</v>
          </cell>
          <cell r="N27">
            <v>1</v>
          </cell>
          <cell r="O27">
            <v>100000</v>
          </cell>
          <cell r="P27">
            <v>0</v>
          </cell>
          <cell r="Q27">
            <v>0</v>
          </cell>
          <cell r="R27">
            <v>0</v>
          </cell>
          <cell r="S27">
            <v>400000</v>
          </cell>
          <cell r="T27" t="str">
            <v>BANQUE</v>
          </cell>
          <cell r="U27">
            <v>540000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17000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105000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1</v>
          </cell>
          <cell r="M28">
            <v>75000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105000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AS201653</v>
          </cell>
          <cell r="B29" t="str">
            <v>SIME BRICE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AS201637</v>
          </cell>
          <cell r="B30" t="str">
            <v>SIME MATHIEU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110000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12000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AS201655</v>
          </cell>
          <cell r="B33" t="str">
            <v>TCHEMHOU EMMANUEL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0</v>
          </cell>
          <cell r="D34">
            <v>181500</v>
          </cell>
          <cell r="E34">
            <v>23500</v>
          </cell>
          <cell r="F34">
            <v>1000000</v>
          </cell>
          <cell r="G34">
            <v>0</v>
          </cell>
          <cell r="H34" t="str">
            <v>BANQUE</v>
          </cell>
          <cell r="I34">
            <v>1</v>
          </cell>
          <cell r="J34">
            <v>30000</v>
          </cell>
          <cell r="K34">
            <v>0</v>
          </cell>
          <cell r="L34">
            <v>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75000</v>
          </cell>
          <cell r="S34">
            <v>1000000</v>
          </cell>
          <cell r="T34" t="str">
            <v>BANQUE</v>
          </cell>
          <cell r="U34">
            <v>1205000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7000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AS201644</v>
          </cell>
          <cell r="B35" t="str">
            <v>TIEYAM ERNEST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30000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AS201647</v>
          </cell>
          <cell r="B37" t="str">
            <v>YOUMBI EMMANUEL</v>
          </cell>
          <cell r="C37">
            <v>0</v>
          </cell>
          <cell r="D37">
            <v>280000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I37">
            <v>1</v>
          </cell>
          <cell r="J37">
            <v>30000</v>
          </cell>
          <cell r="K37">
            <v>0</v>
          </cell>
          <cell r="L37">
            <v>2</v>
          </cell>
          <cell r="M37">
            <v>150000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280000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7000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9">
          <cell r="B39" t="str">
            <v>TOTAUX</v>
          </cell>
          <cell r="C39">
            <v>0</v>
          </cell>
          <cell r="D39">
            <v>8033000</v>
          </cell>
          <cell r="E39">
            <v>27500</v>
          </cell>
          <cell r="F39">
            <v>5478000</v>
          </cell>
          <cell r="G39">
            <v>0</v>
          </cell>
          <cell r="H39">
            <v>0</v>
          </cell>
          <cell r="I39">
            <v>28</v>
          </cell>
          <cell r="J39">
            <v>780000</v>
          </cell>
          <cell r="K39">
            <v>96000</v>
          </cell>
          <cell r="L39">
            <v>20</v>
          </cell>
          <cell r="M39">
            <v>1500000</v>
          </cell>
          <cell r="N39">
            <v>11</v>
          </cell>
          <cell r="O39">
            <v>1100000</v>
          </cell>
          <cell r="P39">
            <v>0</v>
          </cell>
          <cell r="Q39">
            <v>785500</v>
          </cell>
          <cell r="R39">
            <v>378000</v>
          </cell>
          <cell r="S39">
            <v>8899000</v>
          </cell>
          <cell r="T39">
            <v>0</v>
          </cell>
          <cell r="U39">
            <v>13538500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245000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28500</v>
          </cell>
          <cell r="AK39">
            <v>0</v>
          </cell>
          <cell r="AL39">
            <v>0</v>
          </cell>
          <cell r="AM39">
            <v>1000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278000</v>
          </cell>
          <cell r="AT39">
            <v>0</v>
          </cell>
          <cell r="AU39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AS201602</v>
          </cell>
          <cell r="B7" t="str">
            <v>BOUTCHOUANG WILLIAM</v>
          </cell>
          <cell r="C7">
            <v>-525000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525000</v>
          </cell>
          <cell r="T7" t="str">
            <v>BANQUE</v>
          </cell>
          <cell r="U7">
            <v>630000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-51000</v>
          </cell>
          <cell r="D8">
            <v>25000</v>
          </cell>
          <cell r="E8">
            <v>135000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102000</v>
          </cell>
          <cell r="U8">
            <v>211000</v>
          </cell>
          <cell r="AC8">
            <v>37000</v>
          </cell>
          <cell r="AF8" t="str">
            <v>BANQUE</v>
          </cell>
          <cell r="AP8" t="str">
            <v>BANQUE</v>
          </cell>
          <cell r="AQ8">
            <v>0</v>
          </cell>
          <cell r="AR8">
            <v>0</v>
          </cell>
          <cell r="AS8">
            <v>11000</v>
          </cell>
          <cell r="AW8">
            <v>263000</v>
          </cell>
          <cell r="AX8">
            <v>0</v>
          </cell>
          <cell r="AY8">
            <v>0</v>
          </cell>
          <cell r="AZ8">
            <v>263000</v>
          </cell>
          <cell r="BA8">
            <v>263000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30000</v>
          </cell>
          <cell r="D10">
            <v>237000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U10">
            <v>207000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-3000</v>
          </cell>
          <cell r="D11">
            <v>205000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208000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1000000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900000</v>
          </cell>
        </row>
        <row r="18">
          <cell r="A18" t="str">
            <v>AS201619</v>
          </cell>
          <cell r="B18" t="str">
            <v>KOUATCHO MESSACK</v>
          </cell>
          <cell r="C18">
            <v>79000</v>
          </cell>
          <cell r="D18">
            <v>293500</v>
          </cell>
          <cell r="E18">
            <v>249000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27500</v>
          </cell>
          <cell r="Q18">
            <v>102000</v>
          </cell>
          <cell r="R18">
            <v>61000</v>
          </cell>
          <cell r="U18">
            <v>398500</v>
          </cell>
          <cell r="AC18">
            <v>36000</v>
          </cell>
          <cell r="AF18" t="str">
            <v>BANQUE</v>
          </cell>
          <cell r="AK18">
            <v>50000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264000</v>
          </cell>
          <cell r="AX18">
            <v>0</v>
          </cell>
          <cell r="AY18">
            <v>50000</v>
          </cell>
          <cell r="AZ18">
            <v>314000</v>
          </cell>
          <cell r="BA18">
            <v>50000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680000</v>
          </cell>
          <cell r="D20">
            <v>557000</v>
          </cell>
          <cell r="E20">
            <v>0</v>
          </cell>
          <cell r="F20">
            <v>1750000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102000</v>
          </cell>
          <cell r="R20">
            <v>0</v>
          </cell>
          <cell r="S20">
            <v>1000000</v>
          </cell>
          <cell r="T20" t="str">
            <v>BANQUE</v>
          </cell>
          <cell r="U20">
            <v>1557000</v>
          </cell>
          <cell r="Z20">
            <v>2050000</v>
          </cell>
          <cell r="AA20" t="str">
            <v>BANQUE</v>
          </cell>
          <cell r="AE20">
            <v>170000</v>
          </cell>
          <cell r="AF20" t="str">
            <v>BANQUE</v>
          </cell>
          <cell r="AK20">
            <v>50000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1180000</v>
          </cell>
          <cell r="AZ20">
            <v>1275000</v>
          </cell>
          <cell r="BA20">
            <v>65000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71000</v>
          </cell>
          <cell r="D22">
            <v>105000</v>
          </cell>
          <cell r="E22">
            <v>0</v>
          </cell>
          <cell r="F22">
            <v>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D22">
            <v>85000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1115000</v>
          </cell>
          <cell r="AY22">
            <v>0</v>
          </cell>
          <cell r="AZ22">
            <v>1044000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  <cell r="BA23">
            <v>50000</v>
          </cell>
        </row>
        <row r="24">
          <cell r="A24" t="str">
            <v>AS201624</v>
          </cell>
          <cell r="B24" t="str">
            <v>NGONDIEP CLAUDE</v>
          </cell>
          <cell r="C24">
            <v>-105000</v>
          </cell>
          <cell r="D24">
            <v>220000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15000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102000</v>
          </cell>
          <cell r="R24">
            <v>0</v>
          </cell>
          <cell r="U24">
            <v>325000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22000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  <cell r="BA24">
            <v>28500</v>
          </cell>
        </row>
        <row r="25">
          <cell r="A25" t="str">
            <v>AS201626</v>
          </cell>
          <cell r="B25" t="str">
            <v>NGUIEMEGNI MATHIEU BLAISE</v>
          </cell>
          <cell r="C25">
            <v>-273000</v>
          </cell>
          <cell r="D25">
            <v>180000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27000</v>
          </cell>
          <cell r="Q25">
            <v>31000</v>
          </cell>
          <cell r="R25">
            <v>115000</v>
          </cell>
          <cell r="U25">
            <v>453000</v>
          </cell>
          <cell r="AK25">
            <v>100000</v>
          </cell>
          <cell r="AN25">
            <v>3500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54000</v>
          </cell>
        </row>
        <row r="26">
          <cell r="A26" t="str">
            <v>AS201628</v>
          </cell>
          <cell r="B26" t="str">
            <v>NKAMGANG JUSTIN DEJOLIE</v>
          </cell>
          <cell r="C26">
            <v>-131000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26000</v>
          </cell>
          <cell r="Q26">
            <v>102000</v>
          </cell>
          <cell r="U26">
            <v>236000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K28">
            <v>46000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46000</v>
          </cell>
          <cell r="AZ28">
            <v>116000</v>
          </cell>
          <cell r="BA28">
            <v>46000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130000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25000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130000</v>
          </cell>
          <cell r="AD32">
            <v>85000</v>
          </cell>
          <cell r="AF32" t="str">
            <v>BANQUE</v>
          </cell>
          <cell r="AQ32">
            <v>0</v>
          </cell>
          <cell r="AR32">
            <v>0</v>
          </cell>
          <cell r="AS32">
            <v>32000</v>
          </cell>
          <cell r="AW32">
            <v>0</v>
          </cell>
          <cell r="AX32">
            <v>1115000</v>
          </cell>
          <cell r="AY32">
            <v>0</v>
          </cell>
          <cell r="AZ32">
            <v>1115000</v>
          </cell>
          <cell r="BA32">
            <v>115000</v>
          </cell>
        </row>
        <row r="33">
          <cell r="A33" t="str">
            <v>AS201641</v>
          </cell>
          <cell r="B33" t="str">
            <v>TCHOUAMOU MATHIEU</v>
          </cell>
          <cell r="C33">
            <v>126000</v>
          </cell>
          <cell r="D33">
            <v>156000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I33">
            <v>31500</v>
          </cell>
          <cell r="AL33">
            <v>500</v>
          </cell>
          <cell r="AP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31500</v>
          </cell>
          <cell r="AX33">
            <v>0</v>
          </cell>
          <cell r="AY33">
            <v>0</v>
          </cell>
          <cell r="AZ33">
            <v>31500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-102000</v>
          </cell>
          <cell r="D38">
            <v>3963500</v>
          </cell>
          <cell r="E38">
            <v>384000</v>
          </cell>
          <cell r="F38">
            <v>1821000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119000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80500</v>
          </cell>
          <cell r="Q38">
            <v>643000</v>
          </cell>
          <cell r="R38">
            <v>176000</v>
          </cell>
          <cell r="S38">
            <v>1525000</v>
          </cell>
          <cell r="T38">
            <v>0</v>
          </cell>
          <cell r="U38">
            <v>6135500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3050000</v>
          </cell>
          <cell r="AA38">
            <v>0</v>
          </cell>
          <cell r="AB38">
            <v>0</v>
          </cell>
          <cell r="AC38">
            <v>73000</v>
          </cell>
          <cell r="AD38">
            <v>170000</v>
          </cell>
          <cell r="AE38">
            <v>170000</v>
          </cell>
          <cell r="AF38">
            <v>0</v>
          </cell>
          <cell r="AG38">
            <v>0</v>
          </cell>
          <cell r="AH38">
            <v>0</v>
          </cell>
          <cell r="AI38">
            <v>151500</v>
          </cell>
          <cell r="AJ38">
            <v>0</v>
          </cell>
          <cell r="AK38">
            <v>346000</v>
          </cell>
          <cell r="AL38">
            <v>2500</v>
          </cell>
          <cell r="AM38">
            <v>0</v>
          </cell>
          <cell r="AN38">
            <v>9500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301000</v>
          </cell>
          <cell r="AT38">
            <v>0</v>
          </cell>
          <cell r="AU38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18000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475000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-10000</v>
          </cell>
          <cell r="D8">
            <v>0</v>
          </cell>
          <cell r="E8">
            <v>108000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10000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118000</v>
          </cell>
          <cell r="AI8">
            <v>100000</v>
          </cell>
          <cell r="AL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17000</v>
          </cell>
          <cell r="AW8">
            <v>100000</v>
          </cell>
          <cell r="AX8">
            <v>0</v>
          </cell>
          <cell r="AY8">
            <v>0</v>
          </cell>
          <cell r="AZ8">
            <v>100000</v>
          </cell>
          <cell r="BA8">
            <v>100000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33000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33000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-24000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Z11">
            <v>700000</v>
          </cell>
          <cell r="AA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665000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-5000</v>
          </cell>
          <cell r="D13">
            <v>0</v>
          </cell>
          <cell r="E13">
            <v>33000</v>
          </cell>
          <cell r="F13">
            <v>0</v>
          </cell>
          <cell r="G13">
            <v>3000</v>
          </cell>
          <cell r="H13" t="str">
            <v>ESPECES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38000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-122000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52000</v>
          </cell>
          <cell r="U18">
            <v>257000</v>
          </cell>
          <cell r="AD18">
            <v>85000</v>
          </cell>
          <cell r="AF18" t="str">
            <v>BANQUE</v>
          </cell>
          <cell r="AJ18">
            <v>100000</v>
          </cell>
          <cell r="AK18">
            <v>100000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1215000</v>
          </cell>
          <cell r="AY18">
            <v>100000</v>
          </cell>
          <cell r="AZ18">
            <v>1315000</v>
          </cell>
          <cell r="BA18">
            <v>96000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530000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500000</v>
          </cell>
          <cell r="U19">
            <v>530000</v>
          </cell>
          <cell r="AC19">
            <v>34000</v>
          </cell>
          <cell r="AF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266000</v>
          </cell>
          <cell r="AX19">
            <v>0</v>
          </cell>
          <cell r="AY19">
            <v>0</v>
          </cell>
          <cell r="AZ19">
            <v>266000</v>
          </cell>
        </row>
        <row r="20">
          <cell r="A20" t="str">
            <v>AS201649</v>
          </cell>
          <cell r="B20" t="str">
            <v>MBOGNING TUGMA GUY</v>
          </cell>
          <cell r="C20">
            <v>-51000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51000</v>
          </cell>
          <cell r="U20">
            <v>506000</v>
          </cell>
          <cell r="AK20">
            <v>100000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100000</v>
          </cell>
          <cell r="AZ20">
            <v>100000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-70000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980000</v>
          </cell>
        </row>
        <row r="23">
          <cell r="A23" t="str">
            <v>AS201622</v>
          </cell>
          <cell r="B23" t="str">
            <v>NDJOMO ETIENNE</v>
          </cell>
          <cell r="C23">
            <v>-102000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102000</v>
          </cell>
          <cell r="U23">
            <v>252000</v>
          </cell>
          <cell r="AK23">
            <v>35500</v>
          </cell>
          <cell r="AN23">
            <v>500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35500</v>
          </cell>
          <cell r="AZ23">
            <v>35500</v>
          </cell>
        </row>
        <row r="24">
          <cell r="A24" t="str">
            <v>AS201624</v>
          </cell>
          <cell r="B24" t="str">
            <v>NGONDIEP CLAUDE</v>
          </cell>
          <cell r="C24">
            <v>-99000</v>
          </cell>
          <cell r="D24">
            <v>205000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304000</v>
          </cell>
          <cell r="AJ24">
            <v>50000</v>
          </cell>
          <cell r="AK24">
            <v>100000</v>
          </cell>
          <cell r="AM24">
            <v>1000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50000</v>
          </cell>
          <cell r="AY24">
            <v>100000</v>
          </cell>
          <cell r="AZ24">
            <v>150000</v>
          </cell>
        </row>
        <row r="25">
          <cell r="A25" t="str">
            <v>AS201626</v>
          </cell>
          <cell r="B25" t="str">
            <v>NGUIEMEGNI MATHIEU BLAISE</v>
          </cell>
          <cell r="C25">
            <v>-43500</v>
          </cell>
          <cell r="D25">
            <v>340000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103500</v>
          </cell>
          <cell r="U25">
            <v>383500</v>
          </cell>
          <cell r="AE25">
            <v>180000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1120000</v>
          </cell>
          <cell r="AZ25">
            <v>1120000</v>
          </cell>
        </row>
        <row r="26">
          <cell r="A26" t="str">
            <v>AS201628</v>
          </cell>
          <cell r="B26" t="str">
            <v>NKAMGANG JUSTIN DEJOLIE</v>
          </cell>
          <cell r="C26">
            <v>-64000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61000</v>
          </cell>
          <cell r="Q26">
            <v>0</v>
          </cell>
          <cell r="U26">
            <v>169000</v>
          </cell>
          <cell r="AJ26">
            <v>50000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50000</v>
          </cell>
          <cell r="AY26">
            <v>0</v>
          </cell>
          <cell r="AZ26">
            <v>50000</v>
          </cell>
          <cell r="BA26">
            <v>25000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180000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47000</v>
          </cell>
          <cell r="U28">
            <v>180000</v>
          </cell>
          <cell r="AC28">
            <v>28000</v>
          </cell>
          <cell r="AF28" t="str">
            <v>BANQUE</v>
          </cell>
          <cell r="AK28">
            <v>100000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10000</v>
          </cell>
          <cell r="AW28">
            <v>272000</v>
          </cell>
          <cell r="AX28">
            <v>0</v>
          </cell>
          <cell r="AY28">
            <v>100000</v>
          </cell>
          <cell r="AZ28">
            <v>372000</v>
          </cell>
          <cell r="BA28">
            <v>315000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70000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150000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150000</v>
          </cell>
          <cell r="AJ32">
            <v>48000</v>
          </cell>
          <cell r="AM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52000</v>
          </cell>
          <cell r="AW32">
            <v>0</v>
          </cell>
          <cell r="AX32">
            <v>48000</v>
          </cell>
          <cell r="AY32">
            <v>0</v>
          </cell>
          <cell r="AZ32">
            <v>48000</v>
          </cell>
        </row>
        <row r="33">
          <cell r="A33" t="str">
            <v>AS201641</v>
          </cell>
          <cell r="B33" t="str">
            <v>TCHOUAMOU MATHIEU</v>
          </cell>
          <cell r="C33">
            <v>43000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32000</v>
          </cell>
          <cell r="U33">
            <v>62000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-547500</v>
          </cell>
          <cell r="D38">
            <v>4086000</v>
          </cell>
          <cell r="E38">
            <v>282000</v>
          </cell>
          <cell r="F38">
            <v>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168000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154000</v>
          </cell>
          <cell r="Q38">
            <v>0</v>
          </cell>
          <cell r="R38">
            <v>355500</v>
          </cell>
          <cell r="S38">
            <v>500000</v>
          </cell>
          <cell r="T38">
            <v>0</v>
          </cell>
          <cell r="U38">
            <v>4775500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2200000</v>
          </cell>
          <cell r="AA38">
            <v>0</v>
          </cell>
          <cell r="AB38">
            <v>0</v>
          </cell>
          <cell r="AC38">
            <v>62000</v>
          </cell>
          <cell r="AD38">
            <v>85000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298000</v>
          </cell>
          <cell r="AK38">
            <v>535500</v>
          </cell>
          <cell r="AL38">
            <v>2000</v>
          </cell>
          <cell r="AM38">
            <v>5500</v>
          </cell>
          <cell r="AN38">
            <v>6500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350000</v>
          </cell>
          <cell r="AT38">
            <v>0</v>
          </cell>
          <cell r="AU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28500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-79000</v>
          </cell>
          <cell r="D8">
            <v>132000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102000</v>
          </cell>
          <cell r="Q8">
            <v>0</v>
          </cell>
          <cell r="U8">
            <v>211000</v>
          </cell>
          <cell r="AQ8">
            <v>0</v>
          </cell>
          <cell r="AR8">
            <v>0</v>
          </cell>
          <cell r="AS8">
            <v>11000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AS201654</v>
          </cell>
          <cell r="B9" t="str">
            <v>DJOMOU TCHANDA</v>
          </cell>
          <cell r="C9">
            <v>5000</v>
          </cell>
          <cell r="D9">
            <v>35000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-75000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105000</v>
          </cell>
          <cell r="E11">
            <v>100000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4000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D16">
            <v>90000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1110000</v>
          </cell>
          <cell r="AY16">
            <v>0</v>
          </cell>
          <cell r="AZ16">
            <v>1110000</v>
          </cell>
        </row>
        <row r="17">
          <cell r="A17" t="str">
            <v>AS201617</v>
          </cell>
          <cell r="B17" t="str">
            <v>KOUAMOU MOISE</v>
          </cell>
          <cell r="C17">
            <v>-1000</v>
          </cell>
          <cell r="D17">
            <v>430000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101000</v>
          </cell>
          <cell r="U17">
            <v>431000</v>
          </cell>
          <cell r="AP17" t="str">
            <v>BANQUE</v>
          </cell>
          <cell r="AQ17">
            <v>0</v>
          </cell>
          <cell r="AR17">
            <v>0</v>
          </cell>
          <cell r="AS17">
            <v>6000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500</v>
          </cell>
          <cell r="D18">
            <v>410000</v>
          </cell>
          <cell r="E18">
            <v>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101000</v>
          </cell>
          <cell r="U18">
            <v>412500</v>
          </cell>
          <cell r="AP18" t="str">
            <v>ESPECES</v>
          </cell>
          <cell r="AQ18">
            <v>0</v>
          </cell>
          <cell r="AR18">
            <v>0</v>
          </cell>
          <cell r="AS18">
            <v>8500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-101000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101000</v>
          </cell>
          <cell r="U20">
            <v>556000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A20">
            <v>151500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-36000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36000</v>
          </cell>
          <cell r="U23">
            <v>186000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-48000</v>
          </cell>
          <cell r="D24">
            <v>315000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51000</v>
          </cell>
          <cell r="R24">
            <v>102000</v>
          </cell>
          <cell r="U24">
            <v>366000</v>
          </cell>
          <cell r="AC24">
            <v>25000</v>
          </cell>
          <cell r="AE24">
            <v>180000</v>
          </cell>
          <cell r="AF24" t="str">
            <v>BANQUE</v>
          </cell>
          <cell r="AJ24">
            <v>200000</v>
          </cell>
          <cell r="AK24">
            <v>222000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275000</v>
          </cell>
          <cell r="AX24">
            <v>200000</v>
          </cell>
          <cell r="AY24">
            <v>1342000</v>
          </cell>
          <cell r="AZ24">
            <v>1817000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200000</v>
          </cell>
          <cell r="AY25">
            <v>0</v>
          </cell>
          <cell r="AZ25">
            <v>270000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-51000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51000</v>
          </cell>
          <cell r="U26">
            <v>159000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101000</v>
          </cell>
          <cell r="U28">
            <v>241000</v>
          </cell>
          <cell r="AK28">
            <v>200000</v>
          </cell>
          <cell r="AN28">
            <v>2000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200000</v>
          </cell>
          <cell r="AZ28">
            <v>200000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261000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7500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48500</v>
          </cell>
          <cell r="S32">
            <v>100000</v>
          </cell>
          <cell r="T32" t="str">
            <v>BANQUE</v>
          </cell>
          <cell r="U32">
            <v>261000</v>
          </cell>
          <cell r="AC32">
            <v>27000</v>
          </cell>
          <cell r="AF32" t="str">
            <v>BANQUE</v>
          </cell>
          <cell r="AQ32">
            <v>0</v>
          </cell>
          <cell r="AR32">
            <v>0</v>
          </cell>
          <cell r="AS32">
            <v>14500</v>
          </cell>
          <cell r="AW32">
            <v>273000</v>
          </cell>
          <cell r="AX32">
            <v>0</v>
          </cell>
          <cell r="AY32">
            <v>0</v>
          </cell>
          <cell r="AZ32">
            <v>273000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C33">
            <v>24000</v>
          </cell>
          <cell r="AF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276000</v>
          </cell>
          <cell r="AX33">
            <v>0</v>
          </cell>
          <cell r="AY33">
            <v>0</v>
          </cell>
          <cell r="AZ33">
            <v>276000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-380500</v>
          </cell>
          <cell r="D38">
            <v>4290000</v>
          </cell>
          <cell r="E38">
            <v>130000</v>
          </cell>
          <cell r="F38">
            <v>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103000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102000</v>
          </cell>
          <cell r="Q38">
            <v>303500</v>
          </cell>
          <cell r="R38">
            <v>542000</v>
          </cell>
          <cell r="S38">
            <v>100000</v>
          </cell>
          <cell r="T38">
            <v>0</v>
          </cell>
          <cell r="U38">
            <v>4742500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76000</v>
          </cell>
          <cell r="AD38">
            <v>90000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400000</v>
          </cell>
          <cell r="AK38">
            <v>622000</v>
          </cell>
          <cell r="AL38">
            <v>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281000</v>
          </cell>
          <cell r="AT38">
            <v>0</v>
          </cell>
          <cell r="AU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92000</v>
          </cell>
        </row>
        <row r="7">
          <cell r="A7" t="str">
            <v>AS201602</v>
          </cell>
          <cell r="B7" t="str">
            <v>BOUTCHOUANG WILLIAM</v>
          </cell>
          <cell r="C7">
            <v>-3000</v>
          </cell>
          <cell r="D7">
            <v>0</v>
          </cell>
          <cell r="E7">
            <v>105000</v>
          </cell>
          <cell r="F7">
            <v>0</v>
          </cell>
          <cell r="G7">
            <v>3000</v>
          </cell>
          <cell r="H7" t="str">
            <v>ESPECES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108000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15000</v>
          </cell>
          <cell r="D8">
            <v>120000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Q8">
            <v>0</v>
          </cell>
          <cell r="AR8">
            <v>0</v>
          </cell>
          <cell r="AS8">
            <v>4000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100000</v>
          </cell>
          <cell r="AM10">
            <v>1000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C16">
            <v>23000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277000</v>
          </cell>
          <cell r="AX16">
            <v>0</v>
          </cell>
          <cell r="AY16">
            <v>0</v>
          </cell>
          <cell r="AZ16">
            <v>277000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200000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173000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173000</v>
          </cell>
          <cell r="AY18">
            <v>0</v>
          </cell>
          <cell r="AZ18">
            <v>173000</v>
          </cell>
          <cell r="BA18">
            <v>73000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-53500</v>
          </cell>
          <cell r="D20">
            <v>606500</v>
          </cell>
          <cell r="E20">
            <v>0</v>
          </cell>
          <cell r="F20">
            <v>0</v>
          </cell>
          <cell r="G20">
            <v>3000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660000</v>
          </cell>
          <cell r="AD20">
            <v>75000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1325000</v>
          </cell>
          <cell r="AY20">
            <v>200000</v>
          </cell>
          <cell r="AZ20">
            <v>1525000</v>
          </cell>
          <cell r="BA20">
            <v>100000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1000000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-1000000</v>
          </cell>
        </row>
        <row r="23">
          <cell r="A23" t="str">
            <v>AS201622</v>
          </cell>
          <cell r="B23" t="str">
            <v>NDJOMO ETIENNE</v>
          </cell>
          <cell r="C23">
            <v>-70000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C23">
            <v>23000</v>
          </cell>
          <cell r="AF23" t="str">
            <v>BANQUE</v>
          </cell>
          <cell r="AK23">
            <v>100000</v>
          </cell>
          <cell r="AN23">
            <v>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277000</v>
          </cell>
          <cell r="AX23">
            <v>0</v>
          </cell>
          <cell r="AY23">
            <v>100000</v>
          </cell>
          <cell r="AZ23">
            <v>377000</v>
          </cell>
        </row>
        <row r="24">
          <cell r="A24" t="str">
            <v>AS201624</v>
          </cell>
          <cell r="B24" t="str">
            <v>NGONDIEP CLAUDE</v>
          </cell>
          <cell r="C24">
            <v>-429000</v>
          </cell>
          <cell r="D24">
            <v>0</v>
          </cell>
          <cell r="E24">
            <v>205000</v>
          </cell>
          <cell r="F24">
            <v>0</v>
          </cell>
          <cell r="G24">
            <v>3000</v>
          </cell>
          <cell r="H24" t="str">
            <v>ESPECES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224000</v>
          </cell>
          <cell r="U24">
            <v>634000</v>
          </cell>
          <cell r="AJ24">
            <v>200000</v>
          </cell>
          <cell r="AK24">
            <v>243000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200000</v>
          </cell>
          <cell r="AY24">
            <v>243000</v>
          </cell>
          <cell r="AZ24">
            <v>443000</v>
          </cell>
          <cell r="BA24">
            <v>443000</v>
          </cell>
        </row>
        <row r="25">
          <cell r="A25" t="str">
            <v>AS201626</v>
          </cell>
          <cell r="B25" t="str">
            <v>NGUIEMEGNI MATHIEU BLAISE</v>
          </cell>
          <cell r="C25">
            <v>-2000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202000</v>
          </cell>
          <cell r="R25">
            <v>0</v>
          </cell>
          <cell r="U25">
            <v>482000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200000</v>
          </cell>
          <cell r="AY25">
            <v>0</v>
          </cell>
          <cell r="AZ25">
            <v>200000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0</v>
          </cell>
          <cell r="U26">
            <v>105000</v>
          </cell>
          <cell r="AI26">
            <v>34000</v>
          </cell>
          <cell r="AJ26">
            <v>200000</v>
          </cell>
          <cell r="AL26">
            <v>500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34000</v>
          </cell>
          <cell r="AX26">
            <v>200000</v>
          </cell>
          <cell r="AY26">
            <v>0</v>
          </cell>
          <cell r="AZ26">
            <v>234000</v>
          </cell>
          <cell r="BA26">
            <v>34000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-71000</v>
          </cell>
          <cell r="D28">
            <v>341000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202000</v>
          </cell>
          <cell r="U28">
            <v>342000</v>
          </cell>
          <cell r="AE28">
            <v>115000</v>
          </cell>
          <cell r="AF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1185000</v>
          </cell>
          <cell r="AZ28">
            <v>1185000</v>
          </cell>
          <cell r="BA28">
            <v>15000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-3000</v>
          </cell>
          <cell r="D30">
            <v>0</v>
          </cell>
          <cell r="E30">
            <v>105000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4000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100000</v>
          </cell>
          <cell r="T32" t="str">
            <v>BANQUE</v>
          </cell>
          <cell r="U32">
            <v>210000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-611500</v>
          </cell>
          <cell r="D38">
            <v>3997500</v>
          </cell>
          <cell r="E38">
            <v>415000</v>
          </cell>
          <cell r="F38">
            <v>1000000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90000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628000</v>
          </cell>
          <cell r="S38">
            <v>1100000</v>
          </cell>
          <cell r="T38">
            <v>0</v>
          </cell>
          <cell r="U38">
            <v>5814000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115000</v>
          </cell>
          <cell r="AF38">
            <v>0</v>
          </cell>
          <cell r="AG38">
            <v>0</v>
          </cell>
          <cell r="AH38">
            <v>0</v>
          </cell>
          <cell r="AI38">
            <v>34000</v>
          </cell>
          <cell r="AJ38">
            <v>1073000</v>
          </cell>
          <cell r="AK38">
            <v>743000</v>
          </cell>
          <cell r="AL38">
            <v>500</v>
          </cell>
          <cell r="AM38">
            <v>11000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264000</v>
          </cell>
          <cell r="AT38">
            <v>0</v>
          </cell>
          <cell r="AU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5000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110000</v>
          </cell>
          <cell r="AQ8">
            <v>0</v>
          </cell>
          <cell r="AR8">
            <v>0</v>
          </cell>
          <cell r="AS8">
            <v>12000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206000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101000</v>
          </cell>
          <cell r="U10">
            <v>206000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33000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C12">
            <v>23000</v>
          </cell>
          <cell r="AF12" t="str">
            <v>BANQUE</v>
          </cell>
          <cell r="AQ12">
            <v>0</v>
          </cell>
          <cell r="AR12">
            <v>0</v>
          </cell>
          <cell r="AS12">
            <v>12000</v>
          </cell>
          <cell r="AW12">
            <v>277000</v>
          </cell>
          <cell r="AX12">
            <v>0</v>
          </cell>
          <cell r="AY12">
            <v>0</v>
          </cell>
          <cell r="AZ12">
            <v>244000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533000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1000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202000</v>
          </cell>
          <cell r="U17">
            <v>533000</v>
          </cell>
          <cell r="AP17" t="str">
            <v>BANQUE</v>
          </cell>
          <cell r="AQ17">
            <v>0</v>
          </cell>
          <cell r="AR17">
            <v>0</v>
          </cell>
          <cell r="AS17">
            <v>8000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380000</v>
          </cell>
          <cell r="E18">
            <v>0</v>
          </cell>
          <cell r="F18">
            <v>1000000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175000</v>
          </cell>
          <cell r="R18">
            <v>0</v>
          </cell>
          <cell r="S18">
            <v>1000000</v>
          </cell>
          <cell r="T18" t="str">
            <v>BANQUE</v>
          </cell>
          <cell r="U18">
            <v>1380000</v>
          </cell>
          <cell r="Z18">
            <v>1000000</v>
          </cell>
          <cell r="AE18">
            <v>100000</v>
          </cell>
          <cell r="AF18" t="str">
            <v>BANQUE</v>
          </cell>
          <cell r="AI18">
            <v>48500</v>
          </cell>
          <cell r="AK18">
            <v>200000</v>
          </cell>
          <cell r="AL18">
            <v>1000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48500</v>
          </cell>
          <cell r="AX18">
            <v>0</v>
          </cell>
          <cell r="AY18">
            <v>1400000</v>
          </cell>
          <cell r="AZ18">
            <v>1388500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Z19">
            <v>1000000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940000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859000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202000</v>
          </cell>
          <cell r="U20">
            <v>859000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940000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78000</v>
          </cell>
          <cell r="D24">
            <v>740000</v>
          </cell>
          <cell r="E24">
            <v>17000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4000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245000</v>
          </cell>
          <cell r="U24">
            <v>659000</v>
          </cell>
          <cell r="AD24">
            <v>75000</v>
          </cell>
          <cell r="AF24" t="str">
            <v>BANQUE</v>
          </cell>
          <cell r="AK24">
            <v>250000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11000</v>
          </cell>
          <cell r="AW24">
            <v>0</v>
          </cell>
          <cell r="AX24">
            <v>1125000</v>
          </cell>
          <cell r="AY24">
            <v>250000</v>
          </cell>
          <cell r="AZ24">
            <v>1375000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0</v>
          </cell>
          <cell r="U25">
            <v>385000</v>
          </cell>
          <cell r="AJ25">
            <v>102000</v>
          </cell>
          <cell r="AM25">
            <v>2000</v>
          </cell>
          <cell r="AQ25">
            <v>0</v>
          </cell>
          <cell r="AR25">
            <v>0</v>
          </cell>
          <cell r="AS25">
            <v>11000</v>
          </cell>
          <cell r="AW25">
            <v>0</v>
          </cell>
          <cell r="AX25">
            <v>102000</v>
          </cell>
          <cell r="AY25">
            <v>0</v>
          </cell>
          <cell r="AZ25">
            <v>102000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341500</v>
          </cell>
          <cell r="E26">
            <v>0</v>
          </cell>
          <cell r="F26">
            <v>1228000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34500</v>
          </cell>
          <cell r="Q26">
            <v>202000</v>
          </cell>
          <cell r="S26">
            <v>1155000</v>
          </cell>
          <cell r="T26" t="str">
            <v>BANQUE</v>
          </cell>
          <cell r="U26">
            <v>1496500</v>
          </cell>
          <cell r="Z26">
            <v>1000000</v>
          </cell>
          <cell r="AC26">
            <v>23000</v>
          </cell>
          <cell r="AD26">
            <v>75000</v>
          </cell>
          <cell r="AF26" t="str">
            <v>BANQUE</v>
          </cell>
          <cell r="AI26">
            <v>30000</v>
          </cell>
          <cell r="AJ26">
            <v>50000</v>
          </cell>
          <cell r="AL26">
            <v>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307000</v>
          </cell>
          <cell r="AX26">
            <v>1175000</v>
          </cell>
          <cell r="AY26">
            <v>0</v>
          </cell>
          <cell r="AZ26">
            <v>1194000</v>
          </cell>
          <cell r="BA26">
            <v>33000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430000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430000</v>
          </cell>
          <cell r="AQ28">
            <v>0</v>
          </cell>
          <cell r="AR28">
            <v>0</v>
          </cell>
          <cell r="AS28">
            <v>307000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-100000</v>
          </cell>
          <cell r="D32">
            <v>310000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300000</v>
          </cell>
          <cell r="T32" t="str">
            <v>BANQUE</v>
          </cell>
          <cell r="U32">
            <v>410000</v>
          </cell>
          <cell r="Z32">
            <v>800000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752000</v>
          </cell>
        </row>
        <row r="33">
          <cell r="A33" t="str">
            <v>AS201641</v>
          </cell>
          <cell r="B33" t="str">
            <v>TCHOUAMOU MATHIEU</v>
          </cell>
          <cell r="C33">
            <v>176000</v>
          </cell>
          <cell r="D33">
            <v>206000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-3000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Z36">
            <v>1000000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970000</v>
          </cell>
        </row>
        <row r="38">
          <cell r="B38" t="str">
            <v>TOTAUX</v>
          </cell>
          <cell r="C38">
            <v>201000</v>
          </cell>
          <cell r="D38">
            <v>6221500</v>
          </cell>
          <cell r="E38">
            <v>47000</v>
          </cell>
          <cell r="F38">
            <v>2261000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394000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34500</v>
          </cell>
          <cell r="Q38">
            <v>983000</v>
          </cell>
          <cell r="R38">
            <v>750000</v>
          </cell>
          <cell r="S38">
            <v>2455000</v>
          </cell>
          <cell r="T38">
            <v>0</v>
          </cell>
          <cell r="U38">
            <v>8202500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5800000</v>
          </cell>
          <cell r="AA38">
            <v>0</v>
          </cell>
          <cell r="AB38">
            <v>0</v>
          </cell>
          <cell r="AC38">
            <v>46000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78500</v>
          </cell>
          <cell r="AJ38">
            <v>252000</v>
          </cell>
          <cell r="AK38">
            <v>650000</v>
          </cell>
          <cell r="AL38">
            <v>1500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576000</v>
          </cell>
          <cell r="AT38">
            <v>0</v>
          </cell>
          <cell r="AU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109000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500000</v>
          </cell>
          <cell r="U7">
            <v>605000</v>
          </cell>
          <cell r="AC7">
            <v>23000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277000</v>
          </cell>
          <cell r="AX7">
            <v>0</v>
          </cell>
          <cell r="AY7">
            <v>0</v>
          </cell>
          <cell r="AZ7">
            <v>-293000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50000</v>
          </cell>
          <cell r="AY8">
            <v>0</v>
          </cell>
          <cell r="AZ8">
            <v>50000</v>
          </cell>
          <cell r="BA8">
            <v>50000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34000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K9">
            <v>1000</v>
          </cell>
          <cell r="M9">
            <v>0</v>
          </cell>
          <cell r="O9">
            <v>0</v>
          </cell>
          <cell r="P9">
            <v>0</v>
          </cell>
          <cell r="U9">
            <v>34000</v>
          </cell>
          <cell r="AQ9">
            <v>0</v>
          </cell>
          <cell r="AR9">
            <v>0</v>
          </cell>
          <cell r="AS9">
            <v>8000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0</v>
          </cell>
          <cell r="E11">
            <v>259000</v>
          </cell>
          <cell r="F11">
            <v>700000</v>
          </cell>
          <cell r="G11">
            <v>3000</v>
          </cell>
          <cell r="H11" t="str">
            <v>ESPECES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51000</v>
          </cell>
          <cell r="R11">
            <v>0</v>
          </cell>
          <cell r="S11">
            <v>700000</v>
          </cell>
          <cell r="U11">
            <v>959000</v>
          </cell>
          <cell r="AD11">
            <v>85000</v>
          </cell>
          <cell r="AF11" t="str">
            <v>BANQUE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1190000</v>
          </cell>
          <cell r="AY11">
            <v>0</v>
          </cell>
          <cell r="AZ11">
            <v>490000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-3500</v>
          </cell>
          <cell r="D18">
            <v>453000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49500</v>
          </cell>
          <cell r="Q18">
            <v>0</v>
          </cell>
          <cell r="R18">
            <v>202000</v>
          </cell>
          <cell r="U18">
            <v>456500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A18">
            <v>100000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657000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657000</v>
          </cell>
          <cell r="AE20">
            <v>100000</v>
          </cell>
          <cell r="AF20" t="str">
            <v>BANQUE</v>
          </cell>
          <cell r="AK20">
            <v>256000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1456000</v>
          </cell>
          <cell r="AZ20">
            <v>1456000</v>
          </cell>
          <cell r="BA20">
            <v>156000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460000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252000</v>
          </cell>
          <cell r="U24">
            <v>460000</v>
          </cell>
          <cell r="AP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</v>
          </cell>
          <cell r="D25">
            <v>387000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104000</v>
          </cell>
          <cell r="R25">
            <v>0</v>
          </cell>
          <cell r="U25">
            <v>388000</v>
          </cell>
          <cell r="AD25">
            <v>90000</v>
          </cell>
          <cell r="AF25" t="str">
            <v>BANQUE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11000</v>
          </cell>
          <cell r="AW25">
            <v>0</v>
          </cell>
          <cell r="AX25">
            <v>1110000</v>
          </cell>
          <cell r="AY25">
            <v>100000</v>
          </cell>
          <cell r="AZ25">
            <v>1210000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84500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30500</v>
          </cell>
          <cell r="Q26">
            <v>51000</v>
          </cell>
          <cell r="U26">
            <v>189500</v>
          </cell>
          <cell r="AJ26">
            <v>75000</v>
          </cell>
          <cell r="AM26">
            <v>1000</v>
          </cell>
          <cell r="AP26" t="str">
            <v>ESPECES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75000</v>
          </cell>
          <cell r="AY26">
            <v>0</v>
          </cell>
          <cell r="AZ26">
            <v>75000</v>
          </cell>
          <cell r="BA26">
            <v>75000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200000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70000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200000</v>
          </cell>
          <cell r="AQ28">
            <v>0</v>
          </cell>
          <cell r="AR28">
            <v>0</v>
          </cell>
          <cell r="AS28">
            <v>77000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I32">
            <v>20000</v>
          </cell>
          <cell r="AL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12000</v>
          </cell>
          <cell r="AW32">
            <v>20000</v>
          </cell>
          <cell r="AX32">
            <v>0</v>
          </cell>
          <cell r="AY32">
            <v>0</v>
          </cell>
          <cell r="AZ32">
            <v>20000</v>
          </cell>
          <cell r="BA32">
            <v>20000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560000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560000</v>
          </cell>
          <cell r="U33">
            <v>590000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390000</v>
          </cell>
          <cell r="BA33">
            <v>50000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0</v>
          </cell>
          <cell r="E36">
            <v>283000</v>
          </cell>
          <cell r="F36">
            <v>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283000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45500</v>
          </cell>
          <cell r="D38">
            <v>3993000</v>
          </cell>
          <cell r="E38">
            <v>801500</v>
          </cell>
          <cell r="F38">
            <v>1830000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158000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80000</v>
          </cell>
          <cell r="Q38">
            <v>257000</v>
          </cell>
          <cell r="R38">
            <v>656000</v>
          </cell>
          <cell r="S38">
            <v>1760000</v>
          </cell>
          <cell r="T38">
            <v>0</v>
          </cell>
          <cell r="U38">
            <v>6509000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B38">
            <v>0</v>
          </cell>
          <cell r="AC38">
            <v>23000</v>
          </cell>
          <cell r="AD38">
            <v>175000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20000</v>
          </cell>
          <cell r="AJ38">
            <v>250000</v>
          </cell>
          <cell r="AK38">
            <v>656000</v>
          </cell>
          <cell r="AL38">
            <v>500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337000</v>
          </cell>
          <cell r="AT38">
            <v>0</v>
          </cell>
          <cell r="AU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D7">
            <v>75000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1125000</v>
          </cell>
          <cell r="AY7">
            <v>0</v>
          </cell>
          <cell r="AZ7">
            <v>1125000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159000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10000</v>
          </cell>
          <cell r="AW8">
            <v>0</v>
          </cell>
          <cell r="AX8">
            <v>50000</v>
          </cell>
          <cell r="AY8">
            <v>0</v>
          </cell>
          <cell r="AZ8">
            <v>50000</v>
          </cell>
          <cell r="BA8">
            <v>50000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I10">
            <v>50000</v>
          </cell>
          <cell r="AJ10">
            <v>100000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50000</v>
          </cell>
          <cell r="AX10">
            <v>100000</v>
          </cell>
          <cell r="AY10">
            <v>0</v>
          </cell>
          <cell r="AZ10">
            <v>150000</v>
          </cell>
          <cell r="BA10">
            <v>55000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110000</v>
          </cell>
          <cell r="E11">
            <v>0</v>
          </cell>
          <cell r="F11">
            <v>176000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5000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76000</v>
          </cell>
          <cell r="R11">
            <v>0</v>
          </cell>
          <cell r="U11">
            <v>286000</v>
          </cell>
          <cell r="AC11">
            <v>23000</v>
          </cell>
          <cell r="AF11" t="str">
            <v>BANQUE</v>
          </cell>
          <cell r="AI11">
            <v>68000</v>
          </cell>
          <cell r="AJ11">
            <v>75000</v>
          </cell>
          <cell r="AL11">
            <v>1000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12000</v>
          </cell>
          <cell r="AW11">
            <v>345000</v>
          </cell>
          <cell r="AX11">
            <v>75000</v>
          </cell>
          <cell r="AY11">
            <v>0</v>
          </cell>
          <cell r="AZ11">
            <v>244000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C15">
            <v>23000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W15">
            <v>277000</v>
          </cell>
          <cell r="AX15">
            <v>0</v>
          </cell>
          <cell r="AY15">
            <v>0</v>
          </cell>
          <cell r="AZ15">
            <v>207000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65000</v>
          </cell>
          <cell r="E18">
            <v>345000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410000</v>
          </cell>
          <cell r="AJ18">
            <v>400000</v>
          </cell>
          <cell r="AM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400000</v>
          </cell>
          <cell r="AY18">
            <v>0</v>
          </cell>
          <cell r="AZ18">
            <v>400000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713000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258000</v>
          </cell>
          <cell r="U20">
            <v>713000</v>
          </cell>
          <cell r="AJ20">
            <v>200000</v>
          </cell>
          <cell r="AK20">
            <v>100000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200000</v>
          </cell>
          <cell r="AY20">
            <v>100000</v>
          </cell>
          <cell r="AZ20">
            <v>300000</v>
          </cell>
          <cell r="BA20">
            <v>50500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E23">
            <v>100000</v>
          </cell>
          <cell r="AF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1200000</v>
          </cell>
          <cell r="AZ23">
            <v>1200000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381000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181000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76000</v>
          </cell>
          <cell r="U26">
            <v>181000</v>
          </cell>
          <cell r="AI26">
            <v>50000</v>
          </cell>
          <cell r="AJ26">
            <v>200000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50000</v>
          </cell>
          <cell r="AX26">
            <v>200000</v>
          </cell>
          <cell r="AY26">
            <v>0</v>
          </cell>
          <cell r="AZ26">
            <v>250000</v>
          </cell>
          <cell r="BA26">
            <v>100000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</v>
          </cell>
          <cell r="L32">
            <v>1</v>
          </cell>
          <cell r="M32">
            <v>75000</v>
          </cell>
          <cell r="O32">
            <v>0</v>
          </cell>
          <cell r="P32">
            <v>20500</v>
          </cell>
          <cell r="Q32">
            <v>0</v>
          </cell>
          <cell r="U32">
            <v>130000</v>
          </cell>
          <cell r="AQ32">
            <v>0</v>
          </cell>
          <cell r="AR32">
            <v>0</v>
          </cell>
          <cell r="AS32">
            <v>11500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213750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143750</v>
          </cell>
          <cell r="U35">
            <v>173750</v>
          </cell>
          <cell r="AC35">
            <v>23000</v>
          </cell>
          <cell r="AF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277000</v>
          </cell>
          <cell r="AX35">
            <v>0</v>
          </cell>
          <cell r="AY35">
            <v>0</v>
          </cell>
          <cell r="AZ35">
            <v>63250</v>
          </cell>
          <cell r="BA35">
            <v>70000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0</v>
          </cell>
          <cell r="D38">
            <v>5076000</v>
          </cell>
          <cell r="E38">
            <v>355000</v>
          </cell>
          <cell r="F38">
            <v>459750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122500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20500</v>
          </cell>
          <cell r="Q38">
            <v>254000</v>
          </cell>
          <cell r="R38">
            <v>662000</v>
          </cell>
          <cell r="S38">
            <v>143750</v>
          </cell>
          <cell r="T38">
            <v>0</v>
          </cell>
          <cell r="U38">
            <v>4785750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69000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168000</v>
          </cell>
          <cell r="AJ38">
            <v>1025000</v>
          </cell>
          <cell r="AK38">
            <v>200000</v>
          </cell>
          <cell r="AL38">
            <v>3000</v>
          </cell>
          <cell r="AM38">
            <v>11000</v>
          </cell>
          <cell r="AN38">
            <v>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304500</v>
          </cell>
          <cell r="AT38">
            <v>0</v>
          </cell>
          <cell r="AU38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40000</v>
          </cell>
          <cell r="BA6">
            <v>28000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0</v>
          </cell>
          <cell r="E8">
            <v>156000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100000</v>
          </cell>
          <cell r="AM8">
            <v>14000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100000</v>
          </cell>
          <cell r="AY8">
            <v>0</v>
          </cell>
          <cell r="AZ8">
            <v>170000</v>
          </cell>
          <cell r="BA8">
            <v>50000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C9">
            <v>28000</v>
          </cell>
          <cell r="AF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272000</v>
          </cell>
          <cell r="AX9">
            <v>0</v>
          </cell>
          <cell r="AY9">
            <v>0</v>
          </cell>
          <cell r="AZ9">
            <v>159000</v>
          </cell>
          <cell r="BA9">
            <v>25000</v>
          </cell>
        </row>
        <row r="10">
          <cell r="A10" t="str">
            <v>AS201605</v>
          </cell>
          <cell r="B10" t="str">
            <v>DJOUKWE NANGUEN GUY BLAISE</v>
          </cell>
          <cell r="C10">
            <v>-70000</v>
          </cell>
          <cell r="D10">
            <v>206000</v>
          </cell>
          <cell r="E10">
            <v>0</v>
          </cell>
          <cell r="F10">
            <v>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51000</v>
          </cell>
          <cell r="Q10">
            <v>101000</v>
          </cell>
          <cell r="U10">
            <v>257000</v>
          </cell>
          <cell r="AC10">
            <v>27000</v>
          </cell>
          <cell r="AF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273000</v>
          </cell>
          <cell r="AX10">
            <v>0</v>
          </cell>
          <cell r="AY10">
            <v>0</v>
          </cell>
          <cell r="AZ10">
            <v>222000</v>
          </cell>
          <cell r="BA10">
            <v>52000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350000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69000</v>
          </cell>
          <cell r="Q11">
            <v>76000</v>
          </cell>
          <cell r="R11">
            <v>0</v>
          </cell>
          <cell r="U11">
            <v>350000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1330000</v>
          </cell>
          <cell r="AE17">
            <v>200000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1100000</v>
          </cell>
          <cell r="AZ17">
            <v>30000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609000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404000</v>
          </cell>
          <cell r="R18">
            <v>0</v>
          </cell>
          <cell r="U18">
            <v>609000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-1000</v>
          </cell>
          <cell r="D20">
            <v>633000</v>
          </cell>
          <cell r="E20">
            <v>0</v>
          </cell>
          <cell r="F20">
            <v>124000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101000</v>
          </cell>
          <cell r="U20">
            <v>758000</v>
          </cell>
          <cell r="AD20">
            <v>75000</v>
          </cell>
          <cell r="AF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1125000</v>
          </cell>
          <cell r="AY20">
            <v>0</v>
          </cell>
          <cell r="AZ20">
            <v>1001000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C22">
            <v>27000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273000</v>
          </cell>
          <cell r="AX22">
            <v>0</v>
          </cell>
          <cell r="AY22">
            <v>0</v>
          </cell>
          <cell r="AZ22">
            <v>273000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205000</v>
          </cell>
          <cell r="AK24">
            <v>64000</v>
          </cell>
          <cell r="AN24">
            <v>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64000</v>
          </cell>
          <cell r="AZ24">
            <v>64000</v>
          </cell>
          <cell r="BA24">
            <v>58000</v>
          </cell>
        </row>
        <row r="25">
          <cell r="A25" t="str">
            <v>AS201626</v>
          </cell>
          <cell r="B25" t="str">
            <v>NGUIEMEGNI MATHIEU BLAISE</v>
          </cell>
          <cell r="C25">
            <v>-3000</v>
          </cell>
          <cell r="D25">
            <v>378000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J25">
            <v>77000</v>
          </cell>
          <cell r="AM25">
            <v>7000</v>
          </cell>
          <cell r="AP25" t="str">
            <v>BANQUE</v>
          </cell>
          <cell r="AQ25">
            <v>0</v>
          </cell>
          <cell r="AR25">
            <v>0</v>
          </cell>
          <cell r="AS25">
            <v>4000</v>
          </cell>
          <cell r="AW25">
            <v>0</v>
          </cell>
          <cell r="AX25">
            <v>77000</v>
          </cell>
          <cell r="AY25">
            <v>0</v>
          </cell>
          <cell r="AZ25">
            <v>77000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253000</v>
          </cell>
          <cell r="F26">
            <v>0</v>
          </cell>
          <cell r="G26">
            <v>3000</v>
          </cell>
          <cell r="H26" t="str">
            <v>ESPECES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51000</v>
          </cell>
          <cell r="Q26">
            <v>202000</v>
          </cell>
          <cell r="U26">
            <v>361000</v>
          </cell>
          <cell r="AJ26">
            <v>202000</v>
          </cell>
          <cell r="AM26">
            <v>4000</v>
          </cell>
          <cell r="AN26">
            <v>2000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202000</v>
          </cell>
          <cell r="AY26">
            <v>0</v>
          </cell>
          <cell r="AZ26">
            <v>202000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D30">
            <v>75000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1125000</v>
          </cell>
          <cell r="AY30">
            <v>0</v>
          </cell>
          <cell r="AZ30">
            <v>1055000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-1000000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 t="str">
            <v>BANQUE</v>
          </cell>
          <cell r="U36">
            <v>1280000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-979000</v>
          </cell>
          <cell r="D38">
            <v>4576000</v>
          </cell>
          <cell r="E38">
            <v>409000</v>
          </cell>
          <cell r="F38">
            <v>1428000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80000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171000</v>
          </cell>
          <cell r="Q38">
            <v>1036000</v>
          </cell>
          <cell r="R38">
            <v>202000</v>
          </cell>
          <cell r="S38">
            <v>2000000</v>
          </cell>
          <cell r="T38">
            <v>0</v>
          </cell>
          <cell r="U38">
            <v>7075000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82000</v>
          </cell>
          <cell r="AD38">
            <v>150000</v>
          </cell>
          <cell r="AE38">
            <v>200000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379000</v>
          </cell>
          <cell r="AK38">
            <v>64000</v>
          </cell>
          <cell r="AL38">
            <v>0</v>
          </cell>
          <cell r="AM38">
            <v>25000</v>
          </cell>
          <cell r="AN38">
            <v>4500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259000</v>
          </cell>
          <cell r="AT38">
            <v>0</v>
          </cell>
          <cell r="AU38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31000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114000</v>
          </cell>
          <cell r="U8">
            <v>250000</v>
          </cell>
          <cell r="AJ8">
            <v>100000</v>
          </cell>
          <cell r="AM8">
            <v>1500</v>
          </cell>
          <cell r="AP8" t="str">
            <v>BANQUE</v>
          </cell>
          <cell r="AQ8">
            <v>0</v>
          </cell>
          <cell r="AR8">
            <v>0</v>
          </cell>
          <cell r="AS8">
            <v>38000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C17">
            <v>23000</v>
          </cell>
          <cell r="AE17">
            <v>100000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277000</v>
          </cell>
          <cell r="AX17">
            <v>0</v>
          </cell>
          <cell r="AY17">
            <v>1200000</v>
          </cell>
          <cell r="AZ17">
            <v>1477000</v>
          </cell>
        </row>
        <row r="18">
          <cell r="A18" t="str">
            <v>AS201619</v>
          </cell>
          <cell r="B18" t="str">
            <v>KOUATCHO MESSACK</v>
          </cell>
          <cell r="C18">
            <v>170000</v>
          </cell>
          <cell r="D18">
            <v>375000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200000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200000</v>
          </cell>
          <cell r="AY18">
            <v>0</v>
          </cell>
          <cell r="AZ18">
            <v>200000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70000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0</v>
          </cell>
          <cell r="U20">
            <v>455000</v>
          </cell>
          <cell r="AJ20">
            <v>179000</v>
          </cell>
          <cell r="AM20">
            <v>1500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179000</v>
          </cell>
          <cell r="AY20">
            <v>0</v>
          </cell>
          <cell r="AZ20">
            <v>179000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271500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66500</v>
          </cell>
          <cell r="U24">
            <v>271500</v>
          </cell>
          <cell r="AK24">
            <v>83500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83500</v>
          </cell>
          <cell r="AZ24">
            <v>83500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36000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84000</v>
          </cell>
          <cell r="R25">
            <v>0</v>
          </cell>
          <cell r="U25">
            <v>400000</v>
          </cell>
          <cell r="AJ25">
            <v>100000</v>
          </cell>
          <cell r="AK25">
            <v>83000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43000</v>
          </cell>
          <cell r="AW25">
            <v>0</v>
          </cell>
          <cell r="AX25">
            <v>100000</v>
          </cell>
          <cell r="AY25">
            <v>83000</v>
          </cell>
          <cell r="AZ25">
            <v>183000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206000</v>
          </cell>
          <cell r="U26">
            <v>311000</v>
          </cell>
          <cell r="AJ26">
            <v>200000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200000</v>
          </cell>
          <cell r="AY26">
            <v>0</v>
          </cell>
          <cell r="AZ26">
            <v>200000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C29">
            <v>23000</v>
          </cell>
          <cell r="AD29">
            <v>75000</v>
          </cell>
          <cell r="AF29" t="str">
            <v>BANQUE</v>
          </cell>
          <cell r="AQ29">
            <v>0</v>
          </cell>
          <cell r="AR29">
            <v>0</v>
          </cell>
          <cell r="AS29">
            <v>7000</v>
          </cell>
          <cell r="AW29">
            <v>277000</v>
          </cell>
          <cell r="AX29">
            <v>1125000</v>
          </cell>
          <cell r="AY29">
            <v>0</v>
          </cell>
          <cell r="AZ29">
            <v>1332000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245000</v>
          </cell>
          <cell r="D38">
            <v>4452500</v>
          </cell>
          <cell r="E38">
            <v>0</v>
          </cell>
          <cell r="F38">
            <v>70000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157000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66500</v>
          </cell>
          <cell r="S38">
            <v>0</v>
          </cell>
          <cell r="T38">
            <v>0</v>
          </cell>
          <cell r="U38">
            <v>4207500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779000</v>
          </cell>
          <cell r="AK38">
            <v>166500</v>
          </cell>
          <cell r="AL38">
            <v>0</v>
          </cell>
          <cell r="AM38">
            <v>8000</v>
          </cell>
          <cell r="AN38">
            <v>4000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339000</v>
          </cell>
          <cell r="AT38">
            <v>0</v>
          </cell>
          <cell r="AU38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-1500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101500</v>
          </cell>
          <cell r="U8">
            <v>205000</v>
          </cell>
          <cell r="AP8" t="str">
            <v>BANQUE</v>
          </cell>
          <cell r="AQ8">
            <v>0</v>
          </cell>
          <cell r="AR8">
            <v>0</v>
          </cell>
          <cell r="AS8">
            <v>5500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70000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V16">
            <v>500000</v>
          </cell>
          <cell r="AW16">
            <v>0</v>
          </cell>
          <cell r="AX16">
            <v>0</v>
          </cell>
          <cell r="AY16">
            <v>0</v>
          </cell>
          <cell r="AZ16">
            <v>1490000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700000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693000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408500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202000</v>
          </cell>
          <cell r="R18">
            <v>0</v>
          </cell>
          <cell r="U18">
            <v>408500</v>
          </cell>
          <cell r="AP18" t="str">
            <v>BANQUE</v>
          </cell>
          <cell r="AQ18">
            <v>0</v>
          </cell>
          <cell r="AR18">
            <v>0</v>
          </cell>
          <cell r="AS18">
            <v>8500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635500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180500</v>
          </cell>
          <cell r="R20">
            <v>0</v>
          </cell>
          <cell r="U20">
            <v>635500</v>
          </cell>
          <cell r="AK20">
            <v>170500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170500</v>
          </cell>
          <cell r="AZ20">
            <v>170500</v>
          </cell>
          <cell r="BA20">
            <v>85000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C21">
            <v>23000</v>
          </cell>
          <cell r="AF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277000</v>
          </cell>
          <cell r="AX21">
            <v>0</v>
          </cell>
          <cell r="AY21">
            <v>0</v>
          </cell>
          <cell r="AZ21">
            <v>207000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87500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84500</v>
          </cell>
          <cell r="U24">
            <v>292500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490000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23000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86000</v>
          </cell>
          <cell r="U25">
            <v>490000</v>
          </cell>
          <cell r="AP25" t="str">
            <v>BANQUE</v>
          </cell>
          <cell r="AQ25">
            <v>0</v>
          </cell>
          <cell r="AR25">
            <v>0</v>
          </cell>
          <cell r="AS25">
            <v>30000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307000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202000</v>
          </cell>
          <cell r="U26">
            <v>307000</v>
          </cell>
          <cell r="AI26">
            <v>40000</v>
          </cell>
          <cell r="AJ26">
            <v>37000</v>
          </cell>
          <cell r="AL26">
            <v>1000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40000</v>
          </cell>
          <cell r="AX26">
            <v>37000</v>
          </cell>
          <cell r="AY26">
            <v>0</v>
          </cell>
          <cell r="AZ26">
            <v>77000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C36">
            <v>24000</v>
          </cell>
          <cell r="AD36">
            <v>150000</v>
          </cell>
          <cell r="AE36">
            <v>100000</v>
          </cell>
          <cell r="AF36" t="str">
            <v>BANQUE</v>
          </cell>
          <cell r="AQ36">
            <v>0</v>
          </cell>
          <cell r="AR36">
            <v>0</v>
          </cell>
          <cell r="AS36">
            <v>7000</v>
          </cell>
          <cell r="AW36">
            <v>276000</v>
          </cell>
          <cell r="AX36">
            <v>1050000</v>
          </cell>
          <cell r="AY36">
            <v>1200000</v>
          </cell>
          <cell r="AZ36">
            <v>2526000</v>
          </cell>
        </row>
        <row r="38">
          <cell r="B38" t="str">
            <v>TOTAUX</v>
          </cell>
          <cell r="C38">
            <v>0</v>
          </cell>
          <cell r="D38">
            <v>4516000</v>
          </cell>
          <cell r="E38">
            <v>120500</v>
          </cell>
          <cell r="F38">
            <v>70000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93000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787000</v>
          </cell>
          <cell r="R38">
            <v>170500</v>
          </cell>
          <cell r="S38">
            <v>0</v>
          </cell>
          <cell r="T38">
            <v>0</v>
          </cell>
          <cell r="U38">
            <v>4636500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1700000</v>
          </cell>
          <cell r="AA38">
            <v>0</v>
          </cell>
          <cell r="AB38">
            <v>0</v>
          </cell>
          <cell r="AC38">
            <v>47000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40000</v>
          </cell>
          <cell r="AJ38">
            <v>37000</v>
          </cell>
          <cell r="AK38">
            <v>270500</v>
          </cell>
          <cell r="AL38">
            <v>1000</v>
          </cell>
          <cell r="AM38">
            <v>1500</v>
          </cell>
          <cell r="AN38">
            <v>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275000</v>
          </cell>
          <cell r="AT38">
            <v>0</v>
          </cell>
          <cell r="AU38">
            <v>0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</row>
      </sheetData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8">
          <cell r="S8">
            <v>-807174.7496912271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9</v>
      </c>
    </row>
    <row r="2" spans="1:1" x14ac:dyDescent="0.25">
      <c r="A2" t="s">
        <v>14</v>
      </c>
    </row>
    <row r="3" spans="1:1" x14ac:dyDescent="0.25">
      <c r="A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4"/>
  <sheetViews>
    <sheetView zoomScaleNormal="100" workbookViewId="0">
      <pane xSplit="2" ySplit="5" topLeftCell="N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6.7109375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32.285156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44031</v>
      </c>
      <c r="D4" s="53"/>
      <c r="E4" s="53"/>
      <c r="F4" s="53"/>
      <c r="G4" s="53"/>
      <c r="H4" s="53"/>
      <c r="I4" s="53"/>
      <c r="J4" s="53"/>
      <c r="K4" s="53"/>
      <c r="L4" s="53"/>
      <c r="M4" s="24"/>
      <c r="N4" s="19"/>
      <c r="O4" s="19"/>
      <c r="P4" s="19"/>
      <c r="Q4" s="19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46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2" si="0">IF(E6="ECHEC",0,IF(E6="",0,75000))</f>
        <v>75000</v>
      </c>
      <c r="D6" s="14">
        <f t="shared" ref="D6:D19" si="1">IF(E6="ESPECES",0,0)</f>
        <v>0</v>
      </c>
      <c r="E6" s="7" t="s">
        <v>14</v>
      </c>
      <c r="F6" s="14"/>
      <c r="G6" s="7"/>
      <c r="H6" s="14"/>
      <c r="I6" s="14"/>
      <c r="J6" s="15"/>
      <c r="K6" s="12"/>
      <c r="L6" s="8"/>
      <c r="M6" s="8">
        <f t="shared" ref="M6:M24" si="2">L6</f>
        <v>0</v>
      </c>
      <c r="N6" s="7"/>
      <c r="O6" s="15"/>
      <c r="P6" s="12"/>
      <c r="Q6" s="8">
        <f t="shared" ref="Q6:Q24" si="3">IF(R6=0,0,($C$39-R6))</f>
        <v>0</v>
      </c>
      <c r="R6" s="14"/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75000</v>
      </c>
      <c r="D7" s="14">
        <f t="shared" si="1"/>
        <v>0</v>
      </c>
      <c r="E7" s="7" t="s">
        <v>9</v>
      </c>
      <c r="F7" s="14"/>
      <c r="G7" s="7"/>
      <c r="H7" s="14"/>
      <c r="I7" s="14"/>
      <c r="J7" s="15"/>
      <c r="K7" s="12"/>
      <c r="L7" s="8"/>
      <c r="M7" s="8">
        <f t="shared" si="2"/>
        <v>0</v>
      </c>
      <c r="N7" s="7"/>
      <c r="O7" s="15"/>
      <c r="P7" s="12"/>
      <c r="Q7" s="8">
        <f t="shared" si="3"/>
        <v>0</v>
      </c>
      <c r="R7" s="14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8"/>
      <c r="G8" s="7"/>
      <c r="H8" s="8">
        <v>100000</v>
      </c>
      <c r="I8" s="8">
        <v>2000</v>
      </c>
      <c r="J8" s="7" t="s">
        <v>9</v>
      </c>
      <c r="K8" s="12"/>
      <c r="L8" s="8"/>
      <c r="M8" s="8">
        <f t="shared" si="2"/>
        <v>0</v>
      </c>
      <c r="N8" s="7"/>
      <c r="O8" s="7" t="s">
        <v>9</v>
      </c>
      <c r="P8" s="12"/>
      <c r="Q8" s="8">
        <f t="shared" si="3"/>
        <v>1000000</v>
      </c>
      <c r="R8" s="8">
        <v>200000</v>
      </c>
      <c r="S8" s="45">
        <f t="shared" si="4"/>
        <v>125000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8"/>
      <c r="G9" s="7"/>
      <c r="H9" s="8"/>
      <c r="I9" s="8"/>
      <c r="J9" s="7"/>
      <c r="K9" s="12"/>
      <c r="L9" s="8"/>
      <c r="M9" s="8">
        <f t="shared" si="2"/>
        <v>0</v>
      </c>
      <c r="N9" s="7"/>
      <c r="O9" s="7"/>
      <c r="P9" s="12"/>
      <c r="Q9" s="8">
        <f t="shared" si="3"/>
        <v>0</v>
      </c>
      <c r="R9" s="8"/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8"/>
      <c r="G10" s="7"/>
      <c r="H10" s="8"/>
      <c r="I10" s="8"/>
      <c r="J10" s="7"/>
      <c r="K10" s="12"/>
      <c r="L10" s="8"/>
      <c r="M10" s="8">
        <f t="shared" si="2"/>
        <v>0</v>
      </c>
      <c r="N10" s="7"/>
      <c r="O10" s="7"/>
      <c r="P10" s="12"/>
      <c r="Q10" s="8">
        <f t="shared" si="3"/>
        <v>0</v>
      </c>
      <c r="R10" s="8"/>
      <c r="S10" s="45">
        <f t="shared" si="4"/>
        <v>0</v>
      </c>
    </row>
    <row r="11" spans="1:19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8"/>
      <c r="G11" s="7"/>
      <c r="H11" s="8"/>
      <c r="I11" s="8"/>
      <c r="J11" s="7"/>
      <c r="K11" s="12"/>
      <c r="L11" s="8"/>
      <c r="M11" s="8">
        <f t="shared" si="2"/>
        <v>0</v>
      </c>
      <c r="N11" s="7"/>
      <c r="O11" s="7"/>
      <c r="P11" s="12"/>
      <c r="Q11" s="8">
        <f t="shared" si="3"/>
        <v>0</v>
      </c>
      <c r="R11" s="8"/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8"/>
      <c r="G12" s="7"/>
      <c r="H12" s="8">
        <v>100000</v>
      </c>
      <c r="I12" s="8">
        <v>2000</v>
      </c>
      <c r="J12" s="7" t="s">
        <v>9</v>
      </c>
      <c r="K12" s="12"/>
      <c r="L12" s="8"/>
      <c r="M12" s="8">
        <f t="shared" si="2"/>
        <v>0</v>
      </c>
      <c r="N12" s="7"/>
      <c r="O12" s="7"/>
      <c r="P12" s="12"/>
      <c r="Q12" s="8">
        <f t="shared" si="3"/>
        <v>0</v>
      </c>
      <c r="R12" s="8"/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ref="D13" si="5">IF(E13="ESPECES",0,0)</f>
        <v>0</v>
      </c>
      <c r="E13" s="7" t="s">
        <v>14</v>
      </c>
      <c r="F13" s="8"/>
      <c r="G13" s="7"/>
      <c r="H13" s="8"/>
      <c r="I13" s="8"/>
      <c r="J13" s="7"/>
      <c r="K13" s="12"/>
      <c r="L13" s="8"/>
      <c r="M13" s="8">
        <f t="shared" si="2"/>
        <v>0</v>
      </c>
      <c r="N13" s="7"/>
      <c r="O13" s="7"/>
      <c r="P13" s="12"/>
      <c r="Q13" s="8">
        <f t="shared" si="3"/>
        <v>0</v>
      </c>
      <c r="R13" s="8"/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7" t="s">
        <v>9</v>
      </c>
      <c r="F14" s="8"/>
      <c r="G14" s="7"/>
      <c r="H14" s="8">
        <v>100000</v>
      </c>
      <c r="I14" s="8">
        <v>2000</v>
      </c>
      <c r="J14" s="7" t="s">
        <v>9</v>
      </c>
      <c r="K14" s="12"/>
      <c r="L14" s="8"/>
      <c r="M14" s="8">
        <f t="shared" si="2"/>
        <v>0</v>
      </c>
      <c r="N14" s="7"/>
      <c r="O14" s="7"/>
      <c r="P14" s="12"/>
      <c r="Q14" s="8">
        <f t="shared" si="3"/>
        <v>0</v>
      </c>
      <c r="R14" s="8"/>
      <c r="S14" s="45">
        <f t="shared" si="4"/>
        <v>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7"/>
      <c r="F15" s="8"/>
      <c r="G15" s="7"/>
      <c r="H15" s="8"/>
      <c r="I15" s="8"/>
      <c r="J15" s="7"/>
      <c r="K15" s="12"/>
      <c r="L15" s="8"/>
      <c r="M15" s="8">
        <f t="shared" si="2"/>
        <v>0</v>
      </c>
      <c r="N15" s="7"/>
      <c r="O15" s="7"/>
      <c r="P15" s="12"/>
      <c r="Q15" s="8">
        <f t="shared" si="3"/>
        <v>0</v>
      </c>
      <c r="R15" s="8"/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7"/>
      <c r="F16" s="8"/>
      <c r="G16" s="7"/>
      <c r="H16" s="8"/>
      <c r="I16" s="8"/>
      <c r="J16" s="7"/>
      <c r="K16" s="12"/>
      <c r="L16" s="8"/>
      <c r="M16" s="8">
        <f t="shared" si="2"/>
        <v>0</v>
      </c>
      <c r="N16" s="7"/>
      <c r="O16" s="7"/>
      <c r="P16" s="12"/>
      <c r="Q16" s="8">
        <f t="shared" si="3"/>
        <v>0</v>
      </c>
      <c r="R16" s="8"/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7" t="s">
        <v>9</v>
      </c>
      <c r="F17" s="8"/>
      <c r="G17" s="7"/>
      <c r="H17" s="8"/>
      <c r="I17" s="8"/>
      <c r="J17" s="7"/>
      <c r="K17" s="12"/>
      <c r="L17" s="8"/>
      <c r="M17" s="8">
        <f t="shared" si="2"/>
        <v>0</v>
      </c>
      <c r="N17" s="7"/>
      <c r="O17" s="7"/>
      <c r="P17" s="12"/>
      <c r="Q17" s="8">
        <f t="shared" si="3"/>
        <v>0</v>
      </c>
      <c r="R17" s="8"/>
      <c r="S17" s="45">
        <f t="shared" si="4"/>
        <v>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7"/>
      <c r="F18" s="8"/>
      <c r="G18" s="7"/>
      <c r="H18" s="8"/>
      <c r="I18" s="8"/>
      <c r="J18" s="7"/>
      <c r="K18" s="12"/>
      <c r="L18" s="8"/>
      <c r="M18" s="8">
        <f t="shared" si="2"/>
        <v>0</v>
      </c>
      <c r="N18" s="7"/>
      <c r="O18" s="7"/>
      <c r="P18" s="12"/>
      <c r="Q18" s="8">
        <f t="shared" si="3"/>
        <v>0</v>
      </c>
      <c r="R18" s="8"/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8"/>
      <c r="G19" s="7"/>
      <c r="H19" s="8">
        <v>50000</v>
      </c>
      <c r="I19" s="8">
        <v>1000</v>
      </c>
      <c r="J19" s="7" t="s">
        <v>9</v>
      </c>
      <c r="K19" s="7"/>
      <c r="L19" s="8"/>
      <c r="M19" s="8">
        <f t="shared" si="2"/>
        <v>0</v>
      </c>
      <c r="N19" s="7"/>
      <c r="O19" s="7"/>
      <c r="P19" s="12"/>
      <c r="Q19" s="8">
        <f t="shared" si="3"/>
        <v>0</v>
      </c>
      <c r="R19" s="8"/>
      <c r="S19" s="45">
        <f t="shared" si="4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ref="D20:D24" si="6">IF(E20="ESPECES",0,0)</f>
        <v>0</v>
      </c>
      <c r="E20" s="7" t="s">
        <v>9</v>
      </c>
      <c r="F20" s="8"/>
      <c r="G20" s="7"/>
      <c r="H20" s="8"/>
      <c r="I20" s="8"/>
      <c r="J20" s="7"/>
      <c r="K20" s="7"/>
      <c r="L20" s="8"/>
      <c r="M20" s="8">
        <f t="shared" si="2"/>
        <v>0</v>
      </c>
      <c r="N20" s="7"/>
      <c r="O20" s="7"/>
      <c r="P20" s="12"/>
      <c r="Q20" s="8">
        <f t="shared" si="3"/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6"/>
        <v>0</v>
      </c>
      <c r="E21" s="7" t="s">
        <v>9</v>
      </c>
      <c r="F21" s="8"/>
      <c r="G21" s="7"/>
      <c r="H21" s="8"/>
      <c r="I21" s="8"/>
      <c r="J21" s="7"/>
      <c r="K21" s="7"/>
      <c r="L21" s="8"/>
      <c r="M21" s="8">
        <f t="shared" si="2"/>
        <v>0</v>
      </c>
      <c r="N21" s="7"/>
      <c r="O21" s="7"/>
      <c r="P21" s="12"/>
      <c r="Q21" s="8">
        <f t="shared" si="3"/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 t="shared" si="0"/>
        <v>0</v>
      </c>
      <c r="D22" s="8">
        <f t="shared" si="6"/>
        <v>0</v>
      </c>
      <c r="E22" s="7" t="s">
        <v>8</v>
      </c>
      <c r="F22" s="8"/>
      <c r="G22" s="7"/>
      <c r="H22" s="8"/>
      <c r="I22" s="8"/>
      <c r="J22" s="7"/>
      <c r="K22" s="7"/>
      <c r="L22" s="8">
        <f t="shared" ref="L22" si="7">M22</f>
        <v>0</v>
      </c>
      <c r="M22" s="8">
        <f>+TONTJUIL!H21+TONTJUIL!I21</f>
        <v>0</v>
      </c>
      <c r="N22" s="7"/>
      <c r="O22" s="7"/>
      <c r="P22" s="12"/>
      <c r="Q22" s="8">
        <f t="shared" si="3"/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6"/>
        <v>0</v>
      </c>
      <c r="E23" s="7" t="s">
        <v>9</v>
      </c>
      <c r="F23" s="8"/>
      <c r="G23" s="7"/>
      <c r="H23" s="8"/>
      <c r="I23" s="8"/>
      <c r="J23" s="7"/>
      <c r="K23" s="7"/>
      <c r="L23" s="8"/>
      <c r="M23" s="8">
        <f t="shared" si="2"/>
        <v>0</v>
      </c>
      <c r="N23" s="7"/>
      <c r="O23" s="7"/>
      <c r="P23" s="12"/>
      <c r="Q23" s="8">
        <f t="shared" si="3"/>
        <v>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6"/>
        <v>0</v>
      </c>
      <c r="E24" s="7"/>
      <c r="F24" s="8"/>
      <c r="G24" s="7"/>
      <c r="H24" s="8"/>
      <c r="I24" s="8"/>
      <c r="J24" s="7"/>
      <c r="K24" s="7"/>
      <c r="L24" s="8"/>
      <c r="M24" s="8">
        <f t="shared" si="2"/>
        <v>0</v>
      </c>
      <c r="N24" s="7"/>
      <c r="O24" s="7"/>
      <c r="P24" s="12"/>
      <c r="Q24" s="8">
        <f t="shared" si="3"/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0</v>
      </c>
      <c r="G26" s="21"/>
      <c r="H26" s="21">
        <f>SUM(H6:H24)</f>
        <v>350000</v>
      </c>
      <c r="I26" s="21">
        <f>SUM(I6:I24)</f>
        <v>7000</v>
      </c>
      <c r="J26" s="21"/>
      <c r="K26" s="21">
        <f>SUM(K6:K24)</f>
        <v>0</v>
      </c>
      <c r="L26" s="21">
        <f>SUM(L6:L24)</f>
        <v>0</v>
      </c>
      <c r="M26" s="21">
        <f>SUM(M6:M24)</f>
        <v>0</v>
      </c>
      <c r="N26" s="21"/>
      <c r="O26" s="21">
        <f>SUM(O6:O24)</f>
        <v>0</v>
      </c>
      <c r="P26" s="21">
        <f>SUM(P6:P24)</f>
        <v>0</v>
      </c>
      <c r="Q26" s="21">
        <f>SUM(Q6:Q24)</f>
        <v>1000000</v>
      </c>
      <c r="R26" s="21">
        <f>SUM(R6:R24)</f>
        <v>200000</v>
      </c>
      <c r="S26" s="21">
        <f>SUM(S6:S24)</f>
        <v>125000</v>
      </c>
      <c r="T26" s="17"/>
      <c r="U26" s="17"/>
      <c r="V26" s="17"/>
      <c r="W26" s="17"/>
      <c r="X26" s="17"/>
    </row>
    <row r="27" spans="1:24" ht="18" x14ac:dyDescent="0.25">
      <c r="A27" s="20"/>
      <c r="B27" s="20"/>
      <c r="C27" s="21"/>
      <c r="D27" s="21"/>
      <c r="E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17"/>
      <c r="T27" s="17"/>
      <c r="U27" s="17"/>
      <c r="V27" s="17"/>
      <c r="W27" s="17"/>
      <c r="X27" s="17"/>
    </row>
    <row r="28" spans="1:24" ht="18" x14ac:dyDescent="0.25">
      <c r="A28" s="20"/>
      <c r="B28" s="20"/>
      <c r="C28" s="21"/>
      <c r="D28" s="21"/>
      <c r="E28" s="21"/>
      <c r="F28" s="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7"/>
      <c r="T28" s="17"/>
      <c r="U28" s="17"/>
      <c r="V28" s="17"/>
      <c r="W28" s="17"/>
      <c r="X28" s="17"/>
    </row>
    <row r="29" spans="1:24" ht="18" x14ac:dyDescent="0.25">
      <c r="A29" s="20"/>
      <c r="B29" s="20"/>
      <c r="C29" s="21"/>
      <c r="D29" s="21"/>
      <c r="E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17"/>
      <c r="T29" s="17"/>
      <c r="U29" s="17"/>
      <c r="V29" s="17"/>
      <c r="W29" s="17"/>
      <c r="X29" s="17"/>
    </row>
    <row r="30" spans="1:24" ht="18" x14ac:dyDescent="0.25">
      <c r="C30" s="22" t="s">
        <v>16</v>
      </c>
      <c r="F30" s="9"/>
      <c r="K30" s="2"/>
      <c r="L30" s="3"/>
      <c r="M30" s="3"/>
      <c r="P30"/>
      <c r="Q30"/>
    </row>
    <row r="31" spans="1:24" ht="43.5" x14ac:dyDescent="0.25">
      <c r="C31" s="23" t="s">
        <v>17</v>
      </c>
      <c r="D31" s="6" t="s">
        <v>22</v>
      </c>
      <c r="E31" s="6" t="s">
        <v>25</v>
      </c>
      <c r="F31" s="6" t="s">
        <v>27</v>
      </c>
      <c r="G31" s="6" t="s">
        <v>28</v>
      </c>
      <c r="H31" s="3"/>
      <c r="I31" s="9" t="s">
        <v>35</v>
      </c>
      <c r="J31" s="9">
        <f>C36+D36+R26</f>
        <v>1550000</v>
      </c>
      <c r="K31" s="9"/>
      <c r="L31" s="9"/>
      <c r="P31"/>
      <c r="Q31"/>
    </row>
    <row r="32" spans="1:24" ht="18" x14ac:dyDescent="0.25">
      <c r="C32" s="22"/>
      <c r="G32"/>
      <c r="H32" s="3"/>
      <c r="I32" s="9" t="s">
        <v>55</v>
      </c>
      <c r="J32" s="9">
        <f>IF(J31&gt;=2400000,1200000*2,1200000)</f>
        <v>1200000</v>
      </c>
      <c r="K32" s="9"/>
      <c r="L32" s="32"/>
      <c r="P32"/>
      <c r="Q32"/>
    </row>
    <row r="33" spans="2:17" ht="18" x14ac:dyDescent="0.25">
      <c r="B33" s="9" t="s">
        <v>14</v>
      </c>
      <c r="C33" s="21">
        <f>SUMIFS(C6:C24,E6:E24,"ESPECES")</f>
        <v>225000</v>
      </c>
      <c r="D33" s="21">
        <f>SUMIFS(D6:D24,F6:F24,"ESPECES")</f>
        <v>0</v>
      </c>
      <c r="E33" s="9">
        <f>SUMIFS(H6:H24,J6:J24,"ESPECES")</f>
        <v>0</v>
      </c>
      <c r="F33" s="9">
        <f>SUMIFS(Q6:Q24,O6:O24,"ESPECES")</f>
        <v>0</v>
      </c>
      <c r="G33" s="9">
        <f>C33+D33-E33-F33</f>
        <v>225000</v>
      </c>
      <c r="H33" s="3"/>
      <c r="I33" s="2"/>
      <c r="J33"/>
      <c r="K33"/>
      <c r="L33" s="9"/>
      <c r="O33" s="9"/>
      <c r="P33"/>
      <c r="Q33"/>
    </row>
    <row r="34" spans="2:17" ht="18" x14ac:dyDescent="0.25">
      <c r="B34" s="9" t="s">
        <v>9</v>
      </c>
      <c r="C34" s="21">
        <f>SUMIFS(C6:C24,E6:E24,"BANQUE")</f>
        <v>1125000</v>
      </c>
      <c r="D34" s="9"/>
      <c r="E34" s="9">
        <f>SUMIFS(H6:H24,J6:J24,"BANQUE")</f>
        <v>350000</v>
      </c>
      <c r="F34" s="9">
        <f>SUMIFS(Q6:Q24,O6:O24,"BANQUE")</f>
        <v>1000000</v>
      </c>
      <c r="G34" s="9">
        <f>C34+D34-E34-F34</f>
        <v>-225000</v>
      </c>
      <c r="H34" s="3"/>
      <c r="I34" s="9" t="s">
        <v>33</v>
      </c>
      <c r="J34" s="9">
        <f>J31-J32</f>
        <v>350000</v>
      </c>
      <c r="K34" s="9"/>
      <c r="L34" s="3"/>
      <c r="O34" s="9"/>
      <c r="P34"/>
      <c r="Q34"/>
    </row>
    <row r="35" spans="2:17" ht="18" x14ac:dyDescent="0.25">
      <c r="B35" s="9"/>
      <c r="C35" s="21"/>
      <c r="E35"/>
      <c r="F35" s="9"/>
      <c r="G35" s="9"/>
      <c r="H35" s="3"/>
      <c r="I35" s="2"/>
      <c r="J35"/>
      <c r="K35"/>
      <c r="L35" s="3"/>
      <c r="O35" s="9"/>
      <c r="P35"/>
      <c r="Q35"/>
    </row>
    <row r="36" spans="2:17" ht="18" x14ac:dyDescent="0.25">
      <c r="B36" s="9" t="s">
        <v>13</v>
      </c>
      <c r="C36" s="21">
        <f>C33+C34</f>
        <v>1350000</v>
      </c>
      <c r="D36" s="21">
        <f t="shared" ref="D36:E36" si="8">D33+D34</f>
        <v>0</v>
      </c>
      <c r="E36" s="21">
        <f t="shared" si="8"/>
        <v>350000</v>
      </c>
      <c r="F36" s="21">
        <f>F33+F34</f>
        <v>1000000</v>
      </c>
      <c r="G36" s="21">
        <f>G33+G34</f>
        <v>0</v>
      </c>
      <c r="H36" s="3"/>
      <c r="I36" s="9" t="s">
        <v>56</v>
      </c>
      <c r="J36" s="9">
        <f>J34-H26</f>
        <v>0</v>
      </c>
      <c r="K36" s="9">
        <f>J36</f>
        <v>0</v>
      </c>
      <c r="L36" s="9" t="s">
        <v>57</v>
      </c>
      <c r="P36"/>
      <c r="Q36"/>
    </row>
    <row r="37" spans="2:17" ht="18" x14ac:dyDescent="0.25">
      <c r="B37" s="9"/>
      <c r="C37" s="21"/>
      <c r="D37" s="9"/>
      <c r="G37"/>
      <c r="H37" s="3"/>
      <c r="I37" s="2"/>
      <c r="J37"/>
      <c r="L37" s="3"/>
      <c r="P37"/>
      <c r="Q37"/>
    </row>
    <row r="38" spans="2:17" ht="18" x14ac:dyDescent="0.25">
      <c r="B38" s="9"/>
      <c r="C38" s="21"/>
      <c r="D38" s="9"/>
      <c r="G38"/>
      <c r="H38" s="3"/>
      <c r="I38" s="9" t="s">
        <v>52</v>
      </c>
      <c r="J38" s="9">
        <f>COUNTIFS(E6:E24,"ECHEC")*75000</f>
        <v>75000</v>
      </c>
      <c r="K38" s="9">
        <f>J38</f>
        <v>75000</v>
      </c>
      <c r="L38" s="9" t="s">
        <v>57</v>
      </c>
      <c r="P38"/>
      <c r="Q38"/>
    </row>
    <row r="39" spans="2:17" ht="18" x14ac:dyDescent="0.25">
      <c r="B39" s="9" t="s">
        <v>6</v>
      </c>
      <c r="C39" s="21">
        <v>1200000</v>
      </c>
      <c r="G39" s="9"/>
      <c r="H39" s="9"/>
      <c r="I39" s="9" t="s">
        <v>53</v>
      </c>
      <c r="J39" s="21">
        <f>SUMIFS(F6:F24,G6:G24,"ECHEC")</f>
        <v>0</v>
      </c>
      <c r="K39" s="9"/>
      <c r="L39" s="9" t="s">
        <v>57</v>
      </c>
      <c r="P39"/>
      <c r="Q39"/>
    </row>
    <row r="40" spans="2:17" ht="18" x14ac:dyDescent="0.25">
      <c r="B40" s="9"/>
      <c r="C40" s="21"/>
      <c r="E40" s="9"/>
      <c r="F40" s="9"/>
      <c r="G40" s="9"/>
      <c r="H40" s="9"/>
      <c r="L40" s="3"/>
      <c r="P40"/>
      <c r="Q40"/>
    </row>
    <row r="41" spans="2:17" ht="18" x14ac:dyDescent="0.25">
      <c r="C41" s="22"/>
      <c r="E41" s="9"/>
      <c r="F41" s="9"/>
      <c r="G41" s="9"/>
      <c r="H41" s="32"/>
      <c r="I41" s="2"/>
      <c r="J41"/>
      <c r="K41"/>
      <c r="L41" s="3"/>
      <c r="M41" s="3"/>
      <c r="P41"/>
      <c r="Q41"/>
    </row>
    <row r="42" spans="2:17" ht="18" x14ac:dyDescent="0.25">
      <c r="B42" s="6"/>
      <c r="C42" s="21"/>
      <c r="E42" s="2"/>
      <c r="G42"/>
      <c r="H42" s="9"/>
      <c r="I42" s="9"/>
      <c r="J42" s="9"/>
      <c r="K42"/>
      <c r="L42" s="3"/>
      <c r="M42" s="3"/>
      <c r="P42"/>
      <c r="Q42"/>
    </row>
    <row r="43" spans="2:17" ht="18" x14ac:dyDescent="0.25">
      <c r="B43" s="10"/>
      <c r="C43" s="21"/>
      <c r="E43" s="9"/>
      <c r="G43" s="9"/>
      <c r="H43" s="3"/>
      <c r="I43" s="2"/>
      <c r="J43"/>
      <c r="K43"/>
      <c r="L43" s="3"/>
      <c r="M43" s="3"/>
      <c r="P43"/>
      <c r="Q43"/>
    </row>
    <row r="44" spans="2:17" ht="18" x14ac:dyDescent="0.25">
      <c r="C44" s="22"/>
      <c r="E44" s="2"/>
      <c r="G44"/>
      <c r="H44" s="3"/>
      <c r="I44" s="9"/>
      <c r="J44" s="9"/>
      <c r="K44"/>
      <c r="L44" s="3"/>
      <c r="M44" s="3"/>
      <c r="P44"/>
      <c r="Q44"/>
    </row>
    <row r="45" spans="2:17" ht="18" x14ac:dyDescent="0.25">
      <c r="C45" s="22"/>
      <c r="E45" s="9"/>
      <c r="G45" s="9"/>
      <c r="H45" s="9"/>
      <c r="K45"/>
      <c r="L45" s="3"/>
      <c r="M45" s="3"/>
      <c r="P45"/>
      <c r="Q45"/>
    </row>
    <row r="46" spans="2:17" x14ac:dyDescent="0.25">
      <c r="C46" s="22"/>
      <c r="E46" s="2"/>
      <c r="H46" s="3"/>
      <c r="K46"/>
      <c r="L46" s="3"/>
      <c r="M46" s="3"/>
      <c r="P46"/>
      <c r="Q46"/>
    </row>
    <row r="47" spans="2:17" ht="18" x14ac:dyDescent="0.25">
      <c r="C47" s="22"/>
      <c r="E47" s="9"/>
      <c r="G47" s="9"/>
      <c r="H47" s="9"/>
      <c r="K47"/>
      <c r="L47" s="3"/>
      <c r="M47" s="3"/>
      <c r="P47"/>
      <c r="Q47"/>
    </row>
    <row r="48" spans="2:17" ht="18" x14ac:dyDescent="0.25">
      <c r="B48" s="9"/>
      <c r="C48" s="9"/>
      <c r="D48" s="9"/>
      <c r="E48" s="9"/>
      <c r="G48" s="9"/>
      <c r="H48" s="9"/>
    </row>
    <row r="49" spans="2:4" ht="18" x14ac:dyDescent="0.25">
      <c r="B49" s="9"/>
      <c r="C49" s="9"/>
      <c r="D49" s="9"/>
    </row>
    <row r="50" spans="2:4" ht="18" x14ac:dyDescent="0.25">
      <c r="B50" s="9"/>
      <c r="C50" s="9"/>
    </row>
    <row r="51" spans="2:4" ht="18" x14ac:dyDescent="0.25">
      <c r="B51" s="9"/>
      <c r="C51" s="9"/>
    </row>
    <row r="53" spans="2:4" ht="18" x14ac:dyDescent="0.25">
      <c r="B53" s="6"/>
      <c r="C53" s="9"/>
    </row>
    <row r="54" spans="2:4" ht="18" x14ac:dyDescent="0.25">
      <c r="B54" s="10"/>
      <c r="C54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6:O24 J6:K24 E6:E24 G6:G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S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6.7109375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44059</v>
      </c>
      <c r="D4" s="53"/>
      <c r="E4" s="53"/>
      <c r="F4" s="53"/>
      <c r="G4" s="53"/>
      <c r="H4" s="53"/>
      <c r="I4" s="53"/>
      <c r="J4" s="53"/>
      <c r="K4" s="53"/>
      <c r="L4" s="53"/>
      <c r="M4" s="25"/>
      <c r="N4" s="25"/>
      <c r="O4" s="25"/>
      <c r="P4" s="25"/>
      <c r="Q4" s="25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1" si="0">IF(E6="ECHEC",0,IF(E6="",0,75000))</f>
        <v>75000</v>
      </c>
      <c r="D6" s="14">
        <f t="shared" ref="D6:D24" si="1">IF(E6="ESPECES",0,0)</f>
        <v>0</v>
      </c>
      <c r="E6" s="7" t="s">
        <v>9</v>
      </c>
      <c r="F6" s="14">
        <f>TONTJUIL!F6</f>
        <v>0</v>
      </c>
      <c r="G6" s="7"/>
      <c r="H6" s="14"/>
      <c r="I6" s="14"/>
      <c r="J6" s="15"/>
      <c r="K6" s="12"/>
      <c r="L6" s="8">
        <f>M6</f>
        <v>0</v>
      </c>
      <c r="M6" s="8">
        <f>+TONTJUIL!H6+TONTJUIL!I6</f>
        <v>0</v>
      </c>
      <c r="N6" s="7"/>
      <c r="O6" s="15"/>
      <c r="P6" s="12"/>
      <c r="Q6" s="8">
        <f t="shared" ref="Q6:Q24" si="2">IF(R6=0,0,($C$36-R6))</f>
        <v>0</v>
      </c>
      <c r="R6" s="14"/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0</v>
      </c>
      <c r="D7" s="14">
        <f t="shared" si="1"/>
        <v>0</v>
      </c>
      <c r="E7" s="7"/>
      <c r="F7" s="14">
        <f>TONTJUIL!F7</f>
        <v>0</v>
      </c>
      <c r="G7" s="7"/>
      <c r="H7" s="14"/>
      <c r="I7" s="14"/>
      <c r="J7" s="15"/>
      <c r="K7" s="12"/>
      <c r="L7" s="8">
        <f t="shared" ref="L7:L8" si="3">M7</f>
        <v>0</v>
      </c>
      <c r="M7" s="8">
        <f>+TONTJUIL!H7+TONTJUIL!I7</f>
        <v>0</v>
      </c>
      <c r="N7" s="7"/>
      <c r="O7" s="15"/>
      <c r="P7" s="12"/>
      <c r="Q7" s="8">
        <f t="shared" si="2"/>
        <v>0</v>
      </c>
      <c r="R7" s="14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14">
        <f>TONTJUIL!F8</f>
        <v>0</v>
      </c>
      <c r="G8" s="7"/>
      <c r="H8" s="8">
        <v>100000</v>
      </c>
      <c r="I8" s="8">
        <v>2000</v>
      </c>
      <c r="J8" s="7" t="s">
        <v>14</v>
      </c>
      <c r="K8" s="12"/>
      <c r="L8" s="8">
        <f t="shared" si="3"/>
        <v>102000</v>
      </c>
      <c r="M8" s="8">
        <f>+TONTJUIL!H8+TONTJUIL!I8</f>
        <v>102000</v>
      </c>
      <c r="N8" s="7" t="s">
        <v>14</v>
      </c>
      <c r="O8" s="7"/>
      <c r="P8" s="12"/>
      <c r="Q8" s="8">
        <f t="shared" si="2"/>
        <v>0</v>
      </c>
      <c r="R8" s="8"/>
      <c r="S8" s="45">
        <f t="shared" si="4"/>
        <v>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14">
        <f>TONTJUIL!F9</f>
        <v>0</v>
      </c>
      <c r="G9" s="7"/>
      <c r="H9" s="8">
        <v>100000</v>
      </c>
      <c r="I9" s="8">
        <v>2000</v>
      </c>
      <c r="J9" s="7" t="s">
        <v>14</v>
      </c>
      <c r="K9" s="12"/>
      <c r="L9" s="8">
        <f t="shared" ref="L9:L24" si="5">M9</f>
        <v>0</v>
      </c>
      <c r="M9" s="8">
        <f>+TONTJUIL!H9+TONTJUIL!I9</f>
        <v>0</v>
      </c>
      <c r="N9" s="7"/>
      <c r="O9" s="7"/>
      <c r="P9" s="12"/>
      <c r="Q9" s="8">
        <f t="shared" si="2"/>
        <v>0</v>
      </c>
      <c r="R9" s="8"/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14">
        <f>TONTJUIL!F10</f>
        <v>0</v>
      </c>
      <c r="G10" s="7"/>
      <c r="H10" s="8"/>
      <c r="I10" s="8"/>
      <c r="J10" s="7"/>
      <c r="K10" s="12"/>
      <c r="L10" s="8">
        <f t="shared" si="5"/>
        <v>0</v>
      </c>
      <c r="M10" s="8">
        <f>+TONTJUIL!H10+TONTJUIL!I10</f>
        <v>0</v>
      </c>
      <c r="N10" s="7"/>
      <c r="O10" s="7"/>
      <c r="P10" s="12"/>
      <c r="Q10" s="8">
        <f t="shared" si="2"/>
        <v>0</v>
      </c>
      <c r="R10" s="8"/>
      <c r="S10" s="45">
        <f t="shared" si="4"/>
        <v>0</v>
      </c>
    </row>
    <row r="11" spans="1:19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14">
        <f>TONTJUIL!F11</f>
        <v>0</v>
      </c>
      <c r="G11" s="7"/>
      <c r="H11" s="8"/>
      <c r="I11" s="8"/>
      <c r="J11" s="7"/>
      <c r="K11" s="12"/>
      <c r="L11" s="8">
        <f t="shared" si="5"/>
        <v>0</v>
      </c>
      <c r="M11" s="8">
        <f>+TONTJUIL!H11+TONTJUIL!I11</f>
        <v>0</v>
      </c>
      <c r="N11" s="7"/>
      <c r="O11" s="7"/>
      <c r="P11" s="12"/>
      <c r="Q11" s="8">
        <f t="shared" si="2"/>
        <v>0</v>
      </c>
      <c r="R11" s="8"/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14">
        <v>106000</v>
      </c>
      <c r="G12" s="7" t="s">
        <v>8</v>
      </c>
      <c r="H12" s="8"/>
      <c r="I12" s="8"/>
      <c r="J12" s="7"/>
      <c r="K12" s="12"/>
      <c r="L12" s="8">
        <f t="shared" si="5"/>
        <v>102000</v>
      </c>
      <c r="M12" s="8">
        <f>+TONTJUIL!H12+TONTJUIL!I12</f>
        <v>102000</v>
      </c>
      <c r="N12" s="7" t="s">
        <v>8</v>
      </c>
      <c r="O12" s="7"/>
      <c r="P12" s="12"/>
      <c r="Q12" s="8">
        <f t="shared" si="2"/>
        <v>0</v>
      </c>
      <c r="R12" s="8"/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14">
        <f>TONTJUIL!F13</f>
        <v>0</v>
      </c>
      <c r="G13" s="7"/>
      <c r="H13" s="8"/>
      <c r="I13" s="8"/>
      <c r="J13" s="7"/>
      <c r="K13" s="12"/>
      <c r="L13" s="8">
        <f t="shared" si="5"/>
        <v>0</v>
      </c>
      <c r="M13" s="8">
        <f>+TONTJUIL!H13+TONTJUIL!I13</f>
        <v>0</v>
      </c>
      <c r="N13" s="7"/>
      <c r="O13" s="7"/>
      <c r="P13" s="12"/>
      <c r="Q13" s="8">
        <f t="shared" si="2"/>
        <v>0</v>
      </c>
      <c r="R13" s="8"/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7" t="s">
        <v>9</v>
      </c>
      <c r="F14" s="14">
        <f>TONTJUIL!F14</f>
        <v>0</v>
      </c>
      <c r="G14" s="7"/>
      <c r="H14" s="8">
        <v>100000</v>
      </c>
      <c r="I14" s="8">
        <v>2000</v>
      </c>
      <c r="J14" s="7" t="s">
        <v>14</v>
      </c>
      <c r="K14" s="12"/>
      <c r="L14" s="8">
        <f t="shared" si="5"/>
        <v>102000</v>
      </c>
      <c r="M14" s="8">
        <f>+TONTJUIL!H14+TONTJUIL!I14</f>
        <v>102000</v>
      </c>
      <c r="N14" s="7" t="s">
        <v>9</v>
      </c>
      <c r="O14" s="7" t="s">
        <v>9</v>
      </c>
      <c r="P14" s="12"/>
      <c r="Q14" s="8">
        <f t="shared" si="2"/>
        <v>1040000</v>
      </c>
      <c r="R14" s="8">
        <v>160000</v>
      </c>
      <c r="S14" s="45">
        <f t="shared" si="4"/>
        <v>85000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7"/>
      <c r="F15" s="14">
        <f>TONTJUIL!F15</f>
        <v>0</v>
      </c>
      <c r="G15" s="7"/>
      <c r="H15" s="8"/>
      <c r="I15" s="8"/>
      <c r="J15" s="7"/>
      <c r="K15" s="12"/>
      <c r="L15" s="8">
        <f t="shared" si="5"/>
        <v>0</v>
      </c>
      <c r="M15" s="8">
        <f>+TONTJUIL!H15+TONTJUIL!I15</f>
        <v>0</v>
      </c>
      <c r="N15" s="7"/>
      <c r="O15" s="7"/>
      <c r="P15" s="12"/>
      <c r="Q15" s="8">
        <f t="shared" si="2"/>
        <v>0</v>
      </c>
      <c r="R15" s="8"/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7"/>
      <c r="F16" s="14">
        <f>TONTJUIL!F16</f>
        <v>0</v>
      </c>
      <c r="G16" s="7"/>
      <c r="H16" s="8"/>
      <c r="I16" s="8"/>
      <c r="J16" s="7"/>
      <c r="K16" s="12"/>
      <c r="L16" s="8">
        <f t="shared" si="5"/>
        <v>0</v>
      </c>
      <c r="M16" s="8">
        <f>+TONTJUIL!H16+TONTJUIL!I16</f>
        <v>0</v>
      </c>
      <c r="N16" s="7"/>
      <c r="O16" s="7"/>
      <c r="P16" s="12"/>
      <c r="Q16" s="8">
        <f t="shared" si="2"/>
        <v>0</v>
      </c>
      <c r="R16" s="8"/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7" t="s">
        <v>9</v>
      </c>
      <c r="F17" s="14">
        <f>TONTJUIL!F17</f>
        <v>0</v>
      </c>
      <c r="G17" s="7"/>
      <c r="H17" s="8">
        <v>100000</v>
      </c>
      <c r="I17" s="8">
        <v>2000</v>
      </c>
      <c r="J17" s="7" t="s">
        <v>9</v>
      </c>
      <c r="K17" s="12"/>
      <c r="L17" s="8">
        <f t="shared" si="5"/>
        <v>0</v>
      </c>
      <c r="M17" s="8">
        <f>+TONTJUIL!H17+TONTJUIL!I17</f>
        <v>0</v>
      </c>
      <c r="N17" s="7"/>
      <c r="O17" s="7"/>
      <c r="P17" s="12"/>
      <c r="Q17" s="8">
        <f t="shared" si="2"/>
        <v>0</v>
      </c>
      <c r="R17" s="8"/>
      <c r="S17" s="45">
        <f t="shared" si="4"/>
        <v>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7"/>
      <c r="F18" s="14">
        <f>TONTJUIL!F18</f>
        <v>0</v>
      </c>
      <c r="G18" s="7"/>
      <c r="H18" s="8"/>
      <c r="I18" s="8"/>
      <c r="J18" s="7"/>
      <c r="K18" s="12"/>
      <c r="L18" s="8">
        <f t="shared" si="5"/>
        <v>0</v>
      </c>
      <c r="M18" s="8">
        <f>+TONTJUIL!H18+TONTJUIL!I18</f>
        <v>0</v>
      </c>
      <c r="N18" s="7"/>
      <c r="O18" s="7"/>
      <c r="P18" s="12"/>
      <c r="Q18" s="8">
        <f t="shared" si="2"/>
        <v>0</v>
      </c>
      <c r="R18" s="8"/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14">
        <f>TONTJUIL!F19</f>
        <v>0</v>
      </c>
      <c r="G19" s="7"/>
      <c r="H19" s="8">
        <v>100000</v>
      </c>
      <c r="I19" s="8">
        <v>2000</v>
      </c>
      <c r="J19" s="7" t="s">
        <v>9</v>
      </c>
      <c r="K19" s="7"/>
      <c r="L19" s="8">
        <f t="shared" si="5"/>
        <v>51000</v>
      </c>
      <c r="M19" s="8">
        <f>+TONTJUIL!H19+TONTJUIL!I19</f>
        <v>51000</v>
      </c>
      <c r="N19" s="7" t="s">
        <v>14</v>
      </c>
      <c r="O19" s="7"/>
      <c r="P19" s="12"/>
      <c r="Q19" s="8">
        <f t="shared" si="2"/>
        <v>0</v>
      </c>
      <c r="R19" s="8"/>
      <c r="S19" s="45">
        <f t="shared" si="4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14">
        <f>TONTJUIL!F20</f>
        <v>0</v>
      </c>
      <c r="G20" s="7"/>
      <c r="H20" s="8"/>
      <c r="I20" s="8"/>
      <c r="J20" s="7"/>
      <c r="K20" s="7"/>
      <c r="L20" s="8">
        <f t="shared" si="5"/>
        <v>0</v>
      </c>
      <c r="M20" s="8">
        <f>+TONTJUIL!H20+TONTJUIL!I20</f>
        <v>0</v>
      </c>
      <c r="N20" s="7"/>
      <c r="O20" s="7"/>
      <c r="P20" s="12"/>
      <c r="Q20" s="8">
        <f t="shared" si="2"/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14">
        <f>TONTJUIL!F21</f>
        <v>0</v>
      </c>
      <c r="G21" s="7"/>
      <c r="H21" s="8"/>
      <c r="I21" s="8"/>
      <c r="J21" s="7"/>
      <c r="K21" s="7"/>
      <c r="L21" s="8">
        <f t="shared" si="5"/>
        <v>0</v>
      </c>
      <c r="M21" s="8">
        <f>+TONTJUIL!H21+TONTJUIL!I21</f>
        <v>0</v>
      </c>
      <c r="N21" s="7"/>
      <c r="O21" s="7"/>
      <c r="P21" s="12"/>
      <c r="Q21" s="8">
        <f t="shared" si="2"/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161000</f>
        <v>161000</v>
      </c>
      <c r="D22" s="8">
        <f t="shared" ref="D22" si="6">IF(E22="ESPECES",0,0)</f>
        <v>0</v>
      </c>
      <c r="E22" s="7" t="s">
        <v>14</v>
      </c>
      <c r="F22" s="14">
        <f>TONTJUIL!F22</f>
        <v>0</v>
      </c>
      <c r="G22" s="7"/>
      <c r="H22" s="8"/>
      <c r="I22" s="8"/>
      <c r="J22" s="7"/>
      <c r="K22" s="7"/>
      <c r="L22" s="8">
        <f t="shared" si="5"/>
        <v>0</v>
      </c>
      <c r="M22" s="8">
        <f>+TONTJUIL!H21+TONTJUIL!I21</f>
        <v>0</v>
      </c>
      <c r="N22" s="7"/>
      <c r="O22" s="7"/>
      <c r="P22" s="12"/>
      <c r="Q22" s="8">
        <f t="shared" si="2"/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1"/>
        <v>0</v>
      </c>
      <c r="E23" s="7" t="s">
        <v>9</v>
      </c>
      <c r="F23" s="14">
        <f>TONTJUIL!F23</f>
        <v>0</v>
      </c>
      <c r="G23" s="7"/>
      <c r="H23" s="8"/>
      <c r="I23" s="8"/>
      <c r="J23" s="7"/>
      <c r="K23" s="7"/>
      <c r="L23" s="8">
        <f t="shared" si="5"/>
        <v>0</v>
      </c>
      <c r="M23" s="8">
        <f>+TONTJUIL!H23+TONTJUIL!I23</f>
        <v>0</v>
      </c>
      <c r="N23" s="7"/>
      <c r="O23" s="7"/>
      <c r="P23" s="12"/>
      <c r="Q23" s="8">
        <f t="shared" si="2"/>
        <v>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1"/>
        <v>0</v>
      </c>
      <c r="E24" s="7"/>
      <c r="F24" s="14">
        <f>TONTJUIL!F24</f>
        <v>0</v>
      </c>
      <c r="G24" s="7"/>
      <c r="H24" s="8"/>
      <c r="I24" s="8"/>
      <c r="J24" s="7"/>
      <c r="K24" s="7"/>
      <c r="L24" s="8">
        <f t="shared" si="5"/>
        <v>0</v>
      </c>
      <c r="M24" s="8">
        <f>+TONTJUIL!H24+TONTJUIL!I24</f>
        <v>0</v>
      </c>
      <c r="N24" s="7"/>
      <c r="O24" s="7"/>
      <c r="P24" s="12"/>
      <c r="Q24" s="8">
        <f t="shared" si="2"/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1436000</v>
      </c>
      <c r="D26" s="21">
        <f>SUM(D6:D24)</f>
        <v>0</v>
      </c>
      <c r="E26" s="21"/>
      <c r="F26" s="21">
        <f>SUM(F6:F24)</f>
        <v>106000</v>
      </c>
      <c r="G26" s="21"/>
      <c r="H26" s="21">
        <f>SUM(H6:H24)</f>
        <v>500000</v>
      </c>
      <c r="I26" s="21">
        <f>SUM(I6:I24)</f>
        <v>10000</v>
      </c>
      <c r="J26" s="21"/>
      <c r="K26" s="21">
        <f>SUM(K6:K24)</f>
        <v>0</v>
      </c>
      <c r="L26" s="21">
        <f>SUM(L6:L24)</f>
        <v>357000</v>
      </c>
      <c r="M26" s="21">
        <f>SUM(M6:M24)</f>
        <v>357000</v>
      </c>
      <c r="N26" s="21"/>
      <c r="O26" s="21">
        <f>SUM(O6:O24)</f>
        <v>0</v>
      </c>
      <c r="P26" s="21">
        <f>SUM(P6:P24)</f>
        <v>0</v>
      </c>
      <c r="Q26" s="21">
        <f>SUM(Q6:Q24)</f>
        <v>1040000</v>
      </c>
      <c r="R26" s="21">
        <f>SUM(R6:R24)</f>
        <v>160000</v>
      </c>
      <c r="S26" s="21">
        <f>SUM(S6:S24)</f>
        <v>85000</v>
      </c>
      <c r="T26" s="17"/>
      <c r="U26" s="17"/>
      <c r="V26" s="17"/>
      <c r="W26" s="17"/>
      <c r="X26" s="17"/>
    </row>
    <row r="27" spans="1:24" x14ac:dyDescent="0.25">
      <c r="C27" s="22" t="s">
        <v>16</v>
      </c>
      <c r="K27" s="2"/>
      <c r="L27" s="3"/>
      <c r="M27" s="3"/>
      <c r="P27"/>
      <c r="Q27"/>
      <c r="S27" s="17"/>
    </row>
    <row r="28" spans="1:24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H28" s="3"/>
      <c r="I28" s="9" t="s">
        <v>35</v>
      </c>
      <c r="J28" s="9">
        <f>C33+D33+R26</f>
        <v>1851000</v>
      </c>
      <c r="K28" s="9"/>
      <c r="L28" s="9"/>
      <c r="P28"/>
      <c r="Q28"/>
      <c r="S28" s="17"/>
    </row>
    <row r="29" spans="1:24" ht="18" x14ac:dyDescent="0.25">
      <c r="C29" s="22"/>
      <c r="G29"/>
      <c r="H29" s="3"/>
      <c r="I29" s="9" t="s">
        <v>55</v>
      </c>
      <c r="J29" s="9">
        <f>IF(J28&gt;=2400000,1200000*2,1200000)</f>
        <v>1200000</v>
      </c>
      <c r="K29" s="9"/>
      <c r="L29" s="32"/>
      <c r="P29"/>
      <c r="Q29"/>
      <c r="S29" s="17"/>
    </row>
    <row r="30" spans="1:24" ht="18" x14ac:dyDescent="0.25">
      <c r="B30" s="9" t="s">
        <v>14</v>
      </c>
      <c r="C30" s="21">
        <f>SUMIFS(C6:C24,E6:E24,"ESPECES")</f>
        <v>236000</v>
      </c>
      <c r="D30" s="9">
        <f>SUMIFS(L3:L21,N3:N21,"ESPECES")+SUMIFS(F3:F21,G3:G21,"ESPECES")</f>
        <v>153000</v>
      </c>
      <c r="E30" s="9">
        <f>SUMIFS(H6:H24,J6:J24,"ESPECES")</f>
        <v>300000</v>
      </c>
      <c r="F30" s="9">
        <f>SUMIFS(Q6:Q24,O6:O24,"ESPECES")</f>
        <v>0</v>
      </c>
      <c r="G30" s="9">
        <f>C30+D30-E30-F30</f>
        <v>89000</v>
      </c>
      <c r="H30" s="9">
        <f>+G30+TONTJUIL!G33</f>
        <v>314000</v>
      </c>
      <c r="I30" s="2"/>
      <c r="J30"/>
      <c r="K30"/>
      <c r="L30" s="9"/>
      <c r="O30" s="9"/>
      <c r="P30"/>
      <c r="Q30"/>
    </row>
    <row r="31" spans="1:24" ht="18" x14ac:dyDescent="0.25">
      <c r="B31" s="9" t="s">
        <v>9</v>
      </c>
      <c r="C31" s="21">
        <f>SUMIFS(C6:C24,E6:E24,"BANQUE")</f>
        <v>1200000</v>
      </c>
      <c r="D31" s="9">
        <f>SUMIFS(M3:M21,N3:N21,"BANQUE")+SUMIFS(F3:F21,G3:G21,"BANQUE")</f>
        <v>102000</v>
      </c>
      <c r="E31" s="9">
        <f>SUMIFS(H6:H24,J6:J24,"BANQUE")</f>
        <v>200000</v>
      </c>
      <c r="F31" s="9">
        <f>SUMIFS(Q6:Q24,O6:O24,"BANQUE")</f>
        <v>1040000</v>
      </c>
      <c r="G31" s="9">
        <f>C31+D31-E31-F31</f>
        <v>62000</v>
      </c>
      <c r="H31" s="9">
        <f>+G31+TONTJUIL!G34</f>
        <v>-163000</v>
      </c>
      <c r="I31" s="9" t="s">
        <v>33</v>
      </c>
      <c r="J31" s="9">
        <f>J28-J29</f>
        <v>651000</v>
      </c>
      <c r="K31" s="9"/>
      <c r="L31" s="3"/>
      <c r="O31" s="9"/>
      <c r="P31"/>
      <c r="Q31"/>
    </row>
    <row r="32" spans="1:24" ht="18" x14ac:dyDescent="0.25">
      <c r="B32" s="9"/>
      <c r="C32" s="21"/>
      <c r="E32"/>
      <c r="F32" s="9"/>
      <c r="G32" s="9"/>
      <c r="H32" s="3"/>
      <c r="I32" s="2"/>
      <c r="J32"/>
      <c r="K32"/>
      <c r="L32" s="3"/>
      <c r="O32" s="9"/>
      <c r="P32"/>
      <c r="Q32"/>
    </row>
    <row r="33" spans="2:17" ht="18" x14ac:dyDescent="0.25">
      <c r="B33" s="9" t="s">
        <v>13</v>
      </c>
      <c r="C33" s="21">
        <f>C30+C31</f>
        <v>1436000</v>
      </c>
      <c r="D33" s="21">
        <f>D30+D31</f>
        <v>255000</v>
      </c>
      <c r="E33" s="21">
        <f t="shared" ref="E33" si="7">E30+E31</f>
        <v>500000</v>
      </c>
      <c r="F33" s="21">
        <f>F30+F31</f>
        <v>1040000</v>
      </c>
      <c r="G33" s="21">
        <f>G30+G31</f>
        <v>151000</v>
      </c>
      <c r="H33" s="21">
        <f>H30+H31</f>
        <v>151000</v>
      </c>
      <c r="I33" s="9" t="s">
        <v>56</v>
      </c>
      <c r="J33" s="9">
        <f>J31-H26</f>
        <v>151000</v>
      </c>
      <c r="K33" s="9">
        <f>J33+TONTJUIL!K36</f>
        <v>151000</v>
      </c>
      <c r="L33" s="9" t="s">
        <v>57</v>
      </c>
      <c r="P33"/>
      <c r="Q33"/>
    </row>
    <row r="34" spans="2:17" ht="18" x14ac:dyDescent="0.25">
      <c r="B34" s="9"/>
      <c r="C34" s="21"/>
      <c r="D34" s="9"/>
      <c r="G34"/>
      <c r="H34" s="3"/>
      <c r="I34" s="2"/>
      <c r="J34"/>
      <c r="L34" s="3"/>
      <c r="P34"/>
      <c r="Q34"/>
    </row>
    <row r="35" spans="2:17" ht="18" x14ac:dyDescent="0.25">
      <c r="B35" s="9"/>
      <c r="C35" s="21"/>
      <c r="D35" s="9"/>
      <c r="G35"/>
      <c r="H35" s="3"/>
      <c r="I35" s="9" t="s">
        <v>52</v>
      </c>
      <c r="J35" s="9">
        <f>COUNTIFS(E6:E24,"ECHEC")*75000</f>
        <v>0</v>
      </c>
      <c r="K35" s="9">
        <f>J35+TONTJUIL!K38-75000</f>
        <v>0</v>
      </c>
      <c r="L35" s="9" t="s">
        <v>57</v>
      </c>
      <c r="P35"/>
      <c r="Q35"/>
    </row>
    <row r="36" spans="2:17" ht="18" x14ac:dyDescent="0.25">
      <c r="B36" s="9" t="s">
        <v>6</v>
      </c>
      <c r="C36" s="21">
        <v>1200000</v>
      </c>
      <c r="G36" s="9"/>
      <c r="H36" s="9"/>
      <c r="I36" s="9" t="s">
        <v>53</v>
      </c>
      <c r="J36" s="21">
        <f>SUMIFS(F6:F24,G6:G24,"ECHEC")</f>
        <v>106000</v>
      </c>
      <c r="K36" s="9"/>
      <c r="L36" s="9" t="s">
        <v>57</v>
      </c>
      <c r="P36"/>
      <c r="Q36"/>
    </row>
    <row r="37" spans="2:17" ht="18" x14ac:dyDescent="0.25">
      <c r="B37" s="9"/>
      <c r="C37" s="21"/>
      <c r="F37" s="9"/>
      <c r="I37" s="9"/>
      <c r="J37" s="9"/>
      <c r="K37"/>
      <c r="L37" s="3"/>
      <c r="M37" s="3"/>
      <c r="P37"/>
      <c r="Q37"/>
    </row>
    <row r="38" spans="2:17" x14ac:dyDescent="0.25">
      <c r="C38" s="22"/>
      <c r="F38" s="2"/>
      <c r="I38" s="2"/>
      <c r="J38"/>
      <c r="K38"/>
      <c r="L38" s="3"/>
      <c r="M38" s="3"/>
      <c r="P38"/>
      <c r="Q38"/>
    </row>
    <row r="39" spans="2:17" ht="18" x14ac:dyDescent="0.25">
      <c r="B39" s="6"/>
      <c r="C39" s="21"/>
      <c r="F39" s="9"/>
      <c r="I39" s="9"/>
      <c r="J39" s="9"/>
      <c r="K39"/>
      <c r="L39" s="3"/>
      <c r="M39" s="3"/>
      <c r="P39"/>
      <c r="Q39"/>
    </row>
    <row r="40" spans="2:17" ht="18" x14ac:dyDescent="0.25">
      <c r="B40" s="10"/>
      <c r="C40" s="21"/>
      <c r="F40" s="2"/>
      <c r="I40" s="2"/>
      <c r="J40"/>
      <c r="K40"/>
      <c r="L40" s="3"/>
      <c r="M40" s="3"/>
      <c r="P40"/>
      <c r="Q40"/>
    </row>
    <row r="41" spans="2:17" ht="18" x14ac:dyDescent="0.25">
      <c r="C41" s="22"/>
      <c r="F41" s="9"/>
      <c r="I41" s="9"/>
      <c r="J41" s="9"/>
      <c r="K41"/>
      <c r="L41" s="3"/>
      <c r="M41" s="3"/>
      <c r="P41"/>
      <c r="Q41"/>
    </row>
    <row r="42" spans="2:17" x14ac:dyDescent="0.25">
      <c r="C42" s="22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B45" s="9"/>
      <c r="C45" s="9"/>
      <c r="D45" s="9"/>
    </row>
    <row r="46" spans="2:17" ht="18" x14ac:dyDescent="0.25">
      <c r="B46" s="9"/>
      <c r="C46" s="9"/>
      <c r="D46" s="9"/>
    </row>
    <row r="47" spans="2:17" ht="18" x14ac:dyDescent="0.25">
      <c r="B47" s="9"/>
      <c r="C47" s="9"/>
    </row>
    <row r="48" spans="2:17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6:O24 J6:K24 E6:E24 G6:G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6.7109375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44094</v>
      </c>
      <c r="D4" s="53"/>
      <c r="E4" s="53"/>
      <c r="F4" s="53"/>
      <c r="G4" s="53"/>
      <c r="H4" s="53"/>
      <c r="I4" s="53"/>
      <c r="J4" s="53"/>
      <c r="K4" s="53"/>
      <c r="L4" s="53"/>
      <c r="M4" s="30"/>
      <c r="N4" s="30"/>
      <c r="O4" s="30"/>
      <c r="P4" s="30"/>
      <c r="Q4" s="30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2" si="0">IF(E6="ECHEC",0,IF(E6="",0,75000))</f>
        <v>75000</v>
      </c>
      <c r="D6" s="14">
        <f t="shared" ref="D6:D24" si="1">IF(E6="ESPECES",0,0)</f>
        <v>0</v>
      </c>
      <c r="E6" s="7" t="s">
        <v>9</v>
      </c>
      <c r="F6" s="14">
        <f>TONTAOUT!F6</f>
        <v>0</v>
      </c>
      <c r="G6" s="7"/>
      <c r="H6" s="14"/>
      <c r="I6" s="14"/>
      <c r="J6" s="15"/>
      <c r="K6" s="12"/>
      <c r="L6" s="8">
        <f>M6</f>
        <v>0</v>
      </c>
      <c r="M6" s="8">
        <f>+TONTAOUT!H6+TONTAOUT!I6</f>
        <v>0</v>
      </c>
      <c r="N6" s="7"/>
      <c r="O6" s="15"/>
      <c r="P6" s="12"/>
      <c r="Q6" s="8">
        <f t="shared" ref="Q6:Q24" si="2">IF(R6=0,0,($C$36-R6))</f>
        <v>0</v>
      </c>
      <c r="R6" s="14"/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0</v>
      </c>
      <c r="D7" s="14">
        <f t="shared" si="1"/>
        <v>0</v>
      </c>
      <c r="E7" s="7"/>
      <c r="F7" s="14">
        <f>TONTAOUT!F7</f>
        <v>0</v>
      </c>
      <c r="G7" s="7"/>
      <c r="H7" s="14"/>
      <c r="I7" s="14"/>
      <c r="J7" s="15"/>
      <c r="K7" s="12"/>
      <c r="L7" s="8">
        <f t="shared" ref="L7:L24" si="3">M7</f>
        <v>0</v>
      </c>
      <c r="M7" s="8">
        <f>+TONTAOUT!H7+TONTAOUT!I7</f>
        <v>0</v>
      </c>
      <c r="N7" s="7"/>
      <c r="O7" s="15"/>
      <c r="P7" s="12"/>
      <c r="Q7" s="8">
        <f t="shared" si="2"/>
        <v>0</v>
      </c>
      <c r="R7" s="14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7" t="s">
        <v>9</v>
      </c>
      <c r="F8" s="14">
        <f>TONTAOUT!F8</f>
        <v>0</v>
      </c>
      <c r="G8" s="7"/>
      <c r="H8" s="8">
        <v>50000</v>
      </c>
      <c r="I8" s="8">
        <v>1000</v>
      </c>
      <c r="J8" s="7" t="s">
        <v>9</v>
      </c>
      <c r="K8" s="12"/>
      <c r="L8" s="8">
        <f t="shared" si="3"/>
        <v>102000</v>
      </c>
      <c r="M8" s="8">
        <f>+TONTAOUT!H8+TONTAOUT!I8</f>
        <v>102000</v>
      </c>
      <c r="N8" s="7" t="s">
        <v>9</v>
      </c>
      <c r="O8" s="7"/>
      <c r="P8" s="12"/>
      <c r="Q8" s="8">
        <f t="shared" si="2"/>
        <v>0</v>
      </c>
      <c r="R8" s="8"/>
      <c r="S8" s="45">
        <f t="shared" si="4"/>
        <v>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14">
        <f>TONTAOUT!F9</f>
        <v>0</v>
      </c>
      <c r="G9" s="7"/>
      <c r="H9" s="8">
        <v>150000</v>
      </c>
      <c r="I9" s="8">
        <v>3000</v>
      </c>
      <c r="J9" s="7" t="s">
        <v>14</v>
      </c>
      <c r="K9" s="12"/>
      <c r="L9" s="8">
        <f t="shared" si="3"/>
        <v>102000</v>
      </c>
      <c r="M9" s="8">
        <f>+TONTAOUT!H9+TONTAOUT!I9</f>
        <v>102000</v>
      </c>
      <c r="N9" s="7" t="s">
        <v>9</v>
      </c>
      <c r="O9" s="7"/>
      <c r="P9" s="12"/>
      <c r="Q9" s="8">
        <f t="shared" si="2"/>
        <v>0</v>
      </c>
      <c r="R9" s="8"/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14">
        <f>TONTAOUT!F10</f>
        <v>0</v>
      </c>
      <c r="G10" s="7"/>
      <c r="H10" s="8"/>
      <c r="I10" s="8"/>
      <c r="J10" s="7"/>
      <c r="K10" s="12"/>
      <c r="L10" s="8">
        <f t="shared" si="3"/>
        <v>0</v>
      </c>
      <c r="M10" s="8">
        <f>+TONTAOUT!H10+TONTAOUT!I10</f>
        <v>0</v>
      </c>
      <c r="N10" s="7"/>
      <c r="O10" s="7"/>
      <c r="P10" s="12"/>
      <c r="Q10" s="8">
        <f t="shared" si="2"/>
        <v>0</v>
      </c>
      <c r="R10" s="8"/>
      <c r="S10" s="45">
        <f t="shared" si="4"/>
        <v>0</v>
      </c>
    </row>
    <row r="11" spans="1:19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14">
        <f>TONTAOUT!F11</f>
        <v>0</v>
      </c>
      <c r="G11" s="7"/>
      <c r="H11" s="8"/>
      <c r="I11" s="8"/>
      <c r="J11" s="7"/>
      <c r="K11" s="12"/>
      <c r="L11" s="8">
        <f t="shared" si="3"/>
        <v>0</v>
      </c>
      <c r="M11" s="8">
        <f>+TONTAOUT!H11+TONTAOUT!I11</f>
        <v>0</v>
      </c>
      <c r="N11" s="7"/>
      <c r="O11" s="7"/>
      <c r="P11" s="12"/>
      <c r="Q11" s="8">
        <f t="shared" si="2"/>
        <v>0</v>
      </c>
      <c r="R11" s="8"/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14">
        <f>TONTAOUT!F12</f>
        <v>106000</v>
      </c>
      <c r="G12" s="7" t="s">
        <v>9</v>
      </c>
      <c r="H12" s="8">
        <v>100000</v>
      </c>
      <c r="I12" s="8">
        <v>2000</v>
      </c>
      <c r="J12" s="7" t="s">
        <v>9</v>
      </c>
      <c r="K12" s="12"/>
      <c r="L12" s="8">
        <f t="shared" si="3"/>
        <v>0</v>
      </c>
      <c r="M12" s="8">
        <f>+TONTAOUT!H12+TONTAOUT!I12</f>
        <v>0</v>
      </c>
      <c r="N12" s="7"/>
      <c r="O12" s="7"/>
      <c r="P12" s="12"/>
      <c r="Q12" s="8">
        <f t="shared" si="2"/>
        <v>0</v>
      </c>
      <c r="R12" s="8"/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14">
        <f>TONTAOUT!F13</f>
        <v>0</v>
      </c>
      <c r="G13" s="7"/>
      <c r="H13" s="8"/>
      <c r="I13" s="8"/>
      <c r="J13" s="7"/>
      <c r="K13" s="12"/>
      <c r="L13" s="8">
        <f t="shared" si="3"/>
        <v>0</v>
      </c>
      <c r="M13" s="8">
        <f>+TONTAOUT!H13+TONTAOUT!I13</f>
        <v>0</v>
      </c>
      <c r="N13" s="7"/>
      <c r="O13" s="7"/>
      <c r="P13" s="12"/>
      <c r="Q13" s="8">
        <f t="shared" si="2"/>
        <v>0</v>
      </c>
      <c r="R13" s="8"/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7" t="s">
        <v>9</v>
      </c>
      <c r="F14" s="14">
        <f>TONTAOUT!F14</f>
        <v>0</v>
      </c>
      <c r="G14" s="7"/>
      <c r="H14" s="8">
        <v>100000</v>
      </c>
      <c r="I14" s="8">
        <v>2000</v>
      </c>
      <c r="J14" s="7" t="s">
        <v>9</v>
      </c>
      <c r="K14" s="12"/>
      <c r="L14" s="8">
        <f t="shared" si="3"/>
        <v>102000</v>
      </c>
      <c r="M14" s="8">
        <f>+TONTAOUT!H14+TONTAOUT!I14</f>
        <v>102000</v>
      </c>
      <c r="N14" s="7" t="s">
        <v>9</v>
      </c>
      <c r="O14" s="7"/>
      <c r="P14" s="12"/>
      <c r="Q14" s="8">
        <f t="shared" si="2"/>
        <v>0</v>
      </c>
      <c r="R14" s="8"/>
      <c r="S14" s="45">
        <f t="shared" si="4"/>
        <v>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7"/>
      <c r="F15" s="14">
        <f>TONTAOUT!F15</f>
        <v>0</v>
      </c>
      <c r="G15" s="7"/>
      <c r="H15" s="8"/>
      <c r="I15" s="8"/>
      <c r="J15" s="7"/>
      <c r="K15" s="12"/>
      <c r="L15" s="8">
        <f t="shared" si="3"/>
        <v>0</v>
      </c>
      <c r="M15" s="8">
        <f>+TONTAOUT!H15+TONTAOUT!I15</f>
        <v>0</v>
      </c>
      <c r="N15" s="7"/>
      <c r="O15" s="7"/>
      <c r="P15" s="12"/>
      <c r="Q15" s="8">
        <f t="shared" si="2"/>
        <v>0</v>
      </c>
      <c r="R15" s="8"/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7"/>
      <c r="F16" s="14">
        <f>TONTAOUT!F16</f>
        <v>0</v>
      </c>
      <c r="G16" s="7"/>
      <c r="H16" s="8"/>
      <c r="I16" s="8"/>
      <c r="J16" s="7"/>
      <c r="K16" s="12"/>
      <c r="L16" s="8">
        <f t="shared" si="3"/>
        <v>0</v>
      </c>
      <c r="M16" s="8">
        <f>+TONTAOUT!H16+TONTAOUT!I16</f>
        <v>0</v>
      </c>
      <c r="N16" s="7"/>
      <c r="O16" s="7"/>
      <c r="P16" s="12"/>
      <c r="Q16" s="8">
        <f t="shared" si="2"/>
        <v>0</v>
      </c>
      <c r="R16" s="8"/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7" t="s">
        <v>9</v>
      </c>
      <c r="F17" s="14">
        <v>106000</v>
      </c>
      <c r="G17" s="7" t="s">
        <v>8</v>
      </c>
      <c r="H17" s="8"/>
      <c r="I17" s="8"/>
      <c r="J17" s="7"/>
      <c r="K17" s="12"/>
      <c r="L17" s="8">
        <f t="shared" si="3"/>
        <v>102000</v>
      </c>
      <c r="M17" s="8">
        <f>+TONTAOUT!H17+TONTAOUT!I17</f>
        <v>102000</v>
      </c>
      <c r="N17" s="7" t="s">
        <v>8</v>
      </c>
      <c r="O17" s="7"/>
      <c r="P17" s="12"/>
      <c r="Q17" s="8">
        <f t="shared" si="2"/>
        <v>0</v>
      </c>
      <c r="R17" s="8"/>
      <c r="S17" s="45">
        <f t="shared" si="4"/>
        <v>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7"/>
      <c r="F18" s="14">
        <f>TONTAOUT!F18</f>
        <v>0</v>
      </c>
      <c r="G18" s="7"/>
      <c r="H18" s="8"/>
      <c r="I18" s="8"/>
      <c r="J18" s="7"/>
      <c r="K18" s="12"/>
      <c r="L18" s="8">
        <f t="shared" si="3"/>
        <v>0</v>
      </c>
      <c r="M18" s="8">
        <f>+TONTAOUT!H18+TONTAOUT!I18</f>
        <v>0</v>
      </c>
      <c r="N18" s="7"/>
      <c r="O18" s="7"/>
      <c r="P18" s="12"/>
      <c r="Q18" s="8">
        <f t="shared" si="2"/>
        <v>0</v>
      </c>
      <c r="R18" s="8"/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14">
        <f>TONTAOUT!F19</f>
        <v>0</v>
      </c>
      <c r="G19" s="7"/>
      <c r="H19" s="8">
        <v>100000</v>
      </c>
      <c r="I19" s="8">
        <v>2000</v>
      </c>
      <c r="J19" s="7" t="s">
        <v>9</v>
      </c>
      <c r="K19" s="7"/>
      <c r="L19" s="8">
        <f t="shared" si="3"/>
        <v>102000</v>
      </c>
      <c r="M19" s="8">
        <f>+TONTAOUT!H19+TONTAOUT!I19</f>
        <v>102000</v>
      </c>
      <c r="N19" s="7" t="s">
        <v>14</v>
      </c>
      <c r="O19" s="7" t="s">
        <v>9</v>
      </c>
      <c r="P19" s="12"/>
      <c r="Q19" s="8">
        <f t="shared" si="2"/>
        <v>1115000</v>
      </c>
      <c r="R19" s="8">
        <v>85000</v>
      </c>
      <c r="S19" s="45">
        <f t="shared" si="4"/>
        <v>10000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14">
        <f>TONTAOUT!F20</f>
        <v>0</v>
      </c>
      <c r="G20" s="7"/>
      <c r="H20" s="8"/>
      <c r="I20" s="8"/>
      <c r="J20" s="7"/>
      <c r="K20" s="7"/>
      <c r="L20" s="8">
        <f t="shared" si="3"/>
        <v>0</v>
      </c>
      <c r="M20" s="8">
        <f>+TONTAOUT!H20+TONTAOUT!I20</f>
        <v>0</v>
      </c>
      <c r="N20" s="7"/>
      <c r="O20" s="7"/>
      <c r="P20" s="12"/>
      <c r="Q20" s="8">
        <f t="shared" si="2"/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14">
        <f>TONTAOUT!F21</f>
        <v>0</v>
      </c>
      <c r="G21" s="7"/>
      <c r="H21" s="8"/>
      <c r="I21" s="8"/>
      <c r="J21" s="7"/>
      <c r="K21" s="7"/>
      <c r="L21" s="8">
        <f t="shared" si="3"/>
        <v>0</v>
      </c>
      <c r="M21" s="8">
        <f>+TONTAOUT!H21+TONTAOUT!I21</f>
        <v>0</v>
      </c>
      <c r="N21" s="7"/>
      <c r="O21" s="7"/>
      <c r="P21" s="12"/>
      <c r="Q21" s="8">
        <f t="shared" si="2"/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 t="shared" si="0"/>
        <v>75000</v>
      </c>
      <c r="D22" s="8">
        <f t="shared" si="1"/>
        <v>0</v>
      </c>
      <c r="E22" s="7" t="s">
        <v>9</v>
      </c>
      <c r="F22" s="14">
        <f>TONTAOUT!F22</f>
        <v>0</v>
      </c>
      <c r="G22" s="7"/>
      <c r="H22" s="8"/>
      <c r="I22" s="8"/>
      <c r="J22" s="7"/>
      <c r="K22" s="7"/>
      <c r="L22" s="8">
        <f t="shared" si="3"/>
        <v>0</v>
      </c>
      <c r="M22" s="8">
        <f>+TONTAOUT!H22+TONTAOUT!I22</f>
        <v>0</v>
      </c>
      <c r="N22" s="7"/>
      <c r="O22" s="7"/>
      <c r="P22" s="12"/>
      <c r="Q22" s="8">
        <f t="shared" si="2"/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1"/>
        <v>0</v>
      </c>
      <c r="E23" s="7" t="s">
        <v>9</v>
      </c>
      <c r="F23" s="14">
        <f>TONTAOUT!F23</f>
        <v>0</v>
      </c>
      <c r="G23" s="7"/>
      <c r="H23" s="8"/>
      <c r="I23" s="8"/>
      <c r="J23" s="7"/>
      <c r="K23" s="7"/>
      <c r="L23" s="8">
        <f t="shared" si="3"/>
        <v>0</v>
      </c>
      <c r="M23" s="8">
        <f>+TONTAOUT!H23+TONTAOUT!I23</f>
        <v>0</v>
      </c>
      <c r="N23" s="7"/>
      <c r="O23" s="7"/>
      <c r="P23" s="12"/>
      <c r="Q23" s="8">
        <f t="shared" si="2"/>
        <v>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1"/>
        <v>0</v>
      </c>
      <c r="E24" s="7"/>
      <c r="F24" s="14">
        <f>TONTAOUT!F24</f>
        <v>0</v>
      </c>
      <c r="G24" s="7"/>
      <c r="H24" s="8"/>
      <c r="I24" s="8"/>
      <c r="J24" s="7"/>
      <c r="K24" s="7"/>
      <c r="L24" s="8">
        <f t="shared" si="3"/>
        <v>0</v>
      </c>
      <c r="M24" s="8">
        <f>+TONTAOUT!H24+TONTAOUT!I24</f>
        <v>0</v>
      </c>
      <c r="N24" s="7"/>
      <c r="O24" s="7"/>
      <c r="P24" s="12"/>
      <c r="Q24" s="8">
        <f t="shared" si="2"/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212000</v>
      </c>
      <c r="G26" s="21"/>
      <c r="H26" s="21">
        <f>SUM(H6:H24)</f>
        <v>500000</v>
      </c>
      <c r="I26" s="21">
        <f>SUM(I6:I24)</f>
        <v>10000</v>
      </c>
      <c r="J26" s="21"/>
      <c r="K26" s="21">
        <f>SUM(K6:K24)</f>
        <v>0</v>
      </c>
      <c r="L26" s="21">
        <f>SUM(L6:L24)</f>
        <v>510000</v>
      </c>
      <c r="M26" s="21">
        <f>SUM(M6:M24)</f>
        <v>510000</v>
      </c>
      <c r="N26" s="21"/>
      <c r="O26" s="21">
        <f>SUM(O6:O24)</f>
        <v>0</v>
      </c>
      <c r="P26" s="21">
        <f>SUM(P6:P24)</f>
        <v>0</v>
      </c>
      <c r="Q26" s="21">
        <f>SUM(Q6:Q24)</f>
        <v>1115000</v>
      </c>
      <c r="R26" s="21">
        <f>SUM(R6:R24)</f>
        <v>85000</v>
      </c>
      <c r="S26" s="21">
        <f>SUM(S6:S24)</f>
        <v>10000</v>
      </c>
      <c r="T26" s="17"/>
      <c r="U26" s="17"/>
      <c r="V26" s="17"/>
      <c r="W26" s="17"/>
      <c r="X26" s="17"/>
    </row>
    <row r="27" spans="1:24" x14ac:dyDescent="0.25">
      <c r="C27" s="22" t="s">
        <v>16</v>
      </c>
      <c r="K27" s="2"/>
      <c r="L27" s="3"/>
      <c r="M27" s="3"/>
      <c r="P27"/>
      <c r="Q27"/>
      <c r="S27" s="17"/>
    </row>
    <row r="28" spans="1:24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H28" s="3"/>
      <c r="I28" s="9" t="s">
        <v>35</v>
      </c>
      <c r="J28" s="9">
        <f>C33+D33+R26</f>
        <v>1949000</v>
      </c>
      <c r="K28" s="9"/>
      <c r="L28" s="9"/>
      <c r="P28"/>
      <c r="Q28"/>
      <c r="S28" s="17"/>
    </row>
    <row r="29" spans="1:24" ht="18" x14ac:dyDescent="0.25">
      <c r="C29" s="22"/>
      <c r="G29"/>
      <c r="H29" s="3"/>
      <c r="I29" s="9" t="s">
        <v>55</v>
      </c>
      <c r="J29" s="9">
        <f>IF(J28&gt;=2400000,1200000*2,1200000)</f>
        <v>1200000</v>
      </c>
      <c r="K29" s="9"/>
      <c r="L29" s="32"/>
      <c r="P29"/>
      <c r="Q29"/>
      <c r="S29" s="17"/>
    </row>
    <row r="30" spans="1:24" ht="18" x14ac:dyDescent="0.25">
      <c r="B30" s="9" t="s">
        <v>14</v>
      </c>
      <c r="C30" s="21">
        <f>SUMIFS(C6:C24,E6:E24,"ESPECES")</f>
        <v>75000</v>
      </c>
      <c r="D30" s="9">
        <f>SUMIFS(L3:L21,N3:N21,"ESPECES")+SUMIFS(F3:F21,G3:G21,"ESPECES")</f>
        <v>102000</v>
      </c>
      <c r="E30" s="9">
        <f>SUMIFS(H6:H24,J6:J24,"ESPECES")</f>
        <v>150000</v>
      </c>
      <c r="F30" s="9">
        <f>SUMIFS(Q6:Q24,O6:O24,"ESPECES")</f>
        <v>0</v>
      </c>
      <c r="G30" s="9">
        <f>C30+D30-E30-F30</f>
        <v>27000</v>
      </c>
      <c r="H30" s="9">
        <f>G30+TONTAOUT!H30</f>
        <v>341000</v>
      </c>
      <c r="I30" s="2"/>
      <c r="J30"/>
      <c r="K30"/>
      <c r="L30" s="9"/>
      <c r="O30" s="9"/>
      <c r="P30"/>
      <c r="Q30"/>
    </row>
    <row r="31" spans="1:24" ht="18" x14ac:dyDescent="0.25">
      <c r="B31" s="9" t="s">
        <v>9</v>
      </c>
      <c r="C31" s="21">
        <f>SUMIFS(C6:C24,E6:E24,"BANQUE")</f>
        <v>1275000</v>
      </c>
      <c r="D31" s="9">
        <f>SUMIFS(M3:M21,N3:N21,"BANQUE")+SUMIFS(F3:F21,G3:G21,"BANQUE")</f>
        <v>412000</v>
      </c>
      <c r="E31" s="9">
        <f>SUMIFS(H6:H24,J6:J24,"BANQUE")</f>
        <v>350000</v>
      </c>
      <c r="F31" s="9">
        <f>SUMIFS(Q6:Q24,O6:O24,"BANQUE")</f>
        <v>1115000</v>
      </c>
      <c r="G31" s="9">
        <f>C31+D31-E31-F31</f>
        <v>222000</v>
      </c>
      <c r="H31" s="9">
        <f>G31+TONTAOUT!H31</f>
        <v>59000</v>
      </c>
      <c r="I31" s="9" t="s">
        <v>33</v>
      </c>
      <c r="J31" s="9">
        <f>J28-J29</f>
        <v>749000</v>
      </c>
      <c r="K31" s="9"/>
      <c r="L31" s="3"/>
      <c r="O31" s="9"/>
      <c r="P31"/>
      <c r="Q31"/>
    </row>
    <row r="32" spans="1:24" ht="18" x14ac:dyDescent="0.25">
      <c r="B32" s="9"/>
      <c r="C32" s="21"/>
      <c r="E32"/>
      <c r="F32" s="9"/>
      <c r="G32" s="9"/>
      <c r="H32" s="3"/>
      <c r="I32" s="2"/>
      <c r="J32"/>
      <c r="K32"/>
      <c r="L32" s="3"/>
      <c r="O32" s="9"/>
      <c r="P32"/>
      <c r="Q32"/>
    </row>
    <row r="33" spans="2:17" ht="18" x14ac:dyDescent="0.25">
      <c r="B33" s="9" t="s">
        <v>13</v>
      </c>
      <c r="C33" s="21">
        <f>C30+C31</f>
        <v>1350000</v>
      </c>
      <c r="D33" s="21">
        <f>D30+D31</f>
        <v>514000</v>
      </c>
      <c r="E33" s="21">
        <f t="shared" ref="E33" si="5">E30+E31</f>
        <v>500000</v>
      </c>
      <c r="F33" s="21">
        <f>F30+F31</f>
        <v>1115000</v>
      </c>
      <c r="G33" s="21">
        <f>G30+G31</f>
        <v>249000</v>
      </c>
      <c r="H33" s="21">
        <f>H30+H31</f>
        <v>400000</v>
      </c>
      <c r="I33" s="9" t="s">
        <v>56</v>
      </c>
      <c r="J33" s="9">
        <f>J31-H26</f>
        <v>249000</v>
      </c>
      <c r="K33" s="9">
        <f>J33+TONTAOUT!K33</f>
        <v>400000</v>
      </c>
      <c r="L33" s="9" t="s">
        <v>57</v>
      </c>
      <c r="P33"/>
      <c r="Q33"/>
    </row>
    <row r="34" spans="2:17" ht="18" x14ac:dyDescent="0.25">
      <c r="B34" s="9"/>
      <c r="C34" s="21"/>
      <c r="D34" s="9"/>
      <c r="G34"/>
      <c r="H34" s="3"/>
      <c r="I34" s="2"/>
      <c r="J34"/>
      <c r="L34" s="3"/>
      <c r="P34"/>
      <c r="Q34"/>
    </row>
    <row r="35" spans="2:17" ht="18" x14ac:dyDescent="0.25">
      <c r="B35" s="9"/>
      <c r="C35" s="21"/>
      <c r="D35" s="9"/>
      <c r="G35"/>
      <c r="H35" s="3"/>
      <c r="I35" s="9" t="s">
        <v>52</v>
      </c>
      <c r="J35" s="9">
        <f>COUNTIFS(E3:E21,"ECHEC")*75000</f>
        <v>0</v>
      </c>
      <c r="K35" s="9">
        <f>J35+TONTAOUT!K35</f>
        <v>0</v>
      </c>
      <c r="L35" s="9" t="s">
        <v>57</v>
      </c>
      <c r="P35"/>
      <c r="Q35"/>
    </row>
    <row r="36" spans="2:17" ht="18" x14ac:dyDescent="0.25">
      <c r="B36" s="9" t="s">
        <v>6</v>
      </c>
      <c r="C36" s="21">
        <v>1200000</v>
      </c>
      <c r="G36" s="9"/>
      <c r="H36" s="9"/>
      <c r="I36" s="9" t="s">
        <v>53</v>
      </c>
      <c r="J36" s="21">
        <f>SUMIFS(F3:F21,G3:G21,"ECHEC")</f>
        <v>106000</v>
      </c>
      <c r="K36" s="9"/>
      <c r="L36" s="9" t="s">
        <v>57</v>
      </c>
      <c r="P36"/>
      <c r="Q36"/>
    </row>
    <row r="37" spans="2:17" ht="18" x14ac:dyDescent="0.25">
      <c r="B37" s="9"/>
      <c r="C37" s="21"/>
      <c r="F37" s="9"/>
      <c r="I37" s="9"/>
      <c r="J37" s="9"/>
      <c r="K37"/>
      <c r="L37" s="3"/>
      <c r="M37" s="3"/>
      <c r="P37"/>
      <c r="Q37"/>
    </row>
    <row r="38" spans="2:17" x14ac:dyDescent="0.25">
      <c r="C38" s="22"/>
      <c r="F38" s="2"/>
      <c r="I38" s="2"/>
      <c r="J38"/>
      <c r="K38"/>
      <c r="L38" s="3"/>
      <c r="M38" s="3"/>
      <c r="P38"/>
      <c r="Q38"/>
    </row>
    <row r="39" spans="2:17" ht="18" x14ac:dyDescent="0.25">
      <c r="B39" s="6"/>
      <c r="C39" s="21"/>
      <c r="F39" s="9"/>
      <c r="I39" s="9"/>
      <c r="J39" s="9"/>
      <c r="K39"/>
      <c r="L39" s="3"/>
      <c r="M39" s="3"/>
      <c r="P39"/>
      <c r="Q39"/>
    </row>
    <row r="40" spans="2:17" ht="18" x14ac:dyDescent="0.25">
      <c r="B40" s="10"/>
      <c r="C40" s="21"/>
      <c r="F40" s="2"/>
      <c r="I40" s="2"/>
      <c r="J40"/>
      <c r="K40"/>
      <c r="L40" s="3"/>
      <c r="M40" s="3"/>
      <c r="P40"/>
      <c r="Q40"/>
    </row>
    <row r="41" spans="2:17" ht="18" x14ac:dyDescent="0.25">
      <c r="C41" s="22"/>
      <c r="F41" s="9"/>
      <c r="I41" s="9"/>
      <c r="J41" s="9"/>
      <c r="K41"/>
      <c r="L41" s="3"/>
      <c r="M41" s="3"/>
      <c r="P41"/>
      <c r="Q41"/>
    </row>
    <row r="42" spans="2:17" x14ac:dyDescent="0.25">
      <c r="C42" s="22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B45" s="9"/>
      <c r="C45" s="9"/>
      <c r="D45" s="9"/>
    </row>
    <row r="46" spans="2:17" ht="18" x14ac:dyDescent="0.25">
      <c r="B46" s="9"/>
      <c r="C46" s="9"/>
      <c r="D46" s="9"/>
    </row>
    <row r="47" spans="2:17" ht="18" x14ac:dyDescent="0.25">
      <c r="B47" s="9"/>
      <c r="C47" s="9"/>
    </row>
    <row r="48" spans="2:17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6:O24 J6:K24 E6:E24 G6:G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44122</v>
      </c>
      <c r="D4" s="53"/>
      <c r="E4" s="53"/>
      <c r="F4" s="53"/>
      <c r="G4" s="53"/>
      <c r="H4" s="53"/>
      <c r="I4" s="53"/>
      <c r="J4" s="53"/>
      <c r="K4" s="53"/>
      <c r="L4" s="53"/>
      <c r="M4" s="26"/>
      <c r="N4" s="26"/>
      <c r="O4" s="26"/>
      <c r="P4" s="26"/>
      <c r="Q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2" si="0">IF(E6="ECHEC",0,IF(E6="",0,75000))</f>
        <v>75000</v>
      </c>
      <c r="D6" s="14">
        <f t="shared" ref="D6:D24" si="1">IF(E6="ESPECES",0,0)</f>
        <v>0</v>
      </c>
      <c r="E6" s="7" t="s">
        <v>9</v>
      </c>
      <c r="F6" s="14">
        <f>TONTSEPT!F6</f>
        <v>0</v>
      </c>
      <c r="G6" s="7"/>
      <c r="H6" s="14"/>
      <c r="I6" s="14"/>
      <c r="J6" s="15"/>
      <c r="K6" s="12"/>
      <c r="L6" s="8">
        <f>M6</f>
        <v>0</v>
      </c>
      <c r="M6" s="8">
        <f>TONTSEPT!H6+TONTSEPT!I6</f>
        <v>0</v>
      </c>
      <c r="N6" s="7"/>
      <c r="O6" s="15"/>
      <c r="P6" s="12"/>
      <c r="Q6" s="8">
        <f>IF(R6=0,0,($C$36-R6))</f>
        <v>0</v>
      </c>
      <c r="R6" s="14"/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0</v>
      </c>
      <c r="D7" s="14">
        <f t="shared" si="1"/>
        <v>0</v>
      </c>
      <c r="E7" s="7"/>
      <c r="F7" s="14">
        <f>TONTSEPT!F7</f>
        <v>0</v>
      </c>
      <c r="G7" s="7"/>
      <c r="H7" s="14"/>
      <c r="I7" s="14"/>
      <c r="J7" s="15"/>
      <c r="K7" s="12"/>
      <c r="L7" s="8">
        <f t="shared" ref="L7:L24" si="2">M7</f>
        <v>0</v>
      </c>
      <c r="M7" s="8">
        <f>TONTSEPT!H7+TONTSEPT!I7</f>
        <v>0</v>
      </c>
      <c r="N7" s="7"/>
      <c r="O7" s="15"/>
      <c r="P7" s="12"/>
      <c r="Q7" s="8">
        <f t="shared" ref="Q7:Q24" si="3">IF(R7=0,0,($C$36-R7))</f>
        <v>0</v>
      </c>
      <c r="R7" s="14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8">
        <f t="shared" si="1"/>
        <v>0</v>
      </c>
      <c r="E8" s="7" t="s">
        <v>9</v>
      </c>
      <c r="F8" s="14">
        <f>TONTSEPT!F8</f>
        <v>0</v>
      </c>
      <c r="G8" s="7"/>
      <c r="H8" s="8">
        <v>66500</v>
      </c>
      <c r="I8" s="8">
        <v>4500</v>
      </c>
      <c r="J8" s="7"/>
      <c r="K8" s="12"/>
      <c r="L8" s="8">
        <f t="shared" si="2"/>
        <v>51000</v>
      </c>
      <c r="M8" s="8">
        <f>TONTSEPT!H8+TONTSEPT!I8</f>
        <v>51000</v>
      </c>
      <c r="N8" s="7" t="s">
        <v>9</v>
      </c>
      <c r="O8" s="7"/>
      <c r="P8" s="12"/>
      <c r="Q8" s="8">
        <f t="shared" si="3"/>
        <v>0</v>
      </c>
      <c r="R8" s="8"/>
      <c r="S8" s="45">
        <f t="shared" si="4"/>
        <v>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7" t="s">
        <v>9</v>
      </c>
      <c r="F9" s="14">
        <f>TONTSEPT!F9</f>
        <v>0</v>
      </c>
      <c r="G9" s="7"/>
      <c r="H9" s="8"/>
      <c r="I9" s="8"/>
      <c r="J9" s="7"/>
      <c r="K9" s="12"/>
      <c r="L9" s="8">
        <f t="shared" si="2"/>
        <v>153000</v>
      </c>
      <c r="M9" s="8">
        <f>TONTSEPT!H9+TONTSEPT!I9</f>
        <v>153000</v>
      </c>
      <c r="N9" s="7" t="s">
        <v>9</v>
      </c>
      <c r="O9" s="7"/>
      <c r="P9" s="12"/>
      <c r="Q9" s="8">
        <f t="shared" si="3"/>
        <v>0</v>
      </c>
      <c r="R9" s="8"/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7" t="s">
        <v>9</v>
      </c>
      <c r="F10" s="14">
        <f>TONTSEPT!F10</f>
        <v>0</v>
      </c>
      <c r="G10" s="7"/>
      <c r="H10" s="8"/>
      <c r="I10" s="8"/>
      <c r="J10" s="7"/>
      <c r="K10" s="12"/>
      <c r="L10" s="8">
        <f t="shared" si="2"/>
        <v>0</v>
      </c>
      <c r="M10" s="8">
        <f>TONTSEPT!H10+TONTSEPT!I10</f>
        <v>0</v>
      </c>
      <c r="N10" s="7"/>
      <c r="O10" s="7" t="s">
        <v>9</v>
      </c>
      <c r="P10" s="12"/>
      <c r="Q10" s="8">
        <f t="shared" si="3"/>
        <v>1125000</v>
      </c>
      <c r="R10" s="8">
        <v>75000</v>
      </c>
      <c r="S10" s="45">
        <f t="shared" si="4"/>
        <v>0</v>
      </c>
    </row>
    <row r="11" spans="1:19" ht="14.25" customHeight="1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7" t="s">
        <v>9</v>
      </c>
      <c r="F11" s="14">
        <f>TONTSEPT!F11</f>
        <v>0</v>
      </c>
      <c r="G11" s="7"/>
      <c r="H11" s="8"/>
      <c r="I11" s="8"/>
      <c r="J11" s="7"/>
      <c r="K11" s="12"/>
      <c r="L11" s="8">
        <f t="shared" si="2"/>
        <v>0</v>
      </c>
      <c r="M11" s="8">
        <f>TONTSEPT!H11+TONTSEPT!I11</f>
        <v>0</v>
      </c>
      <c r="N11" s="7"/>
      <c r="O11" s="7"/>
      <c r="P11" s="12"/>
      <c r="Q11" s="8">
        <f t="shared" si="3"/>
        <v>0</v>
      </c>
      <c r="R11" s="8"/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7" t="s">
        <v>9</v>
      </c>
      <c r="F12" s="14"/>
      <c r="G12" s="7"/>
      <c r="H12" s="8">
        <v>50000</v>
      </c>
      <c r="I12" s="8">
        <v>1500</v>
      </c>
      <c r="J12" s="7"/>
      <c r="K12" s="12"/>
      <c r="L12" s="8">
        <f t="shared" si="2"/>
        <v>102000</v>
      </c>
      <c r="M12" s="8">
        <f>TONTSEPT!H12+TONTSEPT!I12</f>
        <v>102000</v>
      </c>
      <c r="N12" s="7" t="s">
        <v>9</v>
      </c>
      <c r="O12" s="7"/>
      <c r="P12" s="12"/>
      <c r="Q12" s="8">
        <f t="shared" si="3"/>
        <v>0</v>
      </c>
      <c r="R12" s="8"/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si="1"/>
        <v>0</v>
      </c>
      <c r="E13" s="7" t="s">
        <v>9</v>
      </c>
      <c r="F13" s="14">
        <f>TONTSEPT!F13</f>
        <v>0</v>
      </c>
      <c r="G13" s="7"/>
      <c r="H13" s="8"/>
      <c r="I13" s="8"/>
      <c r="J13" s="7"/>
      <c r="K13" s="12"/>
      <c r="L13" s="8">
        <f t="shared" si="2"/>
        <v>0</v>
      </c>
      <c r="M13" s="8">
        <f>TONTSEPT!H13+TONTSEPT!I13</f>
        <v>0</v>
      </c>
      <c r="N13" s="7"/>
      <c r="O13" s="7"/>
      <c r="P13" s="12"/>
      <c r="Q13" s="8">
        <f t="shared" si="3"/>
        <v>0</v>
      </c>
      <c r="R13" s="8"/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7" t="s">
        <v>9</v>
      </c>
      <c r="F14" s="14">
        <f>TONTSEPT!F14</f>
        <v>0</v>
      </c>
      <c r="G14" s="7"/>
      <c r="H14" s="8"/>
      <c r="I14" s="8"/>
      <c r="J14" s="7"/>
      <c r="K14" s="12"/>
      <c r="L14" s="8">
        <f t="shared" si="2"/>
        <v>102000</v>
      </c>
      <c r="M14" s="8">
        <f>TONTSEPT!H14+TONTSEPT!I14</f>
        <v>102000</v>
      </c>
      <c r="N14" s="7" t="s">
        <v>9</v>
      </c>
      <c r="O14" s="7"/>
      <c r="P14" s="12"/>
      <c r="Q14" s="8">
        <f t="shared" si="3"/>
        <v>0</v>
      </c>
      <c r="R14" s="8"/>
      <c r="S14" s="45">
        <f t="shared" si="4"/>
        <v>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7"/>
      <c r="F15" s="14">
        <f>TONTSEPT!F15</f>
        <v>0</v>
      </c>
      <c r="G15" s="7"/>
      <c r="H15" s="8"/>
      <c r="I15" s="8"/>
      <c r="J15" s="7"/>
      <c r="K15" s="12"/>
      <c r="L15" s="8">
        <f t="shared" si="2"/>
        <v>0</v>
      </c>
      <c r="M15" s="8">
        <f>TONTSEPT!H15+TONTSEPT!I15</f>
        <v>0</v>
      </c>
      <c r="N15" s="7"/>
      <c r="O15" s="7"/>
      <c r="P15" s="12"/>
      <c r="Q15" s="8">
        <f t="shared" si="3"/>
        <v>0</v>
      </c>
      <c r="R15" s="8"/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7"/>
      <c r="F16" s="14">
        <f>TONTSEPT!F16</f>
        <v>0</v>
      </c>
      <c r="G16" s="7"/>
      <c r="H16" s="8"/>
      <c r="I16" s="8"/>
      <c r="J16" s="7"/>
      <c r="K16" s="12"/>
      <c r="L16" s="8">
        <f t="shared" si="2"/>
        <v>0</v>
      </c>
      <c r="M16" s="8">
        <f>TONTSEPT!H16+TONTSEPT!I16</f>
        <v>0</v>
      </c>
      <c r="N16" s="7"/>
      <c r="O16" s="7"/>
      <c r="P16" s="12"/>
      <c r="Q16" s="8">
        <f t="shared" si="3"/>
        <v>0</v>
      </c>
      <c r="R16" s="8"/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7" t="s">
        <v>9</v>
      </c>
      <c r="F17" s="14">
        <f>TONTSEPT!F17</f>
        <v>106000</v>
      </c>
      <c r="G17" s="7" t="s">
        <v>9</v>
      </c>
      <c r="H17" s="8"/>
      <c r="I17" s="8"/>
      <c r="J17" s="7"/>
      <c r="K17" s="12"/>
      <c r="L17" s="8">
        <f t="shared" si="2"/>
        <v>0</v>
      </c>
      <c r="M17" s="8">
        <f>TONTSEPT!H17+TONTSEPT!I17</f>
        <v>0</v>
      </c>
      <c r="N17" s="7" t="s">
        <v>9</v>
      </c>
      <c r="O17" s="7"/>
      <c r="P17" s="12"/>
      <c r="Q17" s="8">
        <f t="shared" si="3"/>
        <v>0</v>
      </c>
      <c r="R17" s="8"/>
      <c r="S17" s="45">
        <f t="shared" si="4"/>
        <v>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7"/>
      <c r="F18" s="14">
        <f>TONTSEPT!F18</f>
        <v>0</v>
      </c>
      <c r="G18" s="7"/>
      <c r="H18" s="8"/>
      <c r="I18" s="8"/>
      <c r="J18" s="7"/>
      <c r="K18" s="12"/>
      <c r="L18" s="8">
        <f t="shared" si="2"/>
        <v>0</v>
      </c>
      <c r="M18" s="8">
        <f>TONTSEPT!H18+TONTSEPT!I18</f>
        <v>0</v>
      </c>
      <c r="N18" s="7"/>
      <c r="O18" s="7"/>
      <c r="P18" s="12"/>
      <c r="Q18" s="8">
        <f t="shared" si="3"/>
        <v>0</v>
      </c>
      <c r="R18" s="8"/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7" t="s">
        <v>14</v>
      </c>
      <c r="F19" s="14">
        <f>TONTSEPT!F19</f>
        <v>0</v>
      </c>
      <c r="G19" s="7"/>
      <c r="H19" s="8"/>
      <c r="I19" s="8"/>
      <c r="J19" s="7"/>
      <c r="K19" s="7"/>
      <c r="L19" s="8">
        <f t="shared" si="2"/>
        <v>102000</v>
      </c>
      <c r="M19" s="8">
        <f>TONTSEPT!H19+TONTSEPT!I19</f>
        <v>102000</v>
      </c>
      <c r="N19" s="7" t="s">
        <v>14</v>
      </c>
      <c r="O19" s="7"/>
      <c r="P19" s="12"/>
      <c r="Q19" s="8">
        <f t="shared" si="3"/>
        <v>0</v>
      </c>
      <c r="R19" s="8"/>
      <c r="S19" s="45">
        <f t="shared" si="4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si="1"/>
        <v>0</v>
      </c>
      <c r="E20" s="7" t="s">
        <v>9</v>
      </c>
      <c r="F20" s="14">
        <f>TONTSEPT!F20</f>
        <v>0</v>
      </c>
      <c r="G20" s="7"/>
      <c r="H20" s="8"/>
      <c r="I20" s="8"/>
      <c r="J20" s="7"/>
      <c r="K20" s="7"/>
      <c r="L20" s="8">
        <f t="shared" si="2"/>
        <v>0</v>
      </c>
      <c r="M20" s="8">
        <f>TONTSEPT!H20+TONTSEPT!I20</f>
        <v>0</v>
      </c>
      <c r="N20" s="7"/>
      <c r="O20" s="7"/>
      <c r="P20" s="12"/>
      <c r="Q20" s="8">
        <f t="shared" si="3"/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1"/>
        <v>0</v>
      </c>
      <c r="E21" s="7" t="s">
        <v>9</v>
      </c>
      <c r="F21" s="14">
        <f>TONTSEPT!F21</f>
        <v>0</v>
      </c>
      <c r="G21" s="7"/>
      <c r="H21" s="8"/>
      <c r="I21" s="8"/>
      <c r="J21" s="7"/>
      <c r="K21" s="7"/>
      <c r="L21" s="8">
        <f t="shared" si="2"/>
        <v>0</v>
      </c>
      <c r="M21" s="8">
        <f>TONTSEPT!H21+TONTSEPT!I21</f>
        <v>0</v>
      </c>
      <c r="N21" s="7"/>
      <c r="O21" s="7"/>
      <c r="P21" s="12"/>
      <c r="Q21" s="8">
        <f t="shared" si="3"/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 t="shared" si="0"/>
        <v>75000</v>
      </c>
      <c r="D22" s="8">
        <f t="shared" si="1"/>
        <v>0</v>
      </c>
      <c r="E22" s="7" t="s">
        <v>9</v>
      </c>
      <c r="F22" s="14">
        <f>TONTSEPT!F22</f>
        <v>0</v>
      </c>
      <c r="G22" s="7"/>
      <c r="H22" s="8"/>
      <c r="I22" s="8"/>
      <c r="J22" s="7"/>
      <c r="K22" s="7"/>
      <c r="L22" s="8">
        <f t="shared" si="2"/>
        <v>0</v>
      </c>
      <c r="M22" s="8">
        <f>TONTSEPT!H22+TONTSEPT!I22</f>
        <v>0</v>
      </c>
      <c r="N22" s="7"/>
      <c r="O22" s="7"/>
      <c r="P22" s="12"/>
      <c r="Q22" s="8">
        <f t="shared" si="3"/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1"/>
        <v>0</v>
      </c>
      <c r="E23" s="7" t="s">
        <v>9</v>
      </c>
      <c r="F23" s="14">
        <f>TONTSEPT!F23</f>
        <v>0</v>
      </c>
      <c r="G23" s="7"/>
      <c r="H23" s="8"/>
      <c r="I23" s="8"/>
      <c r="J23" s="7"/>
      <c r="K23" s="7"/>
      <c r="L23" s="8">
        <f t="shared" si="2"/>
        <v>0</v>
      </c>
      <c r="M23" s="8">
        <f>TONTSEPT!H23+TONTSEPT!I23</f>
        <v>0</v>
      </c>
      <c r="N23" s="7"/>
      <c r="O23" s="7" t="s">
        <v>9</v>
      </c>
      <c r="P23" s="12"/>
      <c r="Q23" s="8">
        <f t="shared" si="3"/>
        <v>1125000</v>
      </c>
      <c r="R23" s="8">
        <v>75000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1"/>
        <v>0</v>
      </c>
      <c r="E24" s="7"/>
      <c r="F24" s="14">
        <f>TONTSEPT!F24</f>
        <v>0</v>
      </c>
      <c r="G24" s="7"/>
      <c r="H24" s="8"/>
      <c r="I24" s="8"/>
      <c r="J24" s="7"/>
      <c r="K24" s="7"/>
      <c r="L24" s="8">
        <f t="shared" si="2"/>
        <v>0</v>
      </c>
      <c r="M24" s="8">
        <f>TONTSEPT!H24+TONTSEPT!I24</f>
        <v>0</v>
      </c>
      <c r="N24" s="7"/>
      <c r="O24" s="7"/>
      <c r="P24" s="12"/>
      <c r="Q24" s="8">
        <f t="shared" si="3"/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106000</v>
      </c>
      <c r="G26" s="21"/>
      <c r="H26" s="21">
        <f>SUM(H6:H24)</f>
        <v>116500</v>
      </c>
      <c r="I26" s="21">
        <f>SUM(I6:I24)</f>
        <v>6000</v>
      </c>
      <c r="J26" s="21"/>
      <c r="K26" s="21">
        <f>SUM(K6:K24)</f>
        <v>0</v>
      </c>
      <c r="L26" s="21">
        <f>SUM(L6:L24)</f>
        <v>510000</v>
      </c>
      <c r="M26" s="21">
        <f>SUM(M6:M24)</f>
        <v>510000</v>
      </c>
      <c r="N26" s="21"/>
      <c r="O26" s="21">
        <f>SUM(O6:O24)</f>
        <v>0</v>
      </c>
      <c r="P26" s="21">
        <f>SUM(P6:P24)</f>
        <v>0</v>
      </c>
      <c r="Q26" s="21">
        <f>SUM(Q6:Q24)</f>
        <v>2250000</v>
      </c>
      <c r="R26" s="21">
        <f>SUM(R6:R24)</f>
        <v>150000</v>
      </c>
      <c r="S26" s="21">
        <f>SUM(S6:S24)</f>
        <v>0</v>
      </c>
      <c r="T26" s="17"/>
      <c r="U26" s="17"/>
      <c r="V26" s="17"/>
      <c r="W26" s="17"/>
      <c r="X26" s="17"/>
    </row>
    <row r="27" spans="1:24" x14ac:dyDescent="0.25">
      <c r="C27" s="22" t="s">
        <v>16</v>
      </c>
      <c r="K27" s="2"/>
      <c r="L27" s="3"/>
      <c r="M27" s="3"/>
      <c r="P27"/>
      <c r="Q27"/>
      <c r="S27" s="17"/>
    </row>
    <row r="28" spans="1:24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H28" s="3"/>
      <c r="I28" s="9" t="s">
        <v>35</v>
      </c>
      <c r="J28" s="9">
        <f>C33+D33+R26</f>
        <v>2116000</v>
      </c>
      <c r="K28" s="9"/>
      <c r="L28" s="9"/>
      <c r="P28"/>
      <c r="Q28"/>
      <c r="S28" s="17"/>
    </row>
    <row r="29" spans="1:24" ht="18" x14ac:dyDescent="0.25">
      <c r="C29" s="22"/>
      <c r="F29"/>
      <c r="G29"/>
      <c r="H29" s="3"/>
      <c r="I29" s="9" t="s">
        <v>55</v>
      </c>
      <c r="J29" s="9">
        <f>IF(J28&gt;=2400000,1200000*2,1200000)+1200000</f>
        <v>2400000</v>
      </c>
      <c r="K29" s="9"/>
      <c r="L29" s="32"/>
      <c r="P29"/>
      <c r="Q29"/>
      <c r="S29" s="17"/>
    </row>
    <row r="30" spans="1:24" ht="18" x14ac:dyDescent="0.25">
      <c r="B30" s="9" t="s">
        <v>14</v>
      </c>
      <c r="C30" s="21">
        <f>SUMIFS(C6:C24,E6:E24,"ESPECES")</f>
        <v>75000</v>
      </c>
      <c r="D30" s="9">
        <f>SUMIFS(L3:L21,N3:N21,"ESPECES")+SUMIFS(F3:F21,G3:G21,"ESPECES")</f>
        <v>102000</v>
      </c>
      <c r="E30" s="9">
        <f>SUMIFS(H6:H24,J6:J24,"ESPECES")</f>
        <v>0</v>
      </c>
      <c r="F30" s="9">
        <f>SUMIFS(Q6:Q24,O6:O24,"ESPECES")</f>
        <v>0</v>
      </c>
      <c r="G30" s="9">
        <f>C30+D30-E30-F30</f>
        <v>177000</v>
      </c>
      <c r="H30" s="3"/>
      <c r="I30" s="2"/>
      <c r="J30"/>
      <c r="K30"/>
      <c r="L30" s="9"/>
      <c r="O30" s="9"/>
      <c r="P30"/>
      <c r="Q30"/>
    </row>
    <row r="31" spans="1:24" ht="18" x14ac:dyDescent="0.25">
      <c r="B31" s="9" t="s">
        <v>9</v>
      </c>
      <c r="C31" s="21">
        <f>SUMIFS(C6:C24,E6:E24,"BANQUE")</f>
        <v>1275000</v>
      </c>
      <c r="D31" s="9">
        <f>SUMIFS(M3:M21,N3:N21,"BANQUE")+SUMIFS(F3:F21,G3:G21,"BANQUE")</f>
        <v>514000</v>
      </c>
      <c r="E31" s="9">
        <f>SUMIFS(H6:H24,J6:J24,"BANQUE")</f>
        <v>0</v>
      </c>
      <c r="F31" s="9">
        <f>SUMIFS(Q6:Q24,O6:O24,"BANQUE")</f>
        <v>2250000</v>
      </c>
      <c r="G31" s="9">
        <f>C31+D31-E31-F31</f>
        <v>-461000</v>
      </c>
      <c r="H31" s="3"/>
      <c r="I31" s="9" t="s">
        <v>33</v>
      </c>
      <c r="J31" s="9">
        <f>J28-J29</f>
        <v>-284000</v>
      </c>
      <c r="K31" s="9"/>
      <c r="L31" s="3"/>
      <c r="O31" s="9"/>
      <c r="P31"/>
      <c r="Q31"/>
    </row>
    <row r="32" spans="1:24" ht="18" x14ac:dyDescent="0.25">
      <c r="B32" s="9"/>
      <c r="C32" s="21"/>
      <c r="E32"/>
      <c r="F32" s="9"/>
      <c r="G32" s="9"/>
      <c r="H32" s="3"/>
      <c r="I32" s="2"/>
      <c r="J32"/>
      <c r="K32"/>
      <c r="L32" s="3"/>
      <c r="O32" s="9"/>
      <c r="P32"/>
      <c r="Q32"/>
    </row>
    <row r="33" spans="2:17" ht="18" x14ac:dyDescent="0.25">
      <c r="B33" s="9" t="s">
        <v>13</v>
      </c>
      <c r="C33" s="21">
        <f>C30+C31</f>
        <v>1350000</v>
      </c>
      <c r="D33" s="21">
        <f>D30+D31</f>
        <v>616000</v>
      </c>
      <c r="E33" s="21">
        <f t="shared" ref="E33" si="5">E30+E31</f>
        <v>0</v>
      </c>
      <c r="F33" s="21">
        <f>F30+F31</f>
        <v>2250000</v>
      </c>
      <c r="G33" s="21">
        <f>G30+G31</f>
        <v>-284000</v>
      </c>
      <c r="H33" s="3"/>
      <c r="I33" s="9" t="s">
        <v>56</v>
      </c>
      <c r="J33" s="9">
        <f>J31-H26</f>
        <v>-400500</v>
      </c>
      <c r="K33" s="9">
        <f>J33+TONTSEPT!K33</f>
        <v>-500</v>
      </c>
      <c r="L33" s="9" t="s">
        <v>57</v>
      </c>
      <c r="P33"/>
      <c r="Q33"/>
    </row>
    <row r="34" spans="2:17" ht="18" x14ac:dyDescent="0.25">
      <c r="B34" s="9"/>
      <c r="C34" s="21"/>
      <c r="D34" s="9"/>
      <c r="F34"/>
      <c r="G34"/>
      <c r="H34" s="3"/>
      <c r="I34" s="2"/>
      <c r="J34"/>
      <c r="L34" s="3"/>
      <c r="P34"/>
      <c r="Q34"/>
    </row>
    <row r="35" spans="2:17" ht="18" x14ac:dyDescent="0.25">
      <c r="B35" s="9"/>
      <c r="C35" s="21"/>
      <c r="D35" s="9"/>
      <c r="F35"/>
      <c r="G35"/>
      <c r="H35" s="3"/>
      <c r="I35" s="9" t="s">
        <v>52</v>
      </c>
      <c r="J35" s="9">
        <f>COUNTIFS(E3:E21,"ECHEC")*75000</f>
        <v>0</v>
      </c>
      <c r="K35" s="9">
        <f>J35+TONTSEPT!K35</f>
        <v>0</v>
      </c>
      <c r="L35" s="9" t="s">
        <v>57</v>
      </c>
      <c r="P35"/>
      <c r="Q35"/>
    </row>
    <row r="36" spans="2:17" ht="18" x14ac:dyDescent="0.25">
      <c r="B36" s="9" t="s">
        <v>6</v>
      </c>
      <c r="C36" s="21">
        <v>1200000</v>
      </c>
      <c r="F36"/>
      <c r="G36" s="9"/>
      <c r="H36" s="9"/>
      <c r="I36" s="9" t="s">
        <v>53</v>
      </c>
      <c r="J36" s="21">
        <f>SUMIFS(F3:F21,G3:G21,"ECHEC")</f>
        <v>0</v>
      </c>
      <c r="K36" s="9"/>
      <c r="L36" s="9" t="s">
        <v>57</v>
      </c>
      <c r="P36"/>
      <c r="Q36"/>
    </row>
    <row r="37" spans="2:17" ht="18" x14ac:dyDescent="0.25">
      <c r="B37" s="9"/>
      <c r="C37" s="21"/>
      <c r="I37" s="9"/>
      <c r="J37" s="9"/>
      <c r="K37"/>
      <c r="L37" s="3"/>
      <c r="M37" s="3"/>
      <c r="P37"/>
      <c r="Q37"/>
    </row>
    <row r="38" spans="2:17" x14ac:dyDescent="0.25">
      <c r="C38" s="22"/>
      <c r="I38" s="2"/>
      <c r="J38"/>
      <c r="K38"/>
      <c r="L38" s="3"/>
      <c r="M38" s="3"/>
      <c r="P38"/>
      <c r="Q38"/>
    </row>
    <row r="39" spans="2:17" ht="18" x14ac:dyDescent="0.25">
      <c r="B39" s="6"/>
      <c r="C39" s="21"/>
      <c r="I39" s="9"/>
      <c r="J39" s="9"/>
      <c r="K39"/>
      <c r="L39" s="3"/>
      <c r="M39" s="3"/>
      <c r="P39"/>
      <c r="Q39"/>
    </row>
    <row r="40" spans="2:17" ht="18" x14ac:dyDescent="0.25">
      <c r="B40" s="10"/>
      <c r="C40" s="21"/>
      <c r="I40" s="2"/>
      <c r="J40"/>
      <c r="K40"/>
      <c r="L40" s="3"/>
      <c r="M40" s="3"/>
      <c r="P40"/>
      <c r="Q40"/>
    </row>
    <row r="41" spans="2:17" ht="18" x14ac:dyDescent="0.25">
      <c r="C41" s="22"/>
      <c r="I41" s="9"/>
      <c r="J41" s="9"/>
      <c r="K41"/>
      <c r="L41" s="3"/>
      <c r="M41" s="3"/>
      <c r="P41"/>
      <c r="Q41"/>
    </row>
    <row r="42" spans="2:17" x14ac:dyDescent="0.25">
      <c r="C42" s="22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B45" s="9"/>
      <c r="C45" s="9"/>
      <c r="D45" s="9"/>
    </row>
    <row r="46" spans="2:17" ht="18" x14ac:dyDescent="0.25">
      <c r="B46" s="9"/>
      <c r="C46" s="9"/>
      <c r="D46" s="9"/>
    </row>
    <row r="47" spans="2:17" ht="18" x14ac:dyDescent="0.25">
      <c r="B47" s="9"/>
      <c r="C47" s="9"/>
    </row>
    <row r="48" spans="2:17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6:O24 J6:K24 E6:E24 G6:G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N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44150</v>
      </c>
      <c r="D4" s="53"/>
      <c r="E4" s="53"/>
      <c r="F4" s="53"/>
      <c r="G4" s="53"/>
      <c r="H4" s="53"/>
      <c r="I4" s="53"/>
      <c r="J4" s="53"/>
      <c r="K4" s="53"/>
      <c r="L4" s="53"/>
      <c r="M4" s="31"/>
      <c r="N4" s="31"/>
      <c r="O4" s="31"/>
      <c r="P4" s="31"/>
      <c r="Q4" s="31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2" si="0">IF(E6="ECHEC",0,IF(E6="",0,75000))</f>
        <v>75000</v>
      </c>
      <c r="D6" s="14">
        <f t="shared" ref="D6:D24" si="1">IF(E6="ESPECES",0,0)</f>
        <v>0</v>
      </c>
      <c r="E6" s="8" t="str">
        <f>VLOOKUP(A6,[7]HISTONOV20!A$6:V$38,21,0)</f>
        <v>BANQUE</v>
      </c>
      <c r="F6" s="14">
        <f>TONTOCT!F6</f>
        <v>0</v>
      </c>
      <c r="G6" s="7"/>
      <c r="H6" s="14"/>
      <c r="I6" s="14"/>
      <c r="J6" s="15"/>
      <c r="K6" s="12"/>
      <c r="L6" s="8">
        <f>M6</f>
        <v>0</v>
      </c>
      <c r="M6" s="8">
        <f>+TONTOCT!H6+TONTOCT!I6</f>
        <v>0</v>
      </c>
      <c r="N6" s="7"/>
      <c r="O6" s="15"/>
      <c r="P6" s="12"/>
      <c r="Q6" s="8">
        <f t="shared" ref="Q6:Q24" si="2">IF(R6=0,0,($C$36-R6))</f>
        <v>0</v>
      </c>
      <c r="R6" s="8">
        <f>VLOOKUP(A6,[7]HISTONOV20!A$6:AI$38,19,0)</f>
        <v>0</v>
      </c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0</v>
      </c>
      <c r="D7" s="14">
        <f t="shared" si="1"/>
        <v>0</v>
      </c>
      <c r="E7" s="8"/>
      <c r="F7" s="14">
        <f>TONTOCT!F7</f>
        <v>0</v>
      </c>
      <c r="G7" s="7"/>
      <c r="H7" s="14"/>
      <c r="I7" s="14"/>
      <c r="J7" s="15"/>
      <c r="K7" s="12"/>
      <c r="L7" s="8">
        <f t="shared" ref="L7:L24" si="3">M7</f>
        <v>0</v>
      </c>
      <c r="M7" s="8">
        <f>+TONTOCT!H7+TONTOCT!I7</f>
        <v>0</v>
      </c>
      <c r="N7" s="7"/>
      <c r="O7" s="15"/>
      <c r="P7" s="12"/>
      <c r="Q7" s="8">
        <f t="shared" si="2"/>
        <v>0</v>
      </c>
      <c r="R7" s="8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8" t="str">
        <f>VLOOKUP(A8,[7]HISTONOV20!A$6:V$38,21,0)</f>
        <v>ESPECES</v>
      </c>
      <c r="F8" s="14">
        <f>TONTOCT!F8</f>
        <v>0</v>
      </c>
      <c r="G8" s="7"/>
      <c r="H8" s="8">
        <v>71000</v>
      </c>
      <c r="I8" s="8">
        <v>1500</v>
      </c>
      <c r="J8" s="7" t="s">
        <v>14</v>
      </c>
      <c r="K8" s="12"/>
      <c r="L8" s="8">
        <f t="shared" si="3"/>
        <v>71000</v>
      </c>
      <c r="M8" s="8">
        <f>+TONTOCT!H8+TONTOCT!I8</f>
        <v>71000</v>
      </c>
      <c r="N8" s="7" t="s">
        <v>14</v>
      </c>
      <c r="O8" s="7"/>
      <c r="P8" s="12"/>
      <c r="Q8" s="8">
        <f t="shared" si="2"/>
        <v>0</v>
      </c>
      <c r="R8" s="8">
        <f>VLOOKUP(A8,[7]HISTONOV20!A$6:AI$38,19,0)</f>
        <v>0</v>
      </c>
      <c r="S8" s="45">
        <f t="shared" si="4"/>
        <v>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8" t="str">
        <f>VLOOKUP(A9,[7]HISTONOV20!A$6:V$38,21,0)</f>
        <v>BANQUE</v>
      </c>
      <c r="F9" s="14">
        <f>TONTOCT!F9</f>
        <v>0</v>
      </c>
      <c r="G9" s="7"/>
      <c r="H9" s="8">
        <v>81500</v>
      </c>
      <c r="I9" s="8">
        <v>1500</v>
      </c>
      <c r="J9" s="7" t="s">
        <v>9</v>
      </c>
      <c r="K9" s="12"/>
      <c r="L9" s="8">
        <f t="shared" si="3"/>
        <v>0</v>
      </c>
      <c r="M9" s="8">
        <f>+TONTOCT!H9+TONTOCT!I9</f>
        <v>0</v>
      </c>
      <c r="N9" s="7"/>
      <c r="O9" s="7"/>
      <c r="P9" s="12"/>
      <c r="Q9" s="8">
        <f t="shared" si="2"/>
        <v>0</v>
      </c>
      <c r="R9" s="8">
        <f>VLOOKUP(A9,[7]HISTONOV20!A$6:AI$38,19,0)</f>
        <v>0</v>
      </c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8" t="str">
        <f>VLOOKUP(A10,[7]HISTONOV20!A$6:V$38,21,0)</f>
        <v>BANQUE</v>
      </c>
      <c r="F10" s="14">
        <f>TONTOCT!F10</f>
        <v>0</v>
      </c>
      <c r="G10" s="7"/>
      <c r="H10" s="8"/>
      <c r="I10" s="8"/>
      <c r="J10" s="7"/>
      <c r="K10" s="12"/>
      <c r="L10" s="8">
        <f t="shared" si="3"/>
        <v>0</v>
      </c>
      <c r="M10" s="8">
        <f>+TONTOCT!H10+TONTOCT!I10</f>
        <v>0</v>
      </c>
      <c r="N10" s="7"/>
      <c r="O10" s="7"/>
      <c r="P10" s="12"/>
      <c r="Q10" s="8">
        <f t="shared" si="2"/>
        <v>0</v>
      </c>
      <c r="R10" s="8">
        <f>VLOOKUP(A10,[7]HISTONOV20!A$6:AI$38,19,0)</f>
        <v>0</v>
      </c>
      <c r="S10" s="45">
        <f t="shared" si="4"/>
        <v>0</v>
      </c>
    </row>
    <row r="11" spans="1:19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8" t="str">
        <f>VLOOKUP(A11,[7]HISTONOV20!A$6:V$38,21,0)</f>
        <v>BANQUE</v>
      </c>
      <c r="F11" s="14">
        <f>TONTOCT!F11</f>
        <v>0</v>
      </c>
      <c r="G11" s="7"/>
      <c r="H11" s="8"/>
      <c r="I11" s="8"/>
      <c r="J11" s="7"/>
      <c r="K11" s="12"/>
      <c r="L11" s="8">
        <f t="shared" si="3"/>
        <v>0</v>
      </c>
      <c r="M11" s="8">
        <f>+TONTOCT!H11+TONTOCT!I11</f>
        <v>0</v>
      </c>
      <c r="N11" s="7"/>
      <c r="O11" s="7"/>
      <c r="P11" s="12"/>
      <c r="Q11" s="8">
        <f t="shared" si="2"/>
        <v>0</v>
      </c>
      <c r="R11" s="8">
        <f>VLOOKUP(A11,[7]HISTONOV20!A$6:AI$38,19,0)</f>
        <v>0</v>
      </c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8" t="str">
        <f>VLOOKUP(A12,[7]HISTONOV20!A$6:V$38,21,0)</f>
        <v>BANQUE</v>
      </c>
      <c r="F12" s="14">
        <f>TONTOCT!F12</f>
        <v>0</v>
      </c>
      <c r="G12" s="7"/>
      <c r="H12" s="8">
        <v>100000</v>
      </c>
      <c r="I12" s="8">
        <v>2000</v>
      </c>
      <c r="J12" s="7" t="s">
        <v>9</v>
      </c>
      <c r="K12" s="12"/>
      <c r="L12" s="8">
        <f t="shared" si="3"/>
        <v>51500</v>
      </c>
      <c r="M12" s="8">
        <f>+TONTOCT!H12+TONTOCT!I12</f>
        <v>51500</v>
      </c>
      <c r="N12" s="7" t="s">
        <v>9</v>
      </c>
      <c r="O12" s="7"/>
      <c r="P12" s="12"/>
      <c r="Q12" s="8">
        <f t="shared" si="2"/>
        <v>0</v>
      </c>
      <c r="R12" s="8">
        <f>VLOOKUP(A12,[7]HISTONOV20!A$6:AI$38,19,0)</f>
        <v>0</v>
      </c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si="1"/>
        <v>0</v>
      </c>
      <c r="E13" s="8" t="str">
        <f>VLOOKUP(A13,[7]HISTONOV20!A$6:V$38,21,0)</f>
        <v>BANQUE</v>
      </c>
      <c r="F13" s="14">
        <f>TONTOCT!F13</f>
        <v>0</v>
      </c>
      <c r="G13" s="7"/>
      <c r="H13" s="8"/>
      <c r="I13" s="8"/>
      <c r="J13" s="7"/>
      <c r="K13" s="12"/>
      <c r="L13" s="8">
        <f t="shared" si="3"/>
        <v>0</v>
      </c>
      <c r="M13" s="8">
        <f>+TONTOCT!H13+TONTOCT!I13</f>
        <v>0</v>
      </c>
      <c r="N13" s="7"/>
      <c r="O13" s="7"/>
      <c r="P13" s="12"/>
      <c r="Q13" s="8">
        <f t="shared" si="2"/>
        <v>0</v>
      </c>
      <c r="R13" s="8">
        <f>VLOOKUP(A13,[7]HISTONOV20!A$6:AI$38,19,0)</f>
        <v>0</v>
      </c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8" t="str">
        <f>VLOOKUP(A14,[7]HISTONOV20!A$6:V$38,21,0)</f>
        <v>BANQUE</v>
      </c>
      <c r="F14" s="14">
        <f>TONTOCT!F14</f>
        <v>0</v>
      </c>
      <c r="G14" s="7"/>
      <c r="H14" s="8">
        <v>100000</v>
      </c>
      <c r="I14" s="8">
        <v>2000</v>
      </c>
      <c r="J14" s="7" t="s">
        <v>9</v>
      </c>
      <c r="K14" s="12"/>
      <c r="L14" s="8">
        <f t="shared" si="3"/>
        <v>0</v>
      </c>
      <c r="M14" s="8">
        <f>+TONTOCT!H14+TONTOCT!I14</f>
        <v>0</v>
      </c>
      <c r="N14" s="7"/>
      <c r="O14" s="7"/>
      <c r="P14" s="12"/>
      <c r="Q14" s="8">
        <f t="shared" si="2"/>
        <v>0</v>
      </c>
      <c r="R14" s="8">
        <f>VLOOKUP(A14,[7]HISTONOV20!A$6:AI$38,19,0)</f>
        <v>0</v>
      </c>
      <c r="S14" s="45">
        <f t="shared" si="4"/>
        <v>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8"/>
      <c r="F15" s="14">
        <f>TONTOCT!F15</f>
        <v>0</v>
      </c>
      <c r="G15" s="7"/>
      <c r="H15" s="8"/>
      <c r="I15" s="8"/>
      <c r="J15" s="7"/>
      <c r="K15" s="12"/>
      <c r="L15" s="8">
        <f t="shared" si="3"/>
        <v>0</v>
      </c>
      <c r="M15" s="8">
        <f>+TONTOCT!H15+TONTOCT!I15</f>
        <v>0</v>
      </c>
      <c r="N15" s="7"/>
      <c r="O15" s="7"/>
      <c r="P15" s="12"/>
      <c r="Q15" s="8">
        <f t="shared" si="2"/>
        <v>0</v>
      </c>
      <c r="R15" s="8">
        <f>VLOOKUP(A15,[7]HISTONOV20!A$6:AI$38,19,0)</f>
        <v>0</v>
      </c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8"/>
      <c r="F16" s="14">
        <f>TONTOCT!F16</f>
        <v>0</v>
      </c>
      <c r="G16" s="7"/>
      <c r="H16" s="8"/>
      <c r="I16" s="8"/>
      <c r="J16" s="7"/>
      <c r="K16" s="12"/>
      <c r="L16" s="8">
        <f t="shared" si="3"/>
        <v>0</v>
      </c>
      <c r="M16" s="8">
        <f>+TONTOCT!H16+TONTOCT!I16</f>
        <v>0</v>
      </c>
      <c r="N16" s="7"/>
      <c r="O16" s="7"/>
      <c r="P16" s="12"/>
      <c r="Q16" s="8">
        <f t="shared" si="2"/>
        <v>0</v>
      </c>
      <c r="R16" s="8">
        <f>VLOOKUP(A16,[7]HISTONOV20!A$6:AI$38,19,0)</f>
        <v>0</v>
      </c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8" t="str">
        <f>VLOOKUP(A17,[7]HISTONOV20!A$6:V$38,21,0)</f>
        <v>BANQUE</v>
      </c>
      <c r="F17" s="14"/>
      <c r="G17" s="7"/>
      <c r="H17" s="8"/>
      <c r="I17" s="8"/>
      <c r="J17" s="7"/>
      <c r="K17" s="12"/>
      <c r="L17" s="8">
        <f t="shared" si="3"/>
        <v>0</v>
      </c>
      <c r="M17" s="8">
        <f>+TONTOCT!H17+TONTOCT!I17</f>
        <v>0</v>
      </c>
      <c r="N17" s="7"/>
      <c r="O17" s="7" t="s">
        <v>9</v>
      </c>
      <c r="P17" s="12"/>
      <c r="Q17" s="8">
        <f t="shared" si="2"/>
        <v>1020000</v>
      </c>
      <c r="R17" s="8">
        <f>VLOOKUP(A17,[7]HISTONOV20!A$6:AI$38,19,0)</f>
        <v>180000</v>
      </c>
      <c r="S17" s="45">
        <f t="shared" si="4"/>
        <v>105000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8"/>
      <c r="F18" s="14">
        <f>TONTOCT!F18</f>
        <v>0</v>
      </c>
      <c r="G18" s="7"/>
      <c r="H18" s="8"/>
      <c r="I18" s="8"/>
      <c r="J18" s="7"/>
      <c r="K18" s="12"/>
      <c r="L18" s="8">
        <f t="shared" si="3"/>
        <v>0</v>
      </c>
      <c r="M18" s="8">
        <f>+TONTOCT!H18+TONTOCT!I18</f>
        <v>0</v>
      </c>
      <c r="N18" s="7"/>
      <c r="O18" s="7"/>
      <c r="P18" s="12"/>
      <c r="Q18" s="8">
        <f t="shared" si="2"/>
        <v>0</v>
      </c>
      <c r="R18" s="8"/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8" t="str">
        <f>VLOOKUP(A19,[7]HISTONOV20!A$6:V$38,21,0)</f>
        <v>ESPECES</v>
      </c>
      <c r="F19" s="14">
        <f>TONTOCT!F19</f>
        <v>0</v>
      </c>
      <c r="G19" s="7"/>
      <c r="H19" s="8">
        <v>100000</v>
      </c>
      <c r="I19" s="8">
        <v>2000</v>
      </c>
      <c r="J19" s="7" t="s">
        <v>14</v>
      </c>
      <c r="K19" s="7"/>
      <c r="L19" s="8">
        <f t="shared" si="3"/>
        <v>0</v>
      </c>
      <c r="M19" s="8">
        <f>+TONTOCT!H19+TONTOCT!I19</f>
        <v>0</v>
      </c>
      <c r="N19" s="7"/>
      <c r="O19" s="7"/>
      <c r="P19" s="12"/>
      <c r="Q19" s="8">
        <f t="shared" si="2"/>
        <v>0</v>
      </c>
      <c r="R19" s="8">
        <f>VLOOKUP(A19,[7]HISTONOV20!A$6:AI$38,19,0)</f>
        <v>0</v>
      </c>
      <c r="S19" s="45">
        <f t="shared" si="4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si="1"/>
        <v>0</v>
      </c>
      <c r="E20" s="8" t="str">
        <f>VLOOKUP(A20,[7]HISTONOV20!A$6:V$38,21,0)</f>
        <v>BANQUE</v>
      </c>
      <c r="F20" s="14">
        <f>TONTOCT!F20</f>
        <v>0</v>
      </c>
      <c r="G20" s="7"/>
      <c r="H20" s="8"/>
      <c r="I20" s="8"/>
      <c r="J20" s="7"/>
      <c r="K20" s="7"/>
      <c r="L20" s="8">
        <f t="shared" si="3"/>
        <v>0</v>
      </c>
      <c r="M20" s="8">
        <f>+TONTOCT!H20+TONTOCT!I20</f>
        <v>0</v>
      </c>
      <c r="N20" s="7"/>
      <c r="O20" s="7"/>
      <c r="P20" s="12"/>
      <c r="Q20" s="8">
        <f t="shared" si="2"/>
        <v>0</v>
      </c>
      <c r="R20" s="8">
        <f>VLOOKUP(A20,[7]HISTONOV20!A$6:AI$38,19,0)</f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1"/>
        <v>0</v>
      </c>
      <c r="E21" s="8" t="str">
        <f>VLOOKUP(A21,[7]HISTONOV20!A$6:V$38,21,0)</f>
        <v>BANQUE</v>
      </c>
      <c r="F21" s="14">
        <f>TONTOCT!F21</f>
        <v>0</v>
      </c>
      <c r="G21" s="7"/>
      <c r="H21" s="8"/>
      <c r="I21" s="8"/>
      <c r="J21" s="7"/>
      <c r="K21" s="7"/>
      <c r="L21" s="8">
        <f t="shared" si="3"/>
        <v>0</v>
      </c>
      <c r="M21" s="8">
        <f>+TONTOCT!H21+TONTOCT!I21</f>
        <v>0</v>
      </c>
      <c r="N21" s="7"/>
      <c r="O21" s="7"/>
      <c r="P21" s="12"/>
      <c r="Q21" s="8">
        <f t="shared" si="2"/>
        <v>0</v>
      </c>
      <c r="R21" s="8">
        <f>VLOOKUP(A21,[7]HISTONOV20!A$6:AI$38,19,0)</f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 t="shared" si="0"/>
        <v>75000</v>
      </c>
      <c r="D22" s="8">
        <f t="shared" si="1"/>
        <v>0</v>
      </c>
      <c r="E22" s="8" t="str">
        <f>VLOOKUP(A22,[7]HISTONOV20!A$6:V$38,21,0)</f>
        <v>BANQUE</v>
      </c>
      <c r="F22" s="14">
        <f>TONTOCT!F22</f>
        <v>0</v>
      </c>
      <c r="G22" s="7"/>
      <c r="H22" s="8"/>
      <c r="I22" s="8"/>
      <c r="J22" s="7"/>
      <c r="K22" s="7"/>
      <c r="L22" s="8">
        <f t="shared" si="3"/>
        <v>0</v>
      </c>
      <c r="M22" s="8">
        <f>+TONTOCT!H22+TONTOCT!I22</f>
        <v>0</v>
      </c>
      <c r="N22" s="7"/>
      <c r="O22" s="7"/>
      <c r="P22" s="12"/>
      <c r="Q22" s="8">
        <f t="shared" si="2"/>
        <v>0</v>
      </c>
      <c r="R22" s="8">
        <f>VLOOKUP(A22,[7]HISTONOV20!A$6:AI$38,19,0)</f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1"/>
        <v>0</v>
      </c>
      <c r="E23" s="8" t="str">
        <f>VLOOKUP(A23,[7]HISTONOV20!A$6:V$38,21,0)</f>
        <v>BANQUE</v>
      </c>
      <c r="F23" s="14">
        <f>TONTOCT!F23</f>
        <v>0</v>
      </c>
      <c r="G23" s="7"/>
      <c r="H23" s="8"/>
      <c r="I23" s="8"/>
      <c r="J23" s="7"/>
      <c r="K23" s="7"/>
      <c r="L23" s="8">
        <f t="shared" si="3"/>
        <v>0</v>
      </c>
      <c r="M23" s="8">
        <f>+TONTOCT!H23+TONTOCT!I23</f>
        <v>0</v>
      </c>
      <c r="N23" s="7"/>
      <c r="O23" s="7"/>
      <c r="P23" s="12"/>
      <c r="Q23" s="8">
        <f t="shared" si="2"/>
        <v>0</v>
      </c>
      <c r="R23" s="8">
        <f>VLOOKUP(A23,[7]HISTONOV20!A$6:AI$38,19,0)</f>
        <v>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1"/>
        <v>0</v>
      </c>
      <c r="E24" s="8"/>
      <c r="F24" s="14">
        <f>TONTOCT!F24</f>
        <v>0</v>
      </c>
      <c r="G24" s="7"/>
      <c r="H24" s="8"/>
      <c r="I24" s="8"/>
      <c r="J24" s="7"/>
      <c r="K24" s="7"/>
      <c r="L24" s="8">
        <f t="shared" si="3"/>
        <v>0</v>
      </c>
      <c r="M24" s="8">
        <f>+TONTOCT!H24+TONTOCT!I24</f>
        <v>0</v>
      </c>
      <c r="N24" s="7"/>
      <c r="O24" s="7"/>
      <c r="P24" s="12"/>
      <c r="Q24" s="8">
        <f t="shared" si="2"/>
        <v>0</v>
      </c>
      <c r="R24" s="8">
        <f>VLOOKUP(A24,[7]HISTONOV20!A$6:AI$38,19,0)</f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0</v>
      </c>
      <c r="G26" s="21"/>
      <c r="H26" s="21">
        <f>SUM(H6:H24)</f>
        <v>452500</v>
      </c>
      <c r="I26" s="21">
        <f>SUM(I6:I24)</f>
        <v>9000</v>
      </c>
      <c r="J26" s="21"/>
      <c r="K26" s="21">
        <f>SUM(K6:K24)</f>
        <v>0</v>
      </c>
      <c r="L26" s="21">
        <f>SUM(L6:L24)</f>
        <v>122500</v>
      </c>
      <c r="M26" s="21">
        <f>SUM(M6:M24)</f>
        <v>122500</v>
      </c>
      <c r="N26" s="21"/>
      <c r="O26" s="21">
        <f>SUM(O6:O24)</f>
        <v>0</v>
      </c>
      <c r="P26" s="21">
        <f>SUM(P6:P24)</f>
        <v>0</v>
      </c>
      <c r="Q26" s="21">
        <f>SUM(Q6:Q24)</f>
        <v>1020000</v>
      </c>
      <c r="R26" s="21">
        <f>SUM(R6:R24)</f>
        <v>180000</v>
      </c>
      <c r="S26" s="21">
        <f>SUM(S6:S24)</f>
        <v>105000</v>
      </c>
      <c r="T26" s="17"/>
      <c r="U26" s="17"/>
      <c r="V26" s="17"/>
      <c r="W26" s="17"/>
      <c r="X26" s="17"/>
    </row>
    <row r="27" spans="1:24" x14ac:dyDescent="0.25">
      <c r="C27" s="22" t="s">
        <v>16</v>
      </c>
      <c r="K27" s="2"/>
      <c r="L27" s="3"/>
      <c r="M27" s="3"/>
      <c r="P27"/>
      <c r="Q27"/>
      <c r="S27" s="17"/>
    </row>
    <row r="28" spans="1:24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H28" s="3"/>
      <c r="I28" s="9" t="s">
        <v>35</v>
      </c>
      <c r="J28" s="9">
        <f>C33+D33+R26</f>
        <v>1652500</v>
      </c>
      <c r="K28" s="9"/>
      <c r="L28" s="9"/>
      <c r="P28"/>
      <c r="Q28"/>
      <c r="S28" s="17"/>
    </row>
    <row r="29" spans="1:24" ht="18" x14ac:dyDescent="0.25">
      <c r="C29" s="22"/>
      <c r="F29"/>
      <c r="G29"/>
      <c r="H29" s="3"/>
      <c r="I29" s="9" t="s">
        <v>55</v>
      </c>
      <c r="J29" s="9">
        <f>IF(J28&gt;=2400000,1200000*2,1200000)</f>
        <v>1200000</v>
      </c>
      <c r="K29" s="9"/>
      <c r="L29" s="32"/>
      <c r="P29"/>
      <c r="Q29"/>
      <c r="S29" s="17"/>
    </row>
    <row r="30" spans="1:24" ht="18" x14ac:dyDescent="0.25">
      <c r="B30" s="9" t="s">
        <v>14</v>
      </c>
      <c r="C30" s="21">
        <f>SUMIFS(C6:C24,E6:E24,"ESPECES")</f>
        <v>150000</v>
      </c>
      <c r="D30" s="9">
        <f>SUMIFS(L3:L21,N3:N21,"ESPECES")+SUMIFS(F3:F21,G3:G21,"ESPECES")</f>
        <v>71000</v>
      </c>
      <c r="E30" s="9">
        <f>SUMIFS(H6:H24,J6:J24,"ESPECES")</f>
        <v>171000</v>
      </c>
      <c r="F30" s="9">
        <f>SUMIFS(Q6:Q24,O6:O24,"ESPECES")</f>
        <v>0</v>
      </c>
      <c r="G30" s="9">
        <f>C30+D30-E30-F30</f>
        <v>50000</v>
      </c>
      <c r="H30" s="3"/>
      <c r="I30" s="2"/>
      <c r="J30"/>
      <c r="K30"/>
      <c r="L30" s="9"/>
      <c r="O30" s="9"/>
      <c r="P30"/>
      <c r="Q30"/>
    </row>
    <row r="31" spans="1:24" ht="18" x14ac:dyDescent="0.25">
      <c r="B31" s="9" t="s">
        <v>9</v>
      </c>
      <c r="C31" s="21">
        <f>SUMIFS(C6:C24,E6:E24,"BANQUE")</f>
        <v>1200000</v>
      </c>
      <c r="D31" s="9">
        <f>SUMIFS(M3:M21,N3:N21,"BANQUE")+SUMIFS(F3:F21,G3:G21,"BANQUE")</f>
        <v>51500</v>
      </c>
      <c r="E31" s="9">
        <f>SUMIFS(H6:H24,J6:J24,"BANQUE")</f>
        <v>281500</v>
      </c>
      <c r="F31" s="9">
        <f>SUMIFS(Q6:Q24,O6:O24,"BANQUE")</f>
        <v>1020000</v>
      </c>
      <c r="G31" s="9">
        <f>C31+D31-E31-F31</f>
        <v>-50000</v>
      </c>
      <c r="H31" s="3"/>
      <c r="I31" s="9" t="s">
        <v>33</v>
      </c>
      <c r="J31" s="9">
        <f>J28-J29</f>
        <v>452500</v>
      </c>
      <c r="K31" s="9"/>
      <c r="L31" s="3"/>
      <c r="O31" s="9"/>
      <c r="P31"/>
      <c r="Q31"/>
    </row>
    <row r="32" spans="1:24" ht="18" x14ac:dyDescent="0.25">
      <c r="B32" s="9"/>
      <c r="C32" s="21"/>
      <c r="E32"/>
      <c r="F32" s="9"/>
      <c r="G32" s="9"/>
      <c r="H32" s="3"/>
      <c r="I32" s="2"/>
      <c r="J32"/>
      <c r="K32"/>
      <c r="L32" s="3"/>
      <c r="O32" s="9"/>
      <c r="P32"/>
      <c r="Q32"/>
    </row>
    <row r="33" spans="2:17" ht="18" x14ac:dyDescent="0.25">
      <c r="B33" s="9" t="s">
        <v>13</v>
      </c>
      <c r="C33" s="21">
        <f>C30+C31</f>
        <v>1350000</v>
      </c>
      <c r="D33" s="21">
        <f>D30+D31</f>
        <v>122500</v>
      </c>
      <c r="E33" s="21">
        <f t="shared" ref="E33" si="5">E30+E31</f>
        <v>452500</v>
      </c>
      <c r="F33" s="21">
        <f>F30+F31</f>
        <v>1020000</v>
      </c>
      <c r="G33" s="21">
        <f>G30+G31</f>
        <v>0</v>
      </c>
      <c r="H33" s="3"/>
      <c r="I33" s="9" t="s">
        <v>56</v>
      </c>
      <c r="J33" s="9">
        <f>J31-H26</f>
        <v>0</v>
      </c>
      <c r="K33" s="9">
        <f>J33+TONTOCT!K33</f>
        <v>-500</v>
      </c>
      <c r="L33" s="9" t="s">
        <v>57</v>
      </c>
      <c r="P33"/>
      <c r="Q33"/>
    </row>
    <row r="34" spans="2:17" ht="18" x14ac:dyDescent="0.25">
      <c r="B34" s="9"/>
      <c r="C34" s="21"/>
      <c r="D34" s="9"/>
      <c r="F34"/>
      <c r="G34"/>
      <c r="H34" s="3"/>
      <c r="I34" s="2"/>
      <c r="J34"/>
      <c r="L34" s="3"/>
      <c r="P34"/>
      <c r="Q34"/>
    </row>
    <row r="35" spans="2:17" ht="18" x14ac:dyDescent="0.25">
      <c r="B35" s="9"/>
      <c r="C35" s="21"/>
      <c r="D35" s="9"/>
      <c r="F35"/>
      <c r="G35"/>
      <c r="H35" s="3"/>
      <c r="I35" s="9" t="s">
        <v>52</v>
      </c>
      <c r="J35" s="9">
        <f>COUNTIFS(E3:E21,"ECHEC")*75000</f>
        <v>0</v>
      </c>
      <c r="K35" s="9">
        <f>J35+TONTOCT!K35</f>
        <v>0</v>
      </c>
      <c r="L35" s="9" t="s">
        <v>57</v>
      </c>
      <c r="P35"/>
      <c r="Q35"/>
    </row>
    <row r="36" spans="2:17" ht="18" x14ac:dyDescent="0.25">
      <c r="B36" s="9" t="s">
        <v>6</v>
      </c>
      <c r="C36" s="21">
        <v>1200000</v>
      </c>
      <c r="F36"/>
      <c r="G36" s="9"/>
      <c r="H36" s="9"/>
      <c r="I36" s="9" t="s">
        <v>53</v>
      </c>
      <c r="J36" s="21">
        <f>SUMIFS(F3:F21,G3:G21,"ECHEC")</f>
        <v>0</v>
      </c>
      <c r="K36" s="9"/>
      <c r="L36" s="9" t="s">
        <v>57</v>
      </c>
      <c r="P36"/>
      <c r="Q36"/>
    </row>
    <row r="37" spans="2:17" ht="18" x14ac:dyDescent="0.25">
      <c r="B37" s="9"/>
      <c r="C37" s="21"/>
      <c r="I37" s="9"/>
      <c r="J37" s="9"/>
      <c r="K37"/>
      <c r="L37" s="3"/>
      <c r="M37" s="3"/>
      <c r="P37"/>
      <c r="Q37"/>
    </row>
    <row r="38" spans="2:17" x14ac:dyDescent="0.25">
      <c r="C38" s="22"/>
      <c r="I38" s="2"/>
      <c r="J38"/>
      <c r="K38"/>
      <c r="L38" s="3"/>
      <c r="M38" s="3"/>
      <c r="P38"/>
      <c r="Q38"/>
    </row>
    <row r="39" spans="2:17" ht="18" x14ac:dyDescent="0.25">
      <c r="B39" s="6"/>
      <c r="C39" s="21"/>
      <c r="I39" s="9"/>
      <c r="J39" s="9"/>
      <c r="K39"/>
      <c r="L39" s="3"/>
      <c r="M39" s="3"/>
      <c r="P39"/>
      <c r="Q39"/>
    </row>
    <row r="40" spans="2:17" ht="18" x14ac:dyDescent="0.25">
      <c r="B40" s="10"/>
      <c r="C40" s="21"/>
      <c r="I40" s="2"/>
      <c r="J40"/>
      <c r="K40"/>
      <c r="L40" s="3"/>
      <c r="M40" s="3"/>
      <c r="P40"/>
      <c r="Q40"/>
    </row>
    <row r="41" spans="2:17" ht="18" x14ac:dyDescent="0.25">
      <c r="C41" s="22"/>
      <c r="I41" s="9"/>
      <c r="J41" s="9"/>
      <c r="K41"/>
      <c r="L41" s="3"/>
      <c r="M41" s="3"/>
      <c r="P41"/>
      <c r="Q41"/>
    </row>
    <row r="42" spans="2:17" x14ac:dyDescent="0.25">
      <c r="C42" s="22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B45" s="9"/>
      <c r="C45" s="9"/>
      <c r="D45" s="9"/>
    </row>
    <row r="46" spans="2:17" ht="18" x14ac:dyDescent="0.25">
      <c r="B46" s="9"/>
      <c r="C46" s="9"/>
      <c r="D46" s="9"/>
    </row>
    <row r="47" spans="2:17" ht="18" x14ac:dyDescent="0.25">
      <c r="B47" s="9"/>
      <c r="C47" s="9"/>
    </row>
    <row r="48" spans="2:17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6:O24 J6:K24 G6:G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L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3.42578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44</v>
      </c>
    </row>
    <row r="3" spans="1:19" x14ac:dyDescent="0.25">
      <c r="A3" s="1" t="s">
        <v>3</v>
      </c>
      <c r="B3" s="4">
        <v>75000</v>
      </c>
    </row>
    <row r="4" spans="1:19" ht="18" x14ac:dyDescent="0.25">
      <c r="B4" s="5"/>
      <c r="C4" s="52">
        <v>44185</v>
      </c>
      <c r="D4" s="53"/>
      <c r="E4" s="53"/>
      <c r="F4" s="53"/>
      <c r="G4" s="53"/>
      <c r="H4" s="53"/>
      <c r="I4" s="53"/>
      <c r="J4" s="53"/>
      <c r="K4" s="53"/>
      <c r="L4" s="53"/>
      <c r="M4" s="31"/>
      <c r="N4" s="31"/>
      <c r="O4" s="31"/>
      <c r="P4" s="31"/>
      <c r="Q4" s="31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19" s="17" customFormat="1" x14ac:dyDescent="0.25">
      <c r="A6" s="1" t="s">
        <v>36</v>
      </c>
      <c r="B6" s="1" t="str">
        <f>VLOOKUP(A6,[6]LISTADHERENT!A$5:H$60,3,0)</f>
        <v>BOUTCHOUANG WILLIAM</v>
      </c>
      <c r="C6" s="8">
        <f t="shared" ref="C6:C22" si="0">IF(E6="ECHEC",0,IF(E6="",0,75000))</f>
        <v>75000</v>
      </c>
      <c r="D6" s="14">
        <f t="shared" ref="D6:D24" si="1">IF(E6="ESPECES",0,0)</f>
        <v>0</v>
      </c>
      <c r="E6" s="8" t="str">
        <f>VLOOKUP(A6,[7]HISTODEC20!A$6:V$38,21,0)</f>
        <v>BANQUE</v>
      </c>
      <c r="F6" s="14">
        <f>TONTOCT!F6</f>
        <v>0</v>
      </c>
      <c r="G6" s="7"/>
      <c r="H6" s="14"/>
      <c r="I6" s="14"/>
      <c r="J6" s="15"/>
      <c r="K6" s="12"/>
      <c r="L6" s="8">
        <f>M6</f>
        <v>0</v>
      </c>
      <c r="M6" s="8">
        <f>+TONTNOV!H6+TONTNOV!I6</f>
        <v>0</v>
      </c>
      <c r="N6" s="7"/>
      <c r="O6" s="15"/>
      <c r="P6" s="12"/>
      <c r="Q6" s="8">
        <f t="shared" ref="Q6:Q24" si="2">IF(R6=0,0,($C$36-R6))</f>
        <v>0</v>
      </c>
      <c r="R6" s="8">
        <f>VLOOKUP(A6,[7]HISTODEC20!A$6:AI$38,19,0)</f>
        <v>0</v>
      </c>
      <c r="S6" s="45">
        <f>IF(R6=0,0,(R6-75000))</f>
        <v>0</v>
      </c>
    </row>
    <row r="7" spans="1:19" s="17" customFormat="1" x14ac:dyDescent="0.25">
      <c r="A7" s="1" t="s">
        <v>50</v>
      </c>
      <c r="B7" s="1" t="str">
        <f>VLOOKUP(A7,[6]LISTADHERENT!A$5:H$60,3,0)</f>
        <v>CHINGUE FABRICE</v>
      </c>
      <c r="C7" s="8">
        <f t="shared" si="0"/>
        <v>0</v>
      </c>
      <c r="D7" s="14">
        <f t="shared" si="1"/>
        <v>0</v>
      </c>
      <c r="E7" s="8"/>
      <c r="F7" s="14">
        <f>TONTOCT!F7</f>
        <v>0</v>
      </c>
      <c r="G7" s="7"/>
      <c r="H7" s="14"/>
      <c r="I7" s="14"/>
      <c r="J7" s="15"/>
      <c r="K7" s="12"/>
      <c r="L7" s="8">
        <f t="shared" ref="L7:L16" si="3">M7</f>
        <v>0</v>
      </c>
      <c r="M7" s="8">
        <f>+TONTNOV!H7+TONTNOV!I7</f>
        <v>0</v>
      </c>
      <c r="N7" s="7"/>
      <c r="O7" s="15"/>
      <c r="P7" s="12"/>
      <c r="Q7" s="8">
        <f t="shared" si="2"/>
        <v>0</v>
      </c>
      <c r="R7" s="8"/>
      <c r="S7" s="45">
        <f t="shared" ref="S7:S24" si="4">IF(R7=0,0,(R7-75000))</f>
        <v>0</v>
      </c>
    </row>
    <row r="8" spans="1:19" s="13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 t="shared" si="0"/>
        <v>75000</v>
      </c>
      <c r="D8" s="14">
        <f t="shared" si="1"/>
        <v>0</v>
      </c>
      <c r="E8" s="8" t="str">
        <f>VLOOKUP(A8,[7]HISTODEC20!A$6:V$38,21,0)</f>
        <v>BANQUE</v>
      </c>
      <c r="F8" s="14">
        <f>TONTOCT!F8</f>
        <v>0</v>
      </c>
      <c r="G8" s="7"/>
      <c r="H8" s="8">
        <v>100000</v>
      </c>
      <c r="I8" s="8">
        <v>2000</v>
      </c>
      <c r="J8" s="7"/>
      <c r="K8" s="12"/>
      <c r="L8" s="8">
        <f t="shared" si="3"/>
        <v>72500</v>
      </c>
      <c r="M8" s="8">
        <f>+TONTNOV!H8+TONTNOV!I8</f>
        <v>72500</v>
      </c>
      <c r="N8" s="7" t="s">
        <v>9</v>
      </c>
      <c r="O8" s="7"/>
      <c r="P8" s="12"/>
      <c r="Q8" s="8">
        <f t="shared" si="2"/>
        <v>0</v>
      </c>
      <c r="R8" s="8">
        <f>VLOOKUP(A8,[7]HISTODEC20!A$6:AI$38,19,0)</f>
        <v>0</v>
      </c>
      <c r="S8" s="45">
        <f t="shared" si="4"/>
        <v>0</v>
      </c>
    </row>
    <row r="9" spans="1:19" x14ac:dyDescent="0.25">
      <c r="A9" s="1" t="s">
        <v>38</v>
      </c>
      <c r="B9" s="1" t="str">
        <f>VLOOKUP(A9,[6]LISTADHERENT!A$5:H$60,3,0)</f>
        <v>DJOUKWE NANGUEN GUY BLAISE</v>
      </c>
      <c r="C9" s="8">
        <f t="shared" si="0"/>
        <v>75000</v>
      </c>
      <c r="D9" s="8">
        <f t="shared" si="1"/>
        <v>0</v>
      </c>
      <c r="E9" s="8" t="str">
        <f>VLOOKUP(A9,[7]HISTODEC20!A$6:V$38,21,0)</f>
        <v>BANQUE</v>
      </c>
      <c r="F9" s="14">
        <f>TONTOCT!F9</f>
        <v>0</v>
      </c>
      <c r="G9" s="7"/>
      <c r="H9" s="8">
        <v>200000</v>
      </c>
      <c r="I9" s="8">
        <v>4000</v>
      </c>
      <c r="J9" s="7"/>
      <c r="K9" s="12"/>
      <c r="L9" s="8">
        <f t="shared" si="3"/>
        <v>83000</v>
      </c>
      <c r="M9" s="8">
        <f>+TONTNOV!H9+TONTNOV!I9</f>
        <v>83000</v>
      </c>
      <c r="N9" s="7" t="s">
        <v>9</v>
      </c>
      <c r="O9" s="7"/>
      <c r="P9" s="12"/>
      <c r="Q9" s="8">
        <f t="shared" si="2"/>
        <v>0</v>
      </c>
      <c r="R9" s="8">
        <f>VLOOKUP(A9,[7]HISTODEC20!A$6:AI$38,19,0)</f>
        <v>0</v>
      </c>
      <c r="S9" s="45">
        <f t="shared" si="4"/>
        <v>0</v>
      </c>
    </row>
    <row r="10" spans="1:19" x14ac:dyDescent="0.25">
      <c r="A10" s="1" t="s">
        <v>29</v>
      </c>
      <c r="B10" s="1" t="str">
        <f>VLOOKUP(A10,[6]LISTADHERENT!A$5:H$60,3,0)</f>
        <v>HOTCHO BENJAMIN</v>
      </c>
      <c r="C10" s="8">
        <f t="shared" si="0"/>
        <v>75000</v>
      </c>
      <c r="D10" s="8">
        <f t="shared" si="1"/>
        <v>0</v>
      </c>
      <c r="E10" s="8" t="str">
        <f>VLOOKUP(A10,[7]HISTODEC20!A$6:V$38,21,0)</f>
        <v>BANQUE</v>
      </c>
      <c r="F10" s="14">
        <f>TONTOCT!F10</f>
        <v>0</v>
      </c>
      <c r="G10" s="7"/>
      <c r="H10" s="8"/>
      <c r="I10" s="8"/>
      <c r="J10" s="7"/>
      <c r="K10" s="12"/>
      <c r="L10" s="8">
        <f t="shared" si="3"/>
        <v>0</v>
      </c>
      <c r="M10" s="8">
        <f>+TONTNOV!H10+TONTNOV!I10</f>
        <v>0</v>
      </c>
      <c r="N10" s="7"/>
      <c r="O10" s="7"/>
      <c r="P10" s="12"/>
      <c r="Q10" s="8">
        <f t="shared" si="2"/>
        <v>0</v>
      </c>
      <c r="R10" s="8">
        <f>VLOOKUP(A10,[7]HISTODEC20!A$6:AI$38,19,0)</f>
        <v>0</v>
      </c>
      <c r="S10" s="45">
        <f t="shared" si="4"/>
        <v>0</v>
      </c>
    </row>
    <row r="11" spans="1:19" x14ac:dyDescent="0.25">
      <c r="A11" s="1" t="s">
        <v>40</v>
      </c>
      <c r="B11" s="1" t="str">
        <f>VLOOKUP(A11,[6]LISTADHERENT!A$5:H$60,3,0)</f>
        <v>HENGUE PAUL OMER</v>
      </c>
      <c r="C11" s="8">
        <f t="shared" si="0"/>
        <v>75000</v>
      </c>
      <c r="D11" s="8">
        <f t="shared" si="1"/>
        <v>0</v>
      </c>
      <c r="E11" s="8" t="str">
        <f>VLOOKUP(A11,[7]HISTODEC20!A$6:V$38,21,0)</f>
        <v>BANQUE</v>
      </c>
      <c r="F11" s="14">
        <f>TONTOCT!F11</f>
        <v>0</v>
      </c>
      <c r="G11" s="7"/>
      <c r="H11" s="8"/>
      <c r="I11" s="8"/>
      <c r="J11" s="7"/>
      <c r="K11" s="12"/>
      <c r="L11" s="8">
        <f t="shared" si="3"/>
        <v>0</v>
      </c>
      <c r="M11" s="8">
        <f>+TONTNOV!H11+TONTNOV!I11</f>
        <v>0</v>
      </c>
      <c r="N11" s="7"/>
      <c r="O11" s="7"/>
      <c r="P11" s="12"/>
      <c r="Q11" s="8">
        <f t="shared" si="2"/>
        <v>0</v>
      </c>
      <c r="R11" s="8">
        <f>VLOOKUP(A11,[7]HISTODEC20!A$6:AI$38,19,0)</f>
        <v>0</v>
      </c>
      <c r="S11" s="45">
        <f t="shared" si="4"/>
        <v>0</v>
      </c>
    </row>
    <row r="12" spans="1:19" x14ac:dyDescent="0.25">
      <c r="A12" s="1" t="s">
        <v>10</v>
      </c>
      <c r="B12" s="1" t="str">
        <f>VLOOKUP(A12,[6]LISTADHERENT!A$5:H$60,3,0)</f>
        <v>KOUATCHO MESSACK</v>
      </c>
      <c r="C12" s="8">
        <f t="shared" si="0"/>
        <v>75000</v>
      </c>
      <c r="D12" s="8">
        <f t="shared" si="1"/>
        <v>0</v>
      </c>
      <c r="E12" s="8" t="str">
        <f>VLOOKUP(A12,[7]HISTODEC20!A$6:V$38,21,0)</f>
        <v>BANQUE</v>
      </c>
      <c r="F12" s="14">
        <f>TONTOCT!F12</f>
        <v>0</v>
      </c>
      <c r="G12" s="7" t="s">
        <v>8</v>
      </c>
      <c r="H12" s="8">
        <v>200000</v>
      </c>
      <c r="I12" s="8">
        <v>2000</v>
      </c>
      <c r="J12" s="7"/>
      <c r="K12" s="12"/>
      <c r="L12" s="8">
        <f t="shared" si="3"/>
        <v>102000</v>
      </c>
      <c r="M12" s="8">
        <f>+TONTNOV!H12+TONTNOV!I12</f>
        <v>102000</v>
      </c>
      <c r="N12" s="7" t="s">
        <v>9</v>
      </c>
      <c r="O12" s="7"/>
      <c r="P12" s="12"/>
      <c r="Q12" s="8">
        <f t="shared" si="2"/>
        <v>0</v>
      </c>
      <c r="R12" s="8">
        <f>VLOOKUP(A12,[7]HISTODEC20!A$6:AI$38,19,0)</f>
        <v>0</v>
      </c>
      <c r="S12" s="45">
        <f t="shared" si="4"/>
        <v>0</v>
      </c>
    </row>
    <row r="13" spans="1:19" x14ac:dyDescent="0.25">
      <c r="A13" s="1" t="s">
        <v>11</v>
      </c>
      <c r="B13" s="1" t="str">
        <f>VLOOKUP(A13,[6]LISTADHERENT!A$5:H$60,3,0)</f>
        <v>NANKAM APPOLINAIRE</v>
      </c>
      <c r="C13" s="8">
        <f t="shared" si="0"/>
        <v>75000</v>
      </c>
      <c r="D13" s="8">
        <f t="shared" si="1"/>
        <v>0</v>
      </c>
      <c r="E13" s="8" t="str">
        <f>VLOOKUP(A13,[7]HISTODEC20!A$6:V$38,21,0)</f>
        <v>BANQUE</v>
      </c>
      <c r="F13" s="14">
        <f>TONTOCT!F13</f>
        <v>0</v>
      </c>
      <c r="G13" s="7"/>
      <c r="H13" s="8"/>
      <c r="I13" s="8"/>
      <c r="J13" s="7"/>
      <c r="K13" s="12"/>
      <c r="L13" s="8">
        <f t="shared" si="3"/>
        <v>0</v>
      </c>
      <c r="M13" s="8">
        <f>+TONTNOV!H13+TONTNOV!I13</f>
        <v>0</v>
      </c>
      <c r="N13" s="7"/>
      <c r="O13" s="7"/>
      <c r="P13" s="12"/>
      <c r="Q13" s="8">
        <f t="shared" si="2"/>
        <v>0</v>
      </c>
      <c r="R13" s="8">
        <f>VLOOKUP(A13,[7]HISTODEC20!A$6:AI$38,19,0)</f>
        <v>0</v>
      </c>
      <c r="S13" s="45">
        <f t="shared" si="4"/>
        <v>0</v>
      </c>
    </row>
    <row r="14" spans="1:19" x14ac:dyDescent="0.25">
      <c r="A14" s="1" t="s">
        <v>32</v>
      </c>
      <c r="B14" s="1" t="str">
        <f>VLOOKUP(A14,[6]LISTADHERENT!A$5:H$60,3,0)</f>
        <v>MBOGNING TUGMA GUY</v>
      </c>
      <c r="C14" s="8">
        <f>IF(E14="ECHEC",0,IF(E14="",0,75000))+150000</f>
        <v>225000</v>
      </c>
      <c r="D14" s="8">
        <f t="shared" si="1"/>
        <v>0</v>
      </c>
      <c r="E14" s="8" t="str">
        <f>VLOOKUP(A14,[7]HISTODEC20!A$6:V$38,21,0)</f>
        <v>BANQUE</v>
      </c>
      <c r="F14" s="14">
        <f>TONTOCT!F14</f>
        <v>0</v>
      </c>
      <c r="G14" s="7"/>
      <c r="H14" s="8">
        <v>111000</v>
      </c>
      <c r="I14" s="8">
        <v>2000</v>
      </c>
      <c r="J14" s="7"/>
      <c r="K14" s="12"/>
      <c r="L14" s="8">
        <f t="shared" si="3"/>
        <v>102000</v>
      </c>
      <c r="M14" s="8">
        <f>+TONTNOV!H14+TONTNOV!I14</f>
        <v>102000</v>
      </c>
      <c r="N14" s="7" t="s">
        <v>9</v>
      </c>
      <c r="O14" s="7"/>
      <c r="P14" s="12"/>
      <c r="Q14" s="8">
        <f t="shared" si="2"/>
        <v>1050000</v>
      </c>
      <c r="R14" s="8">
        <f>VLOOKUP(A14,[7]HISTODEC20!A$6:AI$38,19,0)</f>
        <v>150000</v>
      </c>
      <c r="S14" s="45">
        <f t="shared" si="4"/>
        <v>75000</v>
      </c>
    </row>
    <row r="15" spans="1:19" x14ac:dyDescent="0.25">
      <c r="A15" s="1" t="s">
        <v>32</v>
      </c>
      <c r="B15" s="1" t="str">
        <f>VLOOKUP(A15,[6]LISTADHERENT!A$5:H$60,3,0)</f>
        <v>MBOGNING TUGMA GUY</v>
      </c>
      <c r="C15" s="8"/>
      <c r="D15" s="8">
        <f t="shared" si="1"/>
        <v>0</v>
      </c>
      <c r="E15" s="8"/>
      <c r="F15" s="14">
        <f>TONTOCT!F15</f>
        <v>0</v>
      </c>
      <c r="G15" s="7"/>
      <c r="H15" s="8"/>
      <c r="I15" s="8"/>
      <c r="J15" s="7"/>
      <c r="K15" s="12"/>
      <c r="L15" s="8">
        <f t="shared" si="3"/>
        <v>0</v>
      </c>
      <c r="M15" s="8">
        <f>+TONTNOV!H15+TONTNOV!I15</f>
        <v>0</v>
      </c>
      <c r="N15" s="7"/>
      <c r="O15" s="7"/>
      <c r="P15" s="12"/>
      <c r="Q15" s="8"/>
      <c r="R15" s="8"/>
      <c r="S15" s="45">
        <f t="shared" si="4"/>
        <v>0</v>
      </c>
    </row>
    <row r="16" spans="1:19" x14ac:dyDescent="0.25">
      <c r="A16" s="1" t="s">
        <v>32</v>
      </c>
      <c r="B16" s="1" t="str">
        <f>VLOOKUP(A16,[6]LISTADHERENT!A$5:H$60,3,0)</f>
        <v>MBOGNING TUGMA GUY</v>
      </c>
      <c r="C16" s="8"/>
      <c r="D16" s="8">
        <f t="shared" si="1"/>
        <v>0</v>
      </c>
      <c r="E16" s="8"/>
      <c r="F16" s="14">
        <f>TONTOCT!F16</f>
        <v>0</v>
      </c>
      <c r="G16" s="7"/>
      <c r="H16" s="8"/>
      <c r="I16" s="8"/>
      <c r="J16" s="7"/>
      <c r="K16" s="12"/>
      <c r="L16" s="8">
        <f t="shared" si="3"/>
        <v>0</v>
      </c>
      <c r="M16" s="8">
        <f>+TONTNOV!H16+TONTNOV!I16</f>
        <v>0</v>
      </c>
      <c r="N16" s="7"/>
      <c r="O16" s="7"/>
      <c r="P16" s="12"/>
      <c r="Q16" s="8"/>
      <c r="R16" s="8"/>
      <c r="S16" s="45">
        <f t="shared" si="4"/>
        <v>0</v>
      </c>
    </row>
    <row r="17" spans="1:24" s="13" customFormat="1" x14ac:dyDescent="0.25">
      <c r="A17" s="1" t="s">
        <v>31</v>
      </c>
      <c r="B17" s="1" t="str">
        <f>VLOOKUP(A17,[6]LISTADHERENT!A$5:H$60,3,0)</f>
        <v>NGUIEMEGNI MATHIEU BLAISE</v>
      </c>
      <c r="C17" s="8">
        <f>IF(E17="ECHEC",0,IF(E17="",0,75000))+75000</f>
        <v>150000</v>
      </c>
      <c r="D17" s="8">
        <f t="shared" si="1"/>
        <v>0</v>
      </c>
      <c r="E17" s="8" t="str">
        <f>VLOOKUP(A17,[7]HISTODEC20!A$6:V$38,21,0)</f>
        <v>BANQUE</v>
      </c>
      <c r="F17" s="14">
        <v>0</v>
      </c>
      <c r="G17" s="7" t="s">
        <v>9</v>
      </c>
      <c r="H17" s="8"/>
      <c r="I17" s="8"/>
      <c r="J17" s="7"/>
      <c r="K17" s="12"/>
      <c r="L17" s="8">
        <f>M17</f>
        <v>0</v>
      </c>
      <c r="M17" s="8">
        <f>+TONTNOV!H17+TONTNOV!I17</f>
        <v>0</v>
      </c>
      <c r="N17" s="7"/>
      <c r="O17" s="7"/>
      <c r="P17" s="12"/>
      <c r="Q17" s="8">
        <f t="shared" si="2"/>
        <v>0</v>
      </c>
      <c r="R17" s="8">
        <f>VLOOKUP(A17,[7]HISTODEC20!A$6:AI$38,19,0)</f>
        <v>0</v>
      </c>
      <c r="S17" s="45">
        <f t="shared" si="4"/>
        <v>0</v>
      </c>
    </row>
    <row r="18" spans="1:24" x14ac:dyDescent="0.25">
      <c r="A18" s="1" t="s">
        <v>31</v>
      </c>
      <c r="B18" s="1" t="str">
        <f>VLOOKUP(A18,[6]LISTADHERENT!A$5:H$60,3,0)</f>
        <v>NGUIEMEGNI MATHIEU BLAISE</v>
      </c>
      <c r="C18" s="8"/>
      <c r="D18" s="8">
        <f t="shared" si="1"/>
        <v>0</v>
      </c>
      <c r="E18" s="8"/>
      <c r="F18" s="14">
        <f>TONTOCT!F18</f>
        <v>0</v>
      </c>
      <c r="G18" s="7"/>
      <c r="H18" s="8"/>
      <c r="I18" s="8"/>
      <c r="J18" s="7"/>
      <c r="K18" s="12"/>
      <c r="L18" s="8">
        <f t="shared" ref="L18:L24" si="5">M18</f>
        <v>0</v>
      </c>
      <c r="M18" s="8">
        <f>+TONTNOV!H18+TONTNOV!I18</f>
        <v>0</v>
      </c>
      <c r="N18" s="7"/>
      <c r="O18" s="7"/>
      <c r="P18" s="12"/>
      <c r="Q18" s="8">
        <f t="shared" si="2"/>
        <v>0</v>
      </c>
      <c r="R18" s="8">
        <f>VLOOKUP(A18,[7]HISTODEC20!A$6:AI$38,19,0)</f>
        <v>0</v>
      </c>
      <c r="S18" s="45">
        <f t="shared" si="4"/>
        <v>0</v>
      </c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 t="shared" si="0"/>
        <v>75000</v>
      </c>
      <c r="D19" s="8">
        <f t="shared" si="1"/>
        <v>0</v>
      </c>
      <c r="E19" s="8" t="str">
        <f>VLOOKUP(A19,[7]HISTODEC20!A$6:V$38,21,0)</f>
        <v>ESPECES</v>
      </c>
      <c r="F19" s="14">
        <f>TONTOCT!F19</f>
        <v>0</v>
      </c>
      <c r="G19" s="7"/>
      <c r="H19" s="8">
        <v>150000</v>
      </c>
      <c r="I19" s="8">
        <v>2000</v>
      </c>
      <c r="J19" s="7"/>
      <c r="K19" s="7"/>
      <c r="L19" s="8">
        <f t="shared" si="5"/>
        <v>102000</v>
      </c>
      <c r="M19" s="8">
        <f>+TONTNOV!H19+TONTNOV!I19</f>
        <v>102000</v>
      </c>
      <c r="N19" s="7" t="s">
        <v>14</v>
      </c>
      <c r="O19" s="7"/>
      <c r="P19" s="12"/>
      <c r="Q19" s="8">
        <f t="shared" si="2"/>
        <v>0</v>
      </c>
      <c r="R19" s="8">
        <f>VLOOKUP(A19,[7]HISTODEC20!A$6:AI$38,19,0)</f>
        <v>0</v>
      </c>
      <c r="S19" s="45">
        <f t="shared" si="4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 t="shared" si="0"/>
        <v>75000</v>
      </c>
      <c r="D20" s="8">
        <f t="shared" si="1"/>
        <v>0</v>
      </c>
      <c r="E20" s="8" t="str">
        <f>VLOOKUP(A20,[7]HISTODEC20!A$6:V$38,21,0)</f>
        <v>BANQUE</v>
      </c>
      <c r="F20" s="14">
        <f>TONTOCT!F20</f>
        <v>0</v>
      </c>
      <c r="G20" s="7"/>
      <c r="H20" s="8"/>
      <c r="I20" s="8"/>
      <c r="J20" s="7"/>
      <c r="K20" s="7"/>
      <c r="L20" s="8">
        <f t="shared" si="5"/>
        <v>0</v>
      </c>
      <c r="M20" s="8">
        <f>+TONTNOV!H20+TONTNOV!I20</f>
        <v>0</v>
      </c>
      <c r="N20" s="7"/>
      <c r="O20" s="7"/>
      <c r="P20" s="12"/>
      <c r="Q20" s="8">
        <f t="shared" si="2"/>
        <v>0</v>
      </c>
      <c r="R20" s="8">
        <f>VLOOKUP(A20,[7]HISTODEC20!A$6:AI$38,19,0)</f>
        <v>0</v>
      </c>
      <c r="S20" s="45">
        <f t="shared" si="4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 t="shared" si="0"/>
        <v>75000</v>
      </c>
      <c r="D21" s="8">
        <f t="shared" si="1"/>
        <v>0</v>
      </c>
      <c r="E21" s="8" t="str">
        <f>VLOOKUP(A21,[7]HISTODEC20!A$6:V$38,21,0)</f>
        <v>BANQUE</v>
      </c>
      <c r="F21" s="14">
        <f>TONTOCT!F21</f>
        <v>0</v>
      </c>
      <c r="G21" s="7"/>
      <c r="H21" s="8"/>
      <c r="I21" s="8"/>
      <c r="J21" s="7"/>
      <c r="K21" s="7"/>
      <c r="L21" s="8">
        <f t="shared" si="5"/>
        <v>0</v>
      </c>
      <c r="M21" s="8">
        <f>+TONTNOV!H21+TONTNOV!I21</f>
        <v>0</v>
      </c>
      <c r="N21" s="7"/>
      <c r="O21" s="7"/>
      <c r="P21" s="12"/>
      <c r="Q21" s="8">
        <f t="shared" si="2"/>
        <v>0</v>
      </c>
      <c r="R21" s="8">
        <f>VLOOKUP(A21,[7]HISTODEC20!A$6:AI$38,19,0)</f>
        <v>0</v>
      </c>
      <c r="S21" s="45">
        <f t="shared" si="4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 t="shared" si="0"/>
        <v>75000</v>
      </c>
      <c r="D22" s="8">
        <f t="shared" si="1"/>
        <v>0</v>
      </c>
      <c r="E22" s="8" t="str">
        <f>VLOOKUP(A22,[7]HISTODEC20!A$6:V$38,21,0)</f>
        <v>BANQUE</v>
      </c>
      <c r="F22" s="14">
        <f>TONTOCT!F22</f>
        <v>0</v>
      </c>
      <c r="G22" s="7"/>
      <c r="H22" s="8"/>
      <c r="I22" s="8"/>
      <c r="J22" s="7"/>
      <c r="K22" s="7"/>
      <c r="L22" s="8">
        <f t="shared" si="5"/>
        <v>0</v>
      </c>
      <c r="M22" s="8">
        <f>+TONTNOV!H22+TONTNOV!I22</f>
        <v>0</v>
      </c>
      <c r="N22" s="7"/>
      <c r="O22" s="7"/>
      <c r="P22" s="12"/>
      <c r="Q22" s="8">
        <f t="shared" si="2"/>
        <v>0</v>
      </c>
      <c r="R22" s="8">
        <f>VLOOKUP(A22,[7]HISTODEC20!A$6:AI$38,19,0)</f>
        <v>0</v>
      </c>
      <c r="S22" s="45">
        <f t="shared" si="4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IF(E23="ECHEC",0,IF(E23="",0,75000))+75000</f>
        <v>150000</v>
      </c>
      <c r="D23" s="8">
        <f t="shared" si="1"/>
        <v>0</v>
      </c>
      <c r="E23" s="8" t="str">
        <f>VLOOKUP(A23,[7]HISTODEC20!A$6:V$38,21,0)</f>
        <v>BANQUE</v>
      </c>
      <c r="F23" s="14">
        <f>TONTOCT!F23</f>
        <v>0</v>
      </c>
      <c r="G23" s="7"/>
      <c r="H23" s="8"/>
      <c r="I23" s="8"/>
      <c r="J23" s="7"/>
      <c r="K23" s="7"/>
      <c r="L23" s="8">
        <f t="shared" si="5"/>
        <v>0</v>
      </c>
      <c r="M23" s="8">
        <f>+TONTNOV!H23+TONTNOV!I23</f>
        <v>0</v>
      </c>
      <c r="N23" s="7"/>
      <c r="O23" s="7"/>
      <c r="P23" s="12"/>
      <c r="Q23" s="8">
        <f t="shared" si="2"/>
        <v>0</v>
      </c>
      <c r="R23" s="8">
        <f>VLOOKUP(A23,[7]HISTODEC20!A$6:AI$38,19,0)</f>
        <v>0</v>
      </c>
      <c r="S23" s="45">
        <f t="shared" si="4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>
        <f t="shared" si="1"/>
        <v>0</v>
      </c>
      <c r="E24" s="8"/>
      <c r="F24" s="14">
        <f>TONTOCT!F24</f>
        <v>0</v>
      </c>
      <c r="G24" s="7"/>
      <c r="H24" s="8"/>
      <c r="I24" s="8"/>
      <c r="J24" s="7"/>
      <c r="K24" s="7"/>
      <c r="L24" s="8">
        <f t="shared" si="5"/>
        <v>0</v>
      </c>
      <c r="M24" s="8">
        <f>+TONTNOV!H24+TONTNOV!I24</f>
        <v>0</v>
      </c>
      <c r="N24" s="7"/>
      <c r="O24" s="7"/>
      <c r="P24" s="12"/>
      <c r="Q24" s="8">
        <f t="shared" si="2"/>
        <v>0</v>
      </c>
      <c r="R24" s="8">
        <f>VLOOKUP(A24,[7]HISTODEC20!A$6:AI$38,19,0)</f>
        <v>0</v>
      </c>
      <c r="S24" s="45">
        <f t="shared" si="4"/>
        <v>0</v>
      </c>
    </row>
    <row r="25" spans="1:24" ht="18" x14ac:dyDescent="0.25">
      <c r="B25" s="9"/>
      <c r="C25" s="9"/>
      <c r="D25" s="9"/>
      <c r="E25" s="9"/>
      <c r="F25" s="9"/>
      <c r="G25" s="9"/>
      <c r="H25" s="9"/>
      <c r="I25" s="9"/>
    </row>
    <row r="26" spans="1:24" ht="18" x14ac:dyDescent="0.25">
      <c r="A26" s="20" t="s">
        <v>13</v>
      </c>
      <c r="B26" s="20"/>
      <c r="C26" s="21">
        <f>SUM(C6:C24)</f>
        <v>1350000</v>
      </c>
      <c r="D26" s="21">
        <f>SUM(D6:D24)</f>
        <v>0</v>
      </c>
      <c r="E26" s="21"/>
      <c r="F26" s="21">
        <f>SUM(F6:F24)</f>
        <v>0</v>
      </c>
      <c r="G26" s="21"/>
      <c r="H26" s="21">
        <f>SUM(H6:H24)</f>
        <v>761000</v>
      </c>
      <c r="I26" s="21">
        <f>SUM(I6:I24)</f>
        <v>12000</v>
      </c>
      <c r="J26" s="21"/>
      <c r="K26" s="21">
        <f>SUM(K6:K24)</f>
        <v>0</v>
      </c>
      <c r="L26" s="21">
        <f>SUM(L6:L24)</f>
        <v>461500</v>
      </c>
      <c r="M26" s="21">
        <f>SUM(M6:M24)</f>
        <v>461500</v>
      </c>
      <c r="N26" s="21"/>
      <c r="O26" s="21">
        <f>SUM(O6:O24)</f>
        <v>0</v>
      </c>
      <c r="P26" s="21">
        <f>SUM(P6:P24)</f>
        <v>0</v>
      </c>
      <c r="Q26" s="21">
        <f>SUM(Q6:Q24)</f>
        <v>1050000</v>
      </c>
      <c r="R26" s="21">
        <f>SUM(R6:R24)</f>
        <v>150000</v>
      </c>
      <c r="S26" s="21">
        <f>SUM(S6:S24)</f>
        <v>75000</v>
      </c>
      <c r="T26" s="17"/>
      <c r="U26" s="17"/>
      <c r="V26" s="17"/>
      <c r="W26" s="17"/>
      <c r="X26" s="17"/>
    </row>
    <row r="27" spans="1:24" x14ac:dyDescent="0.25">
      <c r="C27" s="22" t="s">
        <v>16</v>
      </c>
      <c r="K27" s="2"/>
      <c r="L27" s="3"/>
      <c r="M27" s="3"/>
      <c r="P27"/>
      <c r="Q27"/>
      <c r="S27" s="17"/>
    </row>
    <row r="28" spans="1:24" ht="43.5" x14ac:dyDescent="0.25">
      <c r="C28" s="23" t="s">
        <v>17</v>
      </c>
      <c r="D28" s="6" t="s">
        <v>22</v>
      </c>
      <c r="E28" s="6" t="s">
        <v>25</v>
      </c>
      <c r="F28" s="6" t="s">
        <v>27</v>
      </c>
      <c r="G28" s="6" t="s">
        <v>28</v>
      </c>
      <c r="H28" s="3"/>
      <c r="I28" s="9" t="s">
        <v>35</v>
      </c>
      <c r="J28" s="9">
        <f>C33+D33+R26</f>
        <v>1961500</v>
      </c>
      <c r="K28" s="9"/>
      <c r="L28" s="9"/>
      <c r="P28"/>
      <c r="Q28"/>
      <c r="S28" s="17"/>
    </row>
    <row r="29" spans="1:24" ht="18" x14ac:dyDescent="0.25">
      <c r="C29" s="22"/>
      <c r="F29"/>
      <c r="G29"/>
      <c r="H29" s="3"/>
      <c r="I29" s="9" t="s">
        <v>55</v>
      </c>
      <c r="J29" s="9">
        <f>IF(J28&gt;=2400000,1200000*2,1200000)</f>
        <v>1200000</v>
      </c>
      <c r="K29" s="9"/>
      <c r="L29" s="32"/>
      <c r="P29"/>
      <c r="Q29"/>
      <c r="S29" s="17"/>
    </row>
    <row r="30" spans="1:24" ht="18" x14ac:dyDescent="0.25">
      <c r="B30" s="9" t="s">
        <v>14</v>
      </c>
      <c r="C30" s="21">
        <f>SUMIFS(C6:C24,E6:E24,"ESPECES")</f>
        <v>75000</v>
      </c>
      <c r="D30" s="9">
        <f>SUMIFS(L6:L25,N6:N25,"ESPECES")+SUMIFS(F6:F25,G6:G25,"ESPECES")</f>
        <v>102000</v>
      </c>
      <c r="E30" s="9">
        <f>SUMIFS(H6:H24,J6:J24,"ESPECES")</f>
        <v>0</v>
      </c>
      <c r="F30" s="9">
        <f>SUMIFS(Q6:Q24,O6:O24,"ESPECES")</f>
        <v>0</v>
      </c>
      <c r="G30" s="9">
        <f>C30+D30-E30-F30</f>
        <v>177000</v>
      </c>
      <c r="H30" s="3"/>
      <c r="I30" s="2"/>
      <c r="J30"/>
      <c r="K30"/>
      <c r="L30" s="9"/>
      <c r="O30" s="9"/>
      <c r="P30"/>
      <c r="Q30"/>
    </row>
    <row r="31" spans="1:24" ht="18" x14ac:dyDescent="0.25">
      <c r="B31" s="9" t="s">
        <v>9</v>
      </c>
      <c r="C31" s="21">
        <f>SUMIFS(C6:C24,E6:E24,"BANQUE")</f>
        <v>1275000</v>
      </c>
      <c r="D31" s="9">
        <f>SUMIFS(M6:M25,N6:N25,"BANQUE")+SUMIFS(F3:F21,G3:G21,"BANQUE")</f>
        <v>359500</v>
      </c>
      <c r="E31" s="9">
        <f>SUMIFS(H6:H24,J6:J24,"BANQUE")</f>
        <v>0</v>
      </c>
      <c r="F31" s="9">
        <f>SUMIFS(Q6:Q24,O6:O24,"BANQUE")</f>
        <v>0</v>
      </c>
      <c r="G31" s="9">
        <f>C31+D31-E31-F31</f>
        <v>1634500</v>
      </c>
      <c r="H31" s="3"/>
      <c r="I31" s="9" t="s">
        <v>33</v>
      </c>
      <c r="J31" s="9">
        <f>J28-J29</f>
        <v>761500</v>
      </c>
      <c r="K31" s="9"/>
      <c r="L31" s="3"/>
      <c r="O31" s="9"/>
      <c r="P31"/>
      <c r="Q31"/>
    </row>
    <row r="32" spans="1:24" ht="18" x14ac:dyDescent="0.25">
      <c r="B32" s="9"/>
      <c r="C32" s="21"/>
      <c r="E32"/>
      <c r="F32" s="9"/>
      <c r="G32" s="9"/>
      <c r="H32" s="3"/>
      <c r="I32" s="2"/>
      <c r="J32"/>
      <c r="K32"/>
      <c r="L32" s="3"/>
      <c r="O32" s="9"/>
      <c r="P32"/>
      <c r="Q32"/>
    </row>
    <row r="33" spans="2:17" ht="18" x14ac:dyDescent="0.25">
      <c r="B33" s="9" t="s">
        <v>13</v>
      </c>
      <c r="C33" s="21">
        <f>C30+C31</f>
        <v>1350000</v>
      </c>
      <c r="D33" s="21">
        <f>D30+D31</f>
        <v>461500</v>
      </c>
      <c r="E33" s="21">
        <f t="shared" ref="E33" si="6">E30+E31</f>
        <v>0</v>
      </c>
      <c r="F33" s="21">
        <f>F30+F31</f>
        <v>0</v>
      </c>
      <c r="G33" s="21">
        <f>G30+G31</f>
        <v>1811500</v>
      </c>
      <c r="H33" s="3"/>
      <c r="I33" s="9" t="s">
        <v>56</v>
      </c>
      <c r="J33" s="9">
        <f>J31-H26</f>
        <v>500</v>
      </c>
      <c r="K33" s="9">
        <f>J33+TONTNOV!K33</f>
        <v>0</v>
      </c>
      <c r="L33" s="9" t="s">
        <v>57</v>
      </c>
      <c r="P33"/>
      <c r="Q33"/>
    </row>
    <row r="34" spans="2:17" ht="18" x14ac:dyDescent="0.25">
      <c r="B34" s="9"/>
      <c r="C34" s="21"/>
      <c r="D34" s="9"/>
      <c r="F34"/>
      <c r="G34"/>
      <c r="H34" s="3"/>
      <c r="I34" s="2"/>
      <c r="J34"/>
      <c r="L34" s="3"/>
      <c r="P34"/>
      <c r="Q34"/>
    </row>
    <row r="35" spans="2:17" ht="18" x14ac:dyDescent="0.25">
      <c r="B35" s="9"/>
      <c r="C35" s="21"/>
      <c r="D35" s="9"/>
      <c r="F35"/>
      <c r="G35"/>
      <c r="H35" s="3"/>
      <c r="I35" s="9" t="s">
        <v>52</v>
      </c>
      <c r="J35" s="9">
        <f>COUNTIFS(E3:E21,"ECHEC")*75000</f>
        <v>0</v>
      </c>
      <c r="K35" s="9">
        <f>J35+TONTNOV!K35</f>
        <v>0</v>
      </c>
      <c r="L35" s="9" t="s">
        <v>57</v>
      </c>
      <c r="P35"/>
      <c r="Q35"/>
    </row>
    <row r="36" spans="2:17" ht="18" x14ac:dyDescent="0.25">
      <c r="B36" s="9" t="s">
        <v>6</v>
      </c>
      <c r="C36" s="21">
        <v>1200000</v>
      </c>
      <c r="F36"/>
      <c r="G36" s="9"/>
      <c r="H36" s="9"/>
      <c r="I36" s="9" t="s">
        <v>53</v>
      </c>
      <c r="J36" s="21">
        <f>SUMIFS(F3:F21,G3:G21,"ECHEC")</f>
        <v>0</v>
      </c>
      <c r="K36" s="9"/>
      <c r="L36" s="9" t="s">
        <v>57</v>
      </c>
      <c r="P36"/>
      <c r="Q36"/>
    </row>
    <row r="37" spans="2:17" ht="18" x14ac:dyDescent="0.25">
      <c r="B37" s="9"/>
      <c r="C37" s="21"/>
      <c r="I37" s="9"/>
      <c r="J37" s="9"/>
      <c r="K37"/>
      <c r="L37" s="3"/>
      <c r="M37" s="3"/>
      <c r="P37"/>
      <c r="Q37"/>
    </row>
    <row r="38" spans="2:17" x14ac:dyDescent="0.25">
      <c r="C38" s="22"/>
      <c r="I38" s="2"/>
      <c r="J38"/>
      <c r="K38"/>
      <c r="L38" s="3"/>
      <c r="M38" s="3"/>
      <c r="P38"/>
      <c r="Q38"/>
    </row>
    <row r="39" spans="2:17" ht="18" x14ac:dyDescent="0.25">
      <c r="B39" s="6"/>
      <c r="C39" s="21"/>
      <c r="I39" s="9"/>
      <c r="J39" s="9"/>
      <c r="K39"/>
      <c r="L39" s="3"/>
      <c r="M39" s="3"/>
      <c r="P39"/>
      <c r="Q39"/>
    </row>
    <row r="40" spans="2:17" ht="18" x14ac:dyDescent="0.25">
      <c r="B40" s="10"/>
      <c r="C40" s="21"/>
      <c r="I40" s="2"/>
      <c r="J40"/>
      <c r="K40"/>
      <c r="L40" s="3"/>
      <c r="M40" s="3"/>
      <c r="P40"/>
      <c r="Q40"/>
    </row>
    <row r="41" spans="2:17" ht="18" x14ac:dyDescent="0.25">
      <c r="C41" s="22"/>
      <c r="I41" s="9"/>
      <c r="J41" s="9"/>
      <c r="K41"/>
      <c r="L41" s="3"/>
      <c r="M41" s="3"/>
      <c r="P41"/>
      <c r="Q41"/>
    </row>
    <row r="42" spans="2:17" x14ac:dyDescent="0.25">
      <c r="C42" s="22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B45" s="9"/>
      <c r="C45" s="9"/>
      <c r="D45" s="9"/>
    </row>
    <row r="46" spans="2:17" ht="18" x14ac:dyDescent="0.25">
      <c r="B46" s="9"/>
      <c r="C46" s="9"/>
      <c r="D46" s="9"/>
    </row>
    <row r="47" spans="2:17" ht="18" x14ac:dyDescent="0.25">
      <c r="B47" s="9"/>
      <c r="C47" s="9"/>
    </row>
    <row r="48" spans="2:17" ht="18" x14ac:dyDescent="0.25">
      <c r="B48" s="9"/>
      <c r="C48" s="9"/>
    </row>
    <row r="50" spans="2:3" ht="18" x14ac:dyDescent="0.25">
      <c r="B50" s="6"/>
      <c r="C50" s="9"/>
    </row>
    <row r="51" spans="2:3" ht="18" x14ac:dyDescent="0.25">
      <c r="B51" s="10"/>
      <c r="C51" s="11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G6:G24 J6:K24 N6:O24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ht="18" x14ac:dyDescent="0.25">
      <c r="B4" s="5"/>
      <c r="C4" s="52">
        <v>44213</v>
      </c>
      <c r="D4" s="53"/>
      <c r="E4" s="53"/>
      <c r="F4" s="53"/>
      <c r="G4" s="53"/>
      <c r="H4" s="53"/>
      <c r="I4" s="53"/>
      <c r="J4" s="53"/>
      <c r="K4" s="53"/>
      <c r="L4" s="53"/>
      <c r="M4" s="33"/>
      <c r="N4" s="33"/>
      <c r="O4" s="33"/>
      <c r="P4" s="33"/>
      <c r="Q4" s="33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45</v>
      </c>
      <c r="M5" s="18" t="s">
        <v>47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IF(E6="ECHEC",0,VLOOKUP($A6,[8]HISTOJANV21!$A$6:$AU$39,13,0))</f>
        <v>75000</v>
      </c>
      <c r="D6" s="8"/>
      <c r="E6" s="8" t="str">
        <f>VLOOKUP($A6,[8]HISTOJANV21!$A$6:$AU$39,8,0)</f>
        <v>BANQUE</v>
      </c>
      <c r="F6" s="8">
        <f>TONTDEC!F6</f>
        <v>0</v>
      </c>
      <c r="G6" s="7"/>
      <c r="H6" s="8">
        <f>VLOOKUP($A6,[8]HISTOJANV21!$A$6:$AU$39,36,0)</f>
        <v>0</v>
      </c>
      <c r="I6" s="8">
        <f>VLOOKUP($A6,[8]HISTOJANV21!$A$6:$AU$39,39,0)</f>
        <v>0</v>
      </c>
      <c r="J6" s="8" t="str">
        <f>IF(H6&lt;&gt;0,VLOOKUP($A6,[8]HISTOJANV21!$A$6:$AU$39,8,0),"ECHEC")</f>
        <v>ECHEC</v>
      </c>
      <c r="K6" s="8">
        <f>VLOOKUP($A6,[8]HISTOJANV21!$A$6:$AU$39,41,0)</f>
        <v>0</v>
      </c>
      <c r="L6" s="8">
        <f>VLOOKUP($A6,[8]HISTOJANV21!$A$6:$AU$39,17,0)</f>
        <v>0</v>
      </c>
      <c r="M6" s="8">
        <f>TONTDEC!H6+TONTDEC!I6</f>
        <v>0</v>
      </c>
      <c r="N6" s="8" t="str">
        <f>IF(M6&lt;&gt;0,VLOOKUP($A6,[8]HISTOJANV21!$A$6:$AU$39,8,0),"ECHEC")</f>
        <v>ECHEC</v>
      </c>
      <c r="O6" s="8" t="str">
        <f>IF(R6&lt;&gt;0,VLOOKUP($A6,[8]HISTOJANV21!$A$6:$AU$39,8,0),"ECHEC")</f>
        <v>ECHEC</v>
      </c>
      <c r="P6" s="8">
        <f>VLOOKUP($A6,[8]HISTOJANV21!$A$6:$AU$39,33,0)</f>
        <v>0</v>
      </c>
      <c r="Q6" s="8">
        <f>IF(R6=0,0,($C$37-R6))</f>
        <v>0</v>
      </c>
      <c r="R6" s="8">
        <f>VLOOKUP($A6,[8]HISTOJANV21!$A$6:$AU$39,30,0)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IF(E8="ECHEC",0,VLOOKUP($A8,[8]HISTOJANV21!$A$6:$AU$39,13,0))</f>
        <v>75000</v>
      </c>
      <c r="D8" s="8"/>
      <c r="E8" s="8" t="str">
        <f>VLOOKUP($A8,[8]HISTOJANV21!$A$6:$AU$39,8,0)</f>
        <v>BANQUE</v>
      </c>
      <c r="F8" s="8">
        <f>TONTDEC!F8</f>
        <v>0</v>
      </c>
      <c r="G8" s="8"/>
      <c r="H8" s="8">
        <f>VLOOKUP($A8,[8]HISTOJANV21!$A$6:$AU$39,36,0)</f>
        <v>200000</v>
      </c>
      <c r="I8" s="8">
        <f>VLOOKUP($A8,[8]HISTOJANV21!$A$6:$AU$39,39,0)</f>
        <v>2000</v>
      </c>
      <c r="J8" s="8" t="str">
        <f>IF(H8&lt;&gt;0,VLOOKUP($A8,[8]HISTOJANV21!$A$6:$AU$39,8,0),"ECHEC")</f>
        <v>BANQUE</v>
      </c>
      <c r="K8" s="8">
        <f>VLOOKUP($A8,[8]HISTOJANV21!$A$6:$AU$39,41,0)</f>
        <v>0</v>
      </c>
      <c r="L8" s="8">
        <f>VLOOKUP($A8,[8]HISTOJANV21!$A$6:$AU$39,17,0)</f>
        <v>102000</v>
      </c>
      <c r="M8" s="8">
        <f>TONTDEC!H8+TONTDEC!I8</f>
        <v>102000</v>
      </c>
      <c r="N8" s="8" t="str">
        <f>IF(M8&lt;&gt;0,VLOOKUP($A8,[8]HISTOJANV21!$A$6:$AU$39,8,0),"ECHEC")</f>
        <v>BANQUE</v>
      </c>
      <c r="O8" s="8" t="str">
        <f>IF(R8&lt;&gt;0,VLOOKUP($A8,[8]HISTOJANV21!$A$6:$AU$39,8,0),"ECHEC")</f>
        <v>ECHEC</v>
      </c>
      <c r="P8" s="8">
        <f>VLOOKUP($A8,[8]HISTOJANV21!$A$6:$AU$39,33,0)</f>
        <v>0</v>
      </c>
      <c r="Q8" s="8">
        <f t="shared" ref="Q8:Q14" si="1">IF(R8=0,0,($C$37-R8))</f>
        <v>0</v>
      </c>
      <c r="R8" s="8">
        <f>VLOOKUP($A8,[8]HISTOJANV21!$A$6:$AU$39,30,0)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IF(E9="ECHEC",0,VLOOKUP($A9,[8]HISTOJANV21!$A$6:$AU$39,13,0))</f>
        <v>75000</v>
      </c>
      <c r="D9" s="8"/>
      <c r="E9" s="8" t="str">
        <f>VLOOKUP($A9,[8]HISTOJANV21!$A$6:$AU$39,8,0)</f>
        <v>BANQUE</v>
      </c>
      <c r="F9" s="8">
        <f>TONTDEC!F9</f>
        <v>0</v>
      </c>
      <c r="G9" s="8"/>
      <c r="H9" s="8">
        <f>VLOOKUP($A9,[8]HISTOJANV21!$A$6:$AU$39,36,0)</f>
        <v>200000</v>
      </c>
      <c r="I9" s="8">
        <f>VLOOKUP($A9,[8]HISTOJANV21!$A$6:$AU$39,39,0)</f>
        <v>2000</v>
      </c>
      <c r="J9" s="8" t="str">
        <f>IF(H9&lt;&gt;0,VLOOKUP($A9,[8]HISTOJANV21!$A$6:$AU$39,8,0),"ECHEC")</f>
        <v>BANQUE</v>
      </c>
      <c r="K9" s="8">
        <f>VLOOKUP($A9,[8]HISTOJANV21!$A$6:$AU$39,41,0)</f>
        <v>0</v>
      </c>
      <c r="L9" s="8">
        <f>VLOOKUP($A9,[8]HISTOJANV21!$A$6:$AU$39,17,0)</f>
        <v>204000</v>
      </c>
      <c r="M9" s="8">
        <f>TONTDEC!H9+TONTDEC!I9</f>
        <v>204000</v>
      </c>
      <c r="N9" s="8" t="str">
        <f>IF(M9&lt;&gt;0,VLOOKUP($A9,[8]HISTOJANV21!$A$6:$AU$39,8,0),"ECHEC")</f>
        <v>BANQUE</v>
      </c>
      <c r="O9" s="8" t="str">
        <f>IF(R9&lt;&gt;0,VLOOKUP($A9,[8]HISTOJANV21!$A$6:$AU$39,8,0),"ECHEC")</f>
        <v>ECHEC</v>
      </c>
      <c r="P9" s="8">
        <f>VLOOKUP($A9,[8]HISTOJANV21!$A$6:$AU$39,33,0)</f>
        <v>0</v>
      </c>
      <c r="Q9" s="8">
        <f t="shared" si="1"/>
        <v>0</v>
      </c>
      <c r="R9" s="8">
        <f>VLOOKUP($A9,[8]HISTOJANV21!$A$6:$AU$39,30,0)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IF(E10="ECHEC",0,VLOOKUP($A10,[8]HISTOJANV21!$A$6:$AU$39,13,0))</f>
        <v>75000</v>
      </c>
      <c r="D10" s="8"/>
      <c r="E10" s="8" t="str">
        <f>VLOOKUP($A10,[8]HISTOJANV21!$A$6:$AU$39,8,0)</f>
        <v>BANQUE</v>
      </c>
      <c r="F10" s="8">
        <f>TONTDEC!F10</f>
        <v>0</v>
      </c>
      <c r="G10" s="8"/>
      <c r="H10" s="8">
        <f>VLOOKUP($A10,[8]HISTOJANV21!$A$6:$AU$39,36,0)</f>
        <v>0</v>
      </c>
      <c r="I10" s="8">
        <f>VLOOKUP($A10,[8]HISTOJANV21!$A$6:$AU$39,39,0)</f>
        <v>0</v>
      </c>
      <c r="J10" s="8" t="str">
        <f>IF(H10&lt;&gt;0,VLOOKUP($A10,[8]HISTOJANV21!$A$6:$AU$39,8,0),"ECHEC")</f>
        <v>ECHEC</v>
      </c>
      <c r="K10" s="8">
        <f>VLOOKUP($A10,[8]HISTOJANV21!$A$6:$AU$39,41,0)</f>
        <v>0</v>
      </c>
      <c r="L10" s="8">
        <f>VLOOKUP($A10,[8]HISTOJANV21!$A$6:$AU$39,17,0)</f>
        <v>0</v>
      </c>
      <c r="M10" s="8">
        <f>TONTDEC!H10+TONTDEC!I10</f>
        <v>0</v>
      </c>
      <c r="N10" s="8" t="str">
        <f>IF(M10&lt;&gt;0,VLOOKUP($A10,[8]HISTOJANV21!$A$6:$AU$39,8,0),"ECHEC")</f>
        <v>ECHEC</v>
      </c>
      <c r="O10" s="8" t="str">
        <f>IF(R10&lt;&gt;0,VLOOKUP($A10,[8]HISTOJANV21!$A$6:$AU$39,8,0),"ECHEC")</f>
        <v>ECHEC</v>
      </c>
      <c r="P10" s="8">
        <f>VLOOKUP($A10,[8]HISTOJANV21!$A$6:$AU$39,33,0)</f>
        <v>0</v>
      </c>
      <c r="Q10" s="8">
        <f t="shared" si="1"/>
        <v>0</v>
      </c>
      <c r="R10" s="8">
        <f>VLOOKUP($A10,[8]HISTOJANV21!$A$6:$AU$39,30,0)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IF(E11="ECHEC",0,VLOOKUP($A11,[8]HISTOJANV21!$A$6:$AU$39,13,0))</f>
        <v>75000</v>
      </c>
      <c r="D11" s="8"/>
      <c r="E11" s="8" t="str">
        <f>VLOOKUP($A11,[8]HISTOJANV21!$A$6:$AU$39,8,0)</f>
        <v>BANQUE</v>
      </c>
      <c r="F11" s="8">
        <f>TONTDEC!F11</f>
        <v>0</v>
      </c>
      <c r="G11" s="8"/>
      <c r="H11" s="8">
        <f>VLOOKUP($A11,[8]HISTOJANV21!$A$6:$AU$39,36,0)</f>
        <v>0</v>
      </c>
      <c r="I11" s="8">
        <f>VLOOKUP($A11,[8]HISTOJANV21!$A$6:$AU$39,39,0)</f>
        <v>0</v>
      </c>
      <c r="J11" s="8" t="str">
        <f>IF(H11&lt;&gt;0,VLOOKUP($A11,[8]HISTOJANV21!$A$6:$AU$39,8,0),"ECHEC")</f>
        <v>ECHEC</v>
      </c>
      <c r="K11" s="8">
        <f>VLOOKUP($A11,[8]HISTOJANV21!$A$6:$AU$39,41,0)</f>
        <v>0</v>
      </c>
      <c r="L11" s="8">
        <f>VLOOKUP($A11,[8]HISTOJANV21!$A$6:$AU$39,17,0)</f>
        <v>0</v>
      </c>
      <c r="M11" s="8">
        <f>TONTDEC!H11+TONTDEC!I11</f>
        <v>0</v>
      </c>
      <c r="N11" s="8" t="str">
        <f>IF(M11&lt;&gt;0,VLOOKUP($A11,[8]HISTOJANV21!$A$6:$AU$39,8,0),"ECHEC")</f>
        <v>ECHEC</v>
      </c>
      <c r="O11" s="8" t="str">
        <f>IF(R11&lt;&gt;0,VLOOKUP($A11,[8]HISTOJANV21!$A$6:$AU$39,8,0),"ECHEC")</f>
        <v>ECHEC</v>
      </c>
      <c r="P11" s="8">
        <f>VLOOKUP($A11,[8]HISTOJANV21!$A$6:$AU$39,33,0)</f>
        <v>0</v>
      </c>
      <c r="Q11" s="8">
        <f t="shared" si="1"/>
        <v>0</v>
      </c>
      <c r="R11" s="8">
        <f>VLOOKUP($A11,[8]HISTOJANV21!$A$6:$AU$39,30,0)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IF(E12="ECHEC",0,VLOOKUP($A12,[8]HISTOJANV21!$A$6:$AU$39,13,0))</f>
        <v>75000</v>
      </c>
      <c r="D12" s="8"/>
      <c r="E12" s="8" t="str">
        <f>VLOOKUP($A12,[8]HISTOJANV21!$A$6:$AU$39,8,0)</f>
        <v>ESPECES</v>
      </c>
      <c r="F12" s="8">
        <f>TONTDEC!F12</f>
        <v>0</v>
      </c>
      <c r="G12" s="8"/>
      <c r="H12" s="8">
        <f>VLOOKUP($A12,[8]HISTOJANV21!$A$6:$AU$39,36,0)</f>
        <v>200000</v>
      </c>
      <c r="I12" s="8">
        <f>VLOOKUP($A12,[8]HISTOJANV21!$A$6:$AU$39,39,0)</f>
        <v>2000</v>
      </c>
      <c r="J12" s="8" t="str">
        <f>IF(H12&lt;&gt;0,VLOOKUP($A12,[8]HISTOJANV21!$A$6:$AU$39,8,0),"ECHEC")</f>
        <v>ESPECES</v>
      </c>
      <c r="K12" s="8">
        <f>VLOOKUP($A12,[8]HISTOJANV21!$A$6:$AU$39,41,0)</f>
        <v>0</v>
      </c>
      <c r="L12" s="8">
        <f>VLOOKUP($A12,[8]HISTOJANV21!$A$6:$AU$39,17,0)</f>
        <v>202000</v>
      </c>
      <c r="M12" s="8">
        <f>TONTDEC!H12+TONTDEC!I12</f>
        <v>202000</v>
      </c>
      <c r="N12" s="8" t="str">
        <f>IF(M12&lt;&gt;0,VLOOKUP($A12,[8]HISTOJANV21!$A$6:$AU$39,8,0),"ECHEC")</f>
        <v>ESPECES</v>
      </c>
      <c r="O12" s="8" t="str">
        <f>IF(R12&lt;&gt;0,VLOOKUP($A12,[8]HISTOJANV21!$A$6:$AU$39,8,0),"ECHEC")</f>
        <v>ESPECES</v>
      </c>
      <c r="P12" s="8">
        <f>VLOOKUP($A12,[8]HISTOJANV21!$A$6:$AU$39,33,0)</f>
        <v>0</v>
      </c>
      <c r="Q12" s="8">
        <f t="shared" si="1"/>
        <v>1110000</v>
      </c>
      <c r="R12" s="8">
        <f>VLOOKUP($A12,[8]HISTOJANV21!$A$6:$AU$39,30,0)</f>
        <v>90000</v>
      </c>
      <c r="S12" s="45">
        <f t="shared" si="0"/>
        <v>15000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IF(E13="ECHEC",0,VLOOKUP($A13,[8]HISTOJANV21!$A$6:$AU$39,13,0))</f>
        <v>75000</v>
      </c>
      <c r="D13" s="8"/>
      <c r="E13" s="8" t="str">
        <f>VLOOKUP($A13,[8]HISTOJANV21!$A$6:$AU$39,8,0)</f>
        <v>BANQUE</v>
      </c>
      <c r="F13" s="8">
        <f>TONTDEC!F13</f>
        <v>0</v>
      </c>
      <c r="G13" s="8"/>
      <c r="H13" s="8">
        <f>VLOOKUP($A13,[8]HISTOJANV21!$A$6:$AU$39,36,0)</f>
        <v>0</v>
      </c>
      <c r="I13" s="8">
        <f>VLOOKUP($A13,[8]HISTOJANV21!$A$6:$AU$39,39,0)</f>
        <v>0</v>
      </c>
      <c r="J13" s="8" t="str">
        <f>IF(H13&lt;&gt;0,VLOOKUP($A13,[8]HISTOJANV21!$A$6:$AU$39,8,0),"ECHEC")</f>
        <v>ECHEC</v>
      </c>
      <c r="K13" s="8">
        <f>VLOOKUP($A13,[8]HISTOJANV21!$A$6:$AU$39,41,0)</f>
        <v>0</v>
      </c>
      <c r="L13" s="8">
        <f>VLOOKUP($A13,[8]HISTOJANV21!$A$6:$AU$39,17,0)</f>
        <v>0</v>
      </c>
      <c r="M13" s="8">
        <f>TONTDEC!H13+TONTDEC!I13</f>
        <v>0</v>
      </c>
      <c r="N13" s="8" t="str">
        <f>IF(M13&lt;&gt;0,VLOOKUP($A13,[8]HISTOJANV21!$A$6:$AU$39,8,0),"ECHEC")</f>
        <v>ECHEC</v>
      </c>
      <c r="O13" s="8" t="str">
        <f>IF(R13&lt;&gt;0,VLOOKUP($A13,[8]HISTOJANV21!$A$6:$AU$39,8,0),"ECHEC")</f>
        <v>ECHEC</v>
      </c>
      <c r="P13" s="8">
        <f>VLOOKUP($A13,[8]HISTOJANV21!$A$6:$AU$39,33,0)</f>
        <v>0</v>
      </c>
      <c r="Q13" s="8">
        <f t="shared" si="1"/>
        <v>0</v>
      </c>
      <c r="R13" s="8">
        <f>VLOOKUP($A13,[8]HISTOJANV21!$A$6:$AU$39,30,0)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IF(E14="ECHEC",0,VLOOKUP($A14,[8]HISTOJANV21!$A$6:$AU$39,13,0))</f>
        <v>225000</v>
      </c>
      <c r="D14" s="8"/>
      <c r="E14" s="8" t="str">
        <f>VLOOKUP($A14,[8]HISTOJANV21!$A$6:$AU$39,8,0)</f>
        <v>BANQUE</v>
      </c>
      <c r="F14" s="8">
        <f>TONTDEC!F14</f>
        <v>0</v>
      </c>
      <c r="G14" s="8"/>
      <c r="H14" s="8">
        <f>VLOOKUP($A14,[8]HISTOJANV21!$A$6:$AU$39,36,0)</f>
        <v>213000</v>
      </c>
      <c r="I14" s="8">
        <f>VLOOKUP($A14,[8]HISTOJANV21!$A$6:$AU$39,39,0)</f>
        <v>2000</v>
      </c>
      <c r="J14" s="8" t="str">
        <f>IF(H14&lt;&gt;0,VLOOKUP($A14,[8]HISTOJANV21!$A$6:$AU$39,8,0),"ECHEC")</f>
        <v>BANQUE</v>
      </c>
      <c r="K14" s="8">
        <f>VLOOKUP($A14,[8]HISTOJANV21!$A$6:$AU$39,41,0)</f>
        <v>0</v>
      </c>
      <c r="L14" s="8">
        <f>VLOOKUP($A14,[8]HISTOJANV21!$A$6:$AU$39,17,0)</f>
        <v>113000</v>
      </c>
      <c r="M14" s="8">
        <f>TONTDEC!H14+TONTDEC!I14</f>
        <v>113000</v>
      </c>
      <c r="N14" s="8" t="str">
        <f>IF(M14&lt;&gt;0,VLOOKUP($A14,[8]HISTOJANV21!$A$6:$AU$39,8,0),"ECHEC")</f>
        <v>BANQUE</v>
      </c>
      <c r="O14" s="8" t="str">
        <f>IF(R14&lt;&gt;0,VLOOKUP($A14,[8]HISTOJANV21!$A$6:$AU$39,8,0),"ECHEC")</f>
        <v>ECHEC</v>
      </c>
      <c r="P14" s="8">
        <f>VLOOKUP($A14,[8]HISTOJANV21!$A$6:$AU$39,33,0)</f>
        <v>0</v>
      </c>
      <c r="Q14" s="8">
        <f t="shared" si="1"/>
        <v>0</v>
      </c>
      <c r="R14" s="8">
        <f>VLOOKUP($A14,[8]HISTOJANV21!$A$6:$AU$39,30,0)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>
        <f>VLOOKUP($A15,[8]HISTOJANV21!$A$6:$AU$39,33,0)</f>
        <v>0</v>
      </c>
      <c r="Q15" s="8"/>
      <c r="R15" s="8">
        <f>VLOOKUP($A15,[8]HISTOJANV21!$A$6:$AU$39,30,0)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f>VLOOKUP($A16,[8]HISTOJANV21!$A$6:$AU$39,33,0)</f>
        <v>0</v>
      </c>
      <c r="Q16" s="8"/>
      <c r="R16" s="8">
        <f>VLOOKUP($A16,[8]HISTOJANV21!$A$6:$AU$39,30,0)</f>
        <v>0</v>
      </c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IF(E17="ECHEC",0,VLOOKUP($A17,[8]HISTOJANV21!$A$6:$AU$39,13,0))</f>
        <v>150000</v>
      </c>
      <c r="D17" s="8"/>
      <c r="E17" s="8" t="str">
        <f>VLOOKUP($A17,[8]HISTOJANV21!$A$6:$AU$39,8,0)</f>
        <v>ESPECES</v>
      </c>
      <c r="F17" s="8">
        <f>TONTDEC!F17</f>
        <v>0</v>
      </c>
      <c r="G17" s="8"/>
      <c r="H17" s="8">
        <f>VLOOKUP($A17,[8]HISTOJANV21!$A$6:$AU$39,36,0)</f>
        <v>0</v>
      </c>
      <c r="I17" s="8">
        <f>VLOOKUP($A17,[8]HISTOJANV21!$A$6:$AU$39,39,0)</f>
        <v>0</v>
      </c>
      <c r="J17" s="8" t="str">
        <f>IF(H17&lt;&gt;0,VLOOKUP($A17,[8]HISTOJANV21!$A$6:$AU$39,8,0),"ECHEC")</f>
        <v>ECHEC</v>
      </c>
      <c r="K17" s="8">
        <f>VLOOKUP($A17,[8]HISTOJANV21!$A$6:$AU$39,41,0)</f>
        <v>0</v>
      </c>
      <c r="L17" s="8">
        <f>VLOOKUP($A17,[8]HISTOJANV21!$A$6:$AU$39,17,0)</f>
        <v>0</v>
      </c>
      <c r="M17" s="8">
        <f>TONTDEC!H17+TONTDEC!I17</f>
        <v>0</v>
      </c>
      <c r="N17" s="8" t="str">
        <f>IF(M17&lt;&gt;0,VLOOKUP($A17,[8]HISTOJANV21!$A$6:$AU$39,8,0),"ECHEC")</f>
        <v>ECHEC</v>
      </c>
      <c r="O17" s="8" t="str">
        <f>IF(R17&lt;&gt;0,VLOOKUP($A17,[8]HISTOJANV21!$A$6:$AU$39,8,0),"ECHEC")</f>
        <v>ECHEC</v>
      </c>
      <c r="P17" s="8">
        <f>VLOOKUP($A17,[8]HISTOJANV21!$A$6:$AU$39,33,0)</f>
        <v>0</v>
      </c>
      <c r="Q17" s="8">
        <f>IF(R17=0,0,($C$37-R17))</f>
        <v>0</v>
      </c>
      <c r="R17" s="8">
        <f>VLOOKUP($A17,[8]HISTOJANV21!$A$6:$AU$39,30,0)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str">
        <f>IF(M18&lt;&gt;0,VLOOKUP($A18,[8]HISTOJANV21!$A$6:$AU$39,8,0),"ECHEC")</f>
        <v>ECHEC</v>
      </c>
      <c r="O18" s="8" t="str">
        <f>IF(R18&lt;&gt;0,VLOOKUP($A18,[8]HISTOJANV21!$A$6:$AU$39,8,0),"ECHEC")</f>
        <v>ECHEC</v>
      </c>
      <c r="P18" s="8">
        <f>VLOOKUP($A18,[8]HISTOJANV21!$A$6:$AU$39,33,0)</f>
        <v>0</v>
      </c>
      <c r="Q18" s="8"/>
      <c r="R18" s="8">
        <f>VLOOKUP($A18,[8]HISTOJANV21!$A$6:$AU$39,30,0)</f>
        <v>0</v>
      </c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IF(E19="ECHEC",0,VLOOKUP($A19,[8]HISTOJANV21!$A$6:$AU$39,13,0))</f>
        <v>75000</v>
      </c>
      <c r="D19" s="8"/>
      <c r="E19" s="8" t="str">
        <f>VLOOKUP($A19,[8]HISTOJANV21!$A$6:$AU$39,8,0)</f>
        <v>ESPECES</v>
      </c>
      <c r="F19" s="8">
        <f>TONTDEC!F19</f>
        <v>0</v>
      </c>
      <c r="G19" s="8"/>
      <c r="H19" s="8">
        <f>VLOOKUP($A19,[8]HISTOJANV21!$A$6:$AU$39,36,0)</f>
        <v>200000</v>
      </c>
      <c r="I19" s="8">
        <f>VLOOKUP($A19,[8]HISTOJANV21!$A$6:$AU$39,39,0)</f>
        <v>2000</v>
      </c>
      <c r="J19" s="8" t="str">
        <f>IF(H19&lt;&gt;0,VLOOKUP($A19,[8]HISTOJANV21!$A$6:$AU$39,8,0),"ECHEC")</f>
        <v>ESPECES</v>
      </c>
      <c r="K19" s="8">
        <f>VLOOKUP($A19,[8]HISTOJANV21!$A$6:$AU$39,41,0)</f>
        <v>0</v>
      </c>
      <c r="L19" s="8">
        <f>VLOOKUP($A19,[8]HISTOJANV21!$A$6:$AU$39,17,0)</f>
        <v>152000</v>
      </c>
      <c r="M19" s="8">
        <f>TONTDEC!H19+TONTDEC!I19</f>
        <v>152000</v>
      </c>
      <c r="N19" s="8" t="str">
        <f>IF(M19&lt;&gt;0,VLOOKUP($A19,[8]HISTOJANV21!$A$6:$AU$39,8,0),"ECHEC")</f>
        <v>ESPECES</v>
      </c>
      <c r="O19" s="8" t="str">
        <f>IF(R19&lt;&gt;0,VLOOKUP($A19,[8]HISTOJANV21!$A$6:$AU$39,8,0),"ECHEC")</f>
        <v>ECHEC</v>
      </c>
      <c r="P19" s="8">
        <f>VLOOKUP($A19,[8]HISTOJANV21!$A$6:$AU$39,33,0)</f>
        <v>0</v>
      </c>
      <c r="Q19" s="8">
        <f>IF(R19=0,0,($C$37-R19))</f>
        <v>0</v>
      </c>
      <c r="R19" s="8">
        <f>VLOOKUP($A19,[8]HISTOJANV21!$A$6:$AU$39,30,0)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IF(E20="ECHEC",0,VLOOKUP($A20,[8]HISTOJANV21!$A$6:$AU$39,13,0))</f>
        <v>75000</v>
      </c>
      <c r="D20" s="8"/>
      <c r="E20" s="8" t="str">
        <f>VLOOKUP($A20,[8]HISTOJANV21!$A$6:$AU$39,8,0)</f>
        <v>BANQUE</v>
      </c>
      <c r="F20" s="8">
        <f>TONTDEC!F20</f>
        <v>0</v>
      </c>
      <c r="G20" s="8"/>
      <c r="H20" s="8">
        <f>VLOOKUP($A20,[8]HISTOJANV21!$A$6:$AU$39,36,0)</f>
        <v>0</v>
      </c>
      <c r="I20" s="8">
        <f>VLOOKUP($A20,[8]HISTOJANV21!$A$6:$AU$39,39,0)</f>
        <v>0</v>
      </c>
      <c r="J20" s="8" t="str">
        <f>IF(H20&lt;&gt;0,VLOOKUP($A20,[8]HISTOJANV21!$A$6:$AU$39,8,0),"ECHEC")</f>
        <v>ECHEC</v>
      </c>
      <c r="K20" s="8">
        <f>VLOOKUP($A20,[8]HISTOJANV21!$A$6:$AU$39,41,0)</f>
        <v>0</v>
      </c>
      <c r="L20" s="8">
        <f>VLOOKUP($A20,[8]HISTOJANV21!$A$6:$AU$39,17,0)</f>
        <v>0</v>
      </c>
      <c r="M20" s="8">
        <f>TONTDEC!H20+TONTDEC!I20</f>
        <v>0</v>
      </c>
      <c r="N20" s="8" t="str">
        <f>IF(M20&lt;&gt;0,VLOOKUP($A20,[8]HISTOJANV21!$A$6:$AU$39,8,0),"ECHEC")</f>
        <v>ECHEC</v>
      </c>
      <c r="O20" s="8" t="str">
        <f>IF(R20&lt;&gt;0,VLOOKUP($A20,[8]HISTOJANV21!$A$6:$AU$39,8,0),"ECHEC")</f>
        <v>ECHEC</v>
      </c>
      <c r="P20" s="8">
        <f>VLOOKUP($A20,[8]HISTOJANV21!$A$6:$AU$39,33,0)</f>
        <v>0</v>
      </c>
      <c r="Q20" s="8">
        <f>IF(R20=0,0,($C$37-R20))</f>
        <v>0</v>
      </c>
      <c r="R20" s="8">
        <f>VLOOKUP($A20,[8]HISTOJANV21!$A$6:$AU$39,30,0)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IF(E21="ECHEC",0,VLOOKUP($A21,[8]HISTOJANV21!$A$6:$AU$39,13,0))</f>
        <v>75000</v>
      </c>
      <c r="D21" s="8"/>
      <c r="E21" s="8" t="str">
        <f>VLOOKUP($A21,[8]HISTOJANV21!$A$6:$AU$39,8,0)</f>
        <v>BANQUE</v>
      </c>
      <c r="F21" s="8">
        <f>TONTDEC!F21</f>
        <v>0</v>
      </c>
      <c r="G21" s="8"/>
      <c r="H21" s="8">
        <f>VLOOKUP($A21,[8]HISTOJANV21!$A$6:$AU$39,36,0)</f>
        <v>0</v>
      </c>
      <c r="I21" s="8">
        <f>VLOOKUP($A21,[8]HISTOJANV21!$A$6:$AU$39,39,0)</f>
        <v>0</v>
      </c>
      <c r="J21" s="8" t="str">
        <f>IF(H21&lt;&gt;0,VLOOKUP($A21,[8]HISTOJANV21!$A$6:$AU$39,8,0),"ECHEC")</f>
        <v>ECHEC</v>
      </c>
      <c r="K21" s="8">
        <f>VLOOKUP($A21,[8]HISTOJANV21!$A$6:$AU$39,41,0)</f>
        <v>0</v>
      </c>
      <c r="L21" s="8">
        <f>VLOOKUP($A21,[8]HISTOJANV21!$A$6:$AU$39,17,0)</f>
        <v>0</v>
      </c>
      <c r="M21" s="8">
        <f>TONTDEC!H21+TONTDEC!I21</f>
        <v>0</v>
      </c>
      <c r="N21" s="8" t="str">
        <f>IF(M21&lt;&gt;0,VLOOKUP($A21,[8]HISTOJANV21!$A$6:$AU$39,8,0),"ECHEC")</f>
        <v>ECHEC</v>
      </c>
      <c r="O21" s="8" t="str">
        <f>IF(R21&lt;&gt;0,VLOOKUP($A21,[8]HISTOJANV21!$A$6:$AU$39,8,0),"ECHEC")</f>
        <v>ECHEC</v>
      </c>
      <c r="P21" s="8">
        <f>VLOOKUP($A21,[8]HISTOJANV21!$A$6:$AU$39,33,0)</f>
        <v>0</v>
      </c>
      <c r="Q21" s="8">
        <f>IF(R21=0,0,($C$37-R21))</f>
        <v>0</v>
      </c>
      <c r="R21" s="8">
        <f>VLOOKUP($A21,[8]HISTOJANV21!$A$6:$AU$39,30,0)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IF(E22="ECHEC",0,VLOOKUP($A22,[8]HISTOJANV21!$A$6:$AU$39,13,0))</f>
        <v>75000</v>
      </c>
      <c r="D22" s="8"/>
      <c r="E22" s="8" t="str">
        <f>VLOOKUP($A22,[8]HISTOJANV21!$A$6:$AU$39,8,0)</f>
        <v>BANQUE</v>
      </c>
      <c r="F22" s="8">
        <f>TONTDEC!F22</f>
        <v>0</v>
      </c>
      <c r="G22" s="8"/>
      <c r="H22" s="8">
        <f>VLOOKUP($A22,[8]HISTOJANV21!$A$6:$AU$39,36,0)</f>
        <v>0</v>
      </c>
      <c r="I22" s="8">
        <f>VLOOKUP($A22,[8]HISTOJANV21!$A$6:$AU$39,39,0)</f>
        <v>0</v>
      </c>
      <c r="J22" s="8" t="str">
        <f>IF(H22&lt;&gt;0,VLOOKUP($A22,[8]HISTOJANV21!$A$6:$AU$39,8,0),"ECHEC")</f>
        <v>ECHEC</v>
      </c>
      <c r="K22" s="8">
        <f>VLOOKUP($A22,[8]HISTOJANV21!$A$6:$AU$39,41,0)</f>
        <v>0</v>
      </c>
      <c r="L22" s="8">
        <f>VLOOKUP($A22,[8]HISTOJANV21!$A$6:$AU$39,17,0)</f>
        <v>0</v>
      </c>
      <c r="M22" s="8">
        <f>TONTDEC!H22+TONTDEC!I22</f>
        <v>0</v>
      </c>
      <c r="N22" s="8" t="str">
        <f>IF(M22&lt;&gt;0,VLOOKUP($A22,[8]HISTOJANV21!$A$6:$AU$39,8,0),"ECHEC")</f>
        <v>ECHEC</v>
      </c>
      <c r="O22" s="8" t="str">
        <f>IF(R22&lt;&gt;0,VLOOKUP($A22,[8]HISTOJANV21!$A$6:$AU$39,8,0),"ECHEC")</f>
        <v>ECHEC</v>
      </c>
      <c r="P22" s="8">
        <f>VLOOKUP($A22,[8]HISTOJANV21!$A$6:$AU$39,33,0)</f>
        <v>0</v>
      </c>
      <c r="Q22" s="8">
        <f>IF(R22=0,0,($C$37-R22))</f>
        <v>0</v>
      </c>
      <c r="R22" s="8">
        <f>VLOOKUP($A22,[8]HISTOJANV21!$A$6:$AU$39,30,0)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IF(E23="ECHEC",0,VLOOKUP($A23,[8]HISTOJANV21!$A$6:$AU$39,13,0))</f>
        <v>150000</v>
      </c>
      <c r="D23" s="8"/>
      <c r="E23" s="8" t="str">
        <f>VLOOKUP($A23,[8]HISTOJANV21!$A$6:$AU$39,8,0)</f>
        <v>BANQUE</v>
      </c>
      <c r="F23" s="8">
        <f>TONTDEC!F23</f>
        <v>0</v>
      </c>
      <c r="G23" s="8"/>
      <c r="H23" s="8">
        <f>VLOOKUP($A23,[8]HISTOJANV21!$A$6:$AU$39,36,0)</f>
        <v>0</v>
      </c>
      <c r="I23" s="8">
        <f>VLOOKUP($A23,[8]HISTOJANV21!$A$6:$AU$39,39,0)</f>
        <v>0</v>
      </c>
      <c r="J23" s="8" t="str">
        <f>IF(H23&lt;&gt;0,VLOOKUP($A23,[8]HISTOJANV21!$A$6:$AU$39,8,0),"ECHEC")</f>
        <v>ECHEC</v>
      </c>
      <c r="K23" s="8">
        <f>VLOOKUP($A23,[8]HISTOJANV21!$A$6:$AU$39,41,0)</f>
        <v>0</v>
      </c>
      <c r="L23" s="8">
        <f>VLOOKUP($A23,[8]HISTOJANV21!$A$6:$AU$39,17,0)</f>
        <v>0</v>
      </c>
      <c r="M23" s="8">
        <f>TONTDEC!H23+TONTDEC!I23</f>
        <v>0</v>
      </c>
      <c r="N23" s="8" t="str">
        <f>IF(M23&lt;&gt;0,VLOOKUP($A23,[8]HISTOJANV21!$A$6:$AU$39,8,0),"ECHEC")</f>
        <v>ECHEC</v>
      </c>
      <c r="O23" s="8" t="str">
        <f>IF(R23&lt;&gt;0,VLOOKUP($A23,[8]HISTOJANV21!$A$6:$AU$39,8,0),"ECHEC")</f>
        <v>ECHEC</v>
      </c>
      <c r="P23" s="8">
        <f>VLOOKUP($A23,[8]HISTOJANV21!$A$6:$AU$39,33,0)</f>
        <v>0</v>
      </c>
      <c r="Q23" s="8">
        <f>IF(R23=0,0,($C$37-R23))</f>
        <v>0</v>
      </c>
      <c r="R23" s="8">
        <f>VLOOKUP($A23,[8]HISTOJANV21!$A$6:$AU$39,30,0)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15000</v>
      </c>
    </row>
    <row r="27" spans="1:24" ht="18" x14ac:dyDescent="0.25">
      <c r="A27" s="1"/>
      <c r="B27" s="9" t="s">
        <v>13</v>
      </c>
      <c r="C27" s="9">
        <f t="shared" ref="C27:R27" si="2">SUM(C6:C26)</f>
        <v>1350000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1013000</v>
      </c>
      <c r="I27" s="9">
        <f t="shared" si="2"/>
        <v>10000</v>
      </c>
      <c r="J27" s="9">
        <f t="shared" si="2"/>
        <v>0</v>
      </c>
      <c r="K27" s="9">
        <f t="shared" si="2"/>
        <v>0</v>
      </c>
      <c r="L27" s="9">
        <f t="shared" si="2"/>
        <v>773000</v>
      </c>
      <c r="M27" s="9">
        <f t="shared" si="2"/>
        <v>773000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1110000</v>
      </c>
      <c r="R27" s="9">
        <f t="shared" si="2"/>
        <v>90000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</f>
        <v>2213000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300000</v>
      </c>
      <c r="D31" s="9">
        <f>SUMIFS(L3:L22,N3:N22,"ESPECES")+SUMIFS(F3:F22,G3:G22,"ESPECES")</f>
        <v>354000</v>
      </c>
      <c r="E31" s="9">
        <f>SUMIFS(H6:H25,J6:J25,"ESPECES")</f>
        <v>400000</v>
      </c>
      <c r="F31" s="9">
        <f>SUMIFS(Q6:Q25,O6:O25,"ESPECES")</f>
        <v>1110000</v>
      </c>
      <c r="G31" s="9">
        <f>C31+D31-E31-F31</f>
        <v>-856000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1050000</v>
      </c>
      <c r="D32" s="9">
        <f>SUMIFS(M3:M22,N3:N22,"BANQUE")+SUMIFS(F3:F22,G3:G22,"BANQUE")</f>
        <v>419000</v>
      </c>
      <c r="E32" s="9">
        <f>SUMIFS(H6:H25,J6:J25,"BANQUE")</f>
        <v>613000</v>
      </c>
      <c r="F32" s="9">
        <f>SUMIFS(Q6:Q25,O6:O25,"BANQUE")</f>
        <v>0</v>
      </c>
      <c r="G32" s="9">
        <f>C32+D32-E32-F32</f>
        <v>856000</v>
      </c>
      <c r="H32" s="3"/>
      <c r="K32" s="9" t="s">
        <v>33</v>
      </c>
      <c r="L32" s="9">
        <f>L29-L30</f>
        <v>1013000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1350000</v>
      </c>
      <c r="D34" s="21">
        <f>D31+D32</f>
        <v>773000</v>
      </c>
      <c r="E34" s="21">
        <f t="shared" ref="E34" si="3">E31+E32</f>
        <v>1013000</v>
      </c>
      <c r="F34" s="21">
        <f>F31+F32</f>
        <v>1110000</v>
      </c>
      <c r="G34" s="21">
        <f>G31+G32</f>
        <v>0</v>
      </c>
      <c r="H34" s="3"/>
      <c r="K34" s="9" t="s">
        <v>56</v>
      </c>
      <c r="L34" s="9">
        <f>L32-H27</f>
        <v>0</v>
      </c>
      <c r="M34" s="9">
        <f>L34+TONTDEC!K33</f>
        <v>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COUNTIFS(E3:E22,"ECHEC")*75000</f>
        <v>0</v>
      </c>
      <c r="M36" s="9">
        <f>L36+TONTDEC!K35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/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  <row r="52" spans="2:3" ht="18" x14ac:dyDescent="0.25">
      <c r="B52" s="10"/>
      <c r="C52" s="11"/>
    </row>
  </sheetData>
  <autoFilter ref="A5:R25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7.7109375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22.7109375" customWidth="1"/>
    <col min="13" max="13" width="17.42578125" bestFit="1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ht="18" x14ac:dyDescent="0.25">
      <c r="B4" s="5"/>
      <c r="C4" s="52">
        <v>44245</v>
      </c>
      <c r="D4" s="53"/>
      <c r="E4" s="53"/>
      <c r="F4" s="53"/>
      <c r="G4" s="53"/>
      <c r="H4" s="53"/>
      <c r="I4" s="53"/>
      <c r="J4" s="53"/>
      <c r="K4" s="53"/>
      <c r="L4" s="53"/>
      <c r="N4" s="34"/>
      <c r="O4" s="34"/>
      <c r="P4" s="34"/>
      <c r="Q4" s="3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IF(E6="ECHEC",0,VLOOKUP($A6,[8]HISTOFEV21!$A$6:$AU$39,13,0))</f>
        <v>75000</v>
      </c>
      <c r="D6" s="8"/>
      <c r="E6" s="8" t="str">
        <f>VLOOKUP($A6,[8]HISTOFEV21!$A$6:$AU$39,8,0)</f>
        <v>BANQUE</v>
      </c>
      <c r="F6" s="8">
        <f>IF(N6="ECHEC",L6+(TONTJANV!I6*2),0)</f>
        <v>0</v>
      </c>
      <c r="G6" s="7"/>
      <c r="H6" s="8">
        <f>VLOOKUP($A6,[8]HISTOFEV21!$A$6:$AU$39,36,0)</f>
        <v>0</v>
      </c>
      <c r="I6" s="8">
        <f>VLOOKUP($A6,[8]HISTOFEV21!$A$6:$AU$39,39,0)</f>
        <v>0</v>
      </c>
      <c r="J6" s="8" t="str">
        <f>IF(H6&lt;&gt;0,VLOOKUP($A6,[8]HISTOFEV21!$A$6:$AU$39,8,0),"ECHEC")</f>
        <v>ECHEC</v>
      </c>
      <c r="K6" s="8">
        <f>VLOOKUP($A6,[8]HISTOFEV21!$A$6:$AU$39,41,0)</f>
        <v>0</v>
      </c>
      <c r="L6" s="8">
        <f>TONTJANV!H6+TONTJANV!I6</f>
        <v>0</v>
      </c>
      <c r="M6" s="8">
        <f>VLOOKUP(A6,[8]HISTOFEV21!$A$6:$AZ$37,17,0)</f>
        <v>0</v>
      </c>
      <c r="N6" s="8" t="str">
        <f>IF(L6&lt;&gt;0,VLOOKUP($A6,[8]HISTOFEV21!$A$6:$AU$39,8,0),"ECHEC")</f>
        <v>ECHEC</v>
      </c>
      <c r="O6" s="8" t="str">
        <f>IF(R6&lt;&gt;0,VLOOKUP($A6,[8]HISTOFEV21!$A$6:$AU$39,8,0),"ECHEC")</f>
        <v>ECHEC</v>
      </c>
      <c r="P6" s="8">
        <f>VLOOKUP($A6,[8]HISTOFEV21!$A$6:$AU$39,33,0)</f>
        <v>0</v>
      </c>
      <c r="Q6" s="8">
        <f>IF(R6=0,0,($C$37-R6))</f>
        <v>0</v>
      </c>
      <c r="R6" s="8">
        <f>VLOOKUP($A6,[8]HISTOFEV21!$A$6:$AU$39,30,0)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IF(N7="ECHEC",L7+(TONTJANV!I7*2),0)</f>
        <v>0</v>
      </c>
      <c r="G7" s="7"/>
      <c r="H7" s="8"/>
      <c r="I7" s="8"/>
      <c r="J7" s="8"/>
      <c r="K7" s="8"/>
      <c r="L7" s="8">
        <f>TONTJANV!H7+TONTJANV!I7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IF(E8="ECHEC",0,VLOOKUP($A8,[8]HISTOFEV21!$A$6:$AU$39,13,0))</f>
        <v>75000</v>
      </c>
      <c r="D8" s="8"/>
      <c r="E8" s="8" t="str">
        <f>VLOOKUP($A8,[8]HISTOFEV21!$A$6:$AU$39,8,0)</f>
        <v>BANQUE</v>
      </c>
      <c r="F8" s="8">
        <f>IF(N8="ECHEC",L8+(TONTJANV!I8*2),0)</f>
        <v>0</v>
      </c>
      <c r="G8" s="8"/>
      <c r="H8" s="8">
        <f>VLOOKUP($A8,[8]HISTOFEV21!$A$6:$AU$39,36,0)</f>
        <v>0</v>
      </c>
      <c r="I8" s="8">
        <f>VLOOKUP($A8,[8]HISTOFEV21!$A$6:$AU$39,39,0)</f>
        <v>0</v>
      </c>
      <c r="J8" s="8" t="str">
        <f>IF(H8&lt;&gt;0,VLOOKUP($A8,[8]HISTOFEV21!$A$6:$AU$39,8,0),"ECHEC")</f>
        <v>ECHEC</v>
      </c>
      <c r="K8" s="8">
        <f>VLOOKUP($A8,[8]HISTOFEV21!$A$6:$AU$39,41,0)</f>
        <v>0</v>
      </c>
      <c r="L8" s="8">
        <f>TONTJANV!H8+TONTJANV!I8</f>
        <v>202000</v>
      </c>
      <c r="M8" s="8">
        <f>VLOOKUP(A8,[8]HISTOFEV21!$A$6:$AZ$37,17,0)</f>
        <v>202000</v>
      </c>
      <c r="N8" s="8" t="str">
        <f>IF(M8&lt;&gt;0,VLOOKUP($A8,[8]HISTOFEV21!$A$6:$AU$39,8,0),"ECHEC")</f>
        <v>BANQUE</v>
      </c>
      <c r="O8" s="8" t="str">
        <f>IF(R8&lt;&gt;0,VLOOKUP($A8,[8]HISTOFEV21!$A$6:$AU$39,8,0),"ECHEC")</f>
        <v>ECHEC</v>
      </c>
      <c r="P8" s="8">
        <f>VLOOKUP($A8,[8]HISTOFEV21!$A$6:$AU$39,33,0)</f>
        <v>0</v>
      </c>
      <c r="Q8" s="8">
        <f t="shared" ref="Q8:Q14" si="1">IF(R8=0,0,($C$37-R8))</f>
        <v>0</v>
      </c>
      <c r="R8" s="8">
        <f>VLOOKUP($A8,[8]HISTOFEV21!$A$6:$AU$39,30,0)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IF(E9="ECHEC",0,VLOOKUP($A9,[8]HISTOFEV21!$A$6:$AU$39,13,0))</f>
        <v>75000</v>
      </c>
      <c r="D9" s="8"/>
      <c r="E9" s="8" t="str">
        <f>VLOOKUP($A9,[8]HISTOFEV21!$A$6:$AU$39,8,0)</f>
        <v>BANQUE</v>
      </c>
      <c r="F9" s="8">
        <f>IF(N9="ECHEC",L9+(TONTJANV!I9*2),0)</f>
        <v>0</v>
      </c>
      <c r="G9" s="8"/>
      <c r="H9" s="8">
        <f>VLOOKUP($A9,[8]HISTOFEV21!$A$6:$AU$39,36,0)</f>
        <v>0</v>
      </c>
      <c r="I9" s="8">
        <f>VLOOKUP($A9,[8]HISTOFEV21!$A$6:$AU$39,39,0)</f>
        <v>0</v>
      </c>
      <c r="J9" s="8" t="str">
        <f>IF(H9&lt;&gt;0,VLOOKUP($A9,[8]HISTOFEV21!$A$6:$AU$39,8,0),"ECHEC")</f>
        <v>ECHEC</v>
      </c>
      <c r="K9" s="8">
        <f>VLOOKUP($A9,[8]HISTOFEV21!$A$6:$AU$39,41,0)</f>
        <v>0</v>
      </c>
      <c r="L9" s="8">
        <f>TONTJANV!H9+TONTJANV!I9</f>
        <v>202000</v>
      </c>
      <c r="M9" s="8">
        <f>VLOOKUP(A9,[8]HISTOFEV21!$A$6:$AZ$37,17,0)</f>
        <v>202000</v>
      </c>
      <c r="N9" s="8" t="str">
        <f>IF(M9&lt;&gt;0,VLOOKUP($A9,[8]HISTOFEV21!$A$6:$AU$39,8,0),"ECHEC")</f>
        <v>BANQUE</v>
      </c>
      <c r="O9" s="8" t="str">
        <f>IF(R9&lt;&gt;0,VLOOKUP($A9,[8]HISTOFEV21!$A$6:$AU$39,8,0),"ECHEC")</f>
        <v>BANQUE</v>
      </c>
      <c r="P9" s="8">
        <f>VLOOKUP($A9,[8]HISTOFEV21!$A$6:$AU$39,33,0)</f>
        <v>0</v>
      </c>
      <c r="Q9" s="8">
        <f t="shared" si="1"/>
        <v>1125000</v>
      </c>
      <c r="R9" s="8">
        <f>VLOOKUP($A9,[8]HISTOFEV21!$A$6:$AU$39,30,0)</f>
        <v>75000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IF(E10="ECHEC",0,VLOOKUP($A10,[8]HISTOFEV21!$A$6:$AU$39,13,0))</f>
        <v>75000</v>
      </c>
      <c r="D10" s="8"/>
      <c r="E10" s="8" t="str">
        <f>VLOOKUP($A10,[8]HISTOFEV21!$A$6:$AU$39,8,0)</f>
        <v>BANQUE</v>
      </c>
      <c r="F10" s="8">
        <f>IF(N10="ECHEC",L10+(TONTJANV!I10*2),0)</f>
        <v>0</v>
      </c>
      <c r="G10" s="8"/>
      <c r="H10" s="8">
        <f>VLOOKUP($A10,[8]HISTOFEV21!$A$6:$AU$39,36,0)</f>
        <v>0</v>
      </c>
      <c r="I10" s="8">
        <f>VLOOKUP($A10,[8]HISTOFEV21!$A$6:$AU$39,39,0)</f>
        <v>0</v>
      </c>
      <c r="J10" s="8" t="str">
        <f>IF(H10&lt;&gt;0,VLOOKUP($A10,[8]HISTOFEV21!$A$6:$AU$39,8,0),"ECHEC")</f>
        <v>ECHEC</v>
      </c>
      <c r="K10" s="8">
        <f>VLOOKUP($A10,[8]HISTOFEV21!$A$6:$AU$39,41,0)</f>
        <v>0</v>
      </c>
      <c r="L10" s="8">
        <f>TONTJANV!H10+TONTJANV!I10</f>
        <v>0</v>
      </c>
      <c r="M10" s="8">
        <f>VLOOKUP(A10,[8]HISTOFEV21!$A$6:$AZ$37,17,0)</f>
        <v>0</v>
      </c>
      <c r="N10" s="8" t="str">
        <f>IF(M10&lt;&gt;0,VLOOKUP($A10,[8]HISTOFEV21!$A$6:$AU$39,8,0),"ECHEC")</f>
        <v>ECHEC</v>
      </c>
      <c r="O10" s="8" t="str">
        <f>IF(R10&lt;&gt;0,VLOOKUP($A10,[8]HISTOFEV21!$A$6:$AU$39,8,0),"ECHEC")</f>
        <v>ECHEC</v>
      </c>
      <c r="P10" s="8">
        <f>VLOOKUP($A10,[8]HISTOFEV21!$A$6:$AU$39,33,0)</f>
        <v>0</v>
      </c>
      <c r="Q10" s="8">
        <f t="shared" si="1"/>
        <v>0</v>
      </c>
      <c r="R10" s="8">
        <f>VLOOKUP($A10,[8]HISTOFEV21!$A$6:$AU$39,30,0)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IF(E11="ECHEC",0,VLOOKUP($A11,[8]HISTOFEV21!$A$6:$AU$39,13,0))</f>
        <v>75000</v>
      </c>
      <c r="D11" s="8"/>
      <c r="E11" s="8" t="str">
        <f>VLOOKUP($A11,[8]HISTOFEV21!$A$6:$AU$39,8,0)</f>
        <v>BANQUE</v>
      </c>
      <c r="F11" s="8">
        <f>IF(N11="ECHEC",L11+(TONTJANV!I11*2),0)</f>
        <v>0</v>
      </c>
      <c r="G11" s="8"/>
      <c r="H11" s="8">
        <f>VLOOKUP($A11,[8]HISTOFEV21!$A$6:$AU$39,36,0)</f>
        <v>0</v>
      </c>
      <c r="I11" s="8">
        <f>VLOOKUP($A11,[8]HISTOFEV21!$A$6:$AU$39,39,0)</f>
        <v>0</v>
      </c>
      <c r="J11" s="8" t="str">
        <f>IF(H11&lt;&gt;0,VLOOKUP($A11,[8]HISTOFEV21!$A$6:$AU$39,8,0),"ECHEC")</f>
        <v>ECHEC</v>
      </c>
      <c r="K11" s="8">
        <f>VLOOKUP($A11,[8]HISTOFEV21!$A$6:$AU$39,41,0)</f>
        <v>0</v>
      </c>
      <c r="L11" s="8">
        <f>TONTJANV!H11+TONTJANV!I11</f>
        <v>0</v>
      </c>
      <c r="M11" s="8">
        <f>VLOOKUP(A11,[8]HISTOFEV21!$A$6:$AZ$37,17,0)</f>
        <v>0</v>
      </c>
      <c r="N11" s="8" t="str">
        <f>IF(M11&lt;&gt;0,VLOOKUP($A11,[8]HISTOFEV21!$A$6:$AU$39,8,0),"ECHEC")</f>
        <v>ECHEC</v>
      </c>
      <c r="O11" s="8" t="str">
        <f>IF(R11&lt;&gt;0,VLOOKUP($A11,[8]HISTOFEV21!$A$6:$AU$39,8,0),"ECHEC")</f>
        <v>ECHEC</v>
      </c>
      <c r="P11" s="8">
        <f>VLOOKUP($A11,[8]HISTOFEV21!$A$6:$AU$39,33,0)</f>
        <v>0</v>
      </c>
      <c r="Q11" s="8">
        <f t="shared" si="1"/>
        <v>0</v>
      </c>
      <c r="R11" s="8">
        <f>VLOOKUP($A11,[8]HISTOFEV21!$A$6:$AU$39,30,0)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IF(E12="ECHEC",0,VLOOKUP($A12,[8]HISTOFEV21!$A$6:$AU$39,13,0))</f>
        <v>75000</v>
      </c>
      <c r="D12" s="8"/>
      <c r="E12" s="8" t="str">
        <f>VLOOKUP($A12,[8]HISTOFEV21!$A$6:$AU$39,8,0)</f>
        <v>BANQUE</v>
      </c>
      <c r="F12" s="8">
        <f>IF(N12="ECHEC",L12+(TONTJANV!I12*2),0)</f>
        <v>206000</v>
      </c>
      <c r="G12" s="8" t="s">
        <v>8</v>
      </c>
      <c r="H12" s="8">
        <f>VLOOKUP($A12,[8]HISTOFEV21!$A$6:$AU$39,36,0)</f>
        <v>0</v>
      </c>
      <c r="I12" s="8">
        <f>VLOOKUP($A12,[8]HISTOFEV21!$A$6:$AU$39,39,0)</f>
        <v>0</v>
      </c>
      <c r="J12" s="8" t="str">
        <f>IF(H12&lt;&gt;0,VLOOKUP($A12,[8]HISTOFEV21!$A$6:$AU$39,8,0),"ECHEC")</f>
        <v>ECHEC</v>
      </c>
      <c r="K12" s="8">
        <f>VLOOKUP($A12,[8]HISTOFEV21!$A$6:$AU$39,41,0)</f>
        <v>0</v>
      </c>
      <c r="L12" s="8">
        <f>TONTJANV!H12+TONTJANV!I12</f>
        <v>202000</v>
      </c>
      <c r="M12" s="8">
        <f>VLOOKUP(A12,[8]HISTOFEV21!$A$6:$AZ$37,17,0)</f>
        <v>0</v>
      </c>
      <c r="N12" s="8" t="str">
        <f>IF(M12&lt;&gt;0,VLOOKUP($A12,[8]HISTOFEV21!$A$6:$AU$39,8,0),"ECHEC")</f>
        <v>ECHEC</v>
      </c>
      <c r="O12" s="8" t="str">
        <f>IF(R12&lt;&gt;0,VLOOKUP($A12,[8]HISTOFEV21!$A$6:$AU$39,8,0),"ECHEC")</f>
        <v>ECHEC</v>
      </c>
      <c r="P12" s="8">
        <f>VLOOKUP($A12,[8]HISTOFEV21!$A$6:$AU$39,33,0)</f>
        <v>0</v>
      </c>
      <c r="Q12" s="8">
        <f t="shared" si="1"/>
        <v>0</v>
      </c>
      <c r="R12" s="8">
        <f>VLOOKUP($A12,[8]HISTOFEV21!$A$6:$AU$39,30,0)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IF(E13="ECHEC",0,VLOOKUP($A13,[8]HISTOFEV21!$A$6:$AU$39,13,0))</f>
        <v>75000</v>
      </c>
      <c r="D13" s="8"/>
      <c r="E13" s="8" t="str">
        <f>VLOOKUP($A13,[8]HISTOFEV21!$A$6:$AU$39,8,0)</f>
        <v>BANQUE</v>
      </c>
      <c r="F13" s="8">
        <f>IF(N13="ECHEC",L13+(TONTJANV!I13*2),0)</f>
        <v>0</v>
      </c>
      <c r="G13" s="8"/>
      <c r="H13" s="8">
        <f>VLOOKUP($A13,[8]HISTOFEV21!$A$6:$AU$39,36,0)</f>
        <v>0</v>
      </c>
      <c r="I13" s="8">
        <f>VLOOKUP($A13,[8]HISTOFEV21!$A$6:$AU$39,39,0)</f>
        <v>0</v>
      </c>
      <c r="J13" s="8" t="str">
        <f>IF(H13&lt;&gt;0,VLOOKUP($A13,[8]HISTOFEV21!$A$6:$AU$39,8,0),"ECHEC")</f>
        <v>ECHEC</v>
      </c>
      <c r="K13" s="8">
        <f>VLOOKUP($A13,[8]HISTOFEV21!$A$6:$AU$39,41,0)</f>
        <v>0</v>
      </c>
      <c r="L13" s="8">
        <f>TONTJANV!H13+TONTJANV!I13</f>
        <v>0</v>
      </c>
      <c r="M13" s="8">
        <f>VLOOKUP(A13,[8]HISTOFEV21!$A$6:$AZ$37,17,0)</f>
        <v>0</v>
      </c>
      <c r="N13" s="8" t="str">
        <f>IF(M13&lt;&gt;0,VLOOKUP($A13,[8]HISTOFEV21!$A$6:$AU$39,8,0),"ECHEC")</f>
        <v>ECHEC</v>
      </c>
      <c r="O13" s="8" t="str">
        <f>IF(R13&lt;&gt;0,VLOOKUP($A13,[8]HISTOFEV21!$A$6:$AU$39,8,0),"ECHEC")</f>
        <v>ECHEC</v>
      </c>
      <c r="P13" s="8">
        <f>VLOOKUP($A13,[8]HISTOFEV21!$A$6:$AU$39,33,0)</f>
        <v>0</v>
      </c>
      <c r="Q13" s="8">
        <f t="shared" si="1"/>
        <v>0</v>
      </c>
      <c r="R13" s="8">
        <f>VLOOKUP($A13,[8]HISTOFEV21!$A$6:$AU$39,30,0)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IF(E14="ECHEC",0,VLOOKUP($A14,[8]HISTOFEV21!$A$6:$AU$39,13,0))</f>
        <v>225000</v>
      </c>
      <c r="D14" s="8"/>
      <c r="E14" s="8" t="str">
        <f>VLOOKUP($A14,[8]HISTOFEV21!$A$6:$AU$39,8,0)</f>
        <v>BANQUE</v>
      </c>
      <c r="F14" s="8">
        <f>IF(N14="ECHEC",L14+(TONTJANV!I14*2),0)</f>
        <v>0</v>
      </c>
      <c r="G14" s="8"/>
      <c r="H14" s="8">
        <f>VLOOKUP($A14,[8]HISTOFEV21!$A$6:$AU$39,36,0)</f>
        <v>200000</v>
      </c>
      <c r="I14" s="8">
        <f>VLOOKUP($A14,[8]HISTOFEV21!$A$6:$AU$39,39,0)</f>
        <v>2000</v>
      </c>
      <c r="J14" s="8" t="str">
        <f>IF(H14&lt;&gt;0,VLOOKUP($A14,[8]HISTOFEV21!$A$6:$AU$39,8,0),"ECHEC")</f>
        <v>BANQUE</v>
      </c>
      <c r="K14" s="8">
        <f>VLOOKUP($A14,[8]HISTOFEV21!$A$6:$AU$39,41,0)</f>
        <v>0</v>
      </c>
      <c r="L14" s="8">
        <f>TONTJANV!H14+TONTJANV!I14</f>
        <v>215000</v>
      </c>
      <c r="M14" s="8">
        <f>VLOOKUP(A14,[8]HISTOFEV21!$A$6:$AZ$37,17,0)</f>
        <v>215000</v>
      </c>
      <c r="N14" s="8" t="str">
        <f>IF(M14&lt;&gt;0,VLOOKUP($A14,[8]HISTOFEV21!$A$6:$AU$39,8,0),"ECHEC")</f>
        <v>BANQUE</v>
      </c>
      <c r="O14" s="8" t="str">
        <f>IF(R14&lt;&gt;0,VLOOKUP($A14,[8]HISTOFEV21!$A$6:$AU$39,8,0),"ECHEC")</f>
        <v>ECHEC</v>
      </c>
      <c r="P14" s="8">
        <f>VLOOKUP($A14,[8]HISTOFEV21!$A$6:$AU$39,33,0)</f>
        <v>0</v>
      </c>
      <c r="Q14" s="8">
        <f t="shared" si="1"/>
        <v>0</v>
      </c>
      <c r="R14" s="8">
        <f>VLOOKUP($A14,[8]HISTOFEV21!$A$6:$AU$39,30,0)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IF(N15="ECHEC",L15+(TONTJANV!I15*2),0)</f>
        <v>0</v>
      </c>
      <c r="G15" s="8"/>
      <c r="H15" s="8"/>
      <c r="I15" s="8"/>
      <c r="J15" s="8"/>
      <c r="K15" s="8"/>
      <c r="L15" s="8">
        <f>TONTJANV!H15+TONTJANV!I15</f>
        <v>0</v>
      </c>
      <c r="M15" s="8"/>
      <c r="N15" s="8"/>
      <c r="O15" s="8"/>
      <c r="P15" s="8">
        <f>VLOOKUP($A15,[8]HISTOFEV21!$A$6:$AU$39,33,0)</f>
        <v>0</v>
      </c>
      <c r="Q15" s="8"/>
      <c r="R15" s="8">
        <f>VLOOKUP($A15,[8]HISTOFEV21!$A$6:$AU$39,30,0)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IF(N16="ECHEC",L16+(TONTJANV!I16*2),0)</f>
        <v>0</v>
      </c>
      <c r="G16" s="8"/>
      <c r="H16" s="8"/>
      <c r="I16" s="8"/>
      <c r="J16" s="8"/>
      <c r="K16" s="8"/>
      <c r="L16" s="8">
        <f>TONTJANV!H16+TONTJANV!I16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IF(E17="ECHEC",0,VLOOKUP($A17,[8]HISTOFEV21!$A$6:$AU$39,13,0))</f>
        <v>150000</v>
      </c>
      <c r="D17" s="8"/>
      <c r="E17" s="8" t="str">
        <f>VLOOKUP($A17,[8]HISTOFEV21!$A$6:$AU$39,8,0)</f>
        <v>BANQUE</v>
      </c>
      <c r="F17" s="8">
        <f>IF(N17="ECHEC",L17+(TONTJANV!I17*2),0)</f>
        <v>0</v>
      </c>
      <c r="G17" s="8"/>
      <c r="H17" s="8">
        <f>VLOOKUP($A17,[8]HISTOFEV21!$A$6:$AU$39,36,0)</f>
        <v>0</v>
      </c>
      <c r="I17" s="8">
        <f>VLOOKUP($A17,[8]HISTOFEV21!$A$6:$AU$39,39,0)</f>
        <v>0</v>
      </c>
      <c r="J17" s="8" t="str">
        <f>IF(H17&lt;&gt;0,VLOOKUP($A17,[8]HISTOFEV21!$A$6:$AU$39,8,0),"ECHEC")</f>
        <v>ECHEC</v>
      </c>
      <c r="K17" s="8">
        <f>VLOOKUP($A17,[8]HISTOFEV21!$A$6:$AU$39,41,0)</f>
        <v>0</v>
      </c>
      <c r="L17" s="8">
        <f>TONTJANV!H17+TONTJANV!I17</f>
        <v>0</v>
      </c>
      <c r="M17" s="8">
        <f>VLOOKUP(A17,[8]HISTOFEV21!$A$6:$AZ$37,17,0)</f>
        <v>0</v>
      </c>
      <c r="N17" s="8" t="str">
        <f>IF(M17&lt;&gt;0,VLOOKUP($A17,[8]HISTOFEV21!$A$6:$AU$39,8,0),"ECHEC")</f>
        <v>ECHEC</v>
      </c>
      <c r="O17" s="8" t="str">
        <f>IF(R17&lt;&gt;0,VLOOKUP($A17,[8]HISTOFEV21!$A$6:$AU$39,8,0),"ECHEC")</f>
        <v>ECHEC</v>
      </c>
      <c r="P17" s="8">
        <f>VLOOKUP($A17,[8]HISTOFEV21!$A$6:$AU$39,33,0)</f>
        <v>0</v>
      </c>
      <c r="Q17" s="8">
        <f>IF(R17=0,0,($C$37-R17))</f>
        <v>0</v>
      </c>
      <c r="R17" s="8">
        <f>VLOOKUP($A17,[8]HISTOFEV21!$A$6:$AU$39,30,0)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IF(N18="ECHEC",L18+(TONTJANV!I18*2),0)</f>
        <v>0</v>
      </c>
      <c r="G18" s="8"/>
      <c r="H18" s="8"/>
      <c r="I18" s="8"/>
      <c r="J18" s="8"/>
      <c r="K18" s="8"/>
      <c r="L18" s="8">
        <f>TONTJANV!H18+TONTJANV!I18</f>
        <v>0</v>
      </c>
      <c r="M18" s="8"/>
      <c r="N18" s="8" t="str">
        <f>IF(M18&lt;&gt;0,VLOOKUP($A18,[8]HISTOFEV21!$A$6:$AU$39,8,0),"ECHEC")</f>
        <v>ECHEC</v>
      </c>
      <c r="O18" s="8" t="str">
        <f>IF(R18&lt;&gt;0,VLOOKUP($A18,[8]HISTOFEV21!$A$6:$AU$39,8,0),"ECHEC")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IF(E19="ECHEC",0,VLOOKUP($A19,[8]HISTOFEV21!$A$6:$AU$39,13,0))</f>
        <v>75000</v>
      </c>
      <c r="D19" s="8"/>
      <c r="E19" s="8" t="str">
        <f>VLOOKUP($A19,[8]HISTOFEV21!$A$6:$AU$39,8,0)</f>
        <v>ESPECES</v>
      </c>
      <c r="F19" s="8">
        <f>IF(N19="ECHEC",L19+(TONTJANV!I19*2),0)</f>
        <v>0</v>
      </c>
      <c r="G19" s="8"/>
      <c r="H19" s="8">
        <f>VLOOKUP($A19,[8]HISTOFEV21!$A$6:$AU$39,36,0)</f>
        <v>200000</v>
      </c>
      <c r="I19" s="8">
        <f>VLOOKUP($A19,[8]HISTOFEV21!$A$6:$AU$39,39,0)</f>
        <v>2000</v>
      </c>
      <c r="J19" s="8" t="str">
        <f>IF(H19&lt;&gt;0,VLOOKUP($A19,[8]HISTOFEV21!$A$6:$AU$39,8,0),"ECHEC")</f>
        <v>ESPECES</v>
      </c>
      <c r="K19" s="8">
        <f>VLOOKUP($A19,[8]HISTOFEV21!$A$6:$AU$39,41,0)</f>
        <v>0</v>
      </c>
      <c r="L19" s="8">
        <f>TONTJANV!H19+TONTJANV!I19</f>
        <v>202000</v>
      </c>
      <c r="M19" s="8">
        <f>VLOOKUP(A19,[8]HISTOFEV21!$A$6:$AZ$37,17,0)</f>
        <v>202000</v>
      </c>
      <c r="N19" s="8" t="str">
        <f>IF(M19&lt;&gt;0,VLOOKUP($A19,[8]HISTOFEV21!$A$6:$AU$39,8,0),"ECHEC")</f>
        <v>ESPECES</v>
      </c>
      <c r="O19" s="8" t="str">
        <f>IF(R19&lt;&gt;0,VLOOKUP($A19,[8]HISTOFEV21!$A$6:$AU$39,8,0),"ECHEC")</f>
        <v>ECHEC</v>
      </c>
      <c r="P19" s="8">
        <f>VLOOKUP($A19,[8]HISTOFEV21!$A$6:$AU$39,33,0)</f>
        <v>0</v>
      </c>
      <c r="Q19" s="8">
        <f>IF(R19=0,0,($C$37-R19))</f>
        <v>0</v>
      </c>
      <c r="R19" s="8">
        <f>VLOOKUP($A19,[8]HISTOFEV21!$A$6:$AU$39,30,0)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IF(E20="ECHEC",0,VLOOKUP($A20,[8]HISTOFEV21!$A$6:$AU$39,13,0))</f>
        <v>75000</v>
      </c>
      <c r="D20" s="8"/>
      <c r="E20" s="8" t="str">
        <f>VLOOKUP($A20,[8]HISTOFEV21!$A$6:$AU$39,8,0)</f>
        <v>BANQUE</v>
      </c>
      <c r="F20" s="8">
        <f>IF(N20="ECHEC",L20+(TONTJANV!I20*2),0)</f>
        <v>0</v>
      </c>
      <c r="G20" s="8"/>
      <c r="H20" s="8">
        <f>VLOOKUP($A20,[8]HISTOFEV21!$A$6:$AU$39,36,0)</f>
        <v>0</v>
      </c>
      <c r="I20" s="8">
        <f>VLOOKUP($A20,[8]HISTOFEV21!$A$6:$AU$39,39,0)</f>
        <v>0</v>
      </c>
      <c r="J20" s="8" t="str">
        <f>IF(H20&lt;&gt;0,VLOOKUP($A20,[8]HISTOFEV21!$A$6:$AU$39,8,0),"ECHEC")</f>
        <v>ECHEC</v>
      </c>
      <c r="K20" s="8">
        <f>VLOOKUP($A20,[8]HISTOFEV21!$A$6:$AU$39,41,0)</f>
        <v>0</v>
      </c>
      <c r="L20" s="8">
        <f>TONTJANV!H20+TONTJANV!I20</f>
        <v>0</v>
      </c>
      <c r="M20" s="8">
        <f>VLOOKUP(A20,[8]HISTOFEV21!$A$6:$AZ$37,17,0)</f>
        <v>0</v>
      </c>
      <c r="N20" s="8" t="str">
        <f>IF(M20&lt;&gt;0,VLOOKUP($A20,[8]HISTOFEV21!$A$6:$AU$39,8,0),"ECHEC")</f>
        <v>ECHEC</v>
      </c>
      <c r="O20" s="8" t="str">
        <f>IF(R20&lt;&gt;0,VLOOKUP($A20,[8]HISTOFEV21!$A$6:$AU$39,8,0),"ECHEC")</f>
        <v>ECHEC</v>
      </c>
      <c r="P20" s="8">
        <f>VLOOKUP($A20,[8]HISTOFEV21!$A$6:$AU$39,33,0)</f>
        <v>0</v>
      </c>
      <c r="Q20" s="8">
        <f>IF(R20=0,0,($C$37-R20))</f>
        <v>0</v>
      </c>
      <c r="R20" s="8">
        <f>VLOOKUP($A20,[8]HISTOFEV21!$A$6:$AU$39,30,0)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IF(E21="ECHEC",0,VLOOKUP($A21,[8]HISTOFEV21!$A$6:$AU$39,13,0))</f>
        <v>75000</v>
      </c>
      <c r="D21" s="8"/>
      <c r="E21" s="8" t="str">
        <f>VLOOKUP($A21,[8]HISTOFEV21!$A$6:$AU$39,8,0)</f>
        <v>BANQUE</v>
      </c>
      <c r="F21" s="8">
        <f>IF(N21="ECHEC",L21+(TONTJANV!I21*2),0)</f>
        <v>0</v>
      </c>
      <c r="G21" s="8"/>
      <c r="H21" s="8">
        <f>VLOOKUP($A21,[8]HISTOFEV21!$A$6:$AU$39,36,0)</f>
        <v>0</v>
      </c>
      <c r="I21" s="8">
        <f>VLOOKUP($A21,[8]HISTOFEV21!$A$6:$AU$39,39,0)</f>
        <v>0</v>
      </c>
      <c r="J21" s="8" t="str">
        <f>IF(H21&lt;&gt;0,VLOOKUP($A21,[8]HISTOFEV21!$A$6:$AU$39,8,0),"ECHEC")</f>
        <v>ECHEC</v>
      </c>
      <c r="K21" s="8">
        <f>VLOOKUP($A21,[8]HISTOFEV21!$A$6:$AU$39,41,0)</f>
        <v>0</v>
      </c>
      <c r="L21" s="8">
        <f>TONTJANV!H21+TONTJANV!I21</f>
        <v>0</v>
      </c>
      <c r="M21" s="8">
        <f>VLOOKUP(A21,[8]HISTOFEV21!$A$6:$AZ$37,17,0)</f>
        <v>0</v>
      </c>
      <c r="N21" s="8" t="str">
        <f>IF(M21&lt;&gt;0,VLOOKUP($A21,[8]HISTOFEV21!$A$6:$AU$39,8,0),"ECHEC")</f>
        <v>ECHEC</v>
      </c>
      <c r="O21" s="8" t="str">
        <f>IF(R21&lt;&gt;0,VLOOKUP($A21,[8]HISTOFEV21!$A$6:$AU$39,8,0),"ECHEC")</f>
        <v>ECHEC</v>
      </c>
      <c r="P21" s="8">
        <f>VLOOKUP($A21,[8]HISTOFEV21!$A$6:$AU$39,33,0)</f>
        <v>0</v>
      </c>
      <c r="Q21" s="8">
        <f>IF(R21=0,0,($C$37-R21))</f>
        <v>0</v>
      </c>
      <c r="R21" s="8">
        <f>VLOOKUP($A21,[8]HISTOFEV21!$A$6:$AU$39,30,0)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IF(E22="ECHEC",0,VLOOKUP($A22,[8]HISTOFEV21!$A$6:$AU$39,13,0))</f>
        <v>0</v>
      </c>
      <c r="D22" s="8"/>
      <c r="E22" s="8"/>
      <c r="F22" s="8">
        <f>IF(N22="ECHEC",L22+(TONTJANV!I22*2),0)</f>
        <v>0</v>
      </c>
      <c r="G22" s="8"/>
      <c r="H22" s="8">
        <f>VLOOKUP($A22,[8]HISTOFEV21!$A$6:$AU$39,36,0)</f>
        <v>0</v>
      </c>
      <c r="I22" s="8">
        <f>VLOOKUP($A22,[8]HISTOFEV21!$A$6:$AU$39,39,0)</f>
        <v>0</v>
      </c>
      <c r="J22" s="8" t="str">
        <f>IF(H22&lt;&gt;0,VLOOKUP($A22,[8]HISTOFEV21!$A$6:$AU$39,8,0),"ECHEC")</f>
        <v>ECHEC</v>
      </c>
      <c r="K22" s="8">
        <f>VLOOKUP($A22,[8]HISTOFEV21!$A$6:$AU$39,41,0)</f>
        <v>0</v>
      </c>
      <c r="L22" s="8">
        <f>TONTJANV!H22+TONTJANV!I22</f>
        <v>0</v>
      </c>
      <c r="M22" s="8">
        <f>VLOOKUP(A22,[8]HISTOFEV21!$A$6:$AZ$37,17,0)</f>
        <v>0</v>
      </c>
      <c r="N22" s="8" t="str">
        <f>IF(M22&lt;&gt;0,VLOOKUP($A22,[8]HISTOFEV21!$A$6:$AU$39,8,0),"ECHEC")</f>
        <v>ECHEC</v>
      </c>
      <c r="O22" s="8" t="str">
        <f>IF(R22&lt;&gt;0,VLOOKUP($A22,[8]HISTOFEV21!$A$6:$AU$39,8,0),"ECHEC")</f>
        <v>ECHEC</v>
      </c>
      <c r="P22" s="8">
        <f>VLOOKUP($A22,[8]HISTOFEV21!$A$6:$AU$39,33,0)</f>
        <v>0</v>
      </c>
      <c r="Q22" s="8">
        <f>IF(R22=0,0,($C$37-R22))</f>
        <v>0</v>
      </c>
      <c r="R22" s="8">
        <f>VLOOKUP($A22,[8]HISTOFEV21!$A$6:$AU$39,30,0)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IF(E23="ECHEC",0,VLOOKUP($A23,[8]HISTOFEV21!$A$6:$AU$39,13,0))</f>
        <v>150000</v>
      </c>
      <c r="D23" s="8"/>
      <c r="E23" s="8" t="str">
        <f>VLOOKUP($A23,[8]HISTOFEV21!$A$6:$AU$39,8,0)</f>
        <v>BANQUE</v>
      </c>
      <c r="F23" s="8">
        <f>IF(N23="ECHEC",L23+(TONTJANV!I23*2),0)</f>
        <v>0</v>
      </c>
      <c r="G23" s="8"/>
      <c r="H23" s="8">
        <f>VLOOKUP($A23,[8]HISTOFEV21!$A$6:$AU$39,36,0)</f>
        <v>0</v>
      </c>
      <c r="I23" s="8">
        <f>VLOOKUP($A23,[8]HISTOFEV21!$A$6:$AU$39,39,0)</f>
        <v>0</v>
      </c>
      <c r="J23" s="8" t="str">
        <f>IF(H23&lt;&gt;0,VLOOKUP($A23,[8]HISTOFEV21!$A$6:$AU$39,8,0),"ECHEC")</f>
        <v>ECHEC</v>
      </c>
      <c r="K23" s="8">
        <f>VLOOKUP($A23,[8]HISTOFEV21!$A$6:$AU$39,41,0)</f>
        <v>0</v>
      </c>
      <c r="L23" s="8">
        <f>TONTJANV!H23+TONTJANV!I23</f>
        <v>0</v>
      </c>
      <c r="M23" s="8"/>
      <c r="N23" s="8" t="str">
        <f>IF(M23&lt;&gt;0,VLOOKUP($A23,[8]HISTOFEV21!$A$6:$AU$39,8,0),"ECHEC")</f>
        <v>ECHEC</v>
      </c>
      <c r="O23" s="8" t="str">
        <f>IF(R23&lt;&gt;0,VLOOKUP($A23,[8]HISTOFEV21!$A$6:$AU$39,8,0),"ECHEC")</f>
        <v>ECHEC</v>
      </c>
      <c r="P23" s="8">
        <f>VLOOKUP($A23,[8]HISTOFEV21!$A$6:$AU$39,33,0)</f>
        <v>0</v>
      </c>
      <c r="Q23" s="8">
        <f>IF(R23=0,0,($C$37-R23))</f>
        <v>0</v>
      </c>
      <c r="R23" s="8">
        <f>VLOOKUP($A23,[8]HISTOFEV21!$A$6:$AU$39,30,0)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IF(N24="ECHEC",L24+(TONTJANV!I24*2),0)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206000</v>
      </c>
      <c r="G27" s="9">
        <f t="shared" si="2"/>
        <v>0</v>
      </c>
      <c r="H27" s="9">
        <f t="shared" si="2"/>
        <v>400000</v>
      </c>
      <c r="I27" s="9">
        <f t="shared" si="2"/>
        <v>4000</v>
      </c>
      <c r="J27" s="9">
        <f t="shared" si="2"/>
        <v>0</v>
      </c>
      <c r="K27" s="9">
        <f t="shared" si="2"/>
        <v>0</v>
      </c>
      <c r="L27" s="9">
        <f>SUM(L6:L26)</f>
        <v>1023000</v>
      </c>
      <c r="M27" s="9">
        <f t="shared" si="2"/>
        <v>821000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1125000</v>
      </c>
      <c r="R27" s="9">
        <f t="shared" si="2"/>
        <v>75000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29.2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C34+D34+R27+TONTJANV!M34</f>
        <v>2171000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75000</v>
      </c>
      <c r="D31" s="9">
        <f>SUMIFS(L2:L21,N2:N21,"ESPECES")+SUMIFS(F2:F21,G2:G21,"ESPECES")</f>
        <v>202000</v>
      </c>
      <c r="E31" s="9">
        <f>SUMIFS(H6:H25,J6:J25,"ESPECES")</f>
        <v>200000</v>
      </c>
      <c r="F31" s="9">
        <f>SUMIFS(Q6:Q25,O6:O25,"ESPECES")</f>
        <v>0</v>
      </c>
      <c r="G31" s="9">
        <f>C31+D31-E31-F31</f>
        <v>77000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1200000</v>
      </c>
      <c r="D32" s="9">
        <f>SUMIFS(M3:M22,N3:N22,"BANQUE")+SUMIFS(F3:F22,G3:G22,"BANQUE")</f>
        <v>619000</v>
      </c>
      <c r="E32" s="9">
        <f>SUMIFS(H6:H25,J6:J25,"BANQUE")</f>
        <v>200000</v>
      </c>
      <c r="F32" s="9">
        <f>SUMIFS(Q6:Q25,O6:O25,"BANQUE")</f>
        <v>1125000</v>
      </c>
      <c r="G32" s="9">
        <f>C32+D32-E32-F32</f>
        <v>494000</v>
      </c>
      <c r="H32" s="3"/>
      <c r="K32" s="9" t="s">
        <v>33</v>
      </c>
      <c r="L32" s="9">
        <f>L29-L30</f>
        <v>971000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821000</v>
      </c>
      <c r="E34" s="21">
        <f t="shared" ref="E34" si="3">E31+E32</f>
        <v>400000</v>
      </c>
      <c r="F34" s="21">
        <f>F31+F32</f>
        <v>1125000</v>
      </c>
      <c r="G34" s="21">
        <f>G31+G32</f>
        <v>571000</v>
      </c>
      <c r="H34" s="3"/>
      <c r="K34" s="9" t="s">
        <v>56</v>
      </c>
      <c r="L34" s="9">
        <f>L32-H27</f>
        <v>571000</v>
      </c>
      <c r="M34" s="9">
        <f>L34+TONTJANV!M34</f>
        <v>571000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COUNTIFS(E3:E22,"ECHEC")*75000</f>
        <v>0</v>
      </c>
      <c r="M36" s="9">
        <f>L36+TONTJANV!M36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206000</v>
      </c>
      <c r="M37" s="9">
        <f>L37+TONTJANV!M37</f>
        <v>206000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  <row r="52" spans="2:3" ht="18" x14ac:dyDescent="0.25">
      <c r="B52" s="10"/>
      <c r="C52" s="11"/>
    </row>
  </sheetData>
  <autoFilter ref="A5:R25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zoomScaleNormal="100" workbookViewId="0">
      <pane xSplit="2" ySplit="5" topLeftCell="M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7.7109375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2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ht="18" x14ac:dyDescent="0.25">
      <c r="B4" s="5"/>
      <c r="C4" s="52">
        <v>44276</v>
      </c>
      <c r="D4" s="53"/>
      <c r="E4" s="53"/>
      <c r="F4" s="53"/>
      <c r="G4" s="53"/>
      <c r="H4" s="53"/>
      <c r="I4" s="53"/>
      <c r="J4" s="53"/>
      <c r="K4" s="53"/>
      <c r="L4" s="53"/>
      <c r="N4" s="35"/>
      <c r="O4" s="35"/>
      <c r="P4" s="35"/>
      <c r="Q4" s="35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IF(E6="ECHEC",0,VLOOKUP($A6,[8]HISTOMARS21!$A$6:$AU$39,13,0))</f>
        <v>75000</v>
      </c>
      <c r="D6" s="8"/>
      <c r="E6" s="8" t="str">
        <f>VLOOKUP($A6,[8]HISTOMARS21!$A$6:$AU$39,8,0)</f>
        <v>BANQUE</v>
      </c>
      <c r="F6" s="8">
        <f>IF(N6="ECHEC",L6+(TONTFEV!I6*2),0)</f>
        <v>0</v>
      </c>
      <c r="G6" s="7"/>
      <c r="H6" s="8">
        <f>VLOOKUP($A6,[8]HISTOMARS21!$A$6:$AU$39,36,0)</f>
        <v>0</v>
      </c>
      <c r="I6" s="8">
        <f>VLOOKUP($A6,[8]HISTOMARS21!$A$6:$AU$39,39,0)</f>
        <v>0</v>
      </c>
      <c r="J6" s="8" t="str">
        <f>IF(H6&lt;&gt;0,VLOOKUP($A6,[8]HISTOMARS21!$A$6:$AU$39,8,0),"ECHEC")</f>
        <v>ECHEC</v>
      </c>
      <c r="K6" s="8">
        <f>VLOOKUP($A6,[8]HISTOMARS21!$A$6:$AU$39,41,0)</f>
        <v>0</v>
      </c>
      <c r="L6" s="8">
        <f>TONTFEV!H6+TONTFEV!I6+TONTFEV!F6</f>
        <v>0</v>
      </c>
      <c r="M6" s="8">
        <f>VLOOKUP(A6,[8]HISTOMARS21!$A$6:$AZ$37,17,0)</f>
        <v>0</v>
      </c>
      <c r="N6" s="8" t="str">
        <f>IF(L6&lt;&gt;0,VLOOKUP($A6,[8]HISTOMARS21!$A$6:$AU$39,8,0),"ECHEC")</f>
        <v>ECHEC</v>
      </c>
      <c r="O6" s="8" t="str">
        <f>IF(R6&lt;&gt;0,VLOOKUP($A6,[8]HISTOMARS21!$A$6:$AU$39,8,0),"ECHEC")</f>
        <v>ECHEC</v>
      </c>
      <c r="P6" s="8">
        <f>VLOOKUP($A6,[8]HISTOMARS21!$A$6:$AU$39,33,0)</f>
        <v>0</v>
      </c>
      <c r="Q6" s="8">
        <f>IF(R6=0,0,($C$37-R6))</f>
        <v>0</v>
      </c>
      <c r="R6" s="8">
        <f>VLOOKUP($A6,[8]HISTOMARS21!$A$6:$AU$39,30,0)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IF(N7="ECHEC",L7+(TONTFEV!I7*2),0)</f>
        <v>0</v>
      </c>
      <c r="G7" s="7"/>
      <c r="H7" s="8"/>
      <c r="I7" s="8"/>
      <c r="J7" s="8"/>
      <c r="K7" s="8"/>
      <c r="L7" s="8">
        <f>TONTFEV!H7+TONTFEV!I7+TONTFEV!F7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IF(E8="ECHEC",0,VLOOKUP($A8,[8]HISTOMARS21!$A$6:$AU$39,13,0))</f>
        <v>75000</v>
      </c>
      <c r="D8" s="8"/>
      <c r="E8" s="8" t="str">
        <f>VLOOKUP($A8,[8]HISTOMARS21!$A$6:$AU$39,8,0)</f>
        <v>BANQUE</v>
      </c>
      <c r="F8" s="8">
        <f>IF(N8="ECHEC",L8+(TONTFEV!I8*2),0)</f>
        <v>0</v>
      </c>
      <c r="G8" s="8"/>
      <c r="H8" s="8">
        <f>VLOOKUP($A8,[8]HISTOMARS21!$A$6:$AU$39,36,0)</f>
        <v>50000</v>
      </c>
      <c r="I8" s="8">
        <f>VLOOKUP($A8,[8]HISTOMARS21!$A$6:$AU$39,39,0)</f>
        <v>1000</v>
      </c>
      <c r="J8" s="8" t="str">
        <f>IF(H8&lt;&gt;0,VLOOKUP($A8,[8]HISTOMARS21!$A$6:$AU$39,8,0),"ECHEC")</f>
        <v>BANQUE</v>
      </c>
      <c r="K8" s="8">
        <f>VLOOKUP($A8,[8]HISTOMARS21!$A$6:$AU$39,41,0)</f>
        <v>0</v>
      </c>
      <c r="L8" s="8">
        <f>TONTFEV!H8+TONTFEV!I8+TONTFEV!F8</f>
        <v>0</v>
      </c>
      <c r="M8" s="8">
        <f>VLOOKUP(A8,[8]HISTOMARS21!$A$6:$AZ$37,17,0)</f>
        <v>0</v>
      </c>
      <c r="N8" s="8" t="str">
        <f>IF(M8&lt;&gt;0,VLOOKUP($A8,[8]HISTOMARS21!$A$6:$AU$39,8,0),"ECHEC")</f>
        <v>ECHEC</v>
      </c>
      <c r="O8" s="8" t="str">
        <f>IF(R8&lt;&gt;0,VLOOKUP($A8,[8]HISTOMARS21!$A$6:$AU$39,8,0),"ECHEC")</f>
        <v>ECHEC</v>
      </c>
      <c r="P8" s="8">
        <f>VLOOKUP($A8,[8]HISTOMARS21!$A$6:$AU$39,33,0)</f>
        <v>0</v>
      </c>
      <c r="Q8" s="8">
        <f t="shared" ref="Q8:Q14" si="1">IF(R8=0,0,($C$37-R8))</f>
        <v>0</v>
      </c>
      <c r="R8" s="8">
        <f>VLOOKUP($A8,[8]HISTOMARS21!$A$6:$AU$39,30,0)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IF(E9="ECHEC",0,VLOOKUP($A9,[8]HISTOMARS21!$A$6:$AU$39,13,0))</f>
        <v>75000</v>
      </c>
      <c r="D9" s="8"/>
      <c r="E9" s="8" t="str">
        <f>VLOOKUP($A9,[8]HISTOMARS21!$A$6:$AU$39,8,0)</f>
        <v>BANQUE</v>
      </c>
      <c r="F9" s="8">
        <f>IF(N9="ECHEC",L9+(TONTFEV!I9*2),0)</f>
        <v>0</v>
      </c>
      <c r="G9" s="8"/>
      <c r="H9" s="8">
        <f>VLOOKUP($A9,[8]HISTOMARS21!$A$6:$AU$39,36,0)</f>
        <v>56000</v>
      </c>
      <c r="I9" s="8">
        <f>VLOOKUP($A9,[8]HISTOMARS21!$A$6:$AU$39,39,0)</f>
        <v>1000</v>
      </c>
      <c r="J9" s="8" t="str">
        <f>IF(H9&lt;&gt;0,VLOOKUP($A9,[8]HISTOMARS21!$A$6:$AU$39,8,0),"ECHEC")</f>
        <v>BANQUE</v>
      </c>
      <c r="K9" s="8">
        <f>VLOOKUP($A9,[8]HISTOMARS21!$A$6:$AU$39,41,0)</f>
        <v>0</v>
      </c>
      <c r="L9" s="8">
        <f>TONTFEV!H9+TONTFEV!I9+TONTFEV!F9</f>
        <v>0</v>
      </c>
      <c r="M9" s="8">
        <f>VLOOKUP(A9,[8]HISTOMARS21!$A$6:$AZ$37,17,0)</f>
        <v>0</v>
      </c>
      <c r="N9" s="8" t="str">
        <f>IF(M9&lt;&gt;0,VLOOKUP($A9,[8]HISTOMARS21!$A$6:$AU$39,8,0),"ECHEC")</f>
        <v>ECHEC</v>
      </c>
      <c r="O9" s="8" t="str">
        <f>IF(R9&lt;&gt;0,VLOOKUP($A9,[8]HISTOMARS21!$A$6:$AU$39,8,0),"ECHEC")</f>
        <v>ECHEC</v>
      </c>
      <c r="P9" s="8">
        <f>VLOOKUP($A9,[8]HISTOMARS21!$A$6:$AU$39,33,0)</f>
        <v>0</v>
      </c>
      <c r="Q9" s="8">
        <f t="shared" si="1"/>
        <v>0</v>
      </c>
      <c r="R9" s="8">
        <f>VLOOKUP($A9,[8]HISTOMARS21!$A$6:$AU$39,30,0)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IF(E10="ECHEC",0,VLOOKUP($A10,[8]HISTOMARS21!$A$6:$AU$39,13,0))</f>
        <v>75000</v>
      </c>
      <c r="D10" s="8"/>
      <c r="E10" s="8" t="str">
        <f>VLOOKUP($A10,[8]HISTOMARS21!$A$6:$AU$39,8,0)</f>
        <v>BANQUE</v>
      </c>
      <c r="F10" s="8">
        <f>IF(N10="ECHEC",L10+(TONTFEV!I10*2),0)</f>
        <v>0</v>
      </c>
      <c r="G10" s="8"/>
      <c r="H10" s="8">
        <f>VLOOKUP($A10,[8]HISTOMARS21!$A$6:$AU$39,36,0)</f>
        <v>0</v>
      </c>
      <c r="I10" s="8">
        <f>VLOOKUP($A10,[8]HISTOMARS21!$A$6:$AU$39,39,0)</f>
        <v>0</v>
      </c>
      <c r="J10" s="8" t="str">
        <f>IF(H10&lt;&gt;0,VLOOKUP($A10,[8]HISTOMARS21!$A$6:$AU$39,8,0),"ECHEC")</f>
        <v>ECHEC</v>
      </c>
      <c r="K10" s="8">
        <f>VLOOKUP($A10,[8]HISTOMARS21!$A$6:$AU$39,41,0)</f>
        <v>0</v>
      </c>
      <c r="L10" s="8">
        <f>TONTFEV!H10+TONTFEV!I10+TONTFEV!F10</f>
        <v>0</v>
      </c>
      <c r="M10" s="8">
        <f>VLOOKUP(A10,[8]HISTOMARS21!$A$6:$AZ$37,17,0)</f>
        <v>0</v>
      </c>
      <c r="N10" s="8" t="str">
        <f>IF(M10&lt;&gt;0,VLOOKUP($A10,[8]HISTOMARS21!$A$6:$AU$39,8,0),"ECHEC")</f>
        <v>ECHEC</v>
      </c>
      <c r="O10" s="8" t="str">
        <f>IF(R10&lt;&gt;0,VLOOKUP($A10,[8]HISTOMARS21!$A$6:$AU$39,8,0),"ECHEC")</f>
        <v>ECHEC</v>
      </c>
      <c r="P10" s="8">
        <f>VLOOKUP($A10,[8]HISTOMARS21!$A$6:$AU$39,33,0)</f>
        <v>0</v>
      </c>
      <c r="Q10" s="8">
        <f t="shared" si="1"/>
        <v>0</v>
      </c>
      <c r="R10" s="8">
        <f>VLOOKUP($A10,[8]HISTOMARS21!$A$6:$AU$39,30,0)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IF(E11="ECHEC",0,VLOOKUP($A11,[8]HISTOMARS21!$A$6:$AU$39,13,0))</f>
        <v>75000</v>
      </c>
      <c r="D11" s="8"/>
      <c r="E11" s="8" t="str">
        <f>VLOOKUP($A11,[8]HISTOMARS21!$A$6:$AU$39,8,0)</f>
        <v>BANQUE</v>
      </c>
      <c r="F11" s="8">
        <f>IF(N11="ECHEC",L11+(TONTFEV!I11*2),0)</f>
        <v>0</v>
      </c>
      <c r="G11" s="8"/>
      <c r="H11" s="8">
        <f>VLOOKUP($A11,[8]HISTOMARS21!$A$6:$AU$39,36,0)</f>
        <v>0</v>
      </c>
      <c r="I11" s="8">
        <f>VLOOKUP($A11,[8]HISTOMARS21!$A$6:$AU$39,39,0)</f>
        <v>0</v>
      </c>
      <c r="J11" s="8" t="str">
        <f>IF(H11&lt;&gt;0,VLOOKUP($A11,[8]HISTOMARS21!$A$6:$AU$39,8,0),"ECHEC")</f>
        <v>ECHEC</v>
      </c>
      <c r="K11" s="8">
        <f>VLOOKUP($A11,[8]HISTOMARS21!$A$6:$AU$39,41,0)</f>
        <v>0</v>
      </c>
      <c r="L11" s="8">
        <f>TONTFEV!H11+TONTFEV!I11+TONTFEV!F11</f>
        <v>0</v>
      </c>
      <c r="M11" s="8">
        <f>VLOOKUP(A11,[8]HISTOMARS21!$A$6:$AZ$37,17,0)</f>
        <v>0</v>
      </c>
      <c r="N11" s="8" t="str">
        <f>IF(M11&lt;&gt;0,VLOOKUP($A11,[8]HISTOMARS21!$A$6:$AU$39,8,0),"ECHEC")</f>
        <v>ECHEC</v>
      </c>
      <c r="O11" s="8" t="str">
        <f>IF(R11&lt;&gt;0,VLOOKUP($A11,[8]HISTOMARS21!$A$6:$AU$39,8,0),"ECHEC")</f>
        <v>ECHEC</v>
      </c>
      <c r="P11" s="8">
        <f>VLOOKUP($A11,[8]HISTOMARS21!$A$6:$AU$39,33,0)</f>
        <v>0</v>
      </c>
      <c r="Q11" s="8">
        <f t="shared" si="1"/>
        <v>0</v>
      </c>
      <c r="R11" s="8">
        <f>VLOOKUP($A11,[8]HISTOMARS21!$A$6:$AU$39,30,0)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IF(E12="ECHEC",0,VLOOKUP($A12,[8]HISTOMARS21!$A$6:$AU$39,13,0))</f>
        <v>75000</v>
      </c>
      <c r="D12" s="8"/>
      <c r="E12" s="8" t="str">
        <f>VLOOKUP($A12,[8]HISTOMARS21!$A$6:$AU$39,8,0)</f>
        <v>BANQUE</v>
      </c>
      <c r="F12" s="8">
        <f>IF(N12="ECHEC",L12+(TONTFEV!I12*2),0)</f>
        <v>0</v>
      </c>
      <c r="G12" s="8" t="s">
        <v>9</v>
      </c>
      <c r="H12" s="8">
        <f>VLOOKUP($A12,[8]HISTOMARS21!$A$6:$AU$39,36,0)</f>
        <v>0</v>
      </c>
      <c r="I12" s="8">
        <f>VLOOKUP($A12,[8]HISTOMARS21!$A$6:$AU$39,39,0)</f>
        <v>0</v>
      </c>
      <c r="J12" s="8" t="str">
        <f>IF(H12&lt;&gt;0,VLOOKUP($A12,[8]HISTOMARS21!$A$6:$AU$39,8,0),"ECHEC")</f>
        <v>ECHEC</v>
      </c>
      <c r="K12" s="8">
        <f>VLOOKUP($A12,[8]HISTOMARS21!$A$6:$AU$39,41,0)</f>
        <v>0</v>
      </c>
      <c r="L12" s="8">
        <f>TONTFEV!H12+TONTFEV!I12+TONTFEV!F12</f>
        <v>206000</v>
      </c>
      <c r="M12" s="8">
        <f>VLOOKUP(A12,[8]HISTOMARS21!$A$6:$AZ$37,17,0)</f>
        <v>206000</v>
      </c>
      <c r="N12" s="8" t="str">
        <f>IF(M12&lt;&gt;0,VLOOKUP($A12,[8]HISTOMARS21!$A$6:$AU$39,8,0),"ECHEC")</f>
        <v>BANQUE</v>
      </c>
      <c r="O12" s="8" t="str">
        <f>IF(R12&lt;&gt;0,VLOOKUP($A12,[8]HISTOMARS21!$A$6:$AU$39,8,0),"ECHEC")</f>
        <v>ECHEC</v>
      </c>
      <c r="P12" s="8">
        <f>VLOOKUP($A12,[8]HISTOMARS21!$A$6:$AU$39,33,0)</f>
        <v>0</v>
      </c>
      <c r="Q12" s="8">
        <f t="shared" si="1"/>
        <v>0</v>
      </c>
      <c r="R12" s="8">
        <f>VLOOKUP($A12,[8]HISTOMARS21!$A$6:$AU$39,30,0)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IF(E13="ECHEC",0,VLOOKUP($A13,[8]HISTOMARS21!$A$6:$AU$39,13,0))</f>
        <v>75000</v>
      </c>
      <c r="D13" s="8"/>
      <c r="E13" s="8" t="str">
        <f>VLOOKUP($A13,[8]HISTOMARS21!$A$6:$AU$39,8,0)</f>
        <v>BANQUE</v>
      </c>
      <c r="F13" s="8">
        <f>IF(N13="ECHEC",L13+(TONTFEV!I13*2),0)</f>
        <v>0</v>
      </c>
      <c r="G13" s="8"/>
      <c r="H13" s="8">
        <f>VLOOKUP($A13,[8]HISTOMARS21!$A$6:$AU$39,36,0)</f>
        <v>0</v>
      </c>
      <c r="I13" s="8">
        <f>VLOOKUP($A13,[8]HISTOMARS21!$A$6:$AU$39,39,0)</f>
        <v>0</v>
      </c>
      <c r="J13" s="8" t="str">
        <f>IF(H13&lt;&gt;0,VLOOKUP($A13,[8]HISTOMARS21!$A$6:$AU$39,8,0),"ECHEC")</f>
        <v>ECHEC</v>
      </c>
      <c r="K13" s="8">
        <f>VLOOKUP($A13,[8]HISTOMARS21!$A$6:$AU$39,41,0)</f>
        <v>0</v>
      </c>
      <c r="L13" s="8">
        <f>TONTFEV!H13+TONTFEV!I13+TONTFEV!F13</f>
        <v>0</v>
      </c>
      <c r="M13" s="8">
        <f>VLOOKUP(A13,[8]HISTOMARS21!$A$6:$AZ$37,17,0)</f>
        <v>0</v>
      </c>
      <c r="N13" s="8" t="str">
        <f>IF(M13&lt;&gt;0,VLOOKUP($A13,[8]HISTOMARS21!$A$6:$AU$39,8,0),"ECHEC")</f>
        <v>ECHEC</v>
      </c>
      <c r="O13" s="8" t="str">
        <f>IF(R13&lt;&gt;0,VLOOKUP($A13,[8]HISTOMARS21!$A$6:$AU$39,8,0),"ECHEC")</f>
        <v>ECHEC</v>
      </c>
      <c r="P13" s="8">
        <f>VLOOKUP($A13,[8]HISTOMARS21!$A$6:$AU$39,33,0)</f>
        <v>0</v>
      </c>
      <c r="Q13" s="8">
        <f t="shared" si="1"/>
        <v>0</v>
      </c>
      <c r="R13" s="8">
        <f>VLOOKUP($A13,[8]HISTOMARS21!$A$6:$AU$39,30,0)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IF(E14="ECHEC",0,VLOOKUP($A14,[8]HISTOMARS21!$A$6:$AU$39,13,0))</f>
        <v>225000</v>
      </c>
      <c r="D14" s="8"/>
      <c r="E14" s="8" t="str">
        <f>VLOOKUP($A14,[8]HISTOMARS21!$A$6:$AU$39,8,0)</f>
        <v>BANQUE</v>
      </c>
      <c r="F14" s="8">
        <f>IF(N14="ECHEC",L14+(TONTFEV!I14*2),0)</f>
        <v>0</v>
      </c>
      <c r="G14" s="8"/>
      <c r="H14" s="8">
        <f>VLOOKUP($A14,[8]HISTOMARS21!$A$6:$AU$39,36,0)</f>
        <v>100000</v>
      </c>
      <c r="I14" s="8">
        <f>VLOOKUP($A14,[8]HISTOMARS21!$A$6:$AU$39,39,0)</f>
        <v>2000</v>
      </c>
      <c r="J14" s="8" t="str">
        <f>IF(H14&lt;&gt;0,VLOOKUP($A14,[8]HISTOMARS21!$A$6:$AU$39,8,0),"ECHEC")</f>
        <v>BANQUE</v>
      </c>
      <c r="K14" s="8">
        <f>VLOOKUP($A14,[8]HISTOMARS21!$A$6:$AU$39,41,0)</f>
        <v>0</v>
      </c>
      <c r="L14" s="8">
        <f>TONTFEV!H14+TONTFEV!I14+TONTFEV!F14</f>
        <v>202000</v>
      </c>
      <c r="M14" s="8">
        <f>VLOOKUP(A14,[8]HISTOMARS21!$A$6:$AZ$37,17,0)</f>
        <v>202000</v>
      </c>
      <c r="N14" s="8" t="str">
        <f>IF(M14&lt;&gt;0,VLOOKUP($A14,[8]HISTOMARS21!$A$6:$AU$39,8,0),"ECHEC")</f>
        <v>BANQUE</v>
      </c>
      <c r="O14" s="8" t="str">
        <f>IF(R14&lt;&gt;0,VLOOKUP($A14,[8]HISTOMARS21!$A$6:$AU$39,8,0),"ECHEC")</f>
        <v>ECHEC</v>
      </c>
      <c r="P14" s="8">
        <f>VLOOKUP($A14,[8]HISTOMARS21!$A$6:$AU$39,33,0)</f>
        <v>0</v>
      </c>
      <c r="Q14" s="8">
        <f t="shared" si="1"/>
        <v>0</v>
      </c>
      <c r="R14" s="8">
        <f>VLOOKUP($A14,[8]HISTOMARS21!$A$6:$AU$39,30,0)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IF(N15="ECHEC",L15+(TONTFEV!I15*2),0)</f>
        <v>0</v>
      </c>
      <c r="G15" s="8"/>
      <c r="H15" s="8"/>
      <c r="I15" s="8"/>
      <c r="J15" s="8"/>
      <c r="K15" s="8"/>
      <c r="L15" s="8">
        <f>TONTFEV!H15+TONTFEV!I15+TONTFEV!F15</f>
        <v>0</v>
      </c>
      <c r="M15" s="8"/>
      <c r="N15" s="8"/>
      <c r="O15" s="8"/>
      <c r="P15" s="8">
        <f>VLOOKUP($A15,[8]HISTOMARS21!$A$6:$AU$39,33,0)</f>
        <v>0</v>
      </c>
      <c r="Q15" s="8"/>
      <c r="R15" s="8">
        <f>VLOOKUP($A15,[8]HISTOMARS21!$A$6:$AU$39,30,0)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IF(N16="ECHEC",L16+(TONTFEV!I16*2),0)</f>
        <v>0</v>
      </c>
      <c r="G16" s="8"/>
      <c r="H16" s="8"/>
      <c r="I16" s="8"/>
      <c r="J16" s="8"/>
      <c r="K16" s="8"/>
      <c r="L16" s="8">
        <f>TONTFEV!H16+TONTFEV!I16+TONTFEV!F16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IF(E17="ECHEC",0,VLOOKUP($A17,[8]HISTOMARS21!$A$6:$AU$39,13,0))</f>
        <v>150000</v>
      </c>
      <c r="D17" s="8"/>
      <c r="E17" s="8" t="str">
        <f>VLOOKUP($A17,[8]HISTOMARS21!$A$6:$AU$39,8,0)</f>
        <v>BANQUE</v>
      </c>
      <c r="F17" s="8">
        <f>IF(N17="ECHEC",L17+(TONTFEV!I17*2),0)</f>
        <v>0</v>
      </c>
      <c r="G17" s="8"/>
      <c r="H17" s="8">
        <f>VLOOKUP($A17,[8]HISTOMARS21!$A$6:$AU$39,36,0)</f>
        <v>0</v>
      </c>
      <c r="I17" s="8">
        <f>VLOOKUP($A17,[8]HISTOMARS21!$A$6:$AU$39,39,0)</f>
        <v>0</v>
      </c>
      <c r="J17" s="8" t="str">
        <f>IF(H17&lt;&gt;0,VLOOKUP($A17,[8]HISTOMARS21!$A$6:$AU$39,8,0),"ECHEC")</f>
        <v>ECHEC</v>
      </c>
      <c r="K17" s="8">
        <f>VLOOKUP($A17,[8]HISTOMARS21!$A$6:$AU$39,41,0)</f>
        <v>0</v>
      </c>
      <c r="L17" s="8">
        <f>TONTFEV!H17+TONTFEV!I17+TONTFEV!F17</f>
        <v>0</v>
      </c>
      <c r="M17" s="8">
        <f>VLOOKUP(A17,[8]HISTOMARS21!$A$6:$AZ$37,17,0)</f>
        <v>0</v>
      </c>
      <c r="N17" s="8" t="str">
        <f>IF(M17&lt;&gt;0,VLOOKUP($A17,[8]HISTOMARS21!$A$6:$AU$39,8,0),"ECHEC")</f>
        <v>ECHEC</v>
      </c>
      <c r="O17" s="8" t="str">
        <f>IF(R17&lt;&gt;0,VLOOKUP($A17,[8]HISTOMARS21!$A$6:$AU$39,8,0),"ECHEC")</f>
        <v>ECHEC</v>
      </c>
      <c r="P17" s="8">
        <f>VLOOKUP($A17,[8]HISTOMARS21!$A$6:$AU$39,33,0)</f>
        <v>0</v>
      </c>
      <c r="Q17" s="8">
        <f>IF(R17=0,0,($C$37-R17))</f>
        <v>0</v>
      </c>
      <c r="R17" s="8">
        <f>VLOOKUP($A17,[8]HISTOMARS21!$A$6:$AU$39,30,0)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IF(N18="ECHEC",L18+(TONTFEV!I18*2),0)</f>
        <v>0</v>
      </c>
      <c r="G18" s="8"/>
      <c r="H18" s="8"/>
      <c r="I18" s="8"/>
      <c r="J18" s="8"/>
      <c r="K18" s="8"/>
      <c r="L18" s="8">
        <f>TONTFEV!H18+TONTFEV!I18+TONTFEV!F18</f>
        <v>0</v>
      </c>
      <c r="M18" s="8"/>
      <c r="N18" s="8" t="str">
        <f>IF(M18&lt;&gt;0,VLOOKUP($A18,[8]HISTOMARS21!$A$6:$AU$39,8,0),"ECHEC")</f>
        <v>ECHEC</v>
      </c>
      <c r="O18" s="8" t="str">
        <f>IF(R18&lt;&gt;0,VLOOKUP($A18,[8]HISTOMARS21!$A$6:$AU$39,8,0),"ECHEC")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IF(E19="ECHEC",0,VLOOKUP($A19,[8]HISTOMARS21!$A$6:$AU$39,13,0))</f>
        <v>75000</v>
      </c>
      <c r="D19" s="8"/>
      <c r="E19" s="8" t="str">
        <f>VLOOKUP($A19,[8]HISTOMARS21!$A$6:$AU$39,8,0)</f>
        <v>ESPECES</v>
      </c>
      <c r="F19" s="8">
        <f>IF(N19="ECHEC",L19+(TONTFEV!I19*2),0)</f>
        <v>0</v>
      </c>
      <c r="G19" s="8"/>
      <c r="H19" s="8">
        <f>VLOOKUP($A19,[8]HISTOMARS21!$A$6:$AU$39,36,0)</f>
        <v>100000</v>
      </c>
      <c r="I19" s="8">
        <f>VLOOKUP($A19,[8]HISTOMARS21!$A$6:$AU$39,39,0)</f>
        <v>2000</v>
      </c>
      <c r="J19" s="8" t="str">
        <f>IF(H19&lt;&gt;0,VLOOKUP($A19,[8]HISTOMARS21!$A$6:$AU$39,8,0),"ECHEC")</f>
        <v>ESPECES</v>
      </c>
      <c r="K19" s="8">
        <f>VLOOKUP($A19,[8]HISTOMARS21!$A$6:$AU$39,41,0)</f>
        <v>0</v>
      </c>
      <c r="L19" s="8">
        <f>TONTFEV!H19+TONTFEV!I19+TONTFEV!F19</f>
        <v>202000</v>
      </c>
      <c r="M19" s="8">
        <f>VLOOKUP(A19,[8]HISTOMARS21!$A$6:$AZ$37,17,0)</f>
        <v>202000</v>
      </c>
      <c r="N19" s="8" t="str">
        <f>IF(M19&lt;&gt;0,VLOOKUP($A19,[8]HISTOMARS21!$A$6:$AU$39,8,0),"ECHEC")</f>
        <v>ESPECES</v>
      </c>
      <c r="O19" s="8" t="str">
        <f>IF(R19&lt;&gt;0,VLOOKUP($A19,[8]HISTOMARS21!$A$6:$AU$39,8,0),"ECHEC")</f>
        <v>ECHEC</v>
      </c>
      <c r="P19" s="8">
        <f>VLOOKUP($A19,[8]HISTOMARS21!$A$6:$AU$39,33,0)</f>
        <v>0</v>
      </c>
      <c r="Q19" s="8">
        <f>IF(R19=0,0,($C$37-R19))</f>
        <v>0</v>
      </c>
      <c r="R19" s="8">
        <f>VLOOKUP($A19,[8]HISTOMARS21!$A$6:$AU$39,30,0)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IF(E20="ECHEC",0,VLOOKUP($A20,[8]HISTOMARS21!$A$6:$AU$39,13,0))</f>
        <v>75000</v>
      </c>
      <c r="D20" s="8"/>
      <c r="E20" s="8" t="str">
        <f>VLOOKUP($A20,[8]HISTOMARS21!$A$6:$AU$39,8,0)</f>
        <v>BANQUE</v>
      </c>
      <c r="F20" s="8">
        <f>IF(N20="ECHEC",L20+(TONTFEV!I20*2),0)</f>
        <v>0</v>
      </c>
      <c r="G20" s="8"/>
      <c r="H20" s="8">
        <f>VLOOKUP($A20,[8]HISTOMARS21!$A$6:$AU$39,36,0)</f>
        <v>0</v>
      </c>
      <c r="I20" s="8">
        <f>VLOOKUP($A20,[8]HISTOMARS21!$A$6:$AU$39,39,0)</f>
        <v>0</v>
      </c>
      <c r="J20" s="8" t="str">
        <f>IF(H20&lt;&gt;0,VLOOKUP($A20,[8]HISTOMARS21!$A$6:$AU$39,8,0),"ECHEC")</f>
        <v>ECHEC</v>
      </c>
      <c r="K20" s="8">
        <f>VLOOKUP($A20,[8]HISTOMARS21!$A$6:$AU$39,41,0)</f>
        <v>0</v>
      </c>
      <c r="L20" s="8">
        <f>TONTFEV!H20+TONTFEV!I20+TONTFEV!F20</f>
        <v>0</v>
      </c>
      <c r="M20" s="8">
        <f>VLOOKUP(A20,[8]HISTOMARS21!$A$6:$AZ$37,17,0)</f>
        <v>0</v>
      </c>
      <c r="N20" s="8" t="str">
        <f>IF(M20&lt;&gt;0,VLOOKUP($A20,[8]HISTOMARS21!$A$6:$AU$39,8,0),"ECHEC")</f>
        <v>ECHEC</v>
      </c>
      <c r="O20" s="8" t="str">
        <f>IF(R20&lt;&gt;0,VLOOKUP($A20,[8]HISTOMARS21!$A$6:$AU$39,8,0),"ECHEC")</f>
        <v>ECHEC</v>
      </c>
      <c r="P20" s="8">
        <f>VLOOKUP($A20,[8]HISTOMARS21!$A$6:$AU$39,33,0)</f>
        <v>0</v>
      </c>
      <c r="Q20" s="8">
        <f>IF(R20=0,0,($C$37-R20))</f>
        <v>0</v>
      </c>
      <c r="R20" s="8">
        <f>VLOOKUP($A20,[8]HISTOMARS21!$A$6:$AU$39,30,0)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IF(E21="ECHEC",0,VLOOKUP($A21,[8]HISTOMARS21!$A$6:$AU$39,13,0))</f>
        <v>75000</v>
      </c>
      <c r="D21" s="8"/>
      <c r="E21" s="8" t="str">
        <f>VLOOKUP($A21,[8]HISTOMARS21!$A$6:$AU$39,8,0)</f>
        <v>BANQUE</v>
      </c>
      <c r="F21" s="8">
        <f>IF(N21="ECHEC",L21+(TONTFEV!I21*2),0)</f>
        <v>0</v>
      </c>
      <c r="G21" s="8"/>
      <c r="H21" s="8">
        <f>VLOOKUP($A21,[8]HISTOMARS21!$A$6:$AU$39,36,0)</f>
        <v>0</v>
      </c>
      <c r="I21" s="8">
        <f>VLOOKUP($A21,[8]HISTOMARS21!$A$6:$AU$39,39,0)</f>
        <v>0</v>
      </c>
      <c r="J21" s="8" t="str">
        <f>IF(H21&lt;&gt;0,VLOOKUP($A21,[8]HISTOMARS21!$A$6:$AU$39,8,0),"ECHEC")</f>
        <v>ECHEC</v>
      </c>
      <c r="K21" s="8">
        <f>VLOOKUP($A21,[8]HISTOMARS21!$A$6:$AU$39,41,0)</f>
        <v>0</v>
      </c>
      <c r="L21" s="8">
        <f>TONTFEV!H21+TONTFEV!I21+TONTFEV!F21</f>
        <v>0</v>
      </c>
      <c r="M21" s="8">
        <f>VLOOKUP(A21,[8]HISTOMARS21!$A$6:$AZ$37,17,0)</f>
        <v>0</v>
      </c>
      <c r="N21" s="8" t="str">
        <f>IF(M21&lt;&gt;0,VLOOKUP($A21,[8]HISTOMARS21!$A$6:$AU$39,8,0),"ECHEC")</f>
        <v>ECHEC</v>
      </c>
      <c r="O21" s="8" t="str">
        <f>IF(R21&lt;&gt;0,VLOOKUP($A21,[8]HISTOMARS21!$A$6:$AU$39,8,0),"ECHEC")</f>
        <v>BANQUE</v>
      </c>
      <c r="P21" s="8">
        <f>VLOOKUP($A21,[8]HISTOMARS21!$A$6:$AU$39,33,0)</f>
        <v>0</v>
      </c>
      <c r="Q21" s="8">
        <f>IF(R21=0,0,($C$37-R21))</f>
        <v>1125000</v>
      </c>
      <c r="R21" s="8">
        <f>VLOOKUP($A21,[8]HISTOMARS21!$A$6:$AU$39,30,0)</f>
        <v>75000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IF(E22="ECHEC",0,VLOOKUP($A22,[8]HISTOMARS21!$A$6:$AU$39,13,0))</f>
        <v>0</v>
      </c>
      <c r="D22" s="8"/>
      <c r="E22" s="8"/>
      <c r="F22" s="8">
        <f>IF(N22="ECHEC",L22+(TONTFEV!I22*2),0)</f>
        <v>0</v>
      </c>
      <c r="G22" s="8"/>
      <c r="H22" s="8">
        <f>VLOOKUP($A22,[8]HISTOMARS21!$A$6:$AU$39,36,0)</f>
        <v>0</v>
      </c>
      <c r="I22" s="8">
        <f>VLOOKUP($A22,[8]HISTOMARS21!$A$6:$AU$39,39,0)</f>
        <v>0</v>
      </c>
      <c r="J22" s="8" t="str">
        <f>IF(H22&lt;&gt;0,VLOOKUP($A22,[8]HISTOMARS21!$A$6:$AU$39,8,0),"ECHEC")</f>
        <v>ECHEC</v>
      </c>
      <c r="K22" s="8">
        <f>VLOOKUP($A22,[8]HISTOMARS21!$A$6:$AU$39,41,0)</f>
        <v>0</v>
      </c>
      <c r="L22" s="8">
        <f>TONTFEV!H22+TONTFEV!I22+TONTFEV!F22</f>
        <v>0</v>
      </c>
      <c r="M22" s="8">
        <f>VLOOKUP(A22,[8]HISTOMARS21!$A$6:$AZ$37,17,0)</f>
        <v>0</v>
      </c>
      <c r="N22" s="8" t="str">
        <f>IF(M22&lt;&gt;0,VLOOKUP($A22,[8]HISTOMARS21!$A$6:$AU$39,8,0),"ECHEC")</f>
        <v>ECHEC</v>
      </c>
      <c r="O22" s="8" t="str">
        <f>IF(R22&lt;&gt;0,VLOOKUP($A22,[8]HISTOMARS21!$A$6:$AU$39,8,0),"ECHEC")</f>
        <v>ECHEC</v>
      </c>
      <c r="P22" s="8">
        <f>VLOOKUP($A22,[8]HISTOMARS21!$A$6:$AU$39,33,0)</f>
        <v>0</v>
      </c>
      <c r="Q22" s="8">
        <f>IF(R22=0,0,($C$37-R22))</f>
        <v>0</v>
      </c>
      <c r="R22" s="8">
        <f>VLOOKUP($A22,[8]HISTOMARS21!$A$6:$AU$39,30,0)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IF(E23="ECHEC",0,VLOOKUP($A23,[8]HISTOMARS21!$A$6:$AU$39,13,0))</f>
        <v>150000</v>
      </c>
      <c r="D23" s="8"/>
      <c r="E23" s="8" t="str">
        <f>VLOOKUP($A23,[8]HISTOMARS21!$A$6:$AU$39,8,0)</f>
        <v>BANQUE</v>
      </c>
      <c r="F23" s="8">
        <f>IF(N23="ECHEC",L23+(TONTFEV!I23*2),0)</f>
        <v>0</v>
      </c>
      <c r="G23" s="8"/>
      <c r="H23" s="8">
        <f>VLOOKUP($A23,[8]HISTOMARS21!$A$6:$AU$39,36,0)</f>
        <v>0</v>
      </c>
      <c r="I23" s="8">
        <f>VLOOKUP($A23,[8]HISTOMARS21!$A$6:$AU$39,39,0)</f>
        <v>0</v>
      </c>
      <c r="J23" s="8" t="str">
        <f>IF(H23&lt;&gt;0,VLOOKUP($A23,[8]HISTOMARS21!$A$6:$AU$39,8,0),"ECHEC")</f>
        <v>ECHEC</v>
      </c>
      <c r="K23" s="8">
        <f>VLOOKUP($A23,[8]HISTOMARS21!$A$6:$AU$39,41,0)</f>
        <v>0</v>
      </c>
      <c r="L23" s="8">
        <f>TONTFEV!H23+TONTFEV!I23+TONTFEV!F23</f>
        <v>0</v>
      </c>
      <c r="M23" s="8"/>
      <c r="N23" s="8" t="str">
        <f>IF(M23&lt;&gt;0,VLOOKUP($A23,[8]HISTOMARS21!$A$6:$AU$39,8,0),"ECHEC")</f>
        <v>ECHEC</v>
      </c>
      <c r="O23" s="8" t="str">
        <f>IF(R23&lt;&gt;0,VLOOKUP($A23,[8]HISTOMARS21!$A$6:$AU$39,8,0),"ECHEC")</f>
        <v>BANQUE</v>
      </c>
      <c r="P23" s="8">
        <f>VLOOKUP($A23,[8]HISTOMARS21!$A$6:$AU$39,33,0)</f>
        <v>0</v>
      </c>
      <c r="Q23" s="8">
        <f>IF(R23=0,0,($C$37-R23))</f>
        <v>1125000</v>
      </c>
      <c r="R23" s="8">
        <f>VLOOKUP($A23,[8]HISTOMARS21!$A$6:$AU$39,30,0)</f>
        <v>75000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IF(N24="ECHEC",L24+(TONTFEV!I24*2),0)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306000</v>
      </c>
      <c r="I27" s="9">
        <f t="shared" si="2"/>
        <v>6000</v>
      </c>
      <c r="J27" s="9">
        <f t="shared" si="2"/>
        <v>0</v>
      </c>
      <c r="K27" s="9">
        <f t="shared" si="2"/>
        <v>0</v>
      </c>
      <c r="L27" s="9">
        <f>SUM(L6:L26)</f>
        <v>610000</v>
      </c>
      <c r="M27" s="9">
        <f t="shared" si="2"/>
        <v>610000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2250000</v>
      </c>
      <c r="R27" s="9">
        <f t="shared" si="2"/>
        <v>150000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29.2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C34+D34+R27+TONTFEV!M34</f>
        <v>2606000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2400000</v>
      </c>
      <c r="M30" s="9">
        <f>D3</f>
        <v>2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75000</v>
      </c>
      <c r="D31" s="9">
        <f>SUMIFS(L2:L21,N2:N21,"ESPECES")+SUMIFS(F2:F21,G2:G21,"ESPECES")</f>
        <v>202000</v>
      </c>
      <c r="E31" s="9">
        <f>SUMIFS(H6:H25,J6:J25,"ESPECES")</f>
        <v>100000</v>
      </c>
      <c r="F31" s="9">
        <f>SUMIFS(Q6:Q25,O6:O25,"ESPECES")</f>
        <v>0</v>
      </c>
      <c r="G31" s="9">
        <f>C31+D31-E31-F31</f>
        <v>177000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1200000</v>
      </c>
      <c r="D32" s="9">
        <f>SUMIFS(M3:M22,N3:N22,"BANQUE")+SUMIFS(F3:F22,G3:G22,"BANQUE")</f>
        <v>408000</v>
      </c>
      <c r="E32" s="9">
        <f>SUMIFS(H6:H25,J6:J25,"BANQUE")</f>
        <v>206000</v>
      </c>
      <c r="F32" s="9">
        <f>SUMIFS(Q6:Q25,O6:O25,"BANQUE")</f>
        <v>2250000</v>
      </c>
      <c r="G32" s="9">
        <f>C32+D32-E32-F32</f>
        <v>-848000</v>
      </c>
      <c r="H32" s="3"/>
      <c r="K32" s="9" t="s">
        <v>33</v>
      </c>
      <c r="L32" s="9">
        <f>L29-L30</f>
        <v>206000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610000</v>
      </c>
      <c r="E34" s="21">
        <f t="shared" ref="E34" si="3">E31+E32</f>
        <v>306000</v>
      </c>
      <c r="F34" s="21">
        <f>F31+F32</f>
        <v>2250000</v>
      </c>
      <c r="G34" s="21">
        <f>G31+G32</f>
        <v>-671000</v>
      </c>
      <c r="H34" s="3"/>
      <c r="K34" s="9" t="s">
        <v>56</v>
      </c>
      <c r="L34" s="9">
        <f>L32-H27</f>
        <v>-100000</v>
      </c>
      <c r="M34" s="9">
        <f>L34</f>
        <v>-100000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L36+TONTFEV!M36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L37+TONTFEV!M37-206000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  <row r="52" spans="2:3" ht="18" x14ac:dyDescent="0.25">
      <c r="B52" s="10"/>
      <c r="C52" s="11"/>
    </row>
  </sheetData>
  <autoFilter ref="A5:R25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44307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IF(E6="ECHEC",0,VLOOKUP($A6,[8]HISTOAVRIL21!$A$6:$AU$39,13,0))</f>
        <v>75000</v>
      </c>
      <c r="D6" s="8"/>
      <c r="E6" s="8" t="str">
        <f>VLOOKUP($A6,[8]HISTOAVRIL21!$A$6:$AU$39,8,0)</f>
        <v>BANQUE</v>
      </c>
      <c r="F6" s="8">
        <f>IF(N6="ECHEC",L6+(TONTMARS!I6*2),0)</f>
        <v>0</v>
      </c>
      <c r="G6" s="7"/>
      <c r="H6" s="8">
        <f>VLOOKUP($A6,[8]HISTOAVRIL21!$A$6:$AU$39,36,0)</f>
        <v>0</v>
      </c>
      <c r="I6" s="8">
        <f>VLOOKUP($A6,[8]HISTOAVRIL21!$A$6:$AU$39,39,0)</f>
        <v>0</v>
      </c>
      <c r="J6" s="8" t="str">
        <f>IF(H6&lt;&gt;0,VLOOKUP($A6,[8]HISTOAVRIL21!$A$6:$AU$39,8,0),"ECHEC")</f>
        <v>ECHEC</v>
      </c>
      <c r="K6" s="8">
        <f>VLOOKUP($A6,[8]HISTOAVRIL21!$A$6:$AU$39,41,0)</f>
        <v>0</v>
      </c>
      <c r="L6" s="8">
        <f>TONTMARS!H6+TONTMARS!I6+TONTMARS!F6</f>
        <v>0</v>
      </c>
      <c r="M6" s="8">
        <f>VLOOKUP(A6,[8]HISTOAVRIL21!$A$6:$AZ$37,17,0)</f>
        <v>0</v>
      </c>
      <c r="N6" s="8" t="str">
        <f>IF(L6&lt;&gt;0,VLOOKUP($A6,[8]HISTOAVRIL21!$A$6:$AU$39,8,0),"ECHEC")</f>
        <v>ECHEC</v>
      </c>
      <c r="O6" s="8" t="str">
        <f>IF(R6&lt;&gt;0,VLOOKUP($A6,[8]HISTOAVRIL21!$A$6:$AU$39,8,0),"ECHEC")</f>
        <v>BANQUE</v>
      </c>
      <c r="P6" s="8">
        <f>VLOOKUP($A6,[8]HISTOAVRIL21!$A$6:$AU$39,33,0)</f>
        <v>0</v>
      </c>
      <c r="Q6" s="8">
        <f>IF(R6=0,0,($C$37-R6))</f>
        <v>1125000</v>
      </c>
      <c r="R6" s="8">
        <f>VLOOKUP($A6,[8]HISTOAVRIL21!$A$6:$AU$39,30,0)</f>
        <v>75000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IF(N7="ECHEC",L7+(TONTMARS!I7*2),0)</f>
        <v>0</v>
      </c>
      <c r="G7" s="7"/>
      <c r="H7" s="8"/>
      <c r="I7" s="8"/>
      <c r="J7" s="8"/>
      <c r="K7" s="8"/>
      <c r="L7" s="8">
        <f>TONTMARS!H7+TONTMARS!I7+TONTMARS!F7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IF(E8="ECHEC",0,VLOOKUP($A8,[8]HISTOAVRIL21!$A$6:$AU$39,13,0))</f>
        <v>75000</v>
      </c>
      <c r="D8" s="8"/>
      <c r="E8" s="8" t="str">
        <f>VLOOKUP($A8,[8]HISTOAVRIL21!$A$6:$AU$39,8,0)</f>
        <v>BANQUE</v>
      </c>
      <c r="F8" s="8">
        <f>IF(N8="ECHEC",L8+(TONTMARS!I8*2),0)</f>
        <v>0</v>
      </c>
      <c r="G8" s="8"/>
      <c r="H8" s="8">
        <f>VLOOKUP($A8,[8]HISTOAVRIL21!$A$6:$AU$39,36,0)</f>
        <v>100000</v>
      </c>
      <c r="I8" s="8">
        <f>VLOOKUP($A8,[8]HISTOAVRIL21!$A$6:$AU$39,39,0)</f>
        <v>2500</v>
      </c>
      <c r="J8" s="8" t="str">
        <f>IF(H8&lt;&gt;0,VLOOKUP($A8,[8]HISTOAVRIL21!$A$6:$AU$39,8,0),"ECHEC")</f>
        <v>BANQUE</v>
      </c>
      <c r="K8" s="8">
        <f>VLOOKUP($A8,[8]HISTOAVRIL21!$A$6:$AU$39,41,0)</f>
        <v>0</v>
      </c>
      <c r="L8" s="8">
        <f>TONTMARS!H8+TONTMARS!I8+TONTMARS!F8</f>
        <v>51000</v>
      </c>
      <c r="M8" s="8">
        <f>VLOOKUP(A8,[8]HISTOAVRIL21!$A$6:$AZ$37,17,0)</f>
        <v>51000</v>
      </c>
      <c r="N8" s="8" t="str">
        <f>IF(M8&lt;&gt;0,VLOOKUP($A8,[8]HISTOAVRIL21!$A$6:$AU$39,8,0),"ECHEC")</f>
        <v>BANQUE</v>
      </c>
      <c r="O8" s="8" t="str">
        <f>IF(R8&lt;&gt;0,VLOOKUP($A8,[8]HISTOAVRIL21!$A$6:$AU$39,8,0),"ECHEC")</f>
        <v>ECHEC</v>
      </c>
      <c r="P8" s="8">
        <f>VLOOKUP($A8,[8]HISTOAVRIL21!$A$6:$AU$39,33,0)</f>
        <v>0</v>
      </c>
      <c r="Q8" s="8">
        <f t="shared" ref="Q8:Q14" si="1">IF(R8=0,0,($C$37-R8))</f>
        <v>0</v>
      </c>
      <c r="R8" s="8">
        <f>VLOOKUP($A8,[8]HISTOAVRIL21!$A$6:$AU$39,30,0)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IF(E9="ECHEC",0,VLOOKUP($A9,[8]HISTOAVRIL21!$A$6:$AU$39,13,0))</f>
        <v>75000</v>
      </c>
      <c r="D9" s="8"/>
      <c r="E9" s="8" t="str">
        <f>VLOOKUP($A9,[8]HISTOAVRIL21!$A$6:$AU$39,8,0)</f>
        <v>BANQUE</v>
      </c>
      <c r="F9" s="8">
        <f>IF(N9="ECHEC",L9+(TONTMARS!I9*2),0)</f>
        <v>0</v>
      </c>
      <c r="G9" s="8"/>
      <c r="H9" s="8">
        <f>VLOOKUP($A9,[8]HISTOAVRIL21!$A$6:$AU$39,36,0)</f>
        <v>0</v>
      </c>
      <c r="I9" s="8">
        <f>VLOOKUP($A9,[8]HISTOAVRIL21!$A$6:$AU$39,39,0)</f>
        <v>0</v>
      </c>
      <c r="J9" s="8" t="str">
        <f>IF(H9&lt;&gt;0,VLOOKUP($A9,[8]HISTOAVRIL21!$A$6:$AU$39,8,0),"ECHEC")</f>
        <v>ECHEC</v>
      </c>
      <c r="K9" s="8">
        <f>VLOOKUP($A9,[8]HISTOAVRIL21!$A$6:$AU$39,41,0)</f>
        <v>0</v>
      </c>
      <c r="L9" s="8">
        <f>TONTMARS!H9+TONTMARS!I9+TONTMARS!F9</f>
        <v>57000</v>
      </c>
      <c r="M9" s="8">
        <f>VLOOKUP(A9,[8]HISTOAVRIL21!$A$6:$AZ$37,17,0)</f>
        <v>57000</v>
      </c>
      <c r="N9" s="8" t="str">
        <f>IF(M9&lt;&gt;0,VLOOKUP($A9,[8]HISTOAVRIL21!$A$6:$AU$39,8,0),"ECHEC")</f>
        <v>BANQUE</v>
      </c>
      <c r="O9" s="8" t="str">
        <f>IF(R9&lt;&gt;0,VLOOKUP($A9,[8]HISTOAVRIL21!$A$6:$AU$39,8,0),"ECHEC")</f>
        <v>ECHEC</v>
      </c>
      <c r="P9" s="8">
        <f>VLOOKUP($A9,[8]HISTOAVRIL21!$A$6:$AU$39,33,0)</f>
        <v>0</v>
      </c>
      <c r="Q9" s="8">
        <f t="shared" si="1"/>
        <v>0</v>
      </c>
      <c r="R9" s="8">
        <f>VLOOKUP($A9,[8]HISTOAVRIL21!$A$6:$AU$39,30,0)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IF(E10="ECHEC",0,VLOOKUP($A10,[8]HISTOAVRIL21!$A$6:$AU$39,13,0))</f>
        <v>75000</v>
      </c>
      <c r="D10" s="8"/>
      <c r="E10" s="8" t="str">
        <f>VLOOKUP($A10,[8]HISTOAVRIL21!$A$6:$AU$39,8,0)</f>
        <v>BANQUE</v>
      </c>
      <c r="F10" s="8">
        <f>IF(N10="ECHEC",L10+(TONTMARS!I10*2),0)</f>
        <v>0</v>
      </c>
      <c r="G10" s="8"/>
      <c r="H10" s="8">
        <f>VLOOKUP($A10,[8]HISTOAVRIL21!$A$6:$AU$39,36,0)</f>
        <v>0</v>
      </c>
      <c r="I10" s="8">
        <f>VLOOKUP($A10,[8]HISTOAVRIL21!$A$6:$AU$39,39,0)</f>
        <v>0</v>
      </c>
      <c r="J10" s="8" t="str">
        <f>IF(H10&lt;&gt;0,VLOOKUP($A10,[8]HISTOAVRIL21!$A$6:$AU$39,8,0),"ECHEC")</f>
        <v>ECHEC</v>
      </c>
      <c r="K10" s="8">
        <f>VLOOKUP($A10,[8]HISTOAVRIL21!$A$6:$AU$39,41,0)</f>
        <v>0</v>
      </c>
      <c r="L10" s="8">
        <f>TONTMARS!H10+TONTMARS!I10+TONTMARS!F10</f>
        <v>0</v>
      </c>
      <c r="M10" s="8">
        <f>VLOOKUP(A10,[8]HISTOAVRIL21!$A$6:$AZ$37,17,0)</f>
        <v>0</v>
      </c>
      <c r="N10" s="8" t="str">
        <f>IF(M10&lt;&gt;0,VLOOKUP($A10,[8]HISTOAVRIL21!$A$6:$AU$39,8,0),"ECHEC")</f>
        <v>ECHEC</v>
      </c>
      <c r="O10" s="8" t="str">
        <f>IF(R10&lt;&gt;0,VLOOKUP($A10,[8]HISTOAVRIL21!$A$6:$AU$39,8,0),"ECHEC")</f>
        <v>ECHEC</v>
      </c>
      <c r="P10" s="8">
        <f>VLOOKUP($A10,[8]HISTOAVRIL21!$A$6:$AU$39,33,0)</f>
        <v>0</v>
      </c>
      <c r="Q10" s="8">
        <f t="shared" si="1"/>
        <v>0</v>
      </c>
      <c r="R10" s="8">
        <f>VLOOKUP($A10,[8]HISTOAVRIL21!$A$6:$AU$39,30,0)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IF(E11="ECHEC",0,VLOOKUP($A11,[8]HISTOAVRIL21!$A$6:$AU$39,13,0))</f>
        <v>75000</v>
      </c>
      <c r="D11" s="8"/>
      <c r="E11" s="8" t="str">
        <f>VLOOKUP($A11,[8]HISTOAVRIL21!$A$6:$AU$39,8,0)</f>
        <v>BANQUE</v>
      </c>
      <c r="F11" s="8">
        <f>IF(N11="ECHEC",L11+(TONTMARS!I11*2),0)</f>
        <v>0</v>
      </c>
      <c r="G11" s="8"/>
      <c r="H11" s="8">
        <f>VLOOKUP($A11,[8]HISTOAVRIL21!$A$6:$AU$39,36,0)</f>
        <v>0</v>
      </c>
      <c r="I11" s="8">
        <f>VLOOKUP($A11,[8]HISTOAVRIL21!$A$6:$AU$39,39,0)</f>
        <v>0</v>
      </c>
      <c r="J11" s="8" t="str">
        <f>IF(H11&lt;&gt;0,VLOOKUP($A11,[8]HISTOAVRIL21!$A$6:$AU$39,8,0),"ECHEC")</f>
        <v>ECHEC</v>
      </c>
      <c r="K11" s="8">
        <f>VLOOKUP($A11,[8]HISTOAVRIL21!$A$6:$AU$39,41,0)</f>
        <v>0</v>
      </c>
      <c r="L11" s="8">
        <f>TONTMARS!H11+TONTMARS!I11+TONTMARS!F11</f>
        <v>0</v>
      </c>
      <c r="M11" s="8">
        <f>VLOOKUP(A11,[8]HISTOAVRIL21!$A$6:$AZ$37,17,0)</f>
        <v>0</v>
      </c>
      <c r="N11" s="8" t="str">
        <f>IF(M11&lt;&gt;0,VLOOKUP($A11,[8]HISTOAVRIL21!$A$6:$AU$39,8,0),"ECHEC")</f>
        <v>ECHEC</v>
      </c>
      <c r="O11" s="8" t="str">
        <f>IF(R11&lt;&gt;0,VLOOKUP($A11,[8]HISTOAVRIL21!$A$6:$AU$39,8,0),"ECHEC")</f>
        <v>ECHEC</v>
      </c>
      <c r="P11" s="8">
        <f>VLOOKUP($A11,[8]HISTOAVRIL21!$A$6:$AU$39,33,0)</f>
        <v>0</v>
      </c>
      <c r="Q11" s="8">
        <f t="shared" si="1"/>
        <v>0</v>
      </c>
      <c r="R11" s="8">
        <f>VLOOKUP($A11,[8]HISTOAVRIL21!$A$6:$AU$39,30,0)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IF(E12="ECHEC",0,VLOOKUP($A12,[8]HISTOAVRIL21!$A$6:$AU$39,13,0))</f>
        <v>75000</v>
      </c>
      <c r="D12" s="8"/>
      <c r="E12" s="8" t="str">
        <f>VLOOKUP($A12,[8]HISTOAVRIL21!$A$6:$AU$39,8,0)</f>
        <v>BANQUE</v>
      </c>
      <c r="F12" s="8">
        <f>IF(N12="ECHEC",L12+(TONTMARS!I12*2),0)</f>
        <v>0</v>
      </c>
      <c r="G12" s="8"/>
      <c r="H12" s="8">
        <f>VLOOKUP($A12,[8]HISTOAVRIL21!$A$6:$AU$39,36,0)</f>
        <v>0</v>
      </c>
      <c r="I12" s="8">
        <f>VLOOKUP($A12,[8]HISTOAVRIL21!$A$6:$AU$39,39,0)</f>
        <v>0</v>
      </c>
      <c r="J12" s="8" t="str">
        <f>IF(H12&lt;&gt;0,VLOOKUP($A12,[8]HISTOAVRIL21!$A$6:$AU$39,8,0),"ECHEC")</f>
        <v>ECHEC</v>
      </c>
      <c r="K12" s="8">
        <f>VLOOKUP($A12,[8]HISTOAVRIL21!$A$6:$AU$39,41,0)</f>
        <v>0</v>
      </c>
      <c r="L12" s="8">
        <f>TONTMARS!H12+TONTMARS!I12+TONTMARS!F12</f>
        <v>0</v>
      </c>
      <c r="M12" s="8">
        <f>VLOOKUP(A12,[8]HISTOAVRIL21!$A$6:$AZ$37,17,0)</f>
        <v>0</v>
      </c>
      <c r="N12" s="8" t="str">
        <f>IF(M12&lt;&gt;0,VLOOKUP($A12,[8]HISTOAVRIL21!$A$6:$AU$39,8,0),"ECHEC")</f>
        <v>ECHEC</v>
      </c>
      <c r="O12" s="8" t="str">
        <f>IF(R12&lt;&gt;0,VLOOKUP($A12,[8]HISTOAVRIL21!$A$6:$AU$39,8,0),"ECHEC")</f>
        <v>ECHEC</v>
      </c>
      <c r="P12" s="8">
        <f>VLOOKUP($A12,[8]HISTOAVRIL21!$A$6:$AU$39,33,0)</f>
        <v>0</v>
      </c>
      <c r="Q12" s="8">
        <f t="shared" si="1"/>
        <v>0</v>
      </c>
      <c r="R12" s="8">
        <f>VLOOKUP($A12,[8]HISTOAVRIL21!$A$6:$AU$39,30,0)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IF(E13="ECHEC",0,VLOOKUP($A13,[8]HISTOAVRIL21!$A$6:$AU$39,13,0))</f>
        <v>75000</v>
      </c>
      <c r="D13" s="8"/>
      <c r="E13" s="8" t="str">
        <f>VLOOKUP($A13,[8]HISTOAVRIL21!$A$6:$AU$39,8,0)</f>
        <v>BANQUE</v>
      </c>
      <c r="F13" s="8">
        <f>IF(N13="ECHEC",L13+(TONTMARS!I13*2),0)</f>
        <v>0</v>
      </c>
      <c r="G13" s="8"/>
      <c r="H13" s="8">
        <f>VLOOKUP($A13,[8]HISTOAVRIL21!$A$6:$AU$39,36,0)</f>
        <v>0</v>
      </c>
      <c r="I13" s="8">
        <f>VLOOKUP($A13,[8]HISTOAVRIL21!$A$6:$AU$39,39,0)</f>
        <v>0</v>
      </c>
      <c r="J13" s="8" t="str">
        <f>IF(H13&lt;&gt;0,VLOOKUP($A13,[8]HISTOAVRIL21!$A$6:$AU$39,8,0),"ECHEC")</f>
        <v>ECHEC</v>
      </c>
      <c r="K13" s="8">
        <f>VLOOKUP($A13,[8]HISTOAVRIL21!$A$6:$AU$39,41,0)</f>
        <v>0</v>
      </c>
      <c r="L13" s="8">
        <f>TONTMARS!H13+TONTMARS!I13+TONTMARS!F13</f>
        <v>0</v>
      </c>
      <c r="M13" s="8">
        <f>VLOOKUP(A13,[8]HISTOAVRIL21!$A$6:$AZ$37,17,0)</f>
        <v>0</v>
      </c>
      <c r="N13" s="8" t="str">
        <f>IF(M13&lt;&gt;0,VLOOKUP($A13,[8]HISTOAVRIL21!$A$6:$AU$39,8,0),"ECHEC")</f>
        <v>ECHEC</v>
      </c>
      <c r="O13" s="8" t="str">
        <f>IF(R13&lt;&gt;0,VLOOKUP($A13,[8]HISTOAVRIL21!$A$6:$AU$39,8,0),"ECHEC")</f>
        <v>ECHEC</v>
      </c>
      <c r="P13" s="8">
        <f>VLOOKUP($A13,[8]HISTOAVRIL21!$A$6:$AU$39,33,0)</f>
        <v>0</v>
      </c>
      <c r="Q13" s="8">
        <f t="shared" si="1"/>
        <v>0</v>
      </c>
      <c r="R13" s="8">
        <f>VLOOKUP($A13,[8]HISTOAVRIL21!$A$6:$AU$39,30,0)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IF(E14="ECHEC",0,VLOOKUP($A14,[8]HISTOAVRIL21!$A$6:$AU$39,13,0))</f>
        <v>225000</v>
      </c>
      <c r="D14" s="8"/>
      <c r="E14" s="8" t="str">
        <f>VLOOKUP($A14,[8]HISTOAVRIL21!$A$6:$AU$39,8,0)</f>
        <v>BANQUE</v>
      </c>
      <c r="F14" s="8">
        <f>IF(N14="ECHEC",L14+(TONTMARS!I14*2),0)</f>
        <v>0</v>
      </c>
      <c r="G14" s="8"/>
      <c r="H14" s="8">
        <f>VLOOKUP($A14,[8]HISTOAVRIL21!$A$6:$AU$39,36,0)</f>
        <v>112000</v>
      </c>
      <c r="I14" s="8">
        <f>VLOOKUP($A14,[8]HISTOAVRIL21!$A$6:$AU$39,39,0)</f>
        <v>3000</v>
      </c>
      <c r="J14" s="8" t="str">
        <f>IF(H14&lt;&gt;0,VLOOKUP($A14,[8]HISTOAVRIL21!$A$6:$AU$39,8,0),"ECHEC")</f>
        <v>BANQUE</v>
      </c>
      <c r="K14" s="8">
        <f>VLOOKUP($A14,[8]HISTOAVRIL21!$A$6:$AU$39,41,0)</f>
        <v>0</v>
      </c>
      <c r="L14" s="8">
        <f>TONTMARS!H14+TONTMARS!I14+TONTMARS!F14</f>
        <v>102000</v>
      </c>
      <c r="M14" s="8">
        <f>VLOOKUP(A14,[8]HISTOAVRIL21!$A$6:$AZ$37,17,0)</f>
        <v>102000</v>
      </c>
      <c r="N14" s="8" t="str">
        <f>IF(M14&lt;&gt;0,VLOOKUP($A14,[8]HISTOAVRIL21!$A$6:$AU$39,8,0),"ECHEC")</f>
        <v>BANQUE</v>
      </c>
      <c r="O14" s="8" t="str">
        <f>IF(R14&lt;&gt;0,VLOOKUP($A14,[8]HISTOAVRIL21!$A$6:$AU$39,8,0),"ECHEC")</f>
        <v>ECHEC</v>
      </c>
      <c r="P14" s="8">
        <f>VLOOKUP($A14,[8]HISTOAVRIL21!$A$6:$AU$39,33,0)</f>
        <v>0</v>
      </c>
      <c r="Q14" s="8">
        <f t="shared" si="1"/>
        <v>0</v>
      </c>
      <c r="R14" s="8">
        <f>VLOOKUP($A14,[8]HISTOAVRIL21!$A$6:$AU$39,30,0)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IF(N15="ECHEC",L15+(TONTMARS!I15*2),0)</f>
        <v>0</v>
      </c>
      <c r="G15" s="8"/>
      <c r="H15" s="8"/>
      <c r="I15" s="8"/>
      <c r="J15" s="8"/>
      <c r="K15" s="8"/>
      <c r="L15" s="8">
        <f>TONTMARS!H15+TONTMARS!I15+TONTMARS!F15</f>
        <v>0</v>
      </c>
      <c r="M15" s="8"/>
      <c r="N15" s="8"/>
      <c r="O15" s="8"/>
      <c r="P15" s="8">
        <f>VLOOKUP($A15,[8]HISTOAVRIL21!$A$6:$AU$39,33,0)</f>
        <v>0</v>
      </c>
      <c r="Q15" s="8"/>
      <c r="R15" s="8">
        <f>VLOOKUP($A15,[8]HISTOAVRIL21!$A$6:$AU$39,30,0)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IF(N16="ECHEC",L16+(TONTMARS!I16*2),0)</f>
        <v>0</v>
      </c>
      <c r="G16" s="8"/>
      <c r="H16" s="8"/>
      <c r="I16" s="8"/>
      <c r="J16" s="8"/>
      <c r="K16" s="8"/>
      <c r="L16" s="8">
        <f>TONTMARS!H16+TONTMARS!I16+TONTMARS!F16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IF(E17="ECHEC",0,VLOOKUP($A17,[8]HISTOAVRIL21!$A$6:$AU$39,13,0))</f>
        <v>150000</v>
      </c>
      <c r="D17" s="8"/>
      <c r="E17" s="8" t="str">
        <f>VLOOKUP($A17,[8]HISTOAVRIL21!$A$6:$AU$39,8,0)</f>
        <v>BANQUE</v>
      </c>
      <c r="F17" s="8">
        <f>IF(N17="ECHEC",L17+(TONTMARS!I17*2),0)</f>
        <v>0</v>
      </c>
      <c r="G17" s="8"/>
      <c r="H17" s="8">
        <f>VLOOKUP($A17,[8]HISTOAVRIL21!$A$6:$AU$39,36,0)</f>
        <v>50000</v>
      </c>
      <c r="I17" s="8">
        <f>VLOOKUP($A17,[8]HISTOAVRIL21!$A$6:$AU$39,39,0)</f>
        <v>1000</v>
      </c>
      <c r="J17" s="8" t="str">
        <f>IF(H17&lt;&gt;0,VLOOKUP($A17,[8]HISTOAVRIL21!$A$6:$AU$39,8,0),"ECHEC")</f>
        <v>BANQUE</v>
      </c>
      <c r="K17" s="8">
        <f>VLOOKUP($A17,[8]HISTOAVRIL21!$A$6:$AU$39,41,0)</f>
        <v>0</v>
      </c>
      <c r="L17" s="8">
        <f>TONTMARS!H17+TONTMARS!I17+TONTMARS!F17</f>
        <v>0</v>
      </c>
      <c r="M17" s="8">
        <f>VLOOKUP(A17,[8]HISTOAVRIL21!$A$6:$AZ$37,17,0)</f>
        <v>0</v>
      </c>
      <c r="N17" s="8" t="str">
        <f>IF(M17&lt;&gt;0,VLOOKUP($A17,[8]HISTOAVRIL21!$A$6:$AU$39,8,0),"ECHEC")</f>
        <v>ECHEC</v>
      </c>
      <c r="O17" s="8" t="str">
        <f>IF(R17&lt;&gt;0,VLOOKUP($A17,[8]HISTOAVRIL21!$A$6:$AU$39,8,0),"ECHEC")</f>
        <v>ECHEC</v>
      </c>
      <c r="P17" s="8">
        <f>VLOOKUP($A17,[8]HISTOAVRIL21!$A$6:$AU$39,33,0)</f>
        <v>0</v>
      </c>
      <c r="Q17" s="8">
        <f>IF(R17=0,0,($C$37-R17))</f>
        <v>0</v>
      </c>
      <c r="R17" s="8">
        <f>VLOOKUP($A17,[8]HISTOAVRIL21!$A$6:$AU$39,30,0)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IF(N18="ECHEC",L18+(TONTMARS!I18*2),0)</f>
        <v>0</v>
      </c>
      <c r="G18" s="8"/>
      <c r="H18" s="8"/>
      <c r="I18" s="8"/>
      <c r="J18" s="8"/>
      <c r="K18" s="8"/>
      <c r="L18" s="8">
        <f>TONTMARS!H18+TONTMARS!I18+TONTMARS!F18</f>
        <v>0</v>
      </c>
      <c r="M18" s="8"/>
      <c r="N18" s="8" t="str">
        <f>IF(M18&lt;&gt;0,VLOOKUP($A18,[8]HISTOAVRIL21!$A$6:$AU$39,8,0),"ECHEC")</f>
        <v>ECHEC</v>
      </c>
      <c r="O18" s="8" t="str">
        <f>IF(R18&lt;&gt;0,VLOOKUP($A18,[8]HISTOAVRIL21!$A$6:$AU$39,8,0),"ECHEC")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IF(E19="ECHEC",0,VLOOKUP($A19,[8]HISTOAVRIL21!$A$6:$AU$39,13,0))</f>
        <v>75000</v>
      </c>
      <c r="D19" s="8"/>
      <c r="E19" s="8" t="str">
        <f>VLOOKUP($A19,[8]HISTOAVRIL21!$A$6:$AU$39,8,0)</f>
        <v>ESPECES</v>
      </c>
      <c r="F19" s="8">
        <f>IF(N19="ECHEC",L19+(TONTMARS!I19*2),0)</f>
        <v>0</v>
      </c>
      <c r="G19" s="8"/>
      <c r="H19" s="8">
        <f>VLOOKUP($A19,[8]HISTOAVRIL21!$A$6:$AU$39,36,0)</f>
        <v>100000</v>
      </c>
      <c r="I19" s="8">
        <f>VLOOKUP($A19,[8]HISTOAVRIL21!$A$6:$AU$39,39,0)</f>
        <v>2000</v>
      </c>
      <c r="J19" s="8" t="str">
        <f>IF(H19&lt;&gt;0,VLOOKUP($A19,[8]HISTOAVRIL21!$A$6:$AU$39,8,0),"ECHEC")</f>
        <v>ESPECES</v>
      </c>
      <c r="K19" s="8">
        <f>VLOOKUP($A19,[8]HISTOAVRIL21!$A$6:$AU$39,41,0)</f>
        <v>0</v>
      </c>
      <c r="L19" s="8">
        <f>TONTMARS!H19+TONTMARS!I19+TONTMARS!F19</f>
        <v>102000</v>
      </c>
      <c r="M19" s="8">
        <f>VLOOKUP(A19,[8]HISTOAVRIL21!$A$6:$AZ$37,17,0)</f>
        <v>102000</v>
      </c>
      <c r="N19" s="8" t="str">
        <f>IF(M19&lt;&gt;0,VLOOKUP($A19,[8]HISTOAVRIL21!$A$6:$AU$39,8,0),"ECHEC")</f>
        <v>ESPECES</v>
      </c>
      <c r="O19" s="8" t="str">
        <f>IF(R19&lt;&gt;0,VLOOKUP($A19,[8]HISTOAVRIL21!$A$6:$AU$39,8,0),"ECHEC")</f>
        <v>ECHEC</v>
      </c>
      <c r="P19" s="8">
        <f>VLOOKUP($A19,[8]HISTOAVRIL21!$A$6:$AU$39,33,0)</f>
        <v>0</v>
      </c>
      <c r="Q19" s="8">
        <f>IF(R19=0,0,($C$37-R19))</f>
        <v>0</v>
      </c>
      <c r="R19" s="8">
        <f>VLOOKUP($A19,[8]HISTOAVRIL21!$A$6:$AU$39,30,0)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IF(E20="ECHEC",0,VLOOKUP($A20,[8]HISTOAVRIL21!$A$6:$AU$39,13,0))</f>
        <v>75000</v>
      </c>
      <c r="D20" s="8"/>
      <c r="E20" s="8" t="str">
        <f>VLOOKUP($A20,[8]HISTOAVRIL21!$A$6:$AU$39,8,0)</f>
        <v>BANQUE</v>
      </c>
      <c r="F20" s="8">
        <f>IF(N20="ECHEC",L20+(TONTMARS!I20*2),0)</f>
        <v>0</v>
      </c>
      <c r="G20" s="8"/>
      <c r="H20" s="8">
        <f>VLOOKUP($A20,[8]HISTOAVRIL21!$A$6:$AU$39,36,0)</f>
        <v>0</v>
      </c>
      <c r="I20" s="8">
        <f>VLOOKUP($A20,[8]HISTOAVRIL21!$A$6:$AU$39,39,0)</f>
        <v>0</v>
      </c>
      <c r="J20" s="8" t="str">
        <f>IF(H20&lt;&gt;0,VLOOKUP($A20,[8]HISTOAVRIL21!$A$6:$AU$39,8,0),"ECHEC")</f>
        <v>ECHEC</v>
      </c>
      <c r="K20" s="8">
        <f>VLOOKUP($A20,[8]HISTOAVRIL21!$A$6:$AU$39,41,0)</f>
        <v>0</v>
      </c>
      <c r="L20" s="8">
        <f>TONTMARS!H20+TONTMARS!I20+TONTMARS!F20</f>
        <v>0</v>
      </c>
      <c r="M20" s="8">
        <f>VLOOKUP(A20,[8]HISTOAVRIL21!$A$6:$AZ$37,17,0)</f>
        <v>0</v>
      </c>
      <c r="N20" s="8" t="str">
        <f>IF(M20&lt;&gt;0,VLOOKUP($A20,[8]HISTOAVRIL21!$A$6:$AU$39,8,0),"ECHEC")</f>
        <v>ECHEC</v>
      </c>
      <c r="O20" s="8" t="str">
        <f>IF(R20&lt;&gt;0,VLOOKUP($A20,[8]HISTOAVRIL21!$A$6:$AU$39,8,0),"ECHEC")</f>
        <v>ECHEC</v>
      </c>
      <c r="P20" s="8">
        <f>VLOOKUP($A20,[8]HISTOAVRIL21!$A$6:$AU$39,33,0)</f>
        <v>0</v>
      </c>
      <c r="Q20" s="8">
        <f>IF(R20=0,0,($C$37-R20))</f>
        <v>0</v>
      </c>
      <c r="R20" s="8">
        <f>VLOOKUP($A20,[8]HISTOAVRIL21!$A$6:$AU$39,30,0)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IF(E21="ECHEC",0,VLOOKUP($A21,[8]HISTOAVRIL21!$A$6:$AU$39,13,0))</f>
        <v>75000</v>
      </c>
      <c r="D21" s="8"/>
      <c r="E21" s="8" t="str">
        <f>VLOOKUP($A21,[8]HISTOAVRIL21!$A$6:$AU$39,8,0)</f>
        <v>BANQUE</v>
      </c>
      <c r="F21" s="8">
        <f>IF(N21="ECHEC",L21+(TONTMARS!I21*2),0)</f>
        <v>0</v>
      </c>
      <c r="G21" s="8"/>
      <c r="H21" s="8">
        <f>VLOOKUP($A21,[8]HISTOAVRIL21!$A$6:$AU$39,36,0)</f>
        <v>0</v>
      </c>
      <c r="I21" s="8">
        <f>VLOOKUP($A21,[8]HISTOAVRIL21!$A$6:$AU$39,39,0)</f>
        <v>0</v>
      </c>
      <c r="J21" s="8" t="str">
        <f>IF(H21&lt;&gt;0,VLOOKUP($A21,[8]HISTOAVRIL21!$A$6:$AU$39,8,0),"ECHEC")</f>
        <v>ECHEC</v>
      </c>
      <c r="K21" s="8">
        <f>VLOOKUP($A21,[8]HISTOAVRIL21!$A$6:$AU$39,41,0)</f>
        <v>0</v>
      </c>
      <c r="L21" s="8">
        <f>TONTMARS!H21+TONTMARS!I21+TONTMARS!F21</f>
        <v>0</v>
      </c>
      <c r="M21" s="8">
        <f>VLOOKUP(A21,[8]HISTOAVRIL21!$A$6:$AZ$37,17,0)</f>
        <v>0</v>
      </c>
      <c r="N21" s="8" t="str">
        <f>IF(M21&lt;&gt;0,VLOOKUP($A21,[8]HISTOAVRIL21!$A$6:$AU$39,8,0),"ECHEC")</f>
        <v>ECHEC</v>
      </c>
      <c r="O21" s="8" t="str">
        <f>IF(R21&lt;&gt;0,VLOOKUP($A21,[8]HISTOAVRIL21!$A$6:$AU$39,8,0),"ECHEC")</f>
        <v>ECHEC</v>
      </c>
      <c r="P21" s="8">
        <f>VLOOKUP($A21,[8]HISTOAVRIL21!$A$6:$AU$39,33,0)</f>
        <v>0</v>
      </c>
      <c r="Q21" s="8">
        <f>IF(R21=0,0,($C$37-R21))</f>
        <v>0</v>
      </c>
      <c r="R21" s="8">
        <f>VLOOKUP($A21,[8]HISTOAVRIL21!$A$6:$AU$39,30,0)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IF(E22="ECHEC",0,VLOOKUP($A22,[8]HISTOAVRIL21!$A$6:$AU$39,13,0))</f>
        <v>0</v>
      </c>
      <c r="D22" s="8"/>
      <c r="E22" s="8"/>
      <c r="F22" s="8">
        <f>IF(N22="ECHEC",L22+(TONTMARS!I22*2),0)</f>
        <v>0</v>
      </c>
      <c r="G22" s="8"/>
      <c r="H22" s="8">
        <f>VLOOKUP($A22,[8]HISTOAVRIL21!$A$6:$AU$39,36,0)</f>
        <v>0</v>
      </c>
      <c r="I22" s="8">
        <f>VLOOKUP($A22,[8]HISTOAVRIL21!$A$6:$AU$39,39,0)</f>
        <v>0</v>
      </c>
      <c r="J22" s="8" t="str">
        <f>IF(H22&lt;&gt;0,VLOOKUP($A22,[8]HISTOAVRIL21!$A$6:$AU$39,8,0),"ECHEC")</f>
        <v>ECHEC</v>
      </c>
      <c r="K22" s="8">
        <f>VLOOKUP($A22,[8]HISTOAVRIL21!$A$6:$AU$39,41,0)</f>
        <v>0</v>
      </c>
      <c r="L22" s="8">
        <f>TONTMARS!H22+TONTMARS!I22+TONTMARS!F22</f>
        <v>0</v>
      </c>
      <c r="M22" s="8">
        <f>VLOOKUP(A22,[8]HISTOAVRIL21!$A$6:$AZ$37,17,0)</f>
        <v>0</v>
      </c>
      <c r="N22" s="8" t="str">
        <f>IF(M22&lt;&gt;0,VLOOKUP($A22,[8]HISTOAVRIL21!$A$6:$AU$39,8,0),"ECHEC")</f>
        <v>ECHEC</v>
      </c>
      <c r="O22" s="8" t="str">
        <f>IF(R22&lt;&gt;0,VLOOKUP($A22,[8]HISTOAVRIL21!$A$6:$AU$39,8,0),"ECHEC")</f>
        <v>ECHEC</v>
      </c>
      <c r="P22" s="8">
        <f>VLOOKUP($A22,[8]HISTOAVRIL21!$A$6:$AU$39,33,0)</f>
        <v>0</v>
      </c>
      <c r="Q22" s="8">
        <f>IF(R22=0,0,($C$37-R22))</f>
        <v>0</v>
      </c>
      <c r="R22" s="8">
        <f>VLOOKUP($A22,[8]HISTOAVRIL21!$A$6:$AU$39,30,0)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IF(E23="ECHEC",0,VLOOKUP($A23,[8]HISTOAVRIL21!$A$6:$AU$39,13,0))</f>
        <v>150000</v>
      </c>
      <c r="D23" s="8"/>
      <c r="E23" s="8" t="str">
        <f>VLOOKUP($A23,[8]HISTOAVRIL21!$A$6:$AU$39,8,0)</f>
        <v>BANQUE</v>
      </c>
      <c r="F23" s="8">
        <f>IF(N23="ECHEC",L23+(TONTMARS!I23*2),0)</f>
        <v>0</v>
      </c>
      <c r="G23" s="8"/>
      <c r="H23" s="8">
        <f>VLOOKUP($A23,[8]HISTOAVRIL21!$A$6:$AU$39,36,0)</f>
        <v>0</v>
      </c>
      <c r="I23" s="8">
        <f>VLOOKUP($A23,[8]HISTOAVRIL21!$A$6:$AU$39,39,0)</f>
        <v>0</v>
      </c>
      <c r="J23" s="8" t="str">
        <f>IF(H23&lt;&gt;0,VLOOKUP($A23,[8]HISTOAVRIL21!$A$6:$AU$39,8,0),"ECHEC")</f>
        <v>ECHEC</v>
      </c>
      <c r="K23" s="8">
        <f>VLOOKUP($A23,[8]HISTOAVRIL21!$A$6:$AU$39,41,0)</f>
        <v>0</v>
      </c>
      <c r="L23" s="8">
        <f>TONTMARS!H23+TONTMARS!I23+TONTMARS!F23</f>
        <v>0</v>
      </c>
      <c r="M23" s="8"/>
      <c r="N23" s="8" t="str">
        <f>IF(M23&lt;&gt;0,VLOOKUP($A23,[8]HISTOAVRIL21!$A$6:$AU$39,8,0),"ECHEC")</f>
        <v>ECHEC</v>
      </c>
      <c r="O23" s="8" t="str">
        <f>IF(R23&lt;&gt;0,VLOOKUP($A23,[8]HISTOAVRIL21!$A$6:$AU$39,8,0),"ECHEC")</f>
        <v>ECHEC</v>
      </c>
      <c r="P23" s="8">
        <f>VLOOKUP($A23,[8]HISTOAVRIL21!$A$6:$AU$39,33,0)</f>
        <v>0</v>
      </c>
      <c r="Q23" s="8">
        <f>IF(R23=0,0,($C$37-R23))</f>
        <v>0</v>
      </c>
      <c r="R23" s="8">
        <f>VLOOKUP($A23,[8]HISTOAVRIL21!$A$6:$AU$39,30,0)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IF(N24="ECHEC",L24+(TONTMARS!I24*2),0)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362000</v>
      </c>
      <c r="I27" s="9">
        <f t="shared" si="2"/>
        <v>8500</v>
      </c>
      <c r="J27" s="9">
        <f t="shared" si="2"/>
        <v>0</v>
      </c>
      <c r="K27" s="9">
        <f t="shared" si="2"/>
        <v>0</v>
      </c>
      <c r="L27" s="9">
        <f>SUM(L6:L26)</f>
        <v>312000</v>
      </c>
      <c r="M27" s="9">
        <f t="shared" si="2"/>
        <v>312000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1125000</v>
      </c>
      <c r="R27" s="9">
        <f t="shared" si="2"/>
        <v>75000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C34+D34+R27+TONTMARS!M34</f>
        <v>1562000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75000</v>
      </c>
      <c r="D31" s="9">
        <f>SUMIFS(L2:L21,N2:N21,"ESPECES")+SUMIFS(F2:F21,G2:G21,"ESPECES")</f>
        <v>102000</v>
      </c>
      <c r="E31" s="9">
        <f>SUMIFS(H6:H25,J6:J25,"ESPECES")</f>
        <v>100000</v>
      </c>
      <c r="F31" s="9">
        <f>SUMIFS(Q6:Q25,O6:O25,"ESPECES")</f>
        <v>0</v>
      </c>
      <c r="G31" s="9">
        <f>C31+D31-E31-F31</f>
        <v>77000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1200000</v>
      </c>
      <c r="D32" s="9">
        <f>SUMIFS(M3:M22,N3:N22,"BANQUE")+SUMIFS(F3:F22,G3:G22,"BANQUE")</f>
        <v>210000</v>
      </c>
      <c r="E32" s="9">
        <f>SUMIFS(H6:H25,J6:J25,"BANQUE")</f>
        <v>262000</v>
      </c>
      <c r="F32" s="9">
        <f>SUMIFS(Q6:Q25,O6:O25,"BANQUE")</f>
        <v>1125000</v>
      </c>
      <c r="G32" s="9">
        <f>C32+D32-E32-F32</f>
        <v>23000</v>
      </c>
      <c r="H32" s="3"/>
      <c r="K32" s="9" t="s">
        <v>33</v>
      </c>
      <c r="L32" s="9">
        <f>L29-L30</f>
        <v>362000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312000</v>
      </c>
      <c r="E34" s="21">
        <f t="shared" ref="E34" si="3">E31+E32</f>
        <v>362000</v>
      </c>
      <c r="F34" s="21">
        <f>F31+F32</f>
        <v>1125000</v>
      </c>
      <c r="G34" s="21">
        <f>G31+G32</f>
        <v>100000</v>
      </c>
      <c r="H34" s="3"/>
      <c r="K34" s="9" t="s">
        <v>56</v>
      </c>
      <c r="L34" s="9">
        <f>L32-H27</f>
        <v>0</v>
      </c>
      <c r="M34" s="9">
        <f>L34</f>
        <v>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L36+TONTMARS!M36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L37+TONTMARS!M37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</sheetData>
  <autoFilter ref="A5:R24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44337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IF(E6="ECHEC",0,VLOOKUP($A6,[8]HISTOMAI21!$A$6:$AU$39,13,0))</f>
        <v>75000</v>
      </c>
      <c r="D6" s="8"/>
      <c r="E6" s="8" t="str">
        <f>VLOOKUP($A6,[8]HISTOMAI21!$A$6:$AU$39,8,0)</f>
        <v>ESPECES</v>
      </c>
      <c r="F6" s="8">
        <f>IF(N6="ECHEC",L6+(TONTAVRIL!I6*2),0)</f>
        <v>0</v>
      </c>
      <c r="G6" s="7"/>
      <c r="H6" s="8">
        <f>VLOOKUP($A6,[8]HISTOMAI21!$A$6:$AU$39,36,0)</f>
        <v>0</v>
      </c>
      <c r="I6" s="8">
        <f>VLOOKUP($A6,[8]HISTOMAI21!$A$6:$AU$39,39,0)</f>
        <v>0</v>
      </c>
      <c r="J6" s="8" t="str">
        <f>IF(H6&lt;&gt;0,VLOOKUP($A6,[8]HISTOMAI21!$A$6:$AU$39,8,0),"ECHEC")</f>
        <v>ECHEC</v>
      </c>
      <c r="K6" s="8">
        <f>VLOOKUP($A6,[8]HISTOMAI21!$A$6:$AU$39,41,0)</f>
        <v>0</v>
      </c>
      <c r="L6" s="8">
        <f>TONTAVRIL!H6+TONTAVRIL!I6+TONTAVRIL!F6</f>
        <v>0</v>
      </c>
      <c r="M6" s="8">
        <f>VLOOKUP(A6,[8]HISTOMAI21!$A$6:$AZ$37,17,0)</f>
        <v>0</v>
      </c>
      <c r="N6" s="8" t="str">
        <f>IF(L6&lt;&gt;0,VLOOKUP($A6,[8]HISTOMAI21!$A$6:$AU$39,8,0),"ECHEC")</f>
        <v>ECHEC</v>
      </c>
      <c r="O6" s="8" t="str">
        <f>IF(R6&lt;&gt;0,VLOOKUP($A6,[8]HISTOMAI21!$A$6:$AU$39,8,0),"ECHEC")</f>
        <v>ECHEC</v>
      </c>
      <c r="P6" s="8">
        <f>VLOOKUP($A6,[8]HISTOMAI21!$A$6:$AU$39,33,0)</f>
        <v>0</v>
      </c>
      <c r="Q6" s="8">
        <f>IF(R6=0,0,($C$37-R6))</f>
        <v>0</v>
      </c>
      <c r="R6" s="8">
        <f>VLOOKUP($A6,[8]HISTOMAI21!$A$6:$AU$39,30,0)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IF(N7="ECHEC",L7+(TONTAVRIL!I7*2),0)</f>
        <v>0</v>
      </c>
      <c r="G7" s="7"/>
      <c r="H7" s="8"/>
      <c r="I7" s="8"/>
      <c r="J7" s="8"/>
      <c r="K7" s="8"/>
      <c r="L7" s="8">
        <f>TONTAVRIL!H7+TONTAVRIL!I7+TONTAVRIL!F7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IF(E8="ECHEC",0,VLOOKUP($A8,[8]HISTOMAI21!$A$6:$AU$39,13,0))</f>
        <v>75000</v>
      </c>
      <c r="D8" s="8"/>
      <c r="E8" s="8" t="str">
        <f>VLOOKUP($A8,[8]HISTOMAI21!$A$6:$AU$39,8,0)</f>
        <v>BANQUE</v>
      </c>
      <c r="F8" s="8">
        <f>IF(N8="ECHEC",L8+(TONTAVRIL!I8*2),0)</f>
        <v>0</v>
      </c>
      <c r="G8" s="8"/>
      <c r="H8" s="8">
        <f>VLOOKUP($A8,[8]HISTOMAI21!$A$6:$AU$39,36,0)</f>
        <v>100000</v>
      </c>
      <c r="I8" s="8">
        <f>VLOOKUP($A8,[8]HISTOMAI21!$A$6:$AU$39,39,0)</f>
        <v>2000</v>
      </c>
      <c r="J8" s="8" t="str">
        <f>IF(H8&lt;&gt;0,VLOOKUP($A8,[8]HISTOMAI21!$A$6:$AU$39,8,0),"ECHEC")</f>
        <v>BANQUE</v>
      </c>
      <c r="K8" s="8">
        <f>VLOOKUP($A8,[8]HISTOMAI21!$A$6:$AU$39,41,0)</f>
        <v>0</v>
      </c>
      <c r="L8" s="8">
        <f>TONTAVRIL!H8+TONTAVRIL!I8+TONTAVRIL!F8</f>
        <v>102500</v>
      </c>
      <c r="M8" s="8">
        <f>VLOOKUP(A8,[8]HISTOMAI21!$A$6:$AZ$37,17,0)</f>
        <v>102500</v>
      </c>
      <c r="N8" s="8" t="str">
        <f>IF(M8&lt;&gt;0,VLOOKUP($A8,[8]HISTOMAI21!$A$6:$AU$39,8,0),"ECHEC")</f>
        <v>BANQUE</v>
      </c>
      <c r="O8" s="8" t="str">
        <f>IF(R8&lt;&gt;0,VLOOKUP($A8,[8]HISTOMAI21!$A$6:$AU$39,8,0),"ECHEC")</f>
        <v>ECHEC</v>
      </c>
      <c r="P8" s="8">
        <f>VLOOKUP($A8,[8]HISTOMAI21!$A$6:$AU$39,33,0)</f>
        <v>0</v>
      </c>
      <c r="Q8" s="8">
        <f t="shared" ref="Q8:Q14" si="1">IF(R8=0,0,($C$37-R8))</f>
        <v>0</v>
      </c>
      <c r="R8" s="8">
        <f>VLOOKUP($A8,[8]HISTOMAI21!$A$6:$AU$39,30,0)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IF(E9="ECHEC",0,VLOOKUP($A9,[8]HISTOMAI21!$A$6:$AU$39,13,0))</f>
        <v>75000</v>
      </c>
      <c r="D9" s="8"/>
      <c r="E9" s="8" t="str">
        <f>VLOOKUP($A9,[8]HISTOMAI21!$A$6:$AU$39,8,0)</f>
        <v>BANQUE</v>
      </c>
      <c r="F9" s="8">
        <f>IF(N9="ECHEC",L9+(TONTAVRIL!I9*2),0)</f>
        <v>0</v>
      </c>
      <c r="G9" s="8"/>
      <c r="H9" s="8">
        <f>VLOOKUP($A9,[8]HISTOMAI21!$A$6:$AU$39,36,0)</f>
        <v>150000</v>
      </c>
      <c r="I9" s="8">
        <f>VLOOKUP($A9,[8]HISTOMAI21!$A$6:$AU$39,39,0)</f>
        <v>3500</v>
      </c>
      <c r="J9" s="8" t="str">
        <f>IF(H9&lt;&gt;0,VLOOKUP($A9,[8]HISTOMAI21!$A$6:$AU$39,8,0),"ECHEC")</f>
        <v>BANQUE</v>
      </c>
      <c r="K9" s="8">
        <f>VLOOKUP($A9,[8]HISTOMAI21!$A$6:$AU$39,41,0)</f>
        <v>0</v>
      </c>
      <c r="L9" s="8">
        <f>TONTAVRIL!H9+TONTAVRIL!I9+TONTAVRIL!F9</f>
        <v>0</v>
      </c>
      <c r="M9" s="8">
        <f>VLOOKUP(A9,[8]HISTOMAI21!$A$6:$AZ$37,17,0)</f>
        <v>0</v>
      </c>
      <c r="N9" s="8" t="str">
        <f>IF(M9&lt;&gt;0,VLOOKUP($A9,[8]HISTOMAI21!$A$6:$AU$39,8,0),"ECHEC")</f>
        <v>ECHEC</v>
      </c>
      <c r="O9" s="8" t="str">
        <f>IF(R9&lt;&gt;0,VLOOKUP($A9,[8]HISTOMAI21!$A$6:$AU$39,8,0),"ECHEC")</f>
        <v>ECHEC</v>
      </c>
      <c r="P9" s="8">
        <f>VLOOKUP($A9,[8]HISTOMAI21!$A$6:$AU$39,33,0)</f>
        <v>0</v>
      </c>
      <c r="Q9" s="8">
        <f t="shared" si="1"/>
        <v>0</v>
      </c>
      <c r="R9" s="8">
        <f>VLOOKUP($A9,[8]HISTOMAI21!$A$6:$AU$39,30,0)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IF(E10="ECHEC",0,VLOOKUP($A10,[8]HISTOMAI21!$A$6:$AU$39,13,0))</f>
        <v>75000</v>
      </c>
      <c r="D10" s="8"/>
      <c r="E10" s="8" t="str">
        <f>VLOOKUP($A10,[8]HISTOMAI21!$A$6:$AU$39,8,0)</f>
        <v>BANQUE</v>
      </c>
      <c r="F10" s="8">
        <f>IF(N10="ECHEC",L10+(TONTAVRIL!I10*2),0)</f>
        <v>0</v>
      </c>
      <c r="G10" s="8"/>
      <c r="H10" s="8">
        <f>VLOOKUP($A10,[8]HISTOMAI21!$A$6:$AU$39,36,0)</f>
        <v>0</v>
      </c>
      <c r="I10" s="8">
        <f>VLOOKUP($A10,[8]HISTOMAI21!$A$6:$AU$39,39,0)</f>
        <v>0</v>
      </c>
      <c r="J10" s="8" t="str">
        <f>IF(H10&lt;&gt;0,VLOOKUP($A10,[8]HISTOMAI21!$A$6:$AU$39,8,0),"ECHEC")</f>
        <v>ECHEC</v>
      </c>
      <c r="K10" s="8">
        <f>VLOOKUP($A10,[8]HISTOMAI21!$A$6:$AU$39,41,0)</f>
        <v>0</v>
      </c>
      <c r="L10" s="8">
        <f>TONTAVRIL!H10+TONTAVRIL!I10+TONTAVRIL!F10</f>
        <v>0</v>
      </c>
      <c r="M10" s="8">
        <f>VLOOKUP(A10,[8]HISTOMAI21!$A$6:$AZ$37,17,0)</f>
        <v>0</v>
      </c>
      <c r="N10" s="8" t="str">
        <f>IF(M10&lt;&gt;0,VLOOKUP($A10,[8]HISTOMAI21!$A$6:$AU$39,8,0),"ECHEC")</f>
        <v>ECHEC</v>
      </c>
      <c r="O10" s="8" t="str">
        <f>IF(R10&lt;&gt;0,VLOOKUP($A10,[8]HISTOMAI21!$A$6:$AU$39,8,0),"ECHEC")</f>
        <v>ECHEC</v>
      </c>
      <c r="P10" s="8">
        <f>VLOOKUP($A10,[8]HISTOMAI21!$A$6:$AU$39,33,0)</f>
        <v>0</v>
      </c>
      <c r="Q10" s="8">
        <f t="shared" si="1"/>
        <v>0</v>
      </c>
      <c r="R10" s="8">
        <f>VLOOKUP($A10,[8]HISTOMAI21!$A$6:$AU$39,30,0)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IF(E11="ECHEC",0,VLOOKUP($A11,[8]HISTOMAI21!$A$6:$AU$39,13,0))</f>
        <v>75000</v>
      </c>
      <c r="D11" s="8"/>
      <c r="E11" s="8" t="str">
        <f>VLOOKUP($A11,[8]HISTOMAI21!$A$6:$AU$39,8,0)</f>
        <v>BANQUE</v>
      </c>
      <c r="F11" s="8">
        <f>IF(N11="ECHEC",L11+(TONTAVRIL!I11*2),0)</f>
        <v>0</v>
      </c>
      <c r="G11" s="8"/>
      <c r="H11" s="8">
        <f>VLOOKUP($A11,[8]HISTOMAI21!$A$6:$AU$39,36,0)</f>
        <v>0</v>
      </c>
      <c r="I11" s="8">
        <f>VLOOKUP($A11,[8]HISTOMAI21!$A$6:$AU$39,39,0)</f>
        <v>0</v>
      </c>
      <c r="J11" s="8" t="str">
        <f>IF(H11&lt;&gt;0,VLOOKUP($A11,[8]HISTOMAI21!$A$6:$AU$39,8,0),"ECHEC")</f>
        <v>ECHEC</v>
      </c>
      <c r="K11" s="8">
        <f>VLOOKUP($A11,[8]HISTOMAI21!$A$6:$AU$39,41,0)</f>
        <v>0</v>
      </c>
      <c r="L11" s="8">
        <f>TONTAVRIL!H11+TONTAVRIL!I11+TONTAVRIL!F11</f>
        <v>0</v>
      </c>
      <c r="M11" s="8">
        <f>VLOOKUP(A11,[8]HISTOMAI21!$A$6:$AZ$37,17,0)</f>
        <v>0</v>
      </c>
      <c r="N11" s="8" t="str">
        <f>IF(M11&lt;&gt;0,VLOOKUP($A11,[8]HISTOMAI21!$A$6:$AU$39,8,0),"ECHEC")</f>
        <v>ECHEC</v>
      </c>
      <c r="O11" s="8" t="str">
        <f>IF(R11&lt;&gt;0,VLOOKUP($A11,[8]HISTOMAI21!$A$6:$AU$39,8,0),"ECHEC")</f>
        <v>ECHEC</v>
      </c>
      <c r="P11" s="8">
        <f>VLOOKUP($A11,[8]HISTOMAI21!$A$6:$AU$39,33,0)</f>
        <v>0</v>
      </c>
      <c r="Q11" s="8">
        <f t="shared" si="1"/>
        <v>0</v>
      </c>
      <c r="R11" s="8">
        <f>VLOOKUP($A11,[8]HISTOMAI21!$A$6:$AU$39,30,0)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IF(E12="ECHEC",0,VLOOKUP($A12,[8]HISTOMAI21!$A$6:$AU$39,13,0))</f>
        <v>75000</v>
      </c>
      <c r="D12" s="8"/>
      <c r="E12" s="8" t="str">
        <f>VLOOKUP($A12,[8]HISTOMAI21!$A$6:$AU$39,8,0)</f>
        <v>BANQUE</v>
      </c>
      <c r="F12" s="8">
        <f>IF(N12="ECHEC",L12+(TONTAVRIL!I12*2),0)</f>
        <v>0</v>
      </c>
      <c r="G12" s="8"/>
      <c r="H12" s="8">
        <f>VLOOKUP($A12,[8]HISTOMAI21!$A$6:$AU$39,36,0)</f>
        <v>120500</v>
      </c>
      <c r="I12" s="8">
        <f>VLOOKUP($A12,[8]HISTOMAI21!$A$6:$AU$39,39,0)</f>
        <v>3000</v>
      </c>
      <c r="J12" s="8" t="str">
        <f>IF(H12&lt;&gt;0,VLOOKUP($A12,[8]HISTOMAI21!$A$6:$AU$39,8,0),"ECHEC")</f>
        <v>BANQUE</v>
      </c>
      <c r="K12" s="8">
        <f>VLOOKUP($A12,[8]HISTOMAI21!$A$6:$AU$39,41,0)</f>
        <v>0</v>
      </c>
      <c r="L12" s="8">
        <f>TONTAVRIL!H12+TONTAVRIL!I12+TONTAVRIL!F12</f>
        <v>0</v>
      </c>
      <c r="M12" s="8">
        <f>VLOOKUP(A12,[8]HISTOMAI21!$A$6:$AZ$37,17,0)</f>
        <v>0</v>
      </c>
      <c r="N12" s="8" t="str">
        <f>IF(M12&lt;&gt;0,VLOOKUP($A12,[8]HISTOMAI21!$A$6:$AU$39,8,0),"ECHEC")</f>
        <v>ECHEC</v>
      </c>
      <c r="O12" s="8" t="str">
        <f>IF(R12&lt;&gt;0,VLOOKUP($A12,[8]HISTOMAI21!$A$6:$AU$39,8,0),"ECHEC")</f>
        <v>ECHEC</v>
      </c>
      <c r="P12" s="8">
        <f>VLOOKUP($A12,[8]HISTOMAI21!$A$6:$AU$39,33,0)</f>
        <v>0</v>
      </c>
      <c r="Q12" s="8">
        <f t="shared" si="1"/>
        <v>0</v>
      </c>
      <c r="R12" s="8">
        <f>VLOOKUP($A12,[8]HISTOMAI21!$A$6:$AU$39,30,0)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IF(E13="ECHEC",0,VLOOKUP($A13,[8]HISTOMAI21!$A$6:$AU$39,13,0))</f>
        <v>75000</v>
      </c>
      <c r="D13" s="8"/>
      <c r="E13" s="8" t="str">
        <f>VLOOKUP($A13,[8]HISTOMAI21!$A$6:$AU$39,8,0)</f>
        <v>BANQUE</v>
      </c>
      <c r="F13" s="8">
        <f>IF(N13="ECHEC",L13+(TONTAVRIL!I13*2),0)</f>
        <v>0</v>
      </c>
      <c r="G13" s="8"/>
      <c r="H13" s="8">
        <f>VLOOKUP($A13,[8]HISTOMAI21!$A$6:$AU$39,36,0)</f>
        <v>0</v>
      </c>
      <c r="I13" s="8">
        <f>VLOOKUP($A13,[8]HISTOMAI21!$A$6:$AU$39,39,0)</f>
        <v>0</v>
      </c>
      <c r="J13" s="8" t="str">
        <f>IF(H13&lt;&gt;0,VLOOKUP($A13,[8]HISTOMAI21!$A$6:$AU$39,8,0),"ECHEC")</f>
        <v>ECHEC</v>
      </c>
      <c r="K13" s="8">
        <f>VLOOKUP($A13,[8]HISTOMAI21!$A$6:$AU$39,41,0)</f>
        <v>0</v>
      </c>
      <c r="L13" s="8">
        <f>TONTAVRIL!H13+TONTAVRIL!I13+TONTAVRIL!F13</f>
        <v>0</v>
      </c>
      <c r="M13" s="8">
        <f>VLOOKUP(A13,[8]HISTOMAI21!$A$6:$AZ$37,17,0)</f>
        <v>0</v>
      </c>
      <c r="N13" s="8" t="str">
        <f>IF(M13&lt;&gt;0,VLOOKUP($A13,[8]HISTOMAI21!$A$6:$AU$39,8,0),"ECHEC")</f>
        <v>ECHEC</v>
      </c>
      <c r="O13" s="8" t="str">
        <f>IF(R13&lt;&gt;0,VLOOKUP($A13,[8]HISTOMAI21!$A$6:$AU$39,8,0),"ECHEC")</f>
        <v>ECHEC</v>
      </c>
      <c r="P13" s="8">
        <f>VLOOKUP($A13,[8]HISTOMAI21!$A$6:$AU$39,33,0)</f>
        <v>0</v>
      </c>
      <c r="Q13" s="8">
        <f t="shared" si="1"/>
        <v>0</v>
      </c>
      <c r="R13" s="8">
        <f>VLOOKUP($A13,[8]HISTOMAI21!$A$6:$AU$39,30,0)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IF(E14="ECHEC",0,VLOOKUP($A14,[8]HISTOMAI21!$A$6:$AU$39,13,0))</f>
        <v>225000</v>
      </c>
      <c r="D14" s="8"/>
      <c r="E14" s="8" t="str">
        <f>VLOOKUP($A14,[8]HISTOMAI21!$A$6:$AU$39,8,0)</f>
        <v>BANQUE</v>
      </c>
      <c r="F14" s="8">
        <f>IF(N14="ECHEC",L14+(TONTAVRIL!I14*2),0)</f>
        <v>0</v>
      </c>
      <c r="G14" s="8"/>
      <c r="H14" s="8">
        <f>VLOOKUP($A14,[8]HISTOMAI21!$A$6:$AU$39,36,0)</f>
        <v>50000</v>
      </c>
      <c r="I14" s="8">
        <f>VLOOKUP($A14,[8]HISTOMAI21!$A$6:$AU$39,39,0)</f>
        <v>1500</v>
      </c>
      <c r="J14" s="8" t="str">
        <f>IF(H14&lt;&gt;0,VLOOKUP($A14,[8]HISTOMAI21!$A$6:$AU$39,8,0),"ECHEC")</f>
        <v>BANQUE</v>
      </c>
      <c r="K14" s="8">
        <f>VLOOKUP($A14,[8]HISTOMAI21!$A$6:$AU$39,41,0)</f>
        <v>0</v>
      </c>
      <c r="L14" s="8">
        <f>TONTAVRIL!H14+TONTAVRIL!I14+TONTAVRIL!F14</f>
        <v>115000</v>
      </c>
      <c r="M14" s="8">
        <f>VLOOKUP(A14,[8]HISTOMAI21!$A$6:$AZ$37,17,0)</f>
        <v>115000</v>
      </c>
      <c r="N14" s="8" t="s">
        <v>14</v>
      </c>
      <c r="O14" s="8" t="str">
        <f>IF(R14&lt;&gt;0,VLOOKUP($A14,[8]HISTOMAI21!$A$6:$AU$39,8,0),"ECHEC")</f>
        <v>BANQUE</v>
      </c>
      <c r="P14" s="8">
        <f>VLOOKUP($A14,[8]HISTOMAI21!$A$6:$AU$39,33,0)</f>
        <v>0</v>
      </c>
      <c r="Q14" s="8">
        <f t="shared" si="1"/>
        <v>1125000</v>
      </c>
      <c r="R14" s="8">
        <f>VLOOKUP($A14,[8]HISTOMAI21!$A$6:$AU$39,30,0)</f>
        <v>75000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IF(N15="ECHEC",L15+(TONTAVRIL!I15*2),0)</f>
        <v>0</v>
      </c>
      <c r="G15" s="8"/>
      <c r="H15" s="8"/>
      <c r="I15" s="8"/>
      <c r="J15" s="8"/>
      <c r="K15" s="8"/>
      <c r="L15" s="8">
        <f>TONTAVRIL!H15+TONTAVRIL!I15+TONTAVRIL!F15</f>
        <v>0</v>
      </c>
      <c r="M15" s="8"/>
      <c r="N15" s="8"/>
      <c r="O15" s="8"/>
      <c r="P15" s="8">
        <f>VLOOKUP($A15,[8]HISTOMAI21!$A$6:$AU$39,33,0)</f>
        <v>0</v>
      </c>
      <c r="Q15" s="8"/>
      <c r="R15" s="8"/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IF(N16="ECHEC",L16+(TONTAVRIL!I16*2),0)</f>
        <v>0</v>
      </c>
      <c r="G16" s="8"/>
      <c r="H16" s="8"/>
      <c r="I16" s="8"/>
      <c r="J16" s="8"/>
      <c r="K16" s="8"/>
      <c r="L16" s="8">
        <f>TONTAVRIL!H16+TONTAVRIL!I16+TONTAVRIL!F16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IF(E17="ECHEC",0,VLOOKUP($A17,[8]HISTOMAI21!$A$6:$AU$39,13,0))</f>
        <v>150000</v>
      </c>
      <c r="D17" s="8"/>
      <c r="E17" s="8" t="str">
        <f>VLOOKUP($A17,[8]HISTOMAI21!$A$6:$AU$39,8,0)</f>
        <v>BANQUE</v>
      </c>
      <c r="F17" s="8">
        <f>IF(N17="ECHEC",L17+(TONTAVRIL!I17*2),0)</f>
        <v>0</v>
      </c>
      <c r="G17" s="8"/>
      <c r="H17" s="8">
        <f>VLOOKUP($A17,[8]HISTOMAI21!$A$6:$AU$39,36,0)</f>
        <v>0</v>
      </c>
      <c r="I17" s="8">
        <f>VLOOKUP($A17,[8]HISTOMAI21!$A$6:$AU$39,39,0)</f>
        <v>0</v>
      </c>
      <c r="J17" s="8" t="str">
        <f>IF(H17&lt;&gt;0,VLOOKUP($A17,[8]HISTOMAI21!$A$6:$AU$39,8,0),"ECHEC")</f>
        <v>ECHEC</v>
      </c>
      <c r="K17" s="8">
        <f>VLOOKUP($A17,[8]HISTOMAI21!$A$6:$AU$39,41,0)</f>
        <v>0</v>
      </c>
      <c r="L17" s="8">
        <f>TONTAVRIL!H17+TONTAVRIL!I17+TONTAVRIL!F17</f>
        <v>51000</v>
      </c>
      <c r="M17" s="8">
        <f>VLOOKUP(A17,[8]HISTOMAI21!$A$6:$AZ$37,17,0)</f>
        <v>51000</v>
      </c>
      <c r="N17" s="8" t="str">
        <f>IF(M17&lt;&gt;0,VLOOKUP($A17,[8]HISTOMAI21!$A$6:$AU$39,8,0),"ECHEC")</f>
        <v>BANQUE</v>
      </c>
      <c r="O17" s="8" t="str">
        <f>IF(R17&lt;&gt;0,VLOOKUP($A17,[8]HISTOMAI21!$A$6:$AU$39,8,0),"ECHEC")</f>
        <v>ECHEC</v>
      </c>
      <c r="P17" s="8">
        <f>VLOOKUP($A17,[8]HISTOMAI21!$A$6:$AU$39,33,0)</f>
        <v>0</v>
      </c>
      <c r="Q17" s="8">
        <f>IF(R17=0,0,($C$37-R17))</f>
        <v>0</v>
      </c>
      <c r="R17" s="8">
        <f>VLOOKUP($A17,[8]HISTOMAI21!$A$6:$AU$39,30,0)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IF(N18="ECHEC",L18+(TONTAVRIL!I18*2),0)</f>
        <v>0</v>
      </c>
      <c r="G18" s="8"/>
      <c r="H18" s="8"/>
      <c r="I18" s="8"/>
      <c r="J18" s="8"/>
      <c r="K18" s="8"/>
      <c r="L18" s="8">
        <f>TONTAVRIL!H18+TONTAVRIL!I18+TONTAVRIL!F18</f>
        <v>0</v>
      </c>
      <c r="M18" s="8"/>
      <c r="N18" s="8" t="str">
        <f>IF(M18&lt;&gt;0,VLOOKUP($A18,[8]HISTOMAI21!$A$6:$AU$39,8,0),"ECHEC")</f>
        <v>ECHEC</v>
      </c>
      <c r="O18" s="8" t="str">
        <f>IF(R18&lt;&gt;0,VLOOKUP($A18,[8]HISTOMAI21!$A$6:$AU$39,8,0),"ECHEC")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IF(E19="ECHEC",0,VLOOKUP($A19,[8]HISTOMAI21!$A$6:$AU$39,13,0))</f>
        <v>75000</v>
      </c>
      <c r="D19" s="8"/>
      <c r="E19" s="8" t="str">
        <f>VLOOKUP($A19,[8]HISTOMAI21!$A$6:$AU$39,8,0)</f>
        <v>ESPECES</v>
      </c>
      <c r="F19" s="8">
        <f>IF(N19="ECHEC",L19+(TONTAVRIL!I19*2),0)</f>
        <v>0</v>
      </c>
      <c r="G19" s="8"/>
      <c r="H19" s="8">
        <f>VLOOKUP($A19,[8]HISTOMAI21!$A$6:$AU$39,36,0)</f>
        <v>100000</v>
      </c>
      <c r="I19" s="8">
        <f>VLOOKUP($A19,[8]HISTOMAI21!$A$6:$AU$39,39,0)</f>
        <v>3000</v>
      </c>
      <c r="J19" s="8" t="str">
        <f>IF(H19&lt;&gt;0,VLOOKUP($A19,[8]HISTOMAI21!$A$6:$AU$39,8,0),"ECHEC")</f>
        <v>ESPECES</v>
      </c>
      <c r="K19" s="8">
        <f>VLOOKUP($A19,[8]HISTOMAI21!$A$6:$AU$39,41,0)</f>
        <v>0</v>
      </c>
      <c r="L19" s="8">
        <f>TONTAVRIL!H19+TONTAVRIL!I19+TONTAVRIL!F19</f>
        <v>102000</v>
      </c>
      <c r="M19" s="8">
        <f>VLOOKUP(A19,[8]HISTOMAI21!$A$6:$AZ$37,17,0)</f>
        <v>102000</v>
      </c>
      <c r="N19" s="8" t="str">
        <f>IF(M19&lt;&gt;0,VLOOKUP($A19,[8]HISTOMAI21!$A$6:$AU$39,8,0),"ECHEC")</f>
        <v>ESPECES</v>
      </c>
      <c r="O19" s="8" t="str">
        <f>IF(R19&lt;&gt;0,VLOOKUP($A19,[8]HISTOMAI21!$A$6:$AU$39,8,0),"ECHEC")</f>
        <v>ECHEC</v>
      </c>
      <c r="P19" s="8">
        <f>VLOOKUP($A19,[8]HISTOMAI21!$A$6:$AU$39,33,0)</f>
        <v>0</v>
      </c>
      <c r="Q19" s="8">
        <f>IF(R19=0,0,($C$37-R19))</f>
        <v>0</v>
      </c>
      <c r="R19" s="8">
        <f>VLOOKUP($A19,[8]HISTOMAI21!$A$6:$AU$39,30,0)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IF(E20="ECHEC",0,VLOOKUP($A20,[8]HISTOMAI21!$A$6:$AU$39,13,0))</f>
        <v>75000</v>
      </c>
      <c r="D20" s="8"/>
      <c r="E20" s="8" t="str">
        <f>VLOOKUP($A20,[8]HISTOMAI21!$A$6:$AU$39,8,0)</f>
        <v>BANQUE</v>
      </c>
      <c r="F20" s="8">
        <f>IF(N20="ECHEC",L20+(TONTAVRIL!I20*2),0)</f>
        <v>0</v>
      </c>
      <c r="G20" s="8"/>
      <c r="H20" s="8">
        <f>VLOOKUP($A20,[8]HISTOMAI21!$A$6:$AU$39,36,0)</f>
        <v>0</v>
      </c>
      <c r="I20" s="8">
        <f>VLOOKUP($A20,[8]HISTOMAI21!$A$6:$AU$39,39,0)</f>
        <v>0</v>
      </c>
      <c r="J20" s="8" t="str">
        <f>IF(H20&lt;&gt;0,VLOOKUP($A20,[8]HISTOMAI21!$A$6:$AU$39,8,0),"ECHEC")</f>
        <v>ECHEC</v>
      </c>
      <c r="K20" s="8">
        <f>VLOOKUP($A20,[8]HISTOMAI21!$A$6:$AU$39,41,0)</f>
        <v>0</v>
      </c>
      <c r="L20" s="8">
        <f>TONTAVRIL!H20+TONTAVRIL!I20+TONTAVRIL!F20</f>
        <v>0</v>
      </c>
      <c r="M20" s="8">
        <f>VLOOKUP(A20,[8]HISTOMAI21!$A$6:$AZ$37,17,0)</f>
        <v>0</v>
      </c>
      <c r="N20" s="8" t="str">
        <f>IF(M20&lt;&gt;0,VLOOKUP($A20,[8]HISTOMAI21!$A$6:$AU$39,8,0),"ECHEC")</f>
        <v>ECHEC</v>
      </c>
      <c r="O20" s="8" t="str">
        <f>IF(R20&lt;&gt;0,VLOOKUP($A20,[8]HISTOMAI21!$A$6:$AU$39,8,0),"ECHEC")</f>
        <v>ECHEC</v>
      </c>
      <c r="P20" s="8">
        <f>VLOOKUP($A20,[8]HISTOMAI21!$A$6:$AU$39,33,0)</f>
        <v>0</v>
      </c>
      <c r="Q20" s="8">
        <f>IF(R20=0,0,($C$37-R20))</f>
        <v>0</v>
      </c>
      <c r="R20" s="8">
        <f>VLOOKUP($A20,[8]HISTOMAI21!$A$6:$AU$39,30,0)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IF(E21="ECHEC",0,VLOOKUP($A21,[8]HISTOMAI21!$A$6:$AU$39,13,0))</f>
        <v>75000</v>
      </c>
      <c r="D21" s="8"/>
      <c r="E21" s="8" t="str">
        <f>VLOOKUP($A21,[8]HISTOMAI21!$A$6:$AU$39,8,0)</f>
        <v>BANQUE</v>
      </c>
      <c r="F21" s="8">
        <f>IF(N21="ECHEC",L21+(TONTAVRIL!I21*2),0)</f>
        <v>0</v>
      </c>
      <c r="G21" s="8"/>
      <c r="H21" s="8">
        <f>VLOOKUP($A21,[8]HISTOMAI21!$A$6:$AU$39,36,0)</f>
        <v>0</v>
      </c>
      <c r="I21" s="8">
        <f>VLOOKUP($A21,[8]HISTOMAI21!$A$6:$AU$39,39,0)</f>
        <v>0</v>
      </c>
      <c r="J21" s="8" t="str">
        <f>IF(H21&lt;&gt;0,VLOOKUP($A21,[8]HISTOMAI21!$A$6:$AU$39,8,0),"ECHEC")</f>
        <v>ECHEC</v>
      </c>
      <c r="K21" s="8">
        <f>VLOOKUP($A21,[8]HISTOMAI21!$A$6:$AU$39,41,0)</f>
        <v>0</v>
      </c>
      <c r="L21" s="8">
        <f>TONTAVRIL!H21+TONTAVRIL!I21+TONTAVRIL!F21</f>
        <v>0</v>
      </c>
      <c r="M21" s="8">
        <f>VLOOKUP(A21,[8]HISTOMAI21!$A$6:$AZ$37,17,0)</f>
        <v>0</v>
      </c>
      <c r="N21" s="8" t="str">
        <f>IF(M21&lt;&gt;0,VLOOKUP($A21,[8]HISTOMAI21!$A$6:$AU$39,8,0),"ECHEC")</f>
        <v>ECHEC</v>
      </c>
      <c r="O21" s="8" t="str">
        <f>IF(R21&lt;&gt;0,VLOOKUP($A21,[8]HISTOMAI21!$A$6:$AU$39,8,0),"ECHEC")</f>
        <v>ECHEC</v>
      </c>
      <c r="P21" s="8">
        <f>VLOOKUP($A21,[8]HISTOMAI21!$A$6:$AU$39,33,0)</f>
        <v>0</v>
      </c>
      <c r="Q21" s="8">
        <f>IF(R21=0,0,($C$37-R21))</f>
        <v>0</v>
      </c>
      <c r="R21" s="8">
        <f>VLOOKUP($A21,[8]HISTOMAI21!$A$6:$AU$39,30,0)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IF(E22="ECHEC",0,VLOOKUP($A22,[8]HISTOMAI21!$A$6:$AU$39,13,0))</f>
        <v>0</v>
      </c>
      <c r="D22" s="8"/>
      <c r="E22" s="8"/>
      <c r="F22" s="8">
        <f>IF(N22="ECHEC",L22+(TONTAVRIL!I22*2),0)</f>
        <v>0</v>
      </c>
      <c r="G22" s="8"/>
      <c r="H22" s="8">
        <f>VLOOKUP($A22,[8]HISTOMAI21!$A$6:$AU$39,36,0)</f>
        <v>0</v>
      </c>
      <c r="I22" s="8">
        <f>VLOOKUP($A22,[8]HISTOMAI21!$A$6:$AU$39,39,0)</f>
        <v>0</v>
      </c>
      <c r="J22" s="8" t="str">
        <f>IF(H22&lt;&gt;0,VLOOKUP($A22,[8]HISTOMAI21!$A$6:$AU$39,8,0),"ECHEC")</f>
        <v>ECHEC</v>
      </c>
      <c r="K22" s="8">
        <f>VLOOKUP($A22,[8]HISTOMAI21!$A$6:$AU$39,41,0)</f>
        <v>0</v>
      </c>
      <c r="L22" s="8">
        <f>TONTAVRIL!H22+TONTAVRIL!I22+TONTAVRIL!F22</f>
        <v>0</v>
      </c>
      <c r="M22" s="8">
        <f>VLOOKUP(A22,[8]HISTOMAI21!$A$6:$AZ$37,17,0)</f>
        <v>0</v>
      </c>
      <c r="N22" s="8" t="str">
        <f>IF(M22&lt;&gt;0,VLOOKUP($A22,[8]HISTOMAI21!$A$6:$AU$39,8,0),"ECHEC")</f>
        <v>ECHEC</v>
      </c>
      <c r="O22" s="8" t="str">
        <f>IF(R22&lt;&gt;0,VLOOKUP($A22,[8]HISTOMAI21!$A$6:$AU$39,8,0),"ECHEC")</f>
        <v>ECHEC</v>
      </c>
      <c r="P22" s="8">
        <f>VLOOKUP($A22,[8]HISTOMAI21!$A$6:$AU$39,33,0)</f>
        <v>0</v>
      </c>
      <c r="Q22" s="8">
        <f>IF(R22=0,0,($C$37-R22))</f>
        <v>0</v>
      </c>
      <c r="R22" s="8">
        <f>VLOOKUP($A22,[8]HISTOMAI21!$A$6:$AU$39,30,0)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IF(E23="ECHEC",0,VLOOKUP($A23,[8]HISTOMAI21!$A$6:$AU$39,13,0))</f>
        <v>150000</v>
      </c>
      <c r="D23" s="8"/>
      <c r="E23" s="8" t="str">
        <f>VLOOKUP($A23,[8]HISTOMAI21!$A$6:$AU$39,8,0)</f>
        <v>BANQUE</v>
      </c>
      <c r="F23" s="8">
        <f>IF(N23="ECHEC",L23+(TONTAVRIL!I23*2),0)</f>
        <v>0</v>
      </c>
      <c r="G23" s="8"/>
      <c r="H23" s="8">
        <f>VLOOKUP($A23,[8]HISTOMAI21!$A$6:$AU$39,36,0)</f>
        <v>0</v>
      </c>
      <c r="I23" s="8">
        <f>VLOOKUP($A23,[8]HISTOMAI21!$A$6:$AU$39,39,0)</f>
        <v>0</v>
      </c>
      <c r="J23" s="8" t="str">
        <f>IF(H23&lt;&gt;0,VLOOKUP($A23,[8]HISTOMAI21!$A$6:$AU$39,8,0),"ECHEC")</f>
        <v>ECHEC</v>
      </c>
      <c r="K23" s="8">
        <f>VLOOKUP($A23,[8]HISTOMAI21!$A$6:$AU$39,41,0)</f>
        <v>0</v>
      </c>
      <c r="L23" s="8">
        <f>TONTAVRIL!H23+TONTAVRIL!I23+TONTAVRIL!F23</f>
        <v>0</v>
      </c>
      <c r="M23" s="8"/>
      <c r="N23" s="8" t="str">
        <f>IF(M23&lt;&gt;0,VLOOKUP($A23,[8]HISTOMAI21!$A$6:$AU$39,8,0),"ECHEC")</f>
        <v>ECHEC</v>
      </c>
      <c r="O23" s="8" t="str">
        <f>IF(R23&lt;&gt;0,VLOOKUP($A23,[8]HISTOMAI21!$A$6:$AU$39,8,0),"ECHEC")</f>
        <v>ECHEC</v>
      </c>
      <c r="P23" s="8">
        <f>VLOOKUP($A23,[8]HISTOMAI21!$A$6:$AU$39,33,0)</f>
        <v>0</v>
      </c>
      <c r="Q23" s="8">
        <f>IF(R23=0,0,($C$37-R23))</f>
        <v>0</v>
      </c>
      <c r="R23" s="8">
        <f>VLOOKUP($A23,[8]HISTOMAI21!$A$6:$AU$39,30,0)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IF(N24="ECHEC",L24+(TONTAVRIL!I24*2),0)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520500</v>
      </c>
      <c r="I27" s="9">
        <f t="shared" si="2"/>
        <v>13000</v>
      </c>
      <c r="J27" s="9">
        <f t="shared" si="2"/>
        <v>0</v>
      </c>
      <c r="K27" s="9">
        <f t="shared" si="2"/>
        <v>0</v>
      </c>
      <c r="L27" s="9">
        <f>SUM(L6:L26)</f>
        <v>370500</v>
      </c>
      <c r="M27" s="9">
        <f t="shared" si="2"/>
        <v>370500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1125000</v>
      </c>
      <c r="R27" s="9">
        <f t="shared" si="2"/>
        <v>75000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C34+D34+R27+TONTAVRIL!M34</f>
        <v>1720500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150000</v>
      </c>
      <c r="D31" s="9">
        <f>SUMIFS(L2:L21,N2:N21,"ESPECES")+SUMIFS(F2:F21,G2:G21,"ESPECES")</f>
        <v>217000</v>
      </c>
      <c r="E31" s="9">
        <f>SUMIFS(H6:H25,J6:J25,"ESPECES")</f>
        <v>100000</v>
      </c>
      <c r="F31" s="9">
        <f>SUMIFS(Q6:Q25,O6:O25,"ESPECES")</f>
        <v>0</v>
      </c>
      <c r="G31" s="9">
        <f>C31+D31-E31-F31</f>
        <v>267000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1125000</v>
      </c>
      <c r="D32" s="9">
        <f>SUMIFS(M3:M22,N3:N22,"BANQUE")+SUMIFS(F3:F22,G3:G22,"BANQUE")</f>
        <v>153500</v>
      </c>
      <c r="E32" s="9">
        <f>SUMIFS(H6:H25,J6:J25,"BANQUE")</f>
        <v>420500</v>
      </c>
      <c r="F32" s="9">
        <f>SUMIFS(Q6:Q25,O6:O25,"BANQUE")</f>
        <v>1125000</v>
      </c>
      <c r="G32" s="9">
        <f>C32+D32-E32-F32</f>
        <v>-267000</v>
      </c>
      <c r="H32" s="3"/>
      <c r="K32" s="9" t="s">
        <v>33</v>
      </c>
      <c r="L32" s="9">
        <f>L29-L30</f>
        <v>520500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370500</v>
      </c>
      <c r="E34" s="21">
        <f t="shared" ref="E34" si="3">E31+E32</f>
        <v>520500</v>
      </c>
      <c r="F34" s="21">
        <f>F31+F32</f>
        <v>1125000</v>
      </c>
      <c r="G34" s="21">
        <f>G31+G32</f>
        <v>0</v>
      </c>
      <c r="H34" s="3"/>
      <c r="K34" s="9" t="s">
        <v>56</v>
      </c>
      <c r="L34" s="9">
        <f>L32-H27</f>
        <v>0</v>
      </c>
      <c r="M34" s="9">
        <f>L34</f>
        <v>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L36+TONTAVRIL!M36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L37+TONTAVRIL!M37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</sheetData>
  <autoFilter ref="A5:R24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>
        <f>102000+51500+61000</f>
        <v>214500</v>
      </c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44368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IF(E6="ECHEC",0,VLOOKUP($A6,[8]HISTOJUIN21!$A$6:$AU$39,13,0))</f>
        <v>75000</v>
      </c>
      <c r="D6" s="8"/>
      <c r="E6" s="8" t="str">
        <f>VLOOKUP($A6,[8]HISTOJUIN21!$A$6:$AU$39,8,0)</f>
        <v>BANQUE</v>
      </c>
      <c r="F6" s="8">
        <f>IF(N6="ECHEC",L6+(TONTMAI!I6*2),0)</f>
        <v>0</v>
      </c>
      <c r="G6" s="7"/>
      <c r="H6" s="8">
        <f>VLOOKUP($A6,[8]HISTOJUIN21!$A$6:$AU$39,36,0)</f>
        <v>0</v>
      </c>
      <c r="I6" s="8">
        <f>VLOOKUP($A6,[8]HISTOJUIN21!$A$6:$AU$39,39,0)</f>
        <v>0</v>
      </c>
      <c r="J6" s="8" t="str">
        <f>IF(H6&lt;&gt;0,VLOOKUP($A6,[8]HISTOJUIN21!$A$6:$AU$39,8,0),"ECHEC")</f>
        <v>ECHEC</v>
      </c>
      <c r="K6" s="8">
        <f>VLOOKUP($A6,[8]HISTOJUIN21!$A$6:$AU$39,41,0)</f>
        <v>0</v>
      </c>
      <c r="L6" s="8">
        <f>TONTMAI!H6+TONTMAI!I6+TONTMAI!F6</f>
        <v>0</v>
      </c>
      <c r="M6" s="8">
        <f>VLOOKUP(A6,[8]HISTOJUIN21!$A$6:$AZ$37,17,0)</f>
        <v>0</v>
      </c>
      <c r="N6" s="8" t="str">
        <f>IF(L6&lt;&gt;0,VLOOKUP($A6,[8]HISTOJUIN21!$A$6:$AU$39,8,0),"ECHEC")</f>
        <v>ECHEC</v>
      </c>
      <c r="O6" s="8" t="str">
        <f>IF(R6&lt;&gt;0,VLOOKUP($A6,[8]HISTOJUIN21!$A$6:$AU$39,8,0),"ECHEC")</f>
        <v>ECHEC</v>
      </c>
      <c r="P6" s="8">
        <f>VLOOKUP($A6,[8]HISTOJUIN21!$A$6:$AU$39,33,0)</f>
        <v>0</v>
      </c>
      <c r="Q6" s="8">
        <f>IF(R6=0,0,($C$37-R6))</f>
        <v>0</v>
      </c>
      <c r="R6" s="8">
        <f>VLOOKUP($A6,[8]HISTOJUIN21!$A$6:$AU$39,30,0)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IF(N7="ECHEC",L7+(TONTMAI!I7*2),0)</f>
        <v>0</v>
      </c>
      <c r="G7" s="7"/>
      <c r="H7" s="8"/>
      <c r="I7" s="8"/>
      <c r="J7" s="8"/>
      <c r="K7" s="8"/>
      <c r="L7" s="8">
        <f>TONTMAI!H7+TONTMAI!I7+TONTMAI!F7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IF(E8="ECHEC",0,VLOOKUP($A8,[8]HISTOJUIN21!$A$6:$AU$39,13,0))</f>
        <v>75000</v>
      </c>
      <c r="D8" s="8"/>
      <c r="E8" s="8" t="str">
        <f>VLOOKUP($A8,[8]HISTOJUIN21!$A$6:$AU$39,8,0)</f>
        <v>BANQUE</v>
      </c>
      <c r="F8" s="8">
        <f>IF(N8="ECHEC",L8+(TONTMAI!I8*2),0)</f>
        <v>0</v>
      </c>
      <c r="G8" s="8"/>
      <c r="H8" s="8">
        <f>VLOOKUP($A8,[8]HISTOJUIN21!$A$6:$AU$39,36,0)</f>
        <v>138500</v>
      </c>
      <c r="I8" s="8">
        <f>VLOOKUP($A8,[8]HISTOJUIN21!$A$6:$AU$39,39,0)</f>
        <v>2000</v>
      </c>
      <c r="J8" s="8" t="str">
        <f>IF(H8&lt;&gt;0,VLOOKUP($A8,[8]HISTOJUIN21!$A$6:$AU$39,8,0),"ECHEC")</f>
        <v>BANQUE</v>
      </c>
      <c r="K8" s="8">
        <f>VLOOKUP($A8,[8]HISTOJUIN21!$A$6:$AU$39,41,0)</f>
        <v>0</v>
      </c>
      <c r="L8" s="8">
        <f>TONTMAI!H8+TONTMAI!I8+TONTMAI!F8</f>
        <v>102000</v>
      </c>
      <c r="M8" s="8">
        <f>VLOOKUP(A8,[8]HISTOJUIN21!$A$6:$AZ$37,17,0)</f>
        <v>102000</v>
      </c>
      <c r="N8" s="8" t="str">
        <f>IF(M8&lt;&gt;0,VLOOKUP($A8,[8]HISTOJUIN21!$A$6:$AU$39,8,0),"ECHEC")</f>
        <v>BANQUE</v>
      </c>
      <c r="O8" s="8" t="str">
        <f>IF(R8&lt;&gt;0,VLOOKUP($A8,[8]HISTOJUIN21!$A$6:$AU$39,8,0),"ECHEC")</f>
        <v>ECHEC</v>
      </c>
      <c r="P8" s="8">
        <f>VLOOKUP($A8,[8]HISTOJUIN21!$A$6:$AU$39,33,0)</f>
        <v>0</v>
      </c>
      <c r="Q8" s="8">
        <f t="shared" ref="Q8:Q14" si="1">IF(R8=0,0,($C$37-R8))</f>
        <v>0</v>
      </c>
      <c r="R8" s="8">
        <f>VLOOKUP($A8,[8]HISTOJUIN21!$A$6:$AU$39,30,0)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IF(E9="ECHEC",0,VLOOKUP($A9,[8]HISTOJUIN21!$A$6:$AU$39,13,0))</f>
        <v>75000</v>
      </c>
      <c r="D9" s="8"/>
      <c r="E9" s="8" t="str">
        <f>VLOOKUP($A9,[8]HISTOJUIN21!$A$6:$AU$39,8,0)</f>
        <v>BANQUE</v>
      </c>
      <c r="F9" s="8">
        <f>IF(N9="ECHEC",L9+(TONTMAI!I9*2),0)</f>
        <v>0</v>
      </c>
      <c r="G9" s="8"/>
      <c r="H9" s="8">
        <f>VLOOKUP($A9,[8]HISTOJUIN21!$A$6:$AU$39,36,0)</f>
        <v>200000</v>
      </c>
      <c r="I9" s="8">
        <f>VLOOKUP($A9,[8]HISTOJUIN21!$A$6:$AU$39,39,0)</f>
        <v>4000</v>
      </c>
      <c r="J9" s="8" t="str">
        <f>IF(H9&lt;&gt;0,VLOOKUP($A9,[8]HISTOJUIN21!$A$6:$AU$39,8,0),"ECHEC")</f>
        <v>BANQUE</v>
      </c>
      <c r="K9" s="8">
        <f>VLOOKUP($A9,[8]HISTOJUIN21!$A$6:$AU$39,41,0)</f>
        <v>0</v>
      </c>
      <c r="L9" s="8">
        <f>TONTMAI!H9+TONTMAI!I9+TONTMAI!F9</f>
        <v>153500</v>
      </c>
      <c r="M9" s="8">
        <f>VLOOKUP(A9,[8]HISTOJUIN21!$A$6:$AZ$37,17,0)</f>
        <v>153500</v>
      </c>
      <c r="N9" s="8" t="str">
        <f>IF(M9&lt;&gt;0,VLOOKUP($A9,[8]HISTOJUIN21!$A$6:$AU$39,8,0),"ECHEC")</f>
        <v>BANQUE</v>
      </c>
      <c r="O9" s="8" t="str">
        <f>IF(R9&lt;&gt;0,VLOOKUP($A9,[8]HISTOJUIN21!$A$6:$AU$39,8,0),"ECHEC")</f>
        <v>ECHEC</v>
      </c>
      <c r="P9" s="8">
        <f>VLOOKUP($A9,[8]HISTOJUIN21!$A$6:$AU$39,33,0)</f>
        <v>0</v>
      </c>
      <c r="Q9" s="8">
        <f t="shared" si="1"/>
        <v>0</v>
      </c>
      <c r="R9" s="8">
        <f>VLOOKUP($A9,[8]HISTOJUIN21!$A$6:$AU$39,30,0)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IF(E10="ECHEC",0,VLOOKUP($A10,[8]HISTOJUIN21!$A$6:$AU$39,13,0))</f>
        <v>75000</v>
      </c>
      <c r="D10" s="8"/>
      <c r="E10" s="8" t="str">
        <f>VLOOKUP($A10,[8]HISTOJUIN21!$A$6:$AU$39,8,0)</f>
        <v>BANQUE</v>
      </c>
      <c r="F10" s="8">
        <f>IF(N10="ECHEC",L10+(TONTMAI!I10*2),0)</f>
        <v>0</v>
      </c>
      <c r="G10" s="8"/>
      <c r="H10" s="8">
        <f>VLOOKUP($A10,[8]HISTOJUIN21!$A$6:$AU$39,36,0)</f>
        <v>0</v>
      </c>
      <c r="I10" s="8">
        <f>VLOOKUP($A10,[8]HISTOJUIN21!$A$6:$AU$39,39,0)</f>
        <v>0</v>
      </c>
      <c r="J10" s="8" t="str">
        <f>IF(H10&lt;&gt;0,VLOOKUP($A10,[8]HISTOJUIN21!$A$6:$AU$39,8,0),"ECHEC")</f>
        <v>ECHEC</v>
      </c>
      <c r="K10" s="8">
        <f>VLOOKUP($A10,[8]HISTOJUIN21!$A$6:$AU$39,41,0)</f>
        <v>0</v>
      </c>
      <c r="L10" s="8">
        <f>TONTMAI!H10+TONTMAI!I10+TONTMAI!F10</f>
        <v>0</v>
      </c>
      <c r="M10" s="8">
        <f>VLOOKUP(A10,[8]HISTOJUIN21!$A$6:$AZ$37,17,0)</f>
        <v>0</v>
      </c>
      <c r="N10" s="8" t="str">
        <f>IF(M10&lt;&gt;0,VLOOKUP($A10,[8]HISTOJUIN21!$A$6:$AU$39,8,0),"ECHEC")</f>
        <v>ECHEC</v>
      </c>
      <c r="O10" s="8" t="str">
        <f>IF(R10&lt;&gt;0,VLOOKUP($A10,[8]HISTOJUIN21!$A$6:$AU$39,8,0),"ECHEC")</f>
        <v>ECHEC</v>
      </c>
      <c r="P10" s="8">
        <f>VLOOKUP($A10,[8]HISTOJUIN21!$A$6:$AU$39,33,0)</f>
        <v>0</v>
      </c>
      <c r="Q10" s="8">
        <f t="shared" si="1"/>
        <v>0</v>
      </c>
      <c r="R10" s="8">
        <f>VLOOKUP($A10,[8]HISTOJUIN21!$A$6:$AU$39,30,0)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IF(E11="ECHEC",0,VLOOKUP($A11,[8]HISTOJUIN21!$A$6:$AU$39,13,0))</f>
        <v>75000</v>
      </c>
      <c r="D11" s="8"/>
      <c r="E11" s="8" t="str">
        <f>VLOOKUP($A11,[8]HISTOJUIN21!$A$6:$AU$39,8,0)</f>
        <v>BANQUE</v>
      </c>
      <c r="F11" s="8">
        <f>IF(N11="ECHEC",L11+(TONTMAI!I11*2),0)</f>
        <v>0</v>
      </c>
      <c r="G11" s="8"/>
      <c r="H11" s="8">
        <f>VLOOKUP($A11,[8]HISTOJUIN21!$A$6:$AU$39,36,0)</f>
        <v>0</v>
      </c>
      <c r="I11" s="8">
        <f>VLOOKUP($A11,[8]HISTOJUIN21!$A$6:$AU$39,39,0)</f>
        <v>0</v>
      </c>
      <c r="J11" s="8" t="str">
        <f>IF(H11&lt;&gt;0,VLOOKUP($A11,[8]HISTOJUIN21!$A$6:$AU$39,8,0),"ECHEC")</f>
        <v>ECHEC</v>
      </c>
      <c r="K11" s="8">
        <f>VLOOKUP($A11,[8]HISTOJUIN21!$A$6:$AU$39,41,0)</f>
        <v>0</v>
      </c>
      <c r="L11" s="8">
        <f>TONTMAI!H11+TONTMAI!I11+TONTMAI!F11</f>
        <v>0</v>
      </c>
      <c r="M11" s="8">
        <f>VLOOKUP(A11,[8]HISTOJUIN21!$A$6:$AZ$37,17,0)</f>
        <v>0</v>
      </c>
      <c r="N11" s="8" t="str">
        <f>IF(M11&lt;&gt;0,VLOOKUP($A11,[8]HISTOJUIN21!$A$6:$AU$39,8,0),"ECHEC")</f>
        <v>ECHEC</v>
      </c>
      <c r="O11" s="8" t="str">
        <f>IF(R11&lt;&gt;0,VLOOKUP($A11,[8]HISTOJUIN21!$A$6:$AU$39,8,0),"ECHEC")</f>
        <v>ECHEC</v>
      </c>
      <c r="P11" s="8">
        <f>VLOOKUP($A11,[8]HISTOJUIN21!$A$6:$AU$39,33,0)</f>
        <v>0</v>
      </c>
      <c r="Q11" s="8">
        <f t="shared" si="1"/>
        <v>0</v>
      </c>
      <c r="R11" s="8">
        <f>VLOOKUP($A11,[8]HISTOJUIN21!$A$6:$AU$39,30,0)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IF(E12="ECHEC",0,VLOOKUP($A12,[8]HISTOJUIN21!$A$6:$AU$39,13,0))</f>
        <v>75000</v>
      </c>
      <c r="D12" s="8"/>
      <c r="E12" s="8" t="str">
        <f>VLOOKUP($A12,[8]HISTOJUIN21!$A$6:$AU$39,8,0)</f>
        <v>BANQUE</v>
      </c>
      <c r="F12" s="8">
        <f>IF(N12="ECHEC",L12+(TONTMAI!I12*2),0)</f>
        <v>0</v>
      </c>
      <c r="G12" s="8"/>
      <c r="H12" s="8">
        <f>VLOOKUP($A12,[8]HISTOJUIN21!$A$6:$AU$39,36,0)</f>
        <v>100000</v>
      </c>
      <c r="I12" s="8">
        <f>VLOOKUP($A12,[8]HISTOJUIN21!$A$6:$AU$39,39,0)</f>
        <v>2000</v>
      </c>
      <c r="J12" s="8" t="str">
        <f>IF(H12&lt;&gt;0,VLOOKUP($A12,[8]HISTOJUIN21!$A$6:$AU$39,8,0),"ECHEC")</f>
        <v>BANQUE</v>
      </c>
      <c r="K12" s="8">
        <f>VLOOKUP($A12,[8]HISTOJUIN21!$A$6:$AU$39,41,0)</f>
        <v>0</v>
      </c>
      <c r="L12" s="8">
        <f>TONTMAI!H12+TONTMAI!I12+TONTMAI!F12</f>
        <v>123500</v>
      </c>
      <c r="M12" s="8">
        <f>VLOOKUP(A12,[8]HISTOJUIN21!$A$6:$AZ$37,17,0)</f>
        <v>123500</v>
      </c>
      <c r="N12" s="8" t="str">
        <f>IF(M12&lt;&gt;0,VLOOKUP($A12,[8]HISTOJUIN21!$A$6:$AU$39,8,0),"ECHEC")</f>
        <v>BANQUE</v>
      </c>
      <c r="O12" s="8" t="str">
        <f>IF(R12&lt;&gt;0,VLOOKUP($A12,[8]HISTOJUIN21!$A$6:$AU$39,8,0),"ECHEC")</f>
        <v>ECHEC</v>
      </c>
      <c r="P12" s="8">
        <f>VLOOKUP($A12,[8]HISTOJUIN21!$A$6:$AU$39,33,0)</f>
        <v>0</v>
      </c>
      <c r="Q12" s="8">
        <f t="shared" si="1"/>
        <v>0</v>
      </c>
      <c r="R12" s="8">
        <f>VLOOKUP($A12,[8]HISTOJUIN21!$A$6:$AU$39,30,0)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IF(E13="ECHEC",0,VLOOKUP($A13,[8]HISTOJUIN21!$A$6:$AU$39,13,0))</f>
        <v>75000</v>
      </c>
      <c r="D13" s="8"/>
      <c r="E13" s="8" t="str">
        <f>VLOOKUP($A13,[8]HISTOJUIN21!$A$6:$AU$39,8,0)</f>
        <v>BANQUE</v>
      </c>
      <c r="F13" s="8">
        <f>IF(N13="ECHEC",L13+(TONTMAI!I13*2),0)</f>
        <v>0</v>
      </c>
      <c r="G13" s="8"/>
      <c r="H13" s="8">
        <f>VLOOKUP($A13,[8]HISTOJUIN21!$A$6:$AU$39,36,0)</f>
        <v>0</v>
      </c>
      <c r="I13" s="8">
        <f>VLOOKUP($A13,[8]HISTOJUIN21!$A$6:$AU$39,39,0)</f>
        <v>0</v>
      </c>
      <c r="J13" s="8" t="str">
        <f>IF(H13&lt;&gt;0,VLOOKUP($A13,[8]HISTOJUIN21!$A$6:$AU$39,8,0),"ECHEC")</f>
        <v>ECHEC</v>
      </c>
      <c r="K13" s="8">
        <f>VLOOKUP($A13,[8]HISTOJUIN21!$A$6:$AU$39,41,0)</f>
        <v>0</v>
      </c>
      <c r="L13" s="8">
        <f>TONTMAI!H13+TONTMAI!I13+TONTMAI!F13</f>
        <v>0</v>
      </c>
      <c r="M13" s="8">
        <f>VLOOKUP(A13,[8]HISTOJUIN21!$A$6:$AZ$37,17,0)</f>
        <v>0</v>
      </c>
      <c r="N13" s="8" t="str">
        <f>IF(M13&lt;&gt;0,VLOOKUP($A13,[8]HISTOJUIN21!$A$6:$AU$39,8,0),"ECHEC")</f>
        <v>ECHEC</v>
      </c>
      <c r="O13" s="8" t="str">
        <f>IF(R13&lt;&gt;0,VLOOKUP($A13,[8]HISTOJUIN21!$A$6:$AU$39,8,0),"ECHEC")</f>
        <v>ECHEC</v>
      </c>
      <c r="P13" s="8">
        <f>VLOOKUP($A13,[8]HISTOJUIN21!$A$6:$AU$39,33,0)</f>
        <v>0</v>
      </c>
      <c r="Q13" s="8">
        <f t="shared" si="1"/>
        <v>0</v>
      </c>
      <c r="R13" s="8">
        <f>VLOOKUP($A13,[8]HISTOJUIN21!$A$6:$AU$39,30,0)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IF(E14="ECHEC",0,VLOOKUP($A14,[8]HISTOJUIN21!$A$6:$AU$39,13,0))</f>
        <v>225000</v>
      </c>
      <c r="D14" s="8"/>
      <c r="E14" s="8" t="str">
        <f>VLOOKUP($A14,[8]HISTOJUIN21!$A$6:$AU$39,8,0)</f>
        <v>BANQUE</v>
      </c>
      <c r="F14" s="8">
        <f>IF(N14="ECHEC",L14+(TONTMAI!I14*2),0)</f>
        <v>0</v>
      </c>
      <c r="G14" s="8"/>
      <c r="H14" s="8">
        <f>VLOOKUP($A14,[8]HISTOJUIN21!$A$6:$AU$39,36,0)</f>
        <v>100000</v>
      </c>
      <c r="I14" s="8">
        <f>VLOOKUP($A14,[8]HISTOJUIN21!$A$6:$AU$39,39,0)</f>
        <v>1000</v>
      </c>
      <c r="J14" s="8" t="str">
        <f>IF(H14&lt;&gt;0,VLOOKUP($A14,[8]HISTOJUIN21!$A$6:$AU$39,8,0),"ECHEC")</f>
        <v>BANQUE</v>
      </c>
      <c r="K14" s="8">
        <f>VLOOKUP($A14,[8]HISTOJUIN21!$A$6:$AU$39,41,0)</f>
        <v>0</v>
      </c>
      <c r="L14" s="8">
        <f>TONTMAI!H14+TONTMAI!I14+TONTMAI!F14</f>
        <v>51500</v>
      </c>
      <c r="M14" s="8">
        <f>VLOOKUP(A14,[8]HISTOJUIN21!$A$6:$AZ$37,17,0)</f>
        <v>51500</v>
      </c>
      <c r="N14" s="8" t="str">
        <f>IF(M14&lt;&gt;0,VLOOKUP($A14,[8]HISTOJUIN21!$A$6:$AU$39,8,0),"ECHEC")</f>
        <v>BANQUE</v>
      </c>
      <c r="O14" s="8" t="str">
        <f>IF(R14&lt;&gt;0,VLOOKUP($A14,[8]HISTOJUIN21!$A$6:$AU$39,8,0),"ECHEC")</f>
        <v>ECHEC</v>
      </c>
      <c r="P14" s="8">
        <f>VLOOKUP($A14,[8]HISTOJUIN21!$A$6:$AU$39,33,0)</f>
        <v>0</v>
      </c>
      <c r="Q14" s="8">
        <f t="shared" si="1"/>
        <v>0</v>
      </c>
      <c r="R14" s="8">
        <f>VLOOKUP($A14,[8]HISTOJUIN21!$A$6:$AU$39,30,0)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IF(N15="ECHEC",L15+(TONTMAI!I15*2),0)</f>
        <v>0</v>
      </c>
      <c r="G15" s="8"/>
      <c r="H15" s="8"/>
      <c r="I15" s="8"/>
      <c r="J15" s="8"/>
      <c r="K15" s="8"/>
      <c r="L15" s="8">
        <f>TONTMAI!H15+TONTMAI!I15+TONTMAI!F15</f>
        <v>0</v>
      </c>
      <c r="M15" s="8"/>
      <c r="N15" s="8"/>
      <c r="O15" s="8"/>
      <c r="P15" s="8">
        <f>VLOOKUP($A15,[8]HISTOJUIN21!$A$6:$AU$39,33,0)</f>
        <v>0</v>
      </c>
      <c r="Q15" s="8"/>
      <c r="R15" s="8">
        <f>VLOOKUP($A15,[8]HISTOJUIN21!$A$6:$AU$39,30,0)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IF(N16="ECHEC",L16+(TONTMAI!I16*2),0)</f>
        <v>0</v>
      </c>
      <c r="G16" s="8"/>
      <c r="H16" s="8"/>
      <c r="I16" s="8"/>
      <c r="J16" s="8"/>
      <c r="K16" s="8"/>
      <c r="L16" s="8">
        <f>TONTMAI!H16+TONTMAI!I16+TONTMAI!F16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IF(E17="ECHEC",0,VLOOKUP($A17,[8]HISTOJUIN21!$A$6:$AU$39,13,0))</f>
        <v>150000</v>
      </c>
      <c r="D17" s="8"/>
      <c r="E17" s="8" t="str">
        <f>VLOOKUP($A17,[8]HISTOJUIN21!$A$6:$AU$39,8,0)</f>
        <v>BANQUE</v>
      </c>
      <c r="F17" s="8">
        <f>IF(N17="ECHEC",L17+(TONTMAI!I17*2),0)</f>
        <v>0</v>
      </c>
      <c r="G17" s="8"/>
      <c r="H17" s="8">
        <f>VLOOKUP($A17,[8]HISTOJUIN21!$A$6:$AU$39,36,0)</f>
        <v>50000</v>
      </c>
      <c r="I17" s="8">
        <f>VLOOKUP($A17,[8]HISTOJUIN21!$A$6:$AU$39,39,0)</f>
        <v>1000</v>
      </c>
      <c r="J17" s="8" t="str">
        <f>IF(H17&lt;&gt;0,VLOOKUP($A17,[8]HISTOJUIN21!$A$6:$AU$39,8,0),"ECHEC")</f>
        <v>BANQUE</v>
      </c>
      <c r="K17" s="8">
        <f>VLOOKUP($A17,[8]HISTOJUIN21!$A$6:$AU$39,41,0)</f>
        <v>0</v>
      </c>
      <c r="L17" s="8">
        <f>TONTMAI!H17+TONTMAI!I17+TONTMAI!F17</f>
        <v>0</v>
      </c>
      <c r="M17" s="8">
        <f>VLOOKUP(A17,[8]HISTOJUIN21!$A$6:$AZ$37,17,0)</f>
        <v>0</v>
      </c>
      <c r="N17" s="8" t="str">
        <f>IF(M17&lt;&gt;0,VLOOKUP($A17,[8]HISTOJUIN21!$A$6:$AU$39,8,0),"ECHEC")</f>
        <v>ECHEC</v>
      </c>
      <c r="O17" s="8" t="str">
        <f>IF(R17&lt;&gt;0,VLOOKUP($A17,[8]HISTOJUIN21!$A$6:$AU$39,8,0),"ECHEC")</f>
        <v>BANQUE</v>
      </c>
      <c r="P17" s="8">
        <f>VLOOKUP($A17,[8]HISTOJUIN21!$A$6:$AU$39,33,0)</f>
        <v>0</v>
      </c>
      <c r="Q17" s="8">
        <f>IF(R17=0,0,($C$37-R17))</f>
        <v>1120000</v>
      </c>
      <c r="R17" s="8">
        <f>VLOOKUP($A17,[8]HISTOJUIN21!$A$6:$AU$39,30,0)</f>
        <v>80000</v>
      </c>
      <c r="S17" s="45">
        <f t="shared" si="0"/>
        <v>5000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IF(N18="ECHEC",L18+(TONTMAI!I18*2),0)</f>
        <v>0</v>
      </c>
      <c r="G18" s="8"/>
      <c r="H18" s="8"/>
      <c r="I18" s="8"/>
      <c r="J18" s="8"/>
      <c r="K18" s="8"/>
      <c r="L18" s="8">
        <f>TONTMAI!H18+TONTMAI!I18+TONTMAI!F18</f>
        <v>0</v>
      </c>
      <c r="M18" s="8"/>
      <c r="N18" s="8" t="str">
        <f>IF(M18&lt;&gt;0,VLOOKUP($A18,[8]HISTOJUIN21!$A$6:$AU$39,8,0),"ECHEC")</f>
        <v>ECHEC</v>
      </c>
      <c r="O18" s="8" t="str">
        <f>IF(R18&lt;&gt;0,VLOOKUP($A18,[8]HISTOJUIN21!$A$6:$AU$39,8,0),"ECHEC")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IF(E19="ECHEC",0,VLOOKUP($A19,[8]HISTOJUIN21!$A$6:$AU$39,13,0))</f>
        <v>75000</v>
      </c>
      <c r="D19" s="8"/>
      <c r="E19" s="8" t="str">
        <f>VLOOKUP($A19,[8]HISTOJUIN21!$A$6:$AU$39,8,0)</f>
        <v>BANQUE</v>
      </c>
      <c r="F19" s="8">
        <f>IF(N19="ECHEC",L19+(TONTMAI!I19*2),0)</f>
        <v>0</v>
      </c>
      <c r="G19" s="8"/>
      <c r="H19" s="8">
        <f>VLOOKUP($A19,[8]HISTOJUIN21!$A$6:$AU$39,36,0)</f>
        <v>100000</v>
      </c>
      <c r="I19" s="8">
        <f>VLOOKUP($A19,[8]HISTOJUIN21!$A$6:$AU$39,39,0)</f>
        <v>2000</v>
      </c>
      <c r="J19" s="8" t="str">
        <f>IF(H19&lt;&gt;0,VLOOKUP($A19,[8]HISTOJUIN21!$A$6:$AU$39,8,0),"ECHEC")</f>
        <v>BANQUE</v>
      </c>
      <c r="K19" s="8">
        <f>VLOOKUP($A19,[8]HISTOJUIN21!$A$6:$AU$39,41,0)</f>
        <v>0</v>
      </c>
      <c r="L19" s="8">
        <f>TONTMAI!H19+TONTMAI!I19+TONTMAI!F19</f>
        <v>103000</v>
      </c>
      <c r="M19" s="8">
        <f>VLOOKUP(A19,[8]HISTOJUIN21!$A$6:$AZ$37,17,0)</f>
        <v>103000</v>
      </c>
      <c r="N19" s="8" t="str">
        <f>IF(M19&lt;&gt;0,VLOOKUP($A19,[8]HISTOJUIN21!$A$6:$AU$39,8,0),"ECHEC")</f>
        <v>BANQUE</v>
      </c>
      <c r="O19" s="8" t="str">
        <f>IF(R19&lt;&gt;0,VLOOKUP($A19,[8]HISTOJUIN21!$A$6:$AU$39,8,0),"ECHEC")</f>
        <v>ECHEC</v>
      </c>
      <c r="P19" s="8">
        <f>VLOOKUP($A19,[8]HISTOJUIN21!$A$6:$AU$39,33,0)</f>
        <v>0</v>
      </c>
      <c r="Q19" s="8">
        <f>IF(R19=0,0,($C$37-R19))</f>
        <v>0</v>
      </c>
      <c r="R19" s="8">
        <f>VLOOKUP($A19,[8]HISTOJUIN21!$A$6:$AU$39,30,0)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IF(E20="ECHEC",0,VLOOKUP($A20,[8]HISTOJUIN21!$A$6:$AU$39,13,0))</f>
        <v>75000</v>
      </c>
      <c r="D20" s="8"/>
      <c r="E20" s="8" t="str">
        <f>VLOOKUP($A20,[8]HISTOJUIN21!$A$6:$AU$39,8,0)</f>
        <v>BANQUE</v>
      </c>
      <c r="F20" s="8">
        <f>IF(N20="ECHEC",L20+(TONTMAI!I20*2),0)</f>
        <v>0</v>
      </c>
      <c r="G20" s="8"/>
      <c r="H20" s="8">
        <f>VLOOKUP($A20,[8]HISTOJUIN21!$A$6:$AU$39,36,0)</f>
        <v>0</v>
      </c>
      <c r="I20" s="8">
        <f>VLOOKUP($A20,[8]HISTOJUIN21!$A$6:$AU$39,39,0)</f>
        <v>0</v>
      </c>
      <c r="J20" s="8" t="str">
        <f>IF(H20&lt;&gt;0,VLOOKUP($A20,[8]HISTOJUIN21!$A$6:$AU$39,8,0),"ECHEC")</f>
        <v>ECHEC</v>
      </c>
      <c r="K20" s="8">
        <f>VLOOKUP($A20,[8]HISTOJUIN21!$A$6:$AU$39,41,0)</f>
        <v>0</v>
      </c>
      <c r="L20" s="8">
        <f>TONTMAI!H20+TONTMAI!I20+TONTMAI!F20</f>
        <v>0</v>
      </c>
      <c r="M20" s="8">
        <f>VLOOKUP(A20,[8]HISTOJUIN21!$A$6:$AZ$37,17,0)</f>
        <v>0</v>
      </c>
      <c r="N20" s="8" t="str">
        <f>IF(M20&lt;&gt;0,VLOOKUP($A20,[8]HISTOJUIN21!$A$6:$AU$39,8,0),"ECHEC")</f>
        <v>ECHEC</v>
      </c>
      <c r="O20" s="8" t="str">
        <f>IF(R20&lt;&gt;0,VLOOKUP($A20,[8]HISTOJUIN21!$A$6:$AU$39,8,0),"ECHEC")</f>
        <v>ECHEC</v>
      </c>
      <c r="P20" s="8">
        <f>VLOOKUP($A20,[8]HISTOJUIN21!$A$6:$AU$39,33,0)</f>
        <v>0</v>
      </c>
      <c r="Q20" s="8">
        <f>IF(R20=0,0,($C$37-R20))</f>
        <v>0</v>
      </c>
      <c r="R20" s="8">
        <f>VLOOKUP($A20,[8]HISTOJUIN21!$A$6:$AU$39,30,0)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IF(E21="ECHEC",0,VLOOKUP($A21,[8]HISTOJUIN21!$A$6:$AU$39,13,0))</f>
        <v>75000</v>
      </c>
      <c r="D21" s="8"/>
      <c r="E21" s="8" t="str">
        <f>VLOOKUP($A21,[8]HISTOJUIN21!$A$6:$AU$39,8,0)</f>
        <v>BANQUE</v>
      </c>
      <c r="F21" s="8">
        <f>IF(N21="ECHEC",L21+(TONTMAI!I21*2),0)</f>
        <v>0</v>
      </c>
      <c r="G21" s="8"/>
      <c r="H21" s="8">
        <f>VLOOKUP($A21,[8]HISTOJUIN21!$A$6:$AU$39,36,0)</f>
        <v>0</v>
      </c>
      <c r="I21" s="8">
        <f>VLOOKUP($A21,[8]HISTOJUIN21!$A$6:$AU$39,39,0)</f>
        <v>0</v>
      </c>
      <c r="J21" s="8" t="str">
        <f>IF(H21&lt;&gt;0,VLOOKUP($A21,[8]HISTOJUIN21!$A$6:$AU$39,8,0),"ECHEC")</f>
        <v>ECHEC</v>
      </c>
      <c r="K21" s="8">
        <f>VLOOKUP($A21,[8]HISTOJUIN21!$A$6:$AU$39,41,0)</f>
        <v>0</v>
      </c>
      <c r="L21" s="8">
        <f>TONTMAI!H21+TONTMAI!I21+TONTMAI!F21</f>
        <v>0</v>
      </c>
      <c r="M21" s="8">
        <f>VLOOKUP(A21,[8]HISTOJUIN21!$A$6:$AZ$37,17,0)</f>
        <v>0</v>
      </c>
      <c r="N21" s="8" t="str">
        <f>IF(M21&lt;&gt;0,VLOOKUP($A21,[8]HISTOJUIN21!$A$6:$AU$39,8,0),"ECHEC")</f>
        <v>ECHEC</v>
      </c>
      <c r="O21" s="8" t="str">
        <f>IF(R21&lt;&gt;0,VLOOKUP($A21,[8]HISTOJUIN21!$A$6:$AU$39,8,0),"ECHEC")</f>
        <v>ECHEC</v>
      </c>
      <c r="P21" s="8">
        <f>VLOOKUP($A21,[8]HISTOJUIN21!$A$6:$AU$39,33,0)</f>
        <v>0</v>
      </c>
      <c r="Q21" s="8">
        <f>IF(R21=0,0,($C$37-R21))</f>
        <v>0</v>
      </c>
      <c r="R21" s="8">
        <f>VLOOKUP($A21,[8]HISTOJUIN21!$A$6:$AU$39,30,0)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IF(E22="ECHEC",0,VLOOKUP($A22,[8]HISTOJUIN21!$A$6:$AU$39,13,0))</f>
        <v>0</v>
      </c>
      <c r="D22" s="8"/>
      <c r="E22" s="8"/>
      <c r="F22" s="8">
        <f>IF(N22="ECHEC",L22+(TONTMAI!I22*2),0)</f>
        <v>0</v>
      </c>
      <c r="G22" s="8"/>
      <c r="H22" s="8">
        <f>VLOOKUP($A22,[8]HISTOJUIN21!$A$6:$AU$39,36,0)</f>
        <v>0</v>
      </c>
      <c r="I22" s="8">
        <f>VLOOKUP($A22,[8]HISTOJUIN21!$A$6:$AU$39,39,0)</f>
        <v>0</v>
      </c>
      <c r="J22" s="8" t="str">
        <f>IF(H22&lt;&gt;0,VLOOKUP($A22,[8]HISTOJUIN21!$A$6:$AU$39,8,0),"ECHEC")</f>
        <v>ECHEC</v>
      </c>
      <c r="K22" s="8">
        <f>VLOOKUP($A22,[8]HISTOJUIN21!$A$6:$AU$39,41,0)</f>
        <v>0</v>
      </c>
      <c r="L22" s="8">
        <f>TONTMAI!H22+TONTMAI!I22+TONTMAI!F22</f>
        <v>0</v>
      </c>
      <c r="M22" s="8">
        <f>VLOOKUP(A22,[8]HISTOJUIN21!$A$6:$AZ$37,17,0)</f>
        <v>0</v>
      </c>
      <c r="N22" s="8" t="str">
        <f>IF(M22&lt;&gt;0,VLOOKUP($A22,[8]HISTOJUIN21!$A$6:$AU$39,8,0),"ECHEC")</f>
        <v>ECHEC</v>
      </c>
      <c r="O22" s="8" t="str">
        <f>IF(R22&lt;&gt;0,VLOOKUP($A22,[8]HISTOJUIN21!$A$6:$AU$39,8,0),"ECHEC")</f>
        <v>ECHEC</v>
      </c>
      <c r="P22" s="8">
        <f>VLOOKUP($A22,[8]HISTOJUIN21!$A$6:$AU$39,33,0)</f>
        <v>0</v>
      </c>
      <c r="Q22" s="8">
        <f>IF(R22=0,0,($C$37-R22))</f>
        <v>0</v>
      </c>
      <c r="R22" s="8">
        <f>VLOOKUP($A22,[8]HISTOJUIN21!$A$6:$AU$39,30,0)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IF(E23="ECHEC",0,VLOOKUP($A23,[8]HISTOJUIN21!$A$6:$AU$39,13,0))</f>
        <v>150000</v>
      </c>
      <c r="D23" s="8"/>
      <c r="E23" s="8" t="str">
        <f>VLOOKUP($A23,[8]HISTOJUIN21!$A$6:$AU$39,8,0)</f>
        <v>BANQUE</v>
      </c>
      <c r="F23" s="8">
        <f>IF(N23="ECHEC",L23+(TONTMAI!I23*2),0)</f>
        <v>0</v>
      </c>
      <c r="G23" s="8"/>
      <c r="H23" s="8">
        <f>VLOOKUP($A23,[8]HISTOJUIN21!$A$6:$AU$39,36,0)</f>
        <v>0</v>
      </c>
      <c r="I23" s="8">
        <f>VLOOKUP($A23,[8]HISTOJUIN21!$A$6:$AU$39,39,0)</f>
        <v>0</v>
      </c>
      <c r="J23" s="8" t="str">
        <f>IF(H23&lt;&gt;0,VLOOKUP($A23,[8]HISTOJUIN21!$A$6:$AU$39,8,0),"ECHEC")</f>
        <v>ECHEC</v>
      </c>
      <c r="K23" s="8">
        <f>VLOOKUP($A23,[8]HISTOJUIN21!$A$6:$AU$39,41,0)</f>
        <v>0</v>
      </c>
      <c r="L23" s="8">
        <f>TONTMAI!H23+TONTMAI!I23+TONTMAI!F23</f>
        <v>0</v>
      </c>
      <c r="M23" s="8"/>
      <c r="N23" s="8" t="str">
        <f>IF(M23&lt;&gt;0,VLOOKUP($A23,[8]HISTOJUIN21!$A$6:$AU$39,8,0),"ECHEC")</f>
        <v>ECHEC</v>
      </c>
      <c r="O23" s="8" t="str">
        <f>IF(R23&lt;&gt;0,VLOOKUP($A23,[8]HISTOJUIN21!$A$6:$AU$39,8,0),"ECHEC")</f>
        <v>ECHEC</v>
      </c>
      <c r="P23" s="8">
        <f>VLOOKUP($A23,[8]HISTOJUIN21!$A$6:$AU$39,33,0)</f>
        <v>0</v>
      </c>
      <c r="Q23" s="8">
        <f>IF(R23=0,0,($C$37-R23))</f>
        <v>0</v>
      </c>
      <c r="R23" s="8">
        <f>VLOOKUP($A23,[8]HISTOJUIN21!$A$6:$AU$39,30,0)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IF(N24="ECHEC",L24+(TONTMAI!I24*2),0)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5000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688500</v>
      </c>
      <c r="I27" s="9">
        <f t="shared" si="2"/>
        <v>12000</v>
      </c>
      <c r="J27" s="9">
        <f t="shared" si="2"/>
        <v>0</v>
      </c>
      <c r="K27" s="9">
        <f t="shared" si="2"/>
        <v>0</v>
      </c>
      <c r="L27" s="9">
        <f>SUM(L6:L26)</f>
        <v>533500</v>
      </c>
      <c r="M27" s="9">
        <f t="shared" si="2"/>
        <v>533500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1120000</v>
      </c>
      <c r="R27" s="9">
        <f t="shared" si="2"/>
        <v>80000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C34+D34+R27+TONTMAI!M34</f>
        <v>1888500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0</v>
      </c>
      <c r="D31" s="9">
        <f>SUMIFS(L2:L21,N2:N21,"ESPECES")+SUMIFS(F2:F21,G2:G21,"ESPECES")</f>
        <v>0</v>
      </c>
      <c r="E31" s="9">
        <f>SUMIFS(H6:H25,J6:J25,"ESPECES")</f>
        <v>0</v>
      </c>
      <c r="F31" s="9">
        <f>SUMIFS(Q6:Q25,O6:O25,"ESPECES")</f>
        <v>0</v>
      </c>
      <c r="G31" s="9">
        <f>C31+D31-E31-F31</f>
        <v>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1275000</v>
      </c>
      <c r="D32" s="9">
        <f>SUMIFS(M3:M22,N3:N22,"BANQUE")+SUMIFS(F3:F22,G3:G22,"BANQUE")</f>
        <v>533500</v>
      </c>
      <c r="E32" s="9">
        <f>SUMIFS(H6:H25,J6:J25,"BANQUE")</f>
        <v>688500</v>
      </c>
      <c r="F32" s="9">
        <f>SUMIFS(Q6:Q25,O6:O25,"BANQUE")</f>
        <v>1120000</v>
      </c>
      <c r="G32" s="9">
        <f>C32+D32-E32-F32</f>
        <v>0</v>
      </c>
      <c r="H32" s="3"/>
      <c r="K32" s="9" t="s">
        <v>33</v>
      </c>
      <c r="L32" s="9">
        <f>L29-L30</f>
        <v>688500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533500</v>
      </c>
      <c r="E34" s="21">
        <f t="shared" ref="E34" si="3">E31+E32</f>
        <v>688500</v>
      </c>
      <c r="F34" s="21">
        <f>F31+F32</f>
        <v>1120000</v>
      </c>
      <c r="G34" s="21">
        <f>G31+G32</f>
        <v>0</v>
      </c>
      <c r="H34" s="3"/>
      <c r="K34" s="9" t="s">
        <v>56</v>
      </c>
      <c r="L34" s="9">
        <f>L32-H27</f>
        <v>0</v>
      </c>
      <c r="M34" s="9">
        <f>L34</f>
        <v>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L36+TONTMAI!M36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L37+TONTMAI!M37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</sheetData>
  <autoFilter ref="A5:R24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44398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IF(E6="ECHEC",0,VLOOKUP($A6,[8]HISTOJUIL21!$A$6:$AU$39,13,0))</f>
        <v>75000</v>
      </c>
      <c r="D6" s="8"/>
      <c r="E6" s="8" t="str">
        <f>VLOOKUP($A6,[8]HISTOJUIL21!$A$6:$AU$39,8,0)</f>
        <v>BANQUE</v>
      </c>
      <c r="F6" s="8">
        <f>IF(N6="ECHEC",L6+(TONTJUIN!I6*2),0)</f>
        <v>0</v>
      </c>
      <c r="G6" s="7"/>
      <c r="H6" s="8">
        <f>VLOOKUP($A6,[8]HISTOJUIL21!$A$6:$AU$39,36,0)</f>
        <v>0</v>
      </c>
      <c r="I6" s="8">
        <f>VLOOKUP($A6,[8]HISTOJUIL21!$A$6:$AU$39,39,0)</f>
        <v>0</v>
      </c>
      <c r="J6" s="8" t="str">
        <f>IF(H6&lt;&gt;0,VLOOKUP($A6,[8]HISTOJUIL21!$A$6:$AU$39,8,0),"ECHEC")</f>
        <v>ECHEC</v>
      </c>
      <c r="K6" s="8">
        <f>VLOOKUP($A6,[8]HISTOJUIL21!$A$6:$AU$39,41,0)</f>
        <v>0</v>
      </c>
      <c r="L6" s="8">
        <f>TONTJUIN!H6+TONTJUIN!I6+TONTJUIN!F6</f>
        <v>0</v>
      </c>
      <c r="M6" s="8">
        <f>VLOOKUP(A6,[8]HISTOJUIL21!$A$6:$AZ$37,17,0)</f>
        <v>0</v>
      </c>
      <c r="N6" s="8" t="str">
        <f>IF(L6&lt;&gt;0,VLOOKUP($A6,[8]HISTOJUIL21!$A$6:$AU$39,8,0),"ECHEC")</f>
        <v>ECHEC</v>
      </c>
      <c r="O6" s="8" t="str">
        <f>IF(R6&lt;&gt;0,VLOOKUP($A6,[8]HISTOJUIL21!$A$6:$AU$39,8,0),"ECHEC")</f>
        <v>ECHEC</v>
      </c>
      <c r="P6" s="8">
        <f>VLOOKUP($A6,[8]HISTOJUIL21!$A$6:$AU$39,33,0)</f>
        <v>0</v>
      </c>
      <c r="Q6" s="8">
        <f>IF(R6=0,0,($C$37-R6))</f>
        <v>0</v>
      </c>
      <c r="R6" s="8">
        <f>VLOOKUP($A6,[8]HISTOJUIL21!$A$6:$AU$39,30,0)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IF(N7="ECHEC",L7+(TONTJUIN!I7*2),0)</f>
        <v>0</v>
      </c>
      <c r="G7" s="7"/>
      <c r="H7" s="8"/>
      <c r="I7" s="8"/>
      <c r="J7" s="8"/>
      <c r="K7" s="8"/>
      <c r="L7" s="8">
        <f>TONTJUIN!H7+TONTJUIN!I7+TONTJUIN!F7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IF(E8="ECHEC",0,VLOOKUP($A8,[8]HISTOJUIL21!$A$6:$AU$39,13,0))</f>
        <v>75000</v>
      </c>
      <c r="D8" s="8"/>
      <c r="E8" s="8" t="str">
        <f>VLOOKUP($A8,[8]HISTOJUIL21!$A$6:$AU$39,8,0)</f>
        <v>BANQUE</v>
      </c>
      <c r="F8" s="8">
        <f>IF(N8="ECHEC",L8+(TONTJUIN!I8*2),0)</f>
        <v>0</v>
      </c>
      <c r="G8" s="8"/>
      <c r="H8" s="8">
        <f>VLOOKUP($A8,[8]HISTOJUIL21!$A$6:$AU$39,36,0)</f>
        <v>200000</v>
      </c>
      <c r="I8" s="8">
        <f>VLOOKUP($A8,[8]HISTOJUIL21!$A$6:$AU$39,39,0)</f>
        <v>2000</v>
      </c>
      <c r="J8" s="8" t="str">
        <f>IF(H8&lt;&gt;0,VLOOKUP($A8,[8]HISTOJUIL21!$A$6:$AU$39,8,0),"ECHEC")</f>
        <v>BANQUE</v>
      </c>
      <c r="K8" s="8">
        <f>VLOOKUP($A8,[8]HISTOJUIL21!$A$6:$AU$39,41,0)</f>
        <v>0</v>
      </c>
      <c r="L8" s="8">
        <f>TONTJUIN!H8+TONTJUIN!I8+TONTJUIN!F8</f>
        <v>140500</v>
      </c>
      <c r="M8" s="8">
        <f>VLOOKUP(A8,[8]HISTOJUIL21!$A$6:$AZ$37,17,0)</f>
        <v>140500</v>
      </c>
      <c r="N8" s="8" t="str">
        <f>IF(M8&lt;&gt;0,VLOOKUP($A8,[8]HISTOJUIL21!$A$6:$AU$39,8,0),"ECHEC")</f>
        <v>BANQUE</v>
      </c>
      <c r="O8" s="8" t="str">
        <f>IF(R8&lt;&gt;0,VLOOKUP($A8,[8]HISTOJUIL21!$A$6:$AU$39,8,0),"ECHEC")</f>
        <v>ECHEC</v>
      </c>
      <c r="P8" s="8">
        <f>VLOOKUP($A8,[8]HISTOJUIL21!$A$6:$AU$39,33,0)</f>
        <v>0</v>
      </c>
      <c r="Q8" s="8">
        <f t="shared" ref="Q8:Q14" si="1">IF(R8=0,0,($C$37-R8))</f>
        <v>0</v>
      </c>
      <c r="R8" s="8">
        <f>VLOOKUP($A8,[8]HISTOJUIL21!$A$6:$AU$39,30,0)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IF(E9="ECHEC",0,VLOOKUP($A9,[8]HISTOJUIL21!$A$6:$AU$39,13,0))</f>
        <v>75000</v>
      </c>
      <c r="D9" s="8"/>
      <c r="E9" s="8" t="str">
        <f>VLOOKUP($A9,[8]HISTOJUIL21!$A$6:$AU$39,8,0)</f>
        <v>BANQUE</v>
      </c>
      <c r="F9" s="8">
        <f>IF(N9="ECHEC",L9+(TONTJUIN!I9*2),0)</f>
        <v>0</v>
      </c>
      <c r="G9" s="8"/>
      <c r="H9" s="8">
        <f>VLOOKUP($A9,[8]HISTOJUIL21!$A$6:$AU$39,36,0)</f>
        <v>149500</v>
      </c>
      <c r="I9" s="8">
        <f>VLOOKUP($A9,[8]HISTOJUIL21!$A$6:$AU$39,39,0)</f>
        <v>2000</v>
      </c>
      <c r="J9" s="8" t="str">
        <f>IF(H9&lt;&gt;0,VLOOKUP($A9,[8]HISTOJUIL21!$A$6:$AU$39,8,0),"ECHEC")</f>
        <v>BANQUE</v>
      </c>
      <c r="K9" s="8">
        <f>VLOOKUP($A9,[8]HISTOJUIL21!$A$6:$AU$39,41,0)</f>
        <v>0</v>
      </c>
      <c r="L9" s="8">
        <f>TONTJUIN!H9+TONTJUIN!I9+TONTJUIN!F9</f>
        <v>204000</v>
      </c>
      <c r="M9" s="8">
        <f>VLOOKUP(A9,[8]HISTOJUIL21!$A$6:$AZ$37,17,0)</f>
        <v>204000</v>
      </c>
      <c r="N9" s="8" t="str">
        <f>IF(M9&lt;&gt;0,VLOOKUP($A9,[8]HISTOJUIL21!$A$6:$AU$39,8,0),"ECHEC")</f>
        <v>BANQUE</v>
      </c>
      <c r="O9" s="8" t="str">
        <f>IF(R9&lt;&gt;0,VLOOKUP($A9,[8]HISTOJUIL21!$A$6:$AU$39,8,0),"ECHEC")</f>
        <v>ECHEC</v>
      </c>
      <c r="P9" s="8">
        <f>VLOOKUP($A9,[8]HISTOJUIL21!$A$6:$AU$39,33,0)</f>
        <v>0</v>
      </c>
      <c r="Q9" s="8">
        <f t="shared" si="1"/>
        <v>0</v>
      </c>
      <c r="R9" s="8">
        <f>VLOOKUP($A9,[8]HISTOJUIL21!$A$6:$AU$39,30,0)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IF(E10="ECHEC",0,VLOOKUP($A10,[8]HISTOJUIL21!$A$6:$AU$39,13,0))</f>
        <v>75000</v>
      </c>
      <c r="D10" s="8"/>
      <c r="E10" s="8" t="str">
        <f>VLOOKUP($A10,[8]HISTOJUIL21!$A$6:$AU$39,8,0)</f>
        <v>BANQUE</v>
      </c>
      <c r="F10" s="8">
        <f>IF(N10="ECHEC",L10+(TONTJUIN!I10*2),0)</f>
        <v>0</v>
      </c>
      <c r="G10" s="8"/>
      <c r="H10" s="8">
        <f>VLOOKUP($A10,[8]HISTOJUIL21!$A$6:$AU$39,36,0)</f>
        <v>0</v>
      </c>
      <c r="I10" s="8">
        <f>VLOOKUP($A10,[8]HISTOJUIL21!$A$6:$AU$39,39,0)</f>
        <v>0</v>
      </c>
      <c r="J10" s="8" t="str">
        <f>IF(H10&lt;&gt;0,VLOOKUP($A10,[8]HISTOJUIL21!$A$6:$AU$39,8,0),"ECHEC")</f>
        <v>ECHEC</v>
      </c>
      <c r="K10" s="8">
        <f>VLOOKUP($A10,[8]HISTOJUIL21!$A$6:$AU$39,41,0)</f>
        <v>0</v>
      </c>
      <c r="L10" s="8">
        <f>TONTJUIN!H10+TONTJUIN!I10+TONTJUIN!F10</f>
        <v>0</v>
      </c>
      <c r="M10" s="8">
        <f>VLOOKUP(A10,[8]HISTOJUIL21!$A$6:$AZ$37,17,0)</f>
        <v>0</v>
      </c>
      <c r="N10" s="8" t="str">
        <f>IF(M10&lt;&gt;0,VLOOKUP($A10,[8]HISTOJUIL21!$A$6:$AU$39,8,0),"ECHEC")</f>
        <v>ECHEC</v>
      </c>
      <c r="O10" s="8" t="str">
        <f>IF(R10&lt;&gt;0,VLOOKUP($A10,[8]HISTOJUIL21!$A$6:$AU$39,8,0),"ECHEC")</f>
        <v>ECHEC</v>
      </c>
      <c r="P10" s="8">
        <f>VLOOKUP($A10,[8]HISTOJUIL21!$A$6:$AU$39,33,0)</f>
        <v>0</v>
      </c>
      <c r="Q10" s="8">
        <f t="shared" si="1"/>
        <v>0</v>
      </c>
      <c r="R10" s="8">
        <f>VLOOKUP($A10,[8]HISTOJUIL21!$A$6:$AU$39,30,0)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IF(E11="ECHEC",0,VLOOKUP($A11,[8]HISTOJUIL21!$A$6:$AU$39,13,0))</f>
        <v>75000</v>
      </c>
      <c r="D11" s="8"/>
      <c r="E11" s="8" t="str">
        <f>VLOOKUP($A11,[8]HISTOJUIL21!$A$6:$AU$39,8,0)</f>
        <v>BANQUE</v>
      </c>
      <c r="F11" s="8">
        <f>IF(N11="ECHEC",L11+(TONTJUIN!I11*2),0)</f>
        <v>0</v>
      </c>
      <c r="G11" s="8"/>
      <c r="H11" s="8">
        <f>VLOOKUP($A11,[8]HISTOJUIL21!$A$6:$AU$39,36,0)</f>
        <v>0</v>
      </c>
      <c r="I11" s="8">
        <f>VLOOKUP($A11,[8]HISTOJUIL21!$A$6:$AU$39,39,0)</f>
        <v>0</v>
      </c>
      <c r="J11" s="8" t="str">
        <f>IF(H11&lt;&gt;0,VLOOKUP($A11,[8]HISTOJUIL21!$A$6:$AU$39,8,0),"ECHEC")</f>
        <v>ECHEC</v>
      </c>
      <c r="K11" s="8">
        <f>VLOOKUP($A11,[8]HISTOJUIL21!$A$6:$AU$39,41,0)</f>
        <v>0</v>
      </c>
      <c r="L11" s="8">
        <f>TONTJUIN!H11+TONTJUIN!I11+TONTJUIN!F11</f>
        <v>0</v>
      </c>
      <c r="M11" s="8">
        <f>VLOOKUP(A11,[8]HISTOJUIL21!$A$6:$AZ$37,17,0)</f>
        <v>0</v>
      </c>
      <c r="N11" s="8" t="str">
        <f>IF(M11&lt;&gt;0,VLOOKUP($A11,[8]HISTOJUIL21!$A$6:$AU$39,8,0),"ECHEC")</f>
        <v>ECHEC</v>
      </c>
      <c r="O11" s="8" t="str">
        <f>IF(R11&lt;&gt;0,VLOOKUP($A11,[8]HISTOJUIL21!$A$6:$AU$39,8,0),"ECHEC")</f>
        <v>ECHEC</v>
      </c>
      <c r="P11" s="8">
        <f>VLOOKUP($A11,[8]HISTOJUIL21!$A$6:$AU$39,33,0)</f>
        <v>0</v>
      </c>
      <c r="Q11" s="8">
        <f t="shared" si="1"/>
        <v>0</v>
      </c>
      <c r="R11" s="8">
        <f>VLOOKUP($A11,[8]HISTOJUIL21!$A$6:$AU$39,30,0)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IF(E12="ECHEC",0,VLOOKUP($A12,[8]HISTOJUIL21!$A$6:$AU$39,13,0))</f>
        <v>75000</v>
      </c>
      <c r="D12" s="8"/>
      <c r="E12" s="8" t="str">
        <f>VLOOKUP($A12,[8]HISTOJUIL21!$A$6:$AU$39,8,0)</f>
        <v>BANQUE</v>
      </c>
      <c r="F12" s="8">
        <f>IF(N12="ECHEC",L12+(TONTJUIN!I12*2),0)</f>
        <v>0</v>
      </c>
      <c r="G12" s="8"/>
      <c r="H12" s="8">
        <f>VLOOKUP($A12,[8]HISTOJUIL21!$A$6:$AU$39,36,0)</f>
        <v>200000</v>
      </c>
      <c r="I12" s="8">
        <f>VLOOKUP($A12,[8]HISTOJUIL21!$A$6:$AU$39,39,0)</f>
        <v>2000</v>
      </c>
      <c r="J12" s="8" t="str">
        <f>IF(H12&lt;&gt;0,VLOOKUP($A12,[8]HISTOJUIL21!$A$6:$AU$39,8,0),"ECHEC")</f>
        <v>BANQUE</v>
      </c>
      <c r="K12" s="8">
        <f>VLOOKUP($A12,[8]HISTOJUIL21!$A$6:$AU$39,41,0)</f>
        <v>0</v>
      </c>
      <c r="L12" s="8">
        <f>TONTJUIN!H12+TONTJUIN!I12+TONTJUIN!F12</f>
        <v>102000</v>
      </c>
      <c r="M12" s="8">
        <f>VLOOKUP(A12,[8]HISTOJUIL21!$A$6:$AZ$37,17,0)</f>
        <v>102000</v>
      </c>
      <c r="N12" s="8" t="str">
        <f>IF(M12&lt;&gt;0,VLOOKUP($A12,[8]HISTOJUIL21!$A$6:$AU$39,8,0),"ECHEC")</f>
        <v>BANQUE</v>
      </c>
      <c r="O12" s="8" t="str">
        <f>IF(R12&lt;&gt;0,VLOOKUP($A12,[8]HISTOJUIL21!$A$6:$AU$39,8,0),"ECHEC")</f>
        <v>ECHEC</v>
      </c>
      <c r="P12" s="8">
        <f>VLOOKUP($A12,[8]HISTOJUIL21!$A$6:$AU$39,33,0)</f>
        <v>0</v>
      </c>
      <c r="Q12" s="8">
        <f t="shared" si="1"/>
        <v>0</v>
      </c>
      <c r="R12" s="8">
        <f>VLOOKUP($A12,[8]HISTOJUIL21!$A$6:$AU$39,30,0)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IF(E13="ECHEC",0,VLOOKUP($A13,[8]HISTOJUIL21!$A$6:$AU$39,13,0))</f>
        <v>75000</v>
      </c>
      <c r="D13" s="8"/>
      <c r="E13" s="8" t="str">
        <f>VLOOKUP($A13,[8]HISTOJUIL21!$A$6:$AU$39,8,0)</f>
        <v>BANQUE</v>
      </c>
      <c r="F13" s="8">
        <f>IF(N13="ECHEC",L13+(TONTJUIN!I13*2),0)</f>
        <v>0</v>
      </c>
      <c r="G13" s="8"/>
      <c r="H13" s="8">
        <f>VLOOKUP($A13,[8]HISTOJUIL21!$A$6:$AU$39,36,0)</f>
        <v>0</v>
      </c>
      <c r="I13" s="8">
        <f>VLOOKUP($A13,[8]HISTOJUIL21!$A$6:$AU$39,39,0)</f>
        <v>0</v>
      </c>
      <c r="J13" s="8" t="str">
        <f>IF(H13&lt;&gt;0,VLOOKUP($A13,[8]HISTOJUIL21!$A$6:$AU$39,8,0),"ECHEC")</f>
        <v>ECHEC</v>
      </c>
      <c r="K13" s="8">
        <f>VLOOKUP($A13,[8]HISTOJUIL21!$A$6:$AU$39,41,0)</f>
        <v>0</v>
      </c>
      <c r="L13" s="8">
        <f>TONTJUIN!H13+TONTJUIN!I13+TONTJUIN!F13</f>
        <v>0</v>
      </c>
      <c r="M13" s="8">
        <f>VLOOKUP(A13,[8]HISTOJUIL21!$A$6:$AZ$37,17,0)</f>
        <v>0</v>
      </c>
      <c r="N13" s="8" t="str">
        <f>IF(M13&lt;&gt;0,VLOOKUP($A13,[8]HISTOJUIL21!$A$6:$AU$39,8,0),"ECHEC")</f>
        <v>ECHEC</v>
      </c>
      <c r="O13" s="8" t="str">
        <f>IF(R13&lt;&gt;0,VLOOKUP($A13,[8]HISTOJUIL21!$A$6:$AU$39,8,0),"ECHEC")</f>
        <v>ECHEC</v>
      </c>
      <c r="P13" s="8">
        <f>VLOOKUP($A13,[8]HISTOJUIL21!$A$6:$AU$39,33,0)</f>
        <v>0</v>
      </c>
      <c r="Q13" s="8">
        <f t="shared" si="1"/>
        <v>0</v>
      </c>
      <c r="R13" s="8">
        <f>VLOOKUP($A13,[8]HISTOJUIL21!$A$6:$AU$39,30,0)</f>
        <v>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IF(E14="ECHEC",0,VLOOKUP($A14,[8]HISTOJUIL21!$A$6:$AU$39,13,0))</f>
        <v>225000</v>
      </c>
      <c r="D14" s="8"/>
      <c r="E14" s="8" t="str">
        <f>VLOOKUP($A14,[8]HISTOJUIL21!$A$6:$AU$39,8,0)</f>
        <v>BANQUE</v>
      </c>
      <c r="F14" s="8">
        <f>IF(N14="ECHEC",L14+(TONTJUIN!I14*2),0)</f>
        <v>0</v>
      </c>
      <c r="G14" s="8"/>
      <c r="H14" s="8">
        <f>VLOOKUP($A14,[8]HISTOJUIL21!$A$6:$AU$39,36,0)</f>
        <v>0</v>
      </c>
      <c r="I14" s="8">
        <f>VLOOKUP($A14,[8]HISTOJUIL21!$A$6:$AU$39,39,0)</f>
        <v>0</v>
      </c>
      <c r="J14" s="8" t="str">
        <f>IF(H14&lt;&gt;0,VLOOKUP($A14,[8]HISTOJUIL21!$A$6:$AU$39,8,0),"ECHEC")</f>
        <v>ECHEC</v>
      </c>
      <c r="K14" s="8">
        <f>VLOOKUP($A14,[8]HISTOJUIL21!$A$6:$AU$39,41,0)</f>
        <v>0</v>
      </c>
      <c r="L14" s="8">
        <f>TONTJUIN!H14+TONTJUIN!I14+TONTJUIN!F14</f>
        <v>101000</v>
      </c>
      <c r="M14" s="8">
        <f>VLOOKUP(A14,[8]HISTOJUIL21!$A$6:$AZ$37,17,0)</f>
        <v>101000</v>
      </c>
      <c r="N14" s="8" t="str">
        <f>IF(M14&lt;&gt;0,VLOOKUP($A14,[8]HISTOJUIL21!$A$6:$AU$39,8,0),"ECHEC")</f>
        <v>BANQUE</v>
      </c>
      <c r="O14" s="8" t="str">
        <f>IF(R14&lt;&gt;0,VLOOKUP($A14,[8]HISTOJUIL21!$A$6:$AU$39,8,0),"ECHEC")</f>
        <v>ECHEC</v>
      </c>
      <c r="P14" s="8">
        <f>VLOOKUP($A14,[8]HISTOJUIL21!$A$6:$AU$39,33,0)</f>
        <v>0</v>
      </c>
      <c r="Q14" s="8">
        <f t="shared" si="1"/>
        <v>0</v>
      </c>
      <c r="R14" s="8">
        <f>VLOOKUP($A14,[8]HISTOJUIL21!$A$6:$AU$39,30,0)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IF(N15="ECHEC",L15+(TONTJUIN!I15*2),0)</f>
        <v>0</v>
      </c>
      <c r="G15" s="8"/>
      <c r="H15" s="8"/>
      <c r="I15" s="8"/>
      <c r="J15" s="8"/>
      <c r="K15" s="8"/>
      <c r="L15" s="8">
        <f>TONTJUIN!H15+TONTJUIN!I15+TONTJUIN!F15</f>
        <v>0</v>
      </c>
      <c r="M15" s="8"/>
      <c r="N15" s="8"/>
      <c r="O15" s="8"/>
      <c r="P15" s="8">
        <f>VLOOKUP($A15,[8]HISTOJUIL21!$A$6:$AU$39,33,0)</f>
        <v>0</v>
      </c>
      <c r="Q15" s="8"/>
      <c r="R15" s="8">
        <f>VLOOKUP($A15,[8]HISTOJUIL21!$A$6:$AU$39,30,0)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IF(N16="ECHEC",L16+(TONTJUIN!I16*2),0)</f>
        <v>0</v>
      </c>
      <c r="G16" s="8"/>
      <c r="H16" s="8"/>
      <c r="I16" s="8"/>
      <c r="J16" s="8"/>
      <c r="K16" s="8"/>
      <c r="L16" s="8">
        <f>TONTJUIN!H16+TONTJUIN!I16+TONTJUIN!F16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IF(E17="ECHEC",0,VLOOKUP($A17,[8]HISTOJUIL21!$A$6:$AU$39,13,0))</f>
        <v>150000</v>
      </c>
      <c r="D17" s="8"/>
      <c r="E17" s="8" t="str">
        <f>VLOOKUP($A17,[8]HISTOJUIL21!$A$6:$AU$39,8,0)</f>
        <v>BANQUE</v>
      </c>
      <c r="F17" s="8">
        <f>IF(N17="ECHEC",L17+(TONTJUIN!I17*2),0)</f>
        <v>0</v>
      </c>
      <c r="G17" s="8"/>
      <c r="H17" s="8">
        <f>VLOOKUP($A17,[8]HISTOJUIL21!$A$6:$AU$39,36,0)</f>
        <v>100000</v>
      </c>
      <c r="I17" s="8">
        <f>VLOOKUP($A17,[8]HISTOJUIL21!$A$6:$AU$39,39,0)</f>
        <v>1000</v>
      </c>
      <c r="J17" s="8" t="str">
        <f>IF(H17&lt;&gt;0,VLOOKUP($A17,[8]HISTOJUIL21!$A$6:$AU$39,8,0),"ECHEC")</f>
        <v>BANQUE</v>
      </c>
      <c r="K17" s="8">
        <f>VLOOKUP($A17,[8]HISTOJUIL21!$A$6:$AU$39,41,0)</f>
        <v>0</v>
      </c>
      <c r="L17" s="8">
        <f>TONTJUIN!H17+TONTJUIN!I17+TONTJUIN!F17</f>
        <v>51000</v>
      </c>
      <c r="M17" s="8">
        <f>VLOOKUP(A17,[8]HISTOJUIL21!$A$6:$AZ$37,17,0)</f>
        <v>51000</v>
      </c>
      <c r="N17" s="8" t="str">
        <f>IF(M17&lt;&gt;0,VLOOKUP($A17,[8]HISTOJUIL21!$A$6:$AU$39,8,0),"ECHEC")</f>
        <v>BANQUE</v>
      </c>
      <c r="O17" s="8" t="str">
        <f>IF(R17&lt;&gt;0,VLOOKUP($A17,[8]HISTOJUIL21!$A$6:$AU$39,8,0),"ECHEC")</f>
        <v>ECHEC</v>
      </c>
      <c r="P17" s="8">
        <f>VLOOKUP($A17,[8]HISTOJUIL21!$A$6:$AU$39,33,0)</f>
        <v>0</v>
      </c>
      <c r="Q17" s="8">
        <f>IF(R17=0,0,($C$37-R17))</f>
        <v>0</v>
      </c>
      <c r="R17" s="8">
        <f>VLOOKUP($A17,[8]HISTOJUIL21!$A$6:$AU$39,30,0)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IF(N18="ECHEC",L18+(TONTJUIN!I18*2),0)</f>
        <v>0</v>
      </c>
      <c r="G18" s="8"/>
      <c r="H18" s="8"/>
      <c r="I18" s="8"/>
      <c r="J18" s="8"/>
      <c r="K18" s="8"/>
      <c r="L18" s="8">
        <f>TONTJUIN!H18+TONTJUIN!I18+TONTJUIN!F18</f>
        <v>0</v>
      </c>
      <c r="M18" s="8"/>
      <c r="N18" s="8" t="str">
        <f>IF(M18&lt;&gt;0,VLOOKUP($A18,[8]HISTOJUIL21!$A$6:$AU$39,8,0),"ECHEC")</f>
        <v>ECHEC</v>
      </c>
      <c r="O18" s="8" t="str">
        <f>IF(R18&lt;&gt;0,VLOOKUP($A18,[8]HISTOJUIL21!$A$6:$AU$39,8,0),"ECHEC")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IF(E19="ECHEC",0,VLOOKUP($A19,[8]HISTOJUIL21!$A$6:$AU$39,13,0))</f>
        <v>75000</v>
      </c>
      <c r="D19" s="8"/>
      <c r="E19" s="8" t="str">
        <f>VLOOKUP($A19,[8]HISTOJUIL21!$A$6:$AU$39,8,0)</f>
        <v>ESPECES</v>
      </c>
      <c r="F19" s="8">
        <f>IF(N19="ECHEC",L19+(TONTJUIN!I19*2),0)</f>
        <v>0</v>
      </c>
      <c r="G19" s="8"/>
      <c r="H19" s="8">
        <f>VLOOKUP($A19,[8]HISTOJUIL21!$A$6:$AU$39,36,0)</f>
        <v>200000</v>
      </c>
      <c r="I19" s="8">
        <f>VLOOKUP($A19,[8]HISTOJUIL21!$A$6:$AU$39,39,0)</f>
        <v>2000</v>
      </c>
      <c r="J19" s="8" t="str">
        <f>IF(H19&lt;&gt;0,VLOOKUP($A19,[8]HISTOJUIL21!$A$6:$AU$39,8,0),"ECHEC")</f>
        <v>ESPECES</v>
      </c>
      <c r="K19" s="8">
        <f>VLOOKUP($A19,[8]HISTOJUIL21!$A$6:$AU$39,41,0)</f>
        <v>0</v>
      </c>
      <c r="L19" s="8">
        <f>TONTJUIN!H19+TONTJUIN!I19+TONTJUIN!F19</f>
        <v>102000</v>
      </c>
      <c r="M19" s="8">
        <f>VLOOKUP(A19,[8]HISTOJUIL21!$A$6:$AZ$37,17,0)</f>
        <v>102000</v>
      </c>
      <c r="N19" s="8" t="str">
        <f>IF(M19&lt;&gt;0,VLOOKUP($A19,[8]HISTOJUIL21!$A$6:$AU$39,8,0),"ECHEC")</f>
        <v>ESPECES</v>
      </c>
      <c r="O19" s="8" t="str">
        <f>IF(R19&lt;&gt;0,VLOOKUP($A19,[8]HISTOJUIL21!$A$6:$AU$39,8,0),"ECHEC")</f>
        <v>ECHEC</v>
      </c>
      <c r="P19" s="8">
        <f>VLOOKUP($A19,[8]HISTOJUIL21!$A$6:$AU$39,33,0)</f>
        <v>0</v>
      </c>
      <c r="Q19" s="8">
        <f>IF(R19=0,0,($C$37-R19))</f>
        <v>0</v>
      </c>
      <c r="R19" s="8">
        <f>VLOOKUP($A19,[8]HISTOJUIL21!$A$6:$AU$39,30,0)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IF(E20="ECHEC",0,VLOOKUP($A20,[8]HISTOJUIL21!$A$6:$AU$39,13,0))</f>
        <v>75000</v>
      </c>
      <c r="D20" s="8"/>
      <c r="E20" s="8" t="str">
        <f>VLOOKUP($A20,[8]HISTOJUIL21!$A$6:$AU$39,8,0)</f>
        <v>BANQUE</v>
      </c>
      <c r="F20" s="8">
        <f>IF(N20="ECHEC",L20+(TONTJUIN!I20*2),0)</f>
        <v>0</v>
      </c>
      <c r="G20" s="8"/>
      <c r="H20" s="8">
        <f>VLOOKUP($A20,[8]HISTOJUIL21!$A$6:$AU$39,36,0)</f>
        <v>0</v>
      </c>
      <c r="I20" s="8">
        <f>VLOOKUP($A20,[8]HISTOJUIL21!$A$6:$AU$39,39,0)</f>
        <v>0</v>
      </c>
      <c r="J20" s="8" t="str">
        <f>IF(H20&lt;&gt;0,VLOOKUP($A20,[8]HISTOJUIL21!$A$6:$AU$39,8,0),"ECHEC")</f>
        <v>ECHEC</v>
      </c>
      <c r="K20" s="8">
        <f>VLOOKUP($A20,[8]HISTOJUIL21!$A$6:$AU$39,41,0)</f>
        <v>0</v>
      </c>
      <c r="L20" s="8">
        <f>TONTJUIN!H20+TONTJUIN!I20+TONTJUIN!F20</f>
        <v>0</v>
      </c>
      <c r="M20" s="8">
        <f>VLOOKUP(A20,[8]HISTOJUIL21!$A$6:$AZ$37,17,0)</f>
        <v>0</v>
      </c>
      <c r="N20" s="8" t="str">
        <f>IF(M20&lt;&gt;0,VLOOKUP($A20,[8]HISTOJUIL21!$A$6:$AU$39,8,0),"ECHEC")</f>
        <v>ECHEC</v>
      </c>
      <c r="O20" s="8" t="str">
        <f>IF(R20&lt;&gt;0,VLOOKUP($A20,[8]HISTOJUIL21!$A$6:$AU$39,8,0),"ECHEC")</f>
        <v>BANQUE</v>
      </c>
      <c r="P20" s="8">
        <f>VLOOKUP($A20,[8]HISTOJUIL21!$A$6:$AU$39,33,0)</f>
        <v>0</v>
      </c>
      <c r="Q20" s="8">
        <f>IF(R20=0,0,($C$37-R20))</f>
        <v>1125000</v>
      </c>
      <c r="R20" s="8">
        <f>VLOOKUP($A20,[8]HISTOJUIL21!$A$6:$AU$39,30,0)</f>
        <v>75000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IF(E21="ECHEC",0,VLOOKUP($A21,[8]HISTOJUIL21!$A$6:$AU$39,13,0))</f>
        <v>75000</v>
      </c>
      <c r="D21" s="8"/>
      <c r="E21" s="8" t="str">
        <f>VLOOKUP($A21,[8]HISTOJUIL21!$A$6:$AU$39,8,0)</f>
        <v>BANQUE</v>
      </c>
      <c r="F21" s="8">
        <f>IF(N21="ECHEC",L21+(TONTJUIN!I21*2),0)</f>
        <v>0</v>
      </c>
      <c r="G21" s="8"/>
      <c r="H21" s="8">
        <f>VLOOKUP($A21,[8]HISTOJUIL21!$A$6:$AU$39,36,0)</f>
        <v>0</v>
      </c>
      <c r="I21" s="8">
        <f>VLOOKUP($A21,[8]HISTOJUIL21!$A$6:$AU$39,39,0)</f>
        <v>0</v>
      </c>
      <c r="J21" s="8" t="str">
        <f>IF(H21&lt;&gt;0,VLOOKUP($A21,[8]HISTOJUIL21!$A$6:$AU$39,8,0),"ECHEC")</f>
        <v>ECHEC</v>
      </c>
      <c r="K21" s="8">
        <f>VLOOKUP($A21,[8]HISTOJUIL21!$A$6:$AU$39,41,0)</f>
        <v>0</v>
      </c>
      <c r="L21" s="8">
        <f>TONTJUIN!H21+TONTJUIN!I21+TONTJUIN!F21</f>
        <v>0</v>
      </c>
      <c r="M21" s="8">
        <f>VLOOKUP(A21,[8]HISTOJUIL21!$A$6:$AZ$37,17,0)</f>
        <v>0</v>
      </c>
      <c r="N21" s="8" t="str">
        <f>IF(M21&lt;&gt;0,VLOOKUP($A21,[8]HISTOJUIL21!$A$6:$AU$39,8,0),"ECHEC")</f>
        <v>ECHEC</v>
      </c>
      <c r="O21" s="8" t="str">
        <f>IF(R21&lt;&gt;0,VLOOKUP($A21,[8]HISTOJUIL21!$A$6:$AU$39,8,0),"ECHEC")</f>
        <v>ECHEC</v>
      </c>
      <c r="P21" s="8">
        <f>VLOOKUP($A21,[8]HISTOJUIL21!$A$6:$AU$39,33,0)</f>
        <v>0</v>
      </c>
      <c r="Q21" s="8">
        <f>IF(R21=0,0,($C$37-R21))</f>
        <v>0</v>
      </c>
      <c r="R21" s="8">
        <f>VLOOKUP($A21,[8]HISTOJUIL21!$A$6:$AU$39,30,0)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IF(E22="ECHEC",0,VLOOKUP($A22,[8]HISTOJUIL21!$A$6:$AU$39,13,0))</f>
        <v>0</v>
      </c>
      <c r="D22" s="8"/>
      <c r="E22" s="8"/>
      <c r="F22" s="8">
        <f>IF(N22="ECHEC",L22+(TONTJUIN!I22*2),0)</f>
        <v>0</v>
      </c>
      <c r="G22" s="8"/>
      <c r="H22" s="8">
        <f>VLOOKUP($A22,[8]HISTOJUIL21!$A$6:$AU$39,36,0)</f>
        <v>0</v>
      </c>
      <c r="I22" s="8">
        <f>VLOOKUP($A22,[8]HISTOJUIL21!$A$6:$AU$39,39,0)</f>
        <v>0</v>
      </c>
      <c r="J22" s="8" t="str">
        <f>IF(H22&lt;&gt;0,VLOOKUP($A22,[8]HISTOJUIL21!$A$6:$AU$39,8,0),"ECHEC")</f>
        <v>ECHEC</v>
      </c>
      <c r="K22" s="8">
        <f>VLOOKUP($A22,[8]HISTOJUIL21!$A$6:$AU$39,41,0)</f>
        <v>0</v>
      </c>
      <c r="L22" s="8">
        <f>TONTJUIN!H22+TONTJUIN!I22+TONTJUIN!F22</f>
        <v>0</v>
      </c>
      <c r="M22" s="8">
        <f>VLOOKUP(A22,[8]HISTOJUIL21!$A$6:$AZ$37,17,0)</f>
        <v>0</v>
      </c>
      <c r="N22" s="8" t="str">
        <f>IF(M22&lt;&gt;0,VLOOKUP($A22,[8]HISTOJUIL21!$A$6:$AU$39,8,0),"ECHEC")</f>
        <v>ECHEC</v>
      </c>
      <c r="O22" s="8" t="str">
        <f>IF(R22&lt;&gt;0,VLOOKUP($A22,[8]HISTOJUIL21!$A$6:$AU$39,8,0),"ECHEC")</f>
        <v>ECHEC</v>
      </c>
      <c r="P22" s="8">
        <f>VLOOKUP($A22,[8]HISTOJUIL21!$A$6:$AU$39,33,0)</f>
        <v>0</v>
      </c>
      <c r="Q22" s="8">
        <f>IF(R22=0,0,($C$37-R22))</f>
        <v>0</v>
      </c>
      <c r="R22" s="8">
        <f>VLOOKUP($A22,[8]HISTOJUIL21!$A$6:$AU$39,30,0)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IF(E23="ECHEC",0,VLOOKUP($A23,[8]HISTOJUIL21!$A$6:$AU$39,13,0))</f>
        <v>150000</v>
      </c>
      <c r="D23" s="8"/>
      <c r="E23" s="8" t="str">
        <f>VLOOKUP($A23,[8]HISTOJUIL21!$A$6:$AU$39,8,0)</f>
        <v>BANQUE</v>
      </c>
      <c r="F23" s="8">
        <f>IF(N23="ECHEC",L23+(TONTJUIN!I23*2),0)</f>
        <v>0</v>
      </c>
      <c r="G23" s="8"/>
      <c r="H23" s="8">
        <f>VLOOKUP($A23,[8]HISTOJUIL21!$A$6:$AU$39,36,0)</f>
        <v>0</v>
      </c>
      <c r="I23" s="8">
        <f>VLOOKUP($A23,[8]HISTOJUIL21!$A$6:$AU$39,39,0)</f>
        <v>0</v>
      </c>
      <c r="J23" s="8" t="str">
        <f>IF(H23&lt;&gt;0,VLOOKUP($A23,[8]HISTOJUIL21!$A$6:$AU$39,8,0),"ECHEC")</f>
        <v>ECHEC</v>
      </c>
      <c r="K23" s="8">
        <f>VLOOKUP($A23,[8]HISTOJUIL21!$A$6:$AU$39,41,0)</f>
        <v>0</v>
      </c>
      <c r="L23" s="8">
        <f>TONTJUIN!H23+TONTJUIN!I23+TONTJUIN!F23</f>
        <v>0</v>
      </c>
      <c r="M23" s="8"/>
      <c r="N23" s="8" t="str">
        <f>IF(M23&lt;&gt;0,VLOOKUP($A23,[8]HISTOJUIL21!$A$6:$AU$39,8,0),"ECHEC")</f>
        <v>ECHEC</v>
      </c>
      <c r="O23" s="8" t="str">
        <f>IF(R23&lt;&gt;0,VLOOKUP($A23,[8]HISTOJUIL21!$A$6:$AU$39,8,0),"ECHEC")</f>
        <v>ECHEC</v>
      </c>
      <c r="P23" s="8">
        <f>VLOOKUP($A23,[8]HISTOJUIL21!$A$6:$AU$39,33,0)</f>
        <v>0</v>
      </c>
      <c r="Q23" s="8">
        <f>IF(R23=0,0,($C$37-R23))</f>
        <v>0</v>
      </c>
      <c r="R23" s="8">
        <f>VLOOKUP($A23,[8]HISTOJUIL21!$A$6:$AU$39,30,0)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IF(N24="ECHEC",L24+(TONTJUIN!I24*2),0)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849500</v>
      </c>
      <c r="I27" s="9">
        <f t="shared" si="2"/>
        <v>9000</v>
      </c>
      <c r="J27" s="9">
        <f t="shared" si="2"/>
        <v>0</v>
      </c>
      <c r="K27" s="9">
        <f t="shared" si="2"/>
        <v>0</v>
      </c>
      <c r="L27" s="9">
        <f>SUM(L6:L26)</f>
        <v>700500</v>
      </c>
      <c r="M27" s="9">
        <f t="shared" si="2"/>
        <v>700500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1125000</v>
      </c>
      <c r="R27" s="9">
        <f t="shared" si="2"/>
        <v>75000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C34+D34+R27+TONTJUIN!M34</f>
        <v>2050500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1200000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75000</v>
      </c>
      <c r="D31" s="9">
        <f>SUMIFS(L2:L21,N2:N21,"ESPECES")+SUMIFS(F2:F21,G2:G21,"ESPECES")</f>
        <v>102000</v>
      </c>
      <c r="E31" s="9">
        <f>SUMIFS(H6:H25,J6:J25,"ESPECES")</f>
        <v>200000</v>
      </c>
      <c r="F31" s="9">
        <f>SUMIFS(Q6:Q25,O6:O25,"ESPECES")</f>
        <v>0</v>
      </c>
      <c r="G31" s="9">
        <f>C31+D31-E31-F31</f>
        <v>-23000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1200000</v>
      </c>
      <c r="D32" s="9">
        <f>SUMIFS(M3:M22,N3:N22,"BANQUE")+SUMIFS(F3:F22,G3:G22,"BANQUE")</f>
        <v>598500</v>
      </c>
      <c r="E32" s="9">
        <f>SUMIFS(H6:H25,J6:J25,"BANQUE")</f>
        <v>649500</v>
      </c>
      <c r="F32" s="9">
        <f>SUMIFS(Q6:Q25,O6:O25,"BANQUE")</f>
        <v>1125000</v>
      </c>
      <c r="G32" s="9">
        <f>C32+D32-E32-F32</f>
        <v>24000</v>
      </c>
      <c r="H32" s="3"/>
      <c r="K32" s="9" t="s">
        <v>33</v>
      </c>
      <c r="L32" s="9">
        <f>L29-L30</f>
        <v>850500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700500</v>
      </c>
      <c r="E34" s="21">
        <f t="shared" ref="E34" si="3">E31+E32</f>
        <v>849500</v>
      </c>
      <c r="F34" s="21">
        <f>F31+F32</f>
        <v>1125000</v>
      </c>
      <c r="G34" s="21">
        <f>G31+G32</f>
        <v>1000</v>
      </c>
      <c r="H34" s="3"/>
      <c r="K34" s="9" t="s">
        <v>56</v>
      </c>
      <c r="L34" s="9">
        <f>L32-H27</f>
        <v>1000</v>
      </c>
      <c r="M34" s="9">
        <f>L34</f>
        <v>1000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L36+TONTJUIN!M36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L37+TONTJUIN!M37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</sheetData>
  <autoFilter ref="A5:R24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zoomScaleNormal="100" workbookViewId="0">
      <pane xSplit="2" ySplit="5" topLeftCell="O6" activePane="bottomRight" state="frozen"/>
      <selection activeCell="D36" sqref="D36"/>
      <selection pane="topRight" activeCell="D36" sqref="D36"/>
      <selection pane="bottomLeft" activeCell="D36" sqref="D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1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44429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IF(E6="ECHEC",0,VLOOKUP($A6,[8]HISTOAOUT21!$A$6:$AU$39,13,0))</f>
        <v>75000</v>
      </c>
      <c r="D6" s="8"/>
      <c r="E6" s="8" t="str">
        <f>VLOOKUP($A6,[8]HISTOAOUT21!$A$6:$AU$39,8,0)</f>
        <v>BANQUE</v>
      </c>
      <c r="F6" s="8">
        <f>IF(N6="ECHEC",L6+(TONTJUIL21!I6*2),0)</f>
        <v>0</v>
      </c>
      <c r="G6" s="7"/>
      <c r="H6" s="8">
        <f>VLOOKUP($A6,[8]HISTOAOUT21!$A$6:$AU$39,36,0)</f>
        <v>0</v>
      </c>
      <c r="I6" s="8">
        <f>VLOOKUP($A6,[8]HISTOAOUT21!$A$6:$AU$39,39,0)</f>
        <v>0</v>
      </c>
      <c r="J6" s="8" t="str">
        <f>IF(H6&lt;&gt;0,VLOOKUP($A6,[8]HISTOAOUT21!$A$6:$AU$39,8,0),"ECHEC")</f>
        <v>ECHEC</v>
      </c>
      <c r="K6" s="8">
        <f>VLOOKUP($A6,[8]HISTOAOUT21!$A$6:$AU$39,41,0)</f>
        <v>0</v>
      </c>
      <c r="L6" s="8">
        <f>TONTJUIL21!H6+TONTJUIL21!I6+TONTJUIL21!F6</f>
        <v>0</v>
      </c>
      <c r="M6" s="8">
        <f>VLOOKUP(A6,[8]HISTOAOUT21!$A$6:$AZ$37,17,0)</f>
        <v>0</v>
      </c>
      <c r="N6" s="8" t="str">
        <f>IF(L6&lt;&gt;0,VLOOKUP($A6,[8]HISTOAOUT21!$A$6:$AU$39,8,0),"ECHEC")</f>
        <v>ECHEC</v>
      </c>
      <c r="O6" s="8" t="str">
        <f>IF(R6&lt;&gt;0,VLOOKUP($A6,[8]HISTOAOUT21!$A$6:$AU$39,8,0),"ECHEC")</f>
        <v>ECHEC</v>
      </c>
      <c r="P6" s="8">
        <f>VLOOKUP($A6,[8]HISTOAOUT21!$A$6:$AU$39,33,0)</f>
        <v>0</v>
      </c>
      <c r="Q6" s="8">
        <f>IF(R6=0,0,($C$37-R6))</f>
        <v>0</v>
      </c>
      <c r="R6" s="8">
        <f>VLOOKUP($A6,[8]HISTOAOUT21!$A$6:$AU$39,30,0)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IF(N7="ECHEC",L7+(TONTJUIL21!I7*2),0)</f>
        <v>0</v>
      </c>
      <c r="G7" s="7"/>
      <c r="H7" s="8"/>
      <c r="I7" s="8"/>
      <c r="J7" s="8"/>
      <c r="K7" s="8"/>
      <c r="L7" s="8">
        <f>TONTJUIL21!H7+TONTJUIL21!I7+TONTJUIL21!F7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IF(E8="ECHEC",0,VLOOKUP($A8,[8]HISTOAOUT21!$A$6:$AU$39,13,0))</f>
        <v>75000</v>
      </c>
      <c r="D8" s="8"/>
      <c r="E8" s="8" t="str">
        <f>VLOOKUP($A8,[8]HISTOAOUT21!$A$6:$AU$39,8,0)</f>
        <v>BANQUE</v>
      </c>
      <c r="F8" s="8">
        <f>IF(N8="ECHEC",L8+(TONTJUIL21!I8*2),0)</f>
        <v>0</v>
      </c>
      <c r="G8" s="8"/>
      <c r="H8" s="8">
        <f>VLOOKUP($A8,[8]HISTOAOUT21!$A$6:$AU$39,36,0)</f>
        <v>0</v>
      </c>
      <c r="I8" s="8">
        <f>VLOOKUP($A8,[8]HISTOAOUT21!$A$6:$AU$39,39,0)</f>
        <v>0</v>
      </c>
      <c r="J8" s="8" t="str">
        <f>IF(H8&lt;&gt;0,VLOOKUP($A8,[8]HISTOAOUT21!$A$6:$AU$39,8,0),"ECHEC")</f>
        <v>ECHEC</v>
      </c>
      <c r="K8" s="8">
        <f>VLOOKUP($A8,[8]HISTOAOUT21!$A$6:$AU$39,41,0)</f>
        <v>0</v>
      </c>
      <c r="L8" s="8">
        <f>TONTJUIL21!H8+TONTJUIL21!I8+TONTJUIL21!F8</f>
        <v>202000</v>
      </c>
      <c r="M8" s="8">
        <f>VLOOKUP(A8,[8]HISTOAOUT21!$A$6:$AZ$37,17,0)</f>
        <v>202000</v>
      </c>
      <c r="N8" s="8" t="str">
        <f>IF(M8&lt;&gt;0,VLOOKUP($A8,[8]HISTOAOUT21!$A$6:$AU$39,8,0),"ECHEC")</f>
        <v>BANQUE</v>
      </c>
      <c r="O8" s="8" t="str">
        <f>IF(R8&lt;&gt;0,VLOOKUP($A8,[8]HISTOAOUT21!$A$6:$AU$39,8,0),"ECHEC")</f>
        <v>ECHEC</v>
      </c>
      <c r="P8" s="8">
        <f>VLOOKUP($A8,[8]HISTOAOUT21!$A$6:$AU$39,33,0)</f>
        <v>0</v>
      </c>
      <c r="Q8" s="8">
        <f t="shared" ref="Q8:Q14" si="1">IF(R8=0,0,($C$37-R8))</f>
        <v>0</v>
      </c>
      <c r="R8" s="8">
        <f>VLOOKUP($A8,[8]HISTOAOUT21!$A$6:$AU$39,30,0)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IF(E9="ECHEC",0,VLOOKUP($A9,[8]HISTOAOUT21!$A$6:$AU$39,13,0))</f>
        <v>75000</v>
      </c>
      <c r="D9" s="8"/>
      <c r="E9" s="8" t="str">
        <f>VLOOKUP($A9,[8]HISTOAOUT21!$A$6:$AU$39,8,0)</f>
        <v>BANQUE</v>
      </c>
      <c r="F9" s="8">
        <f>IF(N9="ECHEC",L9+(TONTJUIL21!I9*2),0)</f>
        <v>0</v>
      </c>
      <c r="G9" s="8"/>
      <c r="H9" s="8">
        <f>VLOOKUP($A9,[8]HISTOAOUT21!$A$6:$AU$39,36,0)</f>
        <v>0</v>
      </c>
      <c r="I9" s="8">
        <f>VLOOKUP($A9,[8]HISTOAOUT21!$A$6:$AU$39,39,0)</f>
        <v>0</v>
      </c>
      <c r="J9" s="8" t="str">
        <f>IF(H9&lt;&gt;0,VLOOKUP($A9,[8]HISTOAOUT21!$A$6:$AU$39,8,0),"ECHEC")</f>
        <v>ECHEC</v>
      </c>
      <c r="K9" s="8">
        <f>VLOOKUP($A9,[8]HISTOAOUT21!$A$6:$AU$39,41,0)</f>
        <v>0</v>
      </c>
      <c r="L9" s="8">
        <f>TONTJUIL21!H9+TONTJUIL21!I9+TONTJUIL21!F9</f>
        <v>151500</v>
      </c>
      <c r="M9" s="8">
        <f>VLOOKUP(A9,[8]HISTOAOUT21!$A$6:$AZ$37,17,0)</f>
        <v>151500</v>
      </c>
      <c r="N9" s="8" t="str">
        <f>IF(M9&lt;&gt;0,VLOOKUP($A9,[8]HISTOAOUT21!$A$6:$AU$39,8,0),"ECHEC")</f>
        <v>BANQUE</v>
      </c>
      <c r="O9" s="8" t="str">
        <f>IF(R9&lt;&gt;0,VLOOKUP($A9,[8]HISTOAOUT21!$A$6:$AU$39,8,0),"ECHEC")</f>
        <v>ECHEC</v>
      </c>
      <c r="P9" s="8">
        <f>VLOOKUP($A9,[8]HISTOAOUT21!$A$6:$AU$39,33,0)</f>
        <v>0</v>
      </c>
      <c r="Q9" s="8">
        <f t="shared" si="1"/>
        <v>0</v>
      </c>
      <c r="R9" s="8">
        <f>VLOOKUP($A9,[8]HISTOAOUT21!$A$6:$AU$39,30,0)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IF(E10="ECHEC",0,VLOOKUP($A10,[8]HISTOAOUT21!$A$6:$AU$39,13,0))</f>
        <v>75000</v>
      </c>
      <c r="D10" s="8"/>
      <c r="E10" s="8" t="str">
        <f>VLOOKUP($A10,[8]HISTOAOUT21!$A$6:$AU$39,8,0)</f>
        <v>BANQUE</v>
      </c>
      <c r="F10" s="8">
        <f>IF(N10="ECHEC",L10+(TONTJUIL21!I10*2),0)</f>
        <v>0</v>
      </c>
      <c r="G10" s="8"/>
      <c r="H10" s="8">
        <f>VLOOKUP($A10,[8]HISTOAOUT21!$A$6:$AU$39,36,0)</f>
        <v>0</v>
      </c>
      <c r="I10" s="8">
        <f>VLOOKUP($A10,[8]HISTOAOUT21!$A$6:$AU$39,39,0)</f>
        <v>0</v>
      </c>
      <c r="J10" s="8" t="str">
        <f>IF(H10&lt;&gt;0,VLOOKUP($A10,[8]HISTOAOUT21!$A$6:$AU$39,8,0),"ECHEC")</f>
        <v>ECHEC</v>
      </c>
      <c r="K10" s="8">
        <f>VLOOKUP($A10,[8]HISTOAOUT21!$A$6:$AU$39,41,0)</f>
        <v>0</v>
      </c>
      <c r="L10" s="8">
        <f>TONTJUIL21!H10+TONTJUIL21!I10+TONTJUIL21!F10</f>
        <v>0</v>
      </c>
      <c r="M10" s="8">
        <f>VLOOKUP(A10,[8]HISTOAOUT21!$A$6:$AZ$37,17,0)</f>
        <v>0</v>
      </c>
      <c r="N10" s="8" t="str">
        <f>IF(M10&lt;&gt;0,VLOOKUP($A10,[8]HISTOAOUT21!$A$6:$AU$39,8,0),"ECHEC")</f>
        <v>ECHEC</v>
      </c>
      <c r="O10" s="8" t="str">
        <f>IF(R10&lt;&gt;0,VLOOKUP($A10,[8]HISTOAOUT21!$A$6:$AU$39,8,0),"ECHEC")</f>
        <v>ECHEC</v>
      </c>
      <c r="P10" s="8">
        <f>VLOOKUP($A10,[8]HISTOAOUT21!$A$6:$AU$39,33,0)</f>
        <v>0</v>
      </c>
      <c r="Q10" s="8">
        <f t="shared" si="1"/>
        <v>0</v>
      </c>
      <c r="R10" s="8">
        <f>VLOOKUP($A10,[8]HISTOAOUT21!$A$6:$AU$39,30,0)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IF(E11="ECHEC",0,VLOOKUP($A11,[8]HISTOAOUT21!$A$6:$AU$39,13,0))</f>
        <v>75000</v>
      </c>
      <c r="D11" s="8"/>
      <c r="E11" s="8" t="str">
        <f>VLOOKUP($A11,[8]HISTOAOUT21!$A$6:$AU$39,8,0)</f>
        <v>BANQUE</v>
      </c>
      <c r="F11" s="8">
        <f>IF(N11="ECHEC",L11+(TONTJUIL21!I11*2),0)</f>
        <v>0</v>
      </c>
      <c r="G11" s="8"/>
      <c r="H11" s="8">
        <f>VLOOKUP($A11,[8]HISTOAOUT21!$A$6:$AU$39,36,0)</f>
        <v>0</v>
      </c>
      <c r="I11" s="8">
        <f>VLOOKUP($A11,[8]HISTOAOUT21!$A$6:$AU$39,39,0)</f>
        <v>0</v>
      </c>
      <c r="J11" s="8" t="str">
        <f>IF(H11&lt;&gt;0,VLOOKUP($A11,[8]HISTOAOUT21!$A$6:$AU$39,8,0),"ECHEC")</f>
        <v>ECHEC</v>
      </c>
      <c r="K11" s="8">
        <f>VLOOKUP($A11,[8]HISTOAOUT21!$A$6:$AU$39,41,0)</f>
        <v>0</v>
      </c>
      <c r="L11" s="8">
        <f>TONTJUIL21!H11+TONTJUIL21!I11+TONTJUIL21!F11</f>
        <v>0</v>
      </c>
      <c r="M11" s="8">
        <f>VLOOKUP(A11,[8]HISTOAOUT21!$A$6:$AZ$37,17,0)</f>
        <v>0</v>
      </c>
      <c r="N11" s="8" t="str">
        <f>IF(M11&lt;&gt;0,VLOOKUP($A11,[8]HISTOAOUT21!$A$6:$AU$39,8,0),"ECHEC")</f>
        <v>ECHEC</v>
      </c>
      <c r="O11" s="8" t="str">
        <f>IF(R11&lt;&gt;0,VLOOKUP($A11,[8]HISTOAOUT21!$A$6:$AU$39,8,0),"ECHEC")</f>
        <v>BANQUE</v>
      </c>
      <c r="P11" s="8">
        <f>VLOOKUP($A11,[8]HISTOAOUT21!$A$6:$AU$39,33,0)</f>
        <v>0</v>
      </c>
      <c r="Q11" s="8">
        <f t="shared" si="1"/>
        <v>1125000</v>
      </c>
      <c r="R11" s="8">
        <f>VLOOKUP($A11,[8]HISTOAOUT21!$A$6:$AU$39,30,0)</f>
        <v>75000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IF(E12="ECHEC",0,VLOOKUP($A12,[8]HISTOAOUT21!$A$6:$AU$39,13,0))</f>
        <v>75000</v>
      </c>
      <c r="D12" s="8"/>
      <c r="E12" s="8" t="str">
        <f>VLOOKUP($A12,[8]HISTOAOUT21!$A$6:$AU$39,8,0)</f>
        <v>BANQUE</v>
      </c>
      <c r="F12" s="8">
        <f>IF(N12="ECHEC",L12+(TONTJUIL21!I12*2),0)</f>
        <v>0</v>
      </c>
      <c r="G12" s="8"/>
      <c r="H12" s="8">
        <f>VLOOKUP($A12,[8]HISTOAOUT21!$A$6:$AU$39,36,0)</f>
        <v>0</v>
      </c>
      <c r="I12" s="8">
        <f>VLOOKUP($A12,[8]HISTOAOUT21!$A$6:$AU$39,39,0)</f>
        <v>0</v>
      </c>
      <c r="J12" s="8" t="str">
        <f>IF(H12&lt;&gt;0,VLOOKUP($A12,[8]HISTOAOUT21!$A$6:$AU$39,8,0),"ECHEC")</f>
        <v>ECHEC</v>
      </c>
      <c r="K12" s="8">
        <f>VLOOKUP($A12,[8]HISTOAOUT21!$A$6:$AU$39,41,0)</f>
        <v>0</v>
      </c>
      <c r="L12" s="8">
        <f>TONTJUIL21!H12+TONTJUIL21!I12+TONTJUIL21!F12</f>
        <v>202000</v>
      </c>
      <c r="M12" s="8">
        <f>VLOOKUP(A12,[8]HISTOAOUT21!$A$6:$AZ$37,17,0)</f>
        <v>202000</v>
      </c>
      <c r="N12" s="8" t="str">
        <f>IF(M12&lt;&gt;0,VLOOKUP($A12,[8]HISTOAOUT21!$A$6:$AU$39,8,0),"ECHEC")</f>
        <v>BANQUE</v>
      </c>
      <c r="O12" s="8" t="str">
        <f>IF(R12&lt;&gt;0,VLOOKUP($A12,[8]HISTOAOUT21!$A$6:$AU$39,8,0),"ECHEC")</f>
        <v>ECHEC</v>
      </c>
      <c r="P12" s="8">
        <f>VLOOKUP($A12,[8]HISTOAOUT21!$A$6:$AU$39,33,0)</f>
        <v>0</v>
      </c>
      <c r="Q12" s="8">
        <f t="shared" si="1"/>
        <v>0</v>
      </c>
      <c r="R12" s="8">
        <f>VLOOKUP($A12,[8]HISTOAOUT21!$A$6:$AU$39,30,0)</f>
        <v>0</v>
      </c>
      <c r="S12" s="45">
        <f t="shared" si="0"/>
        <v>0</v>
      </c>
    </row>
    <row r="13" spans="1:20" x14ac:dyDescent="0.25">
      <c r="A13" s="1" t="s">
        <v>11</v>
      </c>
      <c r="B13" s="1" t="str">
        <f>VLOOKUP(A13,[6]LISTADHERENT!A$5:H$60,3,0)</f>
        <v>NANKAM APPOLINAIRE</v>
      </c>
      <c r="C13" s="8">
        <f>IF(E13="ECHEC",0,VLOOKUP($A13,[8]HISTOAOUT21!$A$6:$AU$39,13,0))</f>
        <v>75000</v>
      </c>
      <c r="D13" s="8"/>
      <c r="E13" s="8" t="str">
        <f>VLOOKUP($A13,[8]HISTOAOUT21!$A$6:$AU$39,8,0)</f>
        <v>BANQUE</v>
      </c>
      <c r="F13" s="8">
        <f>IF(N13="ECHEC",L13+(TONTJUIL21!I13*2),0)</f>
        <v>0</v>
      </c>
      <c r="G13" s="8"/>
      <c r="H13" s="8">
        <f>VLOOKUP($A13,[8]HISTOAOUT21!$A$6:$AU$39,36,0)</f>
        <v>0</v>
      </c>
      <c r="I13" s="8">
        <f>VLOOKUP($A13,[8]HISTOAOUT21!$A$6:$AU$39,39,0)</f>
        <v>0</v>
      </c>
      <c r="J13" s="8" t="str">
        <f>IF(H13&lt;&gt;0,VLOOKUP($A13,[8]HISTOAOUT21!$A$6:$AU$39,8,0),"ECHEC")</f>
        <v>ECHEC</v>
      </c>
      <c r="K13" s="8">
        <f>VLOOKUP($A13,[8]HISTOAOUT21!$A$6:$AU$39,41,0)</f>
        <v>0</v>
      </c>
      <c r="L13" s="8">
        <f>TONTJUIL21!H13+TONTJUIL21!I13+TONTJUIL21!F13</f>
        <v>0</v>
      </c>
      <c r="M13" s="8">
        <f>VLOOKUP(A13,[8]HISTOAOUT21!$A$6:$AZ$37,17,0)</f>
        <v>0</v>
      </c>
      <c r="N13" s="8" t="str">
        <f>IF(M13&lt;&gt;0,VLOOKUP($A13,[8]HISTOAOUT21!$A$6:$AU$39,8,0),"ECHEC")</f>
        <v>ECHEC</v>
      </c>
      <c r="O13" s="8" t="str">
        <f>IF(R13&lt;&gt;0,VLOOKUP($A13,[8]HISTOAOUT21!$A$6:$AU$39,8,0),"ECHEC")</f>
        <v>BANQUE</v>
      </c>
      <c r="P13" s="8">
        <f>VLOOKUP($A13,[8]HISTOAOUT21!$A$6:$AU$39,33,0)</f>
        <v>0</v>
      </c>
      <c r="Q13" s="8">
        <f t="shared" si="1"/>
        <v>1125000</v>
      </c>
      <c r="R13" s="8">
        <f>VLOOKUP($A13,[8]HISTOAOUT21!$A$6:$AU$39,30,0)</f>
        <v>75000</v>
      </c>
      <c r="S13" s="45">
        <f t="shared" si="0"/>
        <v>0</v>
      </c>
    </row>
    <row r="14" spans="1:20" x14ac:dyDescent="0.25">
      <c r="A14" s="1" t="s">
        <v>32</v>
      </c>
      <c r="B14" s="1" t="str">
        <f>VLOOKUP(A14,[6]LISTADHERENT!A$5:H$60,3,0)</f>
        <v>MBOGNING TUGMA GUY</v>
      </c>
      <c r="C14" s="8">
        <f>IF(E14="ECHEC",0,VLOOKUP($A14,[8]HISTOAOUT21!$A$6:$AU$39,13,0))</f>
        <v>225000</v>
      </c>
      <c r="D14" s="8"/>
      <c r="E14" s="8" t="str">
        <f>VLOOKUP($A14,[8]HISTOAOUT21!$A$6:$AU$39,8,0)</f>
        <v>BANQUE</v>
      </c>
      <c r="F14" s="8">
        <f>IF(N14="ECHEC",L14+(TONTJUIL21!I14*2),0)</f>
        <v>0</v>
      </c>
      <c r="G14" s="8"/>
      <c r="H14" s="8">
        <f>VLOOKUP($A14,[8]HISTOAOUT21!$A$6:$AU$39,36,0)</f>
        <v>0</v>
      </c>
      <c r="I14" s="8">
        <f>VLOOKUP($A14,[8]HISTOAOUT21!$A$6:$AU$39,39,0)</f>
        <v>0</v>
      </c>
      <c r="J14" s="8" t="str">
        <f>IF(H14&lt;&gt;0,VLOOKUP($A14,[8]HISTOAOUT21!$A$6:$AU$39,8,0),"ECHEC")</f>
        <v>ECHEC</v>
      </c>
      <c r="K14" s="8">
        <f>VLOOKUP($A14,[8]HISTOAOUT21!$A$6:$AU$39,41,0)</f>
        <v>0</v>
      </c>
      <c r="L14" s="8">
        <f>TONTJUIL21!H14+TONTJUIL21!I14+TONTJUIL21!F14</f>
        <v>0</v>
      </c>
      <c r="M14" s="8">
        <f>VLOOKUP(A14,[8]HISTOAOUT21!$A$6:$AZ$37,17,0)</f>
        <v>0</v>
      </c>
      <c r="N14" s="8" t="str">
        <f>IF(M14&lt;&gt;0,VLOOKUP($A14,[8]HISTOAOUT21!$A$6:$AU$39,8,0),"ECHEC")</f>
        <v>ECHEC</v>
      </c>
      <c r="O14" s="8" t="str">
        <f>IF(R14&lt;&gt;0,VLOOKUP($A14,[8]HISTOAOUT21!$A$6:$AU$39,8,0),"ECHEC")</f>
        <v>ECHEC</v>
      </c>
      <c r="P14" s="8">
        <f>VLOOKUP($A14,[8]HISTOAOUT21!$A$6:$AU$39,33,0)</f>
        <v>0</v>
      </c>
      <c r="Q14" s="8">
        <f t="shared" si="1"/>
        <v>0</v>
      </c>
      <c r="R14" s="8">
        <f>VLOOKUP($A14,[8]HISTOAOUT21!$A$6:$AU$39,30,0)</f>
        <v>0</v>
      </c>
      <c r="S14" s="45">
        <f t="shared" si="0"/>
        <v>0</v>
      </c>
    </row>
    <row r="15" spans="1:20" x14ac:dyDescent="0.25">
      <c r="A15" s="1" t="s">
        <v>32</v>
      </c>
      <c r="B15" s="1" t="str">
        <f>VLOOKUP(A15,[6]LISTADHERENT!A$5:H$60,3,0)</f>
        <v>MBOGNING TUGMA GUY</v>
      </c>
      <c r="C15" s="8"/>
      <c r="D15" s="8"/>
      <c r="E15" s="8"/>
      <c r="F15" s="8">
        <f>IF(N15="ECHEC",L15+(TONTJUIL21!I15*2),0)</f>
        <v>0</v>
      </c>
      <c r="G15" s="8"/>
      <c r="H15" s="8"/>
      <c r="I15" s="8"/>
      <c r="J15" s="8"/>
      <c r="K15" s="8"/>
      <c r="L15" s="8">
        <f>TONTJUIL21!H15+TONTJUIL21!I15+TONTJUIL21!F15</f>
        <v>0</v>
      </c>
      <c r="M15" s="8"/>
      <c r="N15" s="8"/>
      <c r="O15" s="8"/>
      <c r="P15" s="8">
        <f>VLOOKUP($A15,[8]HISTOAOUT21!$A$6:$AU$39,33,0)</f>
        <v>0</v>
      </c>
      <c r="Q15" s="8"/>
      <c r="R15" s="8">
        <f>VLOOKUP($A15,[8]HISTOAOUT21!$A$6:$AU$39,30,0)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IF(N16="ECHEC",L16+(TONTJUIL21!I16*2),0)</f>
        <v>0</v>
      </c>
      <c r="G16" s="8"/>
      <c r="H16" s="8"/>
      <c r="I16" s="8"/>
      <c r="J16" s="8"/>
      <c r="K16" s="8"/>
      <c r="L16" s="8">
        <f>TONTJUIL21!H16+TONTJUIL21!I16+TONTJUIL21!F16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IF(E17="ECHEC",0,VLOOKUP($A17,[8]HISTOAOUT21!$A$6:$AU$39,13,0))</f>
        <v>150000</v>
      </c>
      <c r="D17" s="8"/>
      <c r="E17" s="8" t="str">
        <f>VLOOKUP($A17,[8]HISTOAOUT21!$A$6:$AU$39,8,0)</f>
        <v>BANQUE</v>
      </c>
      <c r="F17" s="8">
        <f>IF(N17="ECHEC",L17+(TONTJUIL21!I17*2),0)</f>
        <v>0</v>
      </c>
      <c r="G17" s="8"/>
      <c r="H17" s="8">
        <f>VLOOKUP($A17,[8]HISTOAOUT21!$A$6:$AU$39,36,0)</f>
        <v>0</v>
      </c>
      <c r="I17" s="8">
        <f>VLOOKUP($A17,[8]HISTOAOUT21!$A$6:$AU$39,39,0)</f>
        <v>0</v>
      </c>
      <c r="J17" s="8" t="str">
        <f>IF(H17&lt;&gt;0,VLOOKUP($A17,[8]HISTOAOUT21!$A$6:$AU$39,8,0),"ECHEC")</f>
        <v>ECHEC</v>
      </c>
      <c r="K17" s="8">
        <f>VLOOKUP($A17,[8]HISTOAOUT21!$A$6:$AU$39,41,0)</f>
        <v>0</v>
      </c>
      <c r="L17" s="8">
        <f>TONTJUIL21!H17+TONTJUIL21!I17+TONTJUIL21!F17</f>
        <v>101000</v>
      </c>
      <c r="M17" s="8">
        <f>VLOOKUP(A17,[8]HISTOAOUT21!$A$6:$AZ$37,17,0)</f>
        <v>101000</v>
      </c>
      <c r="N17" s="8" t="str">
        <f>IF(M17&lt;&gt;0,VLOOKUP($A17,[8]HISTOAOUT21!$A$6:$AU$39,8,0),"ECHEC")</f>
        <v>BANQUE</v>
      </c>
      <c r="O17" s="8" t="str">
        <f>IF(R17&lt;&gt;0,VLOOKUP($A17,[8]HISTOAOUT21!$A$6:$AU$39,8,0),"ECHEC")</f>
        <v>ECHEC</v>
      </c>
      <c r="P17" s="8">
        <f>VLOOKUP($A17,[8]HISTOAOUT21!$A$6:$AU$39,33,0)</f>
        <v>0</v>
      </c>
      <c r="Q17" s="8">
        <f>IF(R17=0,0,($C$37-R17))</f>
        <v>0</v>
      </c>
      <c r="R17" s="8">
        <f>VLOOKUP($A17,[8]HISTOAOUT21!$A$6:$AU$39,30,0)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IF(N18="ECHEC",L18+(TONTJUIL21!I18*2),0)</f>
        <v>0</v>
      </c>
      <c r="G18" s="8"/>
      <c r="H18" s="8"/>
      <c r="I18" s="8"/>
      <c r="J18" s="8"/>
      <c r="K18" s="8"/>
      <c r="L18" s="8">
        <f>TONTJUIL21!H18+TONTJUIL21!I18+TONTJUIL21!F18</f>
        <v>0</v>
      </c>
      <c r="M18" s="8"/>
      <c r="N18" s="8" t="str">
        <f>IF(M18&lt;&gt;0,VLOOKUP($A18,[8]HISTOAOUT21!$A$6:$AU$39,8,0),"ECHEC")</f>
        <v>ECHEC</v>
      </c>
      <c r="O18" s="8" t="str">
        <f>IF(R18&lt;&gt;0,VLOOKUP($A18,[8]HISTOAOUT21!$A$6:$AU$39,8,0),"ECHEC")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IF(E19="ECHEC",0,VLOOKUP($A19,[8]HISTOAOUT21!$A$6:$AU$39,13,0))</f>
        <v>75000</v>
      </c>
      <c r="D19" s="8"/>
      <c r="E19" s="8" t="str">
        <f>VLOOKUP($A19,[8]HISTOAOUT21!$A$6:$AU$39,8,0)</f>
        <v>BANQUE</v>
      </c>
      <c r="F19" s="8">
        <f>IF(N19="ECHEC",L19+(TONTJUIL21!I19*2),0)</f>
        <v>0</v>
      </c>
      <c r="G19" s="8"/>
      <c r="H19" s="8">
        <f>VLOOKUP($A19,[8]HISTOAOUT21!$A$6:$AU$39,36,0)</f>
        <v>0</v>
      </c>
      <c r="I19" s="8">
        <f>VLOOKUP($A19,[8]HISTOAOUT21!$A$6:$AU$39,39,0)</f>
        <v>0</v>
      </c>
      <c r="J19" s="8" t="str">
        <f>IF(H19&lt;&gt;0,VLOOKUP($A19,[8]HISTOAOUT21!$A$6:$AU$39,8,0),"ECHEC")</f>
        <v>ECHEC</v>
      </c>
      <c r="K19" s="8">
        <f>VLOOKUP($A19,[8]HISTOAOUT21!$A$6:$AU$39,41,0)</f>
        <v>0</v>
      </c>
      <c r="L19" s="8">
        <f>TONTJUIL21!H19+TONTJUIL21!I19+TONTJUIL21!F19</f>
        <v>202000</v>
      </c>
      <c r="M19" s="8">
        <f>VLOOKUP(A19,[8]HISTOAOUT21!$A$6:$AZ$37,17,0)</f>
        <v>202000</v>
      </c>
      <c r="N19" s="8" t="str">
        <f>IF(M19&lt;&gt;0,VLOOKUP($A19,[8]HISTOAOUT21!$A$6:$AU$39,8,0),"ECHEC")</f>
        <v>BANQUE</v>
      </c>
      <c r="O19" s="8" t="str">
        <f>IF(R19&lt;&gt;0,VLOOKUP($A19,[8]HISTOAOUT21!$A$6:$AU$39,8,0),"ECHEC")</f>
        <v>ECHEC</v>
      </c>
      <c r="P19" s="8">
        <f>VLOOKUP($A19,[8]HISTOAOUT21!$A$6:$AU$39,33,0)</f>
        <v>0</v>
      </c>
      <c r="Q19" s="8">
        <f>IF(R19=0,0,($C$37-R19))</f>
        <v>0</v>
      </c>
      <c r="R19" s="8">
        <f>VLOOKUP($A19,[8]HISTOAOUT21!$A$6:$AU$39,30,0)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IF(E20="ECHEC",0,VLOOKUP($A20,[8]HISTOAOUT21!$A$6:$AU$39,13,0))</f>
        <v>75000</v>
      </c>
      <c r="D20" s="8"/>
      <c r="E20" s="8" t="str">
        <f>VLOOKUP($A20,[8]HISTOAOUT21!$A$6:$AU$39,8,0)</f>
        <v>BANQUE</v>
      </c>
      <c r="F20" s="8">
        <f>IF(N20="ECHEC",L20+(TONTJUIL21!I20*2),0)</f>
        <v>0</v>
      </c>
      <c r="G20" s="8"/>
      <c r="H20" s="8">
        <f>VLOOKUP($A20,[8]HISTOAOUT21!$A$6:$AU$39,36,0)</f>
        <v>0</v>
      </c>
      <c r="I20" s="8">
        <f>VLOOKUP($A20,[8]HISTOAOUT21!$A$6:$AU$39,39,0)</f>
        <v>0</v>
      </c>
      <c r="J20" s="8" t="str">
        <f>IF(H20&lt;&gt;0,VLOOKUP($A20,[8]HISTOAOUT21!$A$6:$AU$39,8,0),"ECHEC")</f>
        <v>ECHEC</v>
      </c>
      <c r="K20" s="8">
        <f>VLOOKUP($A20,[8]HISTOAOUT21!$A$6:$AU$39,41,0)</f>
        <v>0</v>
      </c>
      <c r="L20" s="8">
        <f>TONTJUIL21!H20+TONTJUIL21!I20+TONTJUIL21!F20</f>
        <v>0</v>
      </c>
      <c r="M20" s="8">
        <f>VLOOKUP(A20,[8]HISTOAOUT21!$A$6:$AZ$37,17,0)</f>
        <v>0</v>
      </c>
      <c r="N20" s="8" t="str">
        <f>IF(M20&lt;&gt;0,VLOOKUP($A20,[8]HISTOAOUT21!$A$6:$AU$39,8,0),"ECHEC")</f>
        <v>ECHEC</v>
      </c>
      <c r="O20" s="8" t="str">
        <f>IF(R20&lt;&gt;0,VLOOKUP($A20,[8]HISTOAOUT21!$A$6:$AU$39,8,0),"ECHEC")</f>
        <v>ECHEC</v>
      </c>
      <c r="P20" s="8">
        <f>VLOOKUP($A20,[8]HISTOAOUT21!$A$6:$AU$39,33,0)</f>
        <v>0</v>
      </c>
      <c r="Q20" s="8">
        <f>IF(R20=0,0,($C$37-R20))</f>
        <v>0</v>
      </c>
      <c r="R20" s="8">
        <f>VLOOKUP($A20,[8]HISTOAOUT21!$A$6:$AU$39,30,0)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IF(E21="ECHEC",0,VLOOKUP($A21,[8]HISTOAOUT21!$A$6:$AU$39,13,0))</f>
        <v>75000</v>
      </c>
      <c r="D21" s="8"/>
      <c r="E21" s="8" t="str">
        <f>VLOOKUP($A21,[8]HISTOAOUT21!$A$6:$AU$39,8,0)</f>
        <v>BANQUE</v>
      </c>
      <c r="F21" s="8">
        <f>IF(N21="ECHEC",L21+(TONTJUIL21!I21*2),0)</f>
        <v>0</v>
      </c>
      <c r="G21" s="8"/>
      <c r="H21" s="8">
        <f>VLOOKUP($A21,[8]HISTOAOUT21!$A$6:$AU$39,36,0)</f>
        <v>0</v>
      </c>
      <c r="I21" s="8">
        <f>VLOOKUP($A21,[8]HISTOAOUT21!$A$6:$AU$39,39,0)</f>
        <v>0</v>
      </c>
      <c r="J21" s="8" t="str">
        <f>IF(H21&lt;&gt;0,VLOOKUP($A21,[8]HISTOAOUT21!$A$6:$AU$39,8,0),"ECHEC")</f>
        <v>ECHEC</v>
      </c>
      <c r="K21" s="8">
        <f>VLOOKUP($A21,[8]HISTOAOUT21!$A$6:$AU$39,41,0)</f>
        <v>0</v>
      </c>
      <c r="L21" s="8">
        <f>TONTJUIL21!H21+TONTJUIL21!I21+TONTJUIL21!F21</f>
        <v>0</v>
      </c>
      <c r="M21" s="8">
        <f>VLOOKUP(A21,[8]HISTOAOUT21!$A$6:$AZ$37,17,0)</f>
        <v>0</v>
      </c>
      <c r="N21" s="8" t="str">
        <f>IF(M21&lt;&gt;0,VLOOKUP($A21,[8]HISTOAOUT21!$A$6:$AU$39,8,0),"ECHEC")</f>
        <v>ECHEC</v>
      </c>
      <c r="O21" s="8" t="str">
        <f>IF(R21&lt;&gt;0,VLOOKUP($A21,[8]HISTOAOUT21!$A$6:$AU$39,8,0),"ECHEC")</f>
        <v>ECHEC</v>
      </c>
      <c r="P21" s="8">
        <f>VLOOKUP($A21,[8]HISTOAOUT21!$A$6:$AU$39,33,0)</f>
        <v>0</v>
      </c>
      <c r="Q21" s="8">
        <f>IF(R21=0,0,($C$37-R21))</f>
        <v>0</v>
      </c>
      <c r="R21" s="8">
        <f>VLOOKUP($A21,[8]HISTOAOUT21!$A$6:$AU$39,30,0)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IF(E22="ECHEC",0,VLOOKUP($A22,[8]HISTOAOUT21!$A$6:$AU$39,13,0))</f>
        <v>0</v>
      </c>
      <c r="D22" s="8"/>
      <c r="E22" s="8"/>
      <c r="F22" s="8">
        <f>IF(N22="ECHEC",L22+(TONTJUIL21!I22*2),0)</f>
        <v>0</v>
      </c>
      <c r="G22" s="8"/>
      <c r="H22" s="8">
        <f>VLOOKUP($A22,[8]HISTOAOUT21!$A$6:$AU$39,36,0)</f>
        <v>0</v>
      </c>
      <c r="I22" s="8">
        <f>VLOOKUP($A22,[8]HISTOAOUT21!$A$6:$AU$39,39,0)</f>
        <v>0</v>
      </c>
      <c r="J22" s="8" t="str">
        <f>IF(H22&lt;&gt;0,VLOOKUP($A22,[8]HISTOAOUT21!$A$6:$AU$39,8,0),"ECHEC")</f>
        <v>ECHEC</v>
      </c>
      <c r="K22" s="8">
        <f>VLOOKUP($A22,[8]HISTOAOUT21!$A$6:$AU$39,41,0)</f>
        <v>0</v>
      </c>
      <c r="L22" s="8">
        <f>TONTJUIL21!H22+TONTJUIL21!I22+TONTJUIL21!F22</f>
        <v>0</v>
      </c>
      <c r="M22" s="8">
        <f>VLOOKUP(A22,[8]HISTOAOUT21!$A$6:$AZ$37,17,0)</f>
        <v>0</v>
      </c>
      <c r="N22" s="8" t="str">
        <f>IF(M22&lt;&gt;0,VLOOKUP($A22,[8]HISTOAOUT21!$A$6:$AU$39,8,0),"ECHEC")</f>
        <v>ECHEC</v>
      </c>
      <c r="O22" s="8" t="str">
        <f>IF(R22&lt;&gt;0,VLOOKUP($A22,[8]HISTOAOUT21!$A$6:$AU$39,8,0),"ECHEC")</f>
        <v>ECHEC</v>
      </c>
      <c r="P22" s="8">
        <f>VLOOKUP($A22,[8]HISTOAOUT21!$A$6:$AU$39,33,0)</f>
        <v>0</v>
      </c>
      <c r="Q22" s="8">
        <f>IF(R22=0,0,($C$37-R22))</f>
        <v>0</v>
      </c>
      <c r="R22" s="8">
        <f>VLOOKUP($A22,[8]HISTOAOUT21!$A$6:$AU$39,30,0)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IF(E23="ECHEC",0,VLOOKUP($A23,[8]HISTOAOUT21!$A$6:$AU$39,13,0))</f>
        <v>150000</v>
      </c>
      <c r="D23" s="8"/>
      <c r="E23" s="8" t="str">
        <f>VLOOKUP($A23,[8]HISTOAOUT21!$A$6:$AU$39,8,0)</f>
        <v>BANQUE</v>
      </c>
      <c r="F23" s="8">
        <f>IF(N23="ECHEC",L23+(TONTJUIL21!I23*2),0)</f>
        <v>0</v>
      </c>
      <c r="G23" s="8"/>
      <c r="H23" s="8">
        <f>VLOOKUP($A23,[8]HISTOAOUT21!$A$6:$AU$39,36,0)</f>
        <v>0</v>
      </c>
      <c r="I23" s="8">
        <f>VLOOKUP($A23,[8]HISTOAOUT21!$A$6:$AU$39,39,0)</f>
        <v>0</v>
      </c>
      <c r="J23" s="8" t="str">
        <f>IF(H23&lt;&gt;0,VLOOKUP($A23,[8]HISTOAOUT21!$A$6:$AU$39,8,0),"ECHEC")</f>
        <v>ECHEC</v>
      </c>
      <c r="K23" s="8">
        <f>VLOOKUP($A23,[8]HISTOAOUT21!$A$6:$AU$39,41,0)</f>
        <v>0</v>
      </c>
      <c r="L23" s="8">
        <f>TONTJUIL21!H23+TONTJUIL21!I23+TONTJUIL21!F23</f>
        <v>0</v>
      </c>
      <c r="M23" s="8"/>
      <c r="N23" s="8" t="str">
        <f>IF(M23&lt;&gt;0,VLOOKUP($A23,[8]HISTOAOUT21!$A$6:$AU$39,8,0),"ECHEC")</f>
        <v>ECHEC</v>
      </c>
      <c r="O23" s="8" t="str">
        <f>IF(R23&lt;&gt;0,VLOOKUP($A23,[8]HISTOAOUT21!$A$6:$AU$39,8,0),"ECHEC")</f>
        <v>ECHEC</v>
      </c>
      <c r="P23" s="8">
        <f>VLOOKUP($A23,[8]HISTOAOUT21!$A$6:$AU$39,33,0)</f>
        <v>0</v>
      </c>
      <c r="Q23" s="8">
        <f>IF(R23=0,0,($C$37-R23))</f>
        <v>0</v>
      </c>
      <c r="R23" s="8">
        <f>VLOOKUP($A23,[8]HISTOAOUT21!$A$6:$AU$39,30,0)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IF(N24="ECHEC",L24+(TONTJUIL21!I24*2),0)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>SUM(L6:L26)</f>
        <v>858500</v>
      </c>
      <c r="M27" s="9">
        <f t="shared" si="2"/>
        <v>858500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2250000</v>
      </c>
      <c r="R27" s="9">
        <f t="shared" si="2"/>
        <v>150000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C34+D34+R27+TONTJUIL21!M34</f>
        <v>2284500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2400000</v>
      </c>
      <c r="M30" s="9">
        <f>D3</f>
        <v>1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0</v>
      </c>
      <c r="D31" s="9">
        <f>SUMIFS(L2:L21,N2:N21,"ESPECES")+SUMIFS(F2:F21,G2:G21,"ESPECES")</f>
        <v>0</v>
      </c>
      <c r="E31" s="9">
        <f>SUMIFS(H6:H25,J6:J25,"ESPECES")</f>
        <v>0</v>
      </c>
      <c r="F31" s="9">
        <f>SUMIFS(Q6:Q25,O6:O25,"ESPECES")</f>
        <v>0</v>
      </c>
      <c r="G31" s="9">
        <f>C31+D31-E31-F31</f>
        <v>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1275000</v>
      </c>
      <c r="D32" s="9">
        <f>SUMIFS(M3:M22,N3:N22,"BANQUE")+SUMIFS(F3:F22,G3:G22,"BANQUE")</f>
        <v>858500</v>
      </c>
      <c r="E32" s="9">
        <f>SUMIFS(H6:H25,J6:J25,"BANQUE")</f>
        <v>0</v>
      </c>
      <c r="F32" s="9">
        <f>SUMIFS(Q6:Q25,O6:O25,"BANQUE")</f>
        <v>2250000</v>
      </c>
      <c r="G32" s="9">
        <f>C32+D32-E32-F32</f>
        <v>-116500</v>
      </c>
      <c r="H32" s="3"/>
      <c r="K32" s="9" t="s">
        <v>33</v>
      </c>
      <c r="L32" s="9">
        <f>L29-L30</f>
        <v>-115500</v>
      </c>
      <c r="M32" s="9">
        <v>1200000</v>
      </c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858500</v>
      </c>
      <c r="E34" s="21">
        <f t="shared" ref="E34" si="3">E31+E32</f>
        <v>0</v>
      </c>
      <c r="F34" s="21">
        <f>F31+F32</f>
        <v>2250000</v>
      </c>
      <c r="G34" s="21">
        <f>G31+G32</f>
        <v>-116500</v>
      </c>
      <c r="H34" s="3"/>
      <c r="K34" s="9" t="s">
        <v>56</v>
      </c>
      <c r="L34" s="9">
        <f>L32-H27</f>
        <v>-115500</v>
      </c>
      <c r="M34" s="9">
        <f>L34</f>
        <v>-115500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L36+TONTJUIL21!M36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L37+TONTJUIL21!M37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x14ac:dyDescent="0.25">
      <c r="C40"/>
      <c r="E40"/>
      <c r="F40"/>
      <c r="H40" s="3"/>
      <c r="I40" s="3"/>
      <c r="K40" s="2"/>
      <c r="O40" s="2"/>
      <c r="P40" s="2"/>
      <c r="Q40"/>
    </row>
    <row r="41" spans="2:17" x14ac:dyDescent="0.25">
      <c r="C41"/>
      <c r="E41"/>
      <c r="F41"/>
      <c r="H41" s="3"/>
      <c r="I41" s="3"/>
      <c r="K41" s="2"/>
      <c r="O41" s="2"/>
      <c r="P41" s="2"/>
      <c r="Q41"/>
    </row>
    <row r="42" spans="2:17" ht="18" x14ac:dyDescent="0.25">
      <c r="C42" s="22"/>
      <c r="I42" s="9"/>
      <c r="J42" s="9"/>
      <c r="K42"/>
      <c r="L42" s="3"/>
      <c r="M42" s="3"/>
      <c r="P42"/>
      <c r="Q42"/>
    </row>
    <row r="43" spans="2:17" x14ac:dyDescent="0.25">
      <c r="C43" s="22"/>
      <c r="K43"/>
      <c r="L43" s="3"/>
      <c r="M43" s="3"/>
      <c r="P43"/>
      <c r="Q43"/>
    </row>
    <row r="44" spans="2:17" x14ac:dyDescent="0.25">
      <c r="C44" s="22"/>
      <c r="K44"/>
      <c r="L44" s="3"/>
      <c r="M44" s="3"/>
      <c r="P44"/>
      <c r="Q44"/>
    </row>
    <row r="45" spans="2:17" x14ac:dyDescent="0.25">
      <c r="C45" s="22"/>
      <c r="K45"/>
      <c r="L45" s="3"/>
      <c r="M45" s="3"/>
      <c r="P45"/>
      <c r="Q45"/>
    </row>
    <row r="46" spans="2:17" ht="18" x14ac:dyDescent="0.25">
      <c r="B46" s="9"/>
      <c r="C46" s="9"/>
      <c r="D46" s="9"/>
    </row>
    <row r="47" spans="2:17" ht="18" x14ac:dyDescent="0.25">
      <c r="B47" s="9"/>
      <c r="C47" s="9"/>
      <c r="D47" s="9"/>
    </row>
    <row r="48" spans="2:17" ht="18" x14ac:dyDescent="0.25">
      <c r="B48" s="9"/>
      <c r="C48" s="9"/>
    </row>
    <row r="49" spans="2:3" ht="18" x14ac:dyDescent="0.25">
      <c r="B49" s="9"/>
      <c r="C49" s="9"/>
    </row>
    <row r="51" spans="2:3" ht="18" x14ac:dyDescent="0.25">
      <c r="B51" s="6"/>
      <c r="C51" s="9"/>
    </row>
  </sheetData>
  <autoFilter ref="A5:R24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zoomScaleNormal="100" workbookViewId="0">
      <pane xSplit="2" ySplit="5" topLeftCell="O6" activePane="bottomRight" state="frozen"/>
      <selection activeCell="E36" sqref="E36"/>
      <selection pane="topRight" activeCell="E36" sqref="E36"/>
      <selection pane="bottomLeft" activeCell="E36" sqref="E36"/>
      <selection pane="bottomRight" activeCell="S1" sqref="S1:S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7" width="17.5703125" style="3" customWidth="1"/>
    <col min="8" max="8" width="18.28515625" customWidth="1"/>
    <col min="9" max="9" width="16.7109375" customWidth="1"/>
    <col min="10" max="11" width="17.5703125" style="3" bestFit="1" customWidth="1"/>
    <col min="12" max="13" width="17.42578125" customWidth="1"/>
    <col min="14" max="14" width="17.5703125" style="3" bestFit="1" customWidth="1"/>
    <col min="15" max="15" width="17.5703125" style="3" customWidth="1"/>
    <col min="16" max="16" width="15.42578125" style="3" customWidth="1"/>
    <col min="17" max="17" width="17.5703125" style="3" customWidth="1"/>
    <col min="18" max="18" width="19" bestFit="1" customWidth="1"/>
    <col min="19" max="19" width="12.42578125" bestFit="1" customWidth="1"/>
  </cols>
  <sheetData>
    <row r="1" spans="1:20" x14ac:dyDescent="0.25">
      <c r="A1" s="1" t="s">
        <v>0</v>
      </c>
      <c r="B1" s="1" t="s">
        <v>1</v>
      </c>
      <c r="C1"/>
      <c r="D1" s="1"/>
      <c r="E1" s="1"/>
      <c r="F1"/>
      <c r="H1" s="3"/>
      <c r="I1" s="3"/>
      <c r="K1" s="2"/>
      <c r="L1" s="1"/>
      <c r="M1" s="1"/>
      <c r="O1" s="2"/>
      <c r="P1" s="2"/>
      <c r="Q1"/>
    </row>
    <row r="2" spans="1:20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F2"/>
      <c r="H2" s="3"/>
      <c r="I2" s="3"/>
      <c r="K2" s="2"/>
      <c r="L2" s="1"/>
      <c r="M2" s="1"/>
      <c r="O2" s="2"/>
      <c r="P2" s="2"/>
      <c r="Q2"/>
    </row>
    <row r="3" spans="1:20" x14ac:dyDescent="0.25">
      <c r="A3" s="1" t="s">
        <v>59</v>
      </c>
      <c r="B3" s="4">
        <v>75000</v>
      </c>
      <c r="C3" s="4">
        <f>B3*16</f>
        <v>1200000</v>
      </c>
      <c r="D3" s="1">
        <f>ROUNDDOWN(L29/C3,0)</f>
        <v>0</v>
      </c>
      <c r="E3" s="1"/>
      <c r="F3"/>
      <c r="H3" s="3"/>
      <c r="I3" s="3"/>
      <c r="K3" s="2"/>
      <c r="L3" s="1"/>
      <c r="M3" s="1"/>
      <c r="O3" s="2"/>
      <c r="P3" s="2"/>
      <c r="Q3"/>
    </row>
    <row r="4" spans="1:20" s="37" customFormat="1" ht="18" x14ac:dyDescent="0.25">
      <c r="B4" s="38"/>
      <c r="C4" s="54">
        <v>44460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  <c r="S4"/>
    </row>
    <row r="5" spans="1:20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4" t="s">
        <v>24</v>
      </c>
      <c r="S5" s="6" t="s">
        <v>85</v>
      </c>
    </row>
    <row r="6" spans="1:20" s="17" customFormat="1" x14ac:dyDescent="0.25">
      <c r="A6" s="1" t="s">
        <v>36</v>
      </c>
      <c r="B6" s="1" t="str">
        <f>VLOOKUP(A6,[6]LISTADHERENT!A$5:H$60,3,0)</f>
        <v>BOUTCHOUANG WILLIAM</v>
      </c>
      <c r="C6" s="8">
        <f>IF(E6="ECHEC",0,VLOOKUP($A6,[8]HISTOSEPT21!$A$6:$AU$39,13,0))</f>
        <v>75000</v>
      </c>
      <c r="D6" s="8"/>
      <c r="E6" s="8" t="str">
        <f>VLOOKUP($A6,[8]HISTOSEPT21!$A$6:$AU$39,8,0)</f>
        <v>BANQUE</v>
      </c>
      <c r="F6" s="8">
        <f>IF(N6="ECHEC",L6+(TONTAOUT21!I6*2),0)</f>
        <v>0</v>
      </c>
      <c r="G6" s="7"/>
      <c r="H6" s="8">
        <f>VLOOKUP($A6,[8]HISTOSEPT21!$A$6:$AU$39,36,0)</f>
        <v>0</v>
      </c>
      <c r="I6" s="8">
        <f>VLOOKUP($A6,[8]HISTOSEPT21!$A$6:$AU$39,39,0)</f>
        <v>0</v>
      </c>
      <c r="J6" s="8" t="str">
        <f>IF(H6&lt;&gt;0,VLOOKUP($A6,[8]HISTOSEPT21!$A$6:$AU$39,8,0),"ECHEC")</f>
        <v>ECHEC</v>
      </c>
      <c r="K6" s="8">
        <f>VLOOKUP($A6,[8]HISTOSEPT21!$A$6:$AU$39,41,0)</f>
        <v>0</v>
      </c>
      <c r="L6" s="8">
        <f>TONTAOUT21!H6+TONTAOUT21!I6+TONTAOUT21!F6</f>
        <v>0</v>
      </c>
      <c r="M6" s="8">
        <f>VLOOKUP(A6,[8]HISTOSEPT21!$A$6:$AZ$37,17,0)</f>
        <v>0</v>
      </c>
      <c r="N6" s="8" t="str">
        <f>IF(L6&lt;&gt;0,VLOOKUP($A6,[8]HISTOSEPT21!$A$6:$AU$39,8,0),"ECHEC")</f>
        <v>ECHEC</v>
      </c>
      <c r="O6" s="8" t="str">
        <f>IF(R6&lt;&gt;0,VLOOKUP($A6,[8]HISTOSEPT21!$A$6:$AU$39,8,0),"ECHEC")</f>
        <v>ECHEC</v>
      </c>
      <c r="P6" s="8">
        <f>VLOOKUP($A6,[8]HISTOSEPT21!$A$6:$AU$39,33,0)</f>
        <v>0</v>
      </c>
      <c r="Q6" s="8">
        <f>IF(R6=0,0,($C$37-R6))</f>
        <v>0</v>
      </c>
      <c r="R6" s="8">
        <f>VLOOKUP($A6,[8]HISTOSEPT21!$A$6:$AU$39,30,0)</f>
        <v>0</v>
      </c>
      <c r="S6" s="45">
        <f>IF(R6=0,0,(R6-75000))</f>
        <v>0</v>
      </c>
      <c r="T6"/>
    </row>
    <row r="7" spans="1:20" s="17" customFormat="1" x14ac:dyDescent="0.25">
      <c r="A7" s="1" t="s">
        <v>50</v>
      </c>
      <c r="B7" s="1" t="str">
        <f>VLOOKUP(A7,[6]LISTADHERENT!A$5:H$60,3,0)</f>
        <v>CHINGUE FABRICE</v>
      </c>
      <c r="C7" s="8"/>
      <c r="D7" s="8"/>
      <c r="E7" s="8"/>
      <c r="F7" s="8">
        <f>IF(N7="ECHEC",L7+(TONTAOUT21!I7*2),0)</f>
        <v>0</v>
      </c>
      <c r="G7" s="7"/>
      <c r="H7" s="8"/>
      <c r="I7" s="8"/>
      <c r="J7" s="8"/>
      <c r="K7" s="8"/>
      <c r="L7" s="8">
        <f>TONTAOUT21!H7+TONTAOUT21!I7+TONTAOUT21!F7</f>
        <v>0</v>
      </c>
      <c r="M7" s="8"/>
      <c r="N7" s="8"/>
      <c r="O7" s="8"/>
      <c r="P7" s="8"/>
      <c r="Q7" s="8"/>
      <c r="R7" s="8"/>
      <c r="S7" s="45">
        <f t="shared" ref="S7:S24" si="0">IF(R7=0,0,(R7-75000))</f>
        <v>0</v>
      </c>
      <c r="T7"/>
    </row>
    <row r="8" spans="1:20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IF(E8="ECHEC",0,VLOOKUP($A8,[8]HISTOSEPT21!$A$6:$AU$39,13,0))</f>
        <v>75000</v>
      </c>
      <c r="D8" s="8"/>
      <c r="E8" s="8" t="str">
        <f>VLOOKUP($A8,[8]HISTOSEPT21!$A$6:$AU$39,8,0)</f>
        <v>BANQUE</v>
      </c>
      <c r="F8" s="8">
        <f>IF(N8="ECHEC",L8+(TONTAOUT21!I8*2),0)</f>
        <v>0</v>
      </c>
      <c r="G8" s="8"/>
      <c r="H8" s="8">
        <f>VLOOKUP($A8,[8]HISTOSEPT21!$A$6:$AU$39,36,0)</f>
        <v>0</v>
      </c>
      <c r="I8" s="8">
        <f>VLOOKUP($A8,[8]HISTOSEPT21!$A$6:$AU$39,39,0)</f>
        <v>0</v>
      </c>
      <c r="J8" s="8" t="str">
        <f>IF(H8&lt;&gt;0,VLOOKUP($A8,[8]HISTOSEPT21!$A$6:$AU$39,8,0),"ECHEC")</f>
        <v>ECHEC</v>
      </c>
      <c r="K8" s="8">
        <f>VLOOKUP($A8,[8]HISTOSEPT21!$A$6:$AU$39,41,0)</f>
        <v>0</v>
      </c>
      <c r="L8" s="8">
        <f>TONTAOUT21!H8+TONTAOUT21!I8+TONTAOUT21!F8</f>
        <v>0</v>
      </c>
      <c r="M8" s="8">
        <f>VLOOKUP(A8,[8]HISTOSEPT21!$A$6:$AZ$37,17,0)</f>
        <v>0</v>
      </c>
      <c r="N8" s="8" t="str">
        <f>IF(M8&lt;&gt;0,VLOOKUP($A8,[8]HISTOSEPT21!$A$6:$AU$39,8,0),"ECHEC")</f>
        <v>ECHEC</v>
      </c>
      <c r="O8" s="8" t="str">
        <f>IF(R8&lt;&gt;0,VLOOKUP($A8,[8]HISTOSEPT21!$A$6:$AU$39,8,0),"ECHEC")</f>
        <v>ECHEC</v>
      </c>
      <c r="P8" s="8">
        <f>VLOOKUP($A8,[8]HISTOSEPT21!$A$6:$AU$39,33,0)</f>
        <v>0</v>
      </c>
      <c r="Q8" s="8">
        <f t="shared" ref="Q8:Q14" si="1">IF(R8=0,0,($C$37-R8))</f>
        <v>0</v>
      </c>
      <c r="R8" s="8">
        <f>VLOOKUP($A8,[8]HISTOSEPT21!$A$6:$AU$39,30,0)</f>
        <v>0</v>
      </c>
      <c r="S8" s="45">
        <f t="shared" si="0"/>
        <v>0</v>
      </c>
      <c r="T8"/>
    </row>
    <row r="9" spans="1:20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IF(E9="ECHEC",0,VLOOKUP($A9,[8]HISTOSEPT21!$A$6:$AU$39,13,0))</f>
        <v>75000</v>
      </c>
      <c r="D9" s="8"/>
      <c r="E9" s="8" t="str">
        <f>VLOOKUP($A9,[8]HISTOSEPT21!$A$6:$AU$39,8,0)</f>
        <v>BANQUE</v>
      </c>
      <c r="F9" s="8">
        <f>IF(N9="ECHEC",L9+(TONTAOUT21!I9*2),0)</f>
        <v>0</v>
      </c>
      <c r="G9" s="8"/>
      <c r="H9" s="8">
        <f>VLOOKUP($A9,[8]HISTOSEPT21!$A$6:$AU$39,36,0)</f>
        <v>0</v>
      </c>
      <c r="I9" s="8">
        <f>VLOOKUP($A9,[8]HISTOSEPT21!$A$6:$AU$39,39,0)</f>
        <v>0</v>
      </c>
      <c r="J9" s="8" t="str">
        <f>IF(H9&lt;&gt;0,VLOOKUP($A9,[8]HISTOSEPT21!$A$6:$AU$39,8,0),"ECHEC")</f>
        <v>ECHEC</v>
      </c>
      <c r="K9" s="8">
        <f>VLOOKUP($A9,[8]HISTOSEPT21!$A$6:$AU$39,41,0)</f>
        <v>0</v>
      </c>
      <c r="L9" s="8">
        <f>TONTAOUT21!H9+TONTAOUT21!I9+TONTAOUT21!F9</f>
        <v>0</v>
      </c>
      <c r="M9" s="8">
        <f>VLOOKUP(A9,[8]HISTOSEPT21!$A$6:$AZ$37,17,0)</f>
        <v>0</v>
      </c>
      <c r="N9" s="8" t="str">
        <f>IF(M9&lt;&gt;0,VLOOKUP($A9,[8]HISTOSEPT21!$A$6:$AU$39,8,0),"ECHEC")</f>
        <v>ECHEC</v>
      </c>
      <c r="O9" s="8" t="str">
        <f>IF(R9&lt;&gt;0,VLOOKUP($A9,[8]HISTOSEPT21!$A$6:$AU$39,8,0),"ECHEC")</f>
        <v>ECHEC</v>
      </c>
      <c r="P9" s="8">
        <f>VLOOKUP($A9,[8]HISTOSEPT21!$A$6:$AU$39,33,0)</f>
        <v>0</v>
      </c>
      <c r="Q9" s="8">
        <f t="shared" si="1"/>
        <v>0</v>
      </c>
      <c r="R9" s="8">
        <f>VLOOKUP($A9,[8]HISTOSEPT21!$A$6:$AU$39,30,0)</f>
        <v>0</v>
      </c>
      <c r="S9" s="45">
        <f t="shared" si="0"/>
        <v>0</v>
      </c>
      <c r="T9"/>
    </row>
    <row r="10" spans="1:20" x14ac:dyDescent="0.25">
      <c r="A10" s="1" t="s">
        <v>29</v>
      </c>
      <c r="B10" s="1" t="str">
        <f>VLOOKUP(A10,[6]LISTADHERENT!A$5:H$60,3,0)</f>
        <v>HOTCHO BENJAMIN</v>
      </c>
      <c r="C10" s="8">
        <f>IF(E10="ECHEC",0,VLOOKUP($A10,[8]HISTOSEPT21!$A$6:$AU$39,13,0))</f>
        <v>75000</v>
      </c>
      <c r="D10" s="8"/>
      <c r="E10" s="8" t="str">
        <f>VLOOKUP($A10,[8]HISTOSEPT21!$A$6:$AU$39,8,0)</f>
        <v>BANQUE</v>
      </c>
      <c r="F10" s="8">
        <f>IF(N10="ECHEC",L10+(TONTAOUT21!I10*2),0)</f>
        <v>0</v>
      </c>
      <c r="G10" s="8"/>
      <c r="H10" s="8">
        <f>VLOOKUP($A10,[8]HISTOSEPT21!$A$6:$AU$39,36,0)</f>
        <v>0</v>
      </c>
      <c r="I10" s="8">
        <f>VLOOKUP($A10,[8]HISTOSEPT21!$A$6:$AU$39,39,0)</f>
        <v>0</v>
      </c>
      <c r="J10" s="8" t="str">
        <f>IF(H10&lt;&gt;0,VLOOKUP($A10,[8]HISTOSEPT21!$A$6:$AU$39,8,0),"ECHEC")</f>
        <v>ECHEC</v>
      </c>
      <c r="K10" s="8">
        <f>VLOOKUP($A10,[8]HISTOSEPT21!$A$6:$AU$39,41,0)</f>
        <v>0</v>
      </c>
      <c r="L10" s="8">
        <f>TONTAOUT21!H10+TONTAOUT21!I10+TONTAOUT21!F10</f>
        <v>0</v>
      </c>
      <c r="M10" s="8">
        <f>VLOOKUP(A10,[8]HISTOSEPT21!$A$6:$AZ$37,17,0)</f>
        <v>0</v>
      </c>
      <c r="N10" s="8" t="str">
        <f>IF(M10&lt;&gt;0,VLOOKUP($A10,[8]HISTOSEPT21!$A$6:$AU$39,8,0),"ECHEC")</f>
        <v>ECHEC</v>
      </c>
      <c r="O10" s="8" t="str">
        <f>IF(R10&lt;&gt;0,VLOOKUP($A10,[8]HISTOSEPT21!$A$6:$AU$39,8,0),"ECHEC")</f>
        <v>ECHEC</v>
      </c>
      <c r="P10" s="8">
        <f>VLOOKUP($A10,[8]HISTOSEPT21!$A$6:$AU$39,33,0)</f>
        <v>0</v>
      </c>
      <c r="Q10" s="8">
        <f t="shared" si="1"/>
        <v>0</v>
      </c>
      <c r="R10" s="8">
        <f>VLOOKUP($A10,[8]HISTOSEPT21!$A$6:$AU$39,30,0)</f>
        <v>0</v>
      </c>
      <c r="S10" s="45">
        <f t="shared" si="0"/>
        <v>0</v>
      </c>
    </row>
    <row r="11" spans="1:20" x14ac:dyDescent="0.25">
      <c r="A11" s="1" t="s">
        <v>40</v>
      </c>
      <c r="B11" s="1" t="str">
        <f>VLOOKUP(A11,[6]LISTADHERENT!A$5:H$60,3,0)</f>
        <v>HENGUE PAUL OMER</v>
      </c>
      <c r="C11" s="8">
        <f>IF(E11="ECHEC",0,VLOOKUP($A11,[8]HISTOSEPT21!$A$6:$AU$39,13,0))</f>
        <v>75000</v>
      </c>
      <c r="D11" s="8"/>
      <c r="E11" s="8" t="str">
        <f>VLOOKUP($A11,[8]HISTOSEPT21!$A$6:$AU$39,8,0)</f>
        <v>BANQUE</v>
      </c>
      <c r="F11" s="8">
        <f>IF(N11="ECHEC",L11+(TONTAOUT21!I11*2),0)</f>
        <v>0</v>
      </c>
      <c r="G11" s="8"/>
      <c r="H11" s="8">
        <f>VLOOKUP($A11,[8]HISTOSEPT21!$A$6:$AU$39,36,0)</f>
        <v>0</v>
      </c>
      <c r="I11" s="8">
        <f>VLOOKUP($A11,[8]HISTOSEPT21!$A$6:$AU$39,39,0)</f>
        <v>0</v>
      </c>
      <c r="J11" s="8" t="str">
        <f>IF(H11&lt;&gt;0,VLOOKUP($A11,[8]HISTOSEPT21!$A$6:$AU$39,8,0),"ECHEC")</f>
        <v>ECHEC</v>
      </c>
      <c r="K11" s="8">
        <f>VLOOKUP($A11,[8]HISTOSEPT21!$A$6:$AU$39,41,0)</f>
        <v>0</v>
      </c>
      <c r="L11" s="8">
        <f>TONTAOUT21!H11+TONTAOUT21!I11+TONTAOUT21!F11</f>
        <v>0</v>
      </c>
      <c r="M11" s="8">
        <f>VLOOKUP(A11,[8]HISTOSEPT21!$A$6:$AZ$37,17,0)</f>
        <v>0</v>
      </c>
      <c r="N11" s="8" t="str">
        <f>IF(M11&lt;&gt;0,VLOOKUP($A11,[8]HISTOSEPT21!$A$6:$AU$39,8,0),"ECHEC")</f>
        <v>ECHEC</v>
      </c>
      <c r="O11" s="8" t="str">
        <f>IF(R11&lt;&gt;0,VLOOKUP($A11,[8]HISTOSEPT21!$A$6:$AU$39,8,0),"ECHEC")</f>
        <v>ECHEC</v>
      </c>
      <c r="P11" s="8">
        <f>VLOOKUP($A11,[8]HISTOSEPT21!$A$6:$AU$39,33,0)</f>
        <v>0</v>
      </c>
      <c r="Q11" s="8">
        <f t="shared" si="1"/>
        <v>0</v>
      </c>
      <c r="R11" s="8">
        <f>VLOOKUP($A11,[8]HISTOSEPT21!$A$6:$AU$39,30,0)</f>
        <v>0</v>
      </c>
      <c r="S11" s="45">
        <f t="shared" si="0"/>
        <v>0</v>
      </c>
    </row>
    <row r="12" spans="1:20" x14ac:dyDescent="0.25">
      <c r="A12" s="1" t="s">
        <v>10</v>
      </c>
      <c r="B12" s="1" t="str">
        <f>VLOOKUP(A12,[6]LISTADHERENT!A$5:H$60,3,0)</f>
        <v>KOUATCHO MESSACK</v>
      </c>
      <c r="C12" s="8">
        <f>IF(E12="ECHEC",0,VLOOKUP($A12,[8]HISTOSEPT21!$A$6:$AU$39,13,0))</f>
        <v>75000</v>
      </c>
      <c r="D12" s="8"/>
      <c r="E12" s="8" t="str">
        <f>VLOOKUP($A12,[8]HISTOSEPT21!$A$6:$AU$39,8,0)</f>
        <v>BANQUE</v>
      </c>
      <c r="F12" s="8">
        <f>IF(N12="ECHEC",L12+(TONTAOUT21!I12*2),0)</f>
        <v>0</v>
      </c>
      <c r="G12" s="8"/>
      <c r="H12" s="8">
        <f>VLOOKUP($A12,[8]HISTOSEPT21!$A$6:$AU$39,36,0)</f>
        <v>0</v>
      </c>
      <c r="I12" s="8">
        <f>VLOOKUP($A12,[8]HISTOSEPT21!$A$6:$AU$39,39,0)</f>
        <v>0</v>
      </c>
      <c r="J12" s="8" t="str">
        <f>IF(H12&lt;&gt;0,VLOOKUP($A12,[8]HISTOSEPT21!$A$6:$AU$39,8,0),"ECHEC")</f>
        <v>ECHEC</v>
      </c>
      <c r="K12" s="8">
        <f>VLOOKUP($A12,[8]HISTOSEPT21!$A$6:$AU$39,41,0)</f>
        <v>0</v>
      </c>
      <c r="L12" s="8">
        <f>TONTAOUT21!H12+TONTAOUT21!I12+TONTAOUT21!F12</f>
        <v>0</v>
      </c>
      <c r="M12" s="8">
        <f>VLOOKUP(A12,[8]HISTOSEPT21!$A$6:$AZ$37,17,0)</f>
        <v>0</v>
      </c>
      <c r="N12" s="8" t="str">
        <f>IF(M12&lt;&gt;0,VLOOKUP($A12,[8]HISTOSEPT21!$A$6:$AU$39,8,0),"ECHEC")</f>
        <v>ECHEC</v>
      </c>
      <c r="O12" s="8" t="str">
        <f>IF(R12&lt;&gt;0,VLOOKUP($A12,[8]HISTOSEPT21!$A$6:$AU$39,8,0),"ECHEC")</f>
        <v>ECHEC</v>
      </c>
      <c r="P12" s="8">
        <f>VLOOKUP($A12,[8]HISTOSEPT21!$A$6:$AU$39,33,0)</f>
        <v>0</v>
      </c>
      <c r="Q12" s="8">
        <f t="shared" si="1"/>
        <v>0</v>
      </c>
      <c r="R12" s="8">
        <f>VLOOKUP($A12,[8]HISTOSEPT21!$A$6:$AU$39,30,0)</f>
        <v>0</v>
      </c>
      <c r="S12" s="45">
        <f t="shared" si="0"/>
        <v>0</v>
      </c>
    </row>
    <row r="13" spans="1:20" x14ac:dyDescent="0.25">
      <c r="A13" s="1" t="s">
        <v>32</v>
      </c>
      <c r="B13" s="1" t="str">
        <f>VLOOKUP(A13,[6]LISTADHERENT!A$5:H$60,3,0)</f>
        <v>MBOGNING TUGMA GUY</v>
      </c>
      <c r="C13" s="8">
        <f>IF(E13="ECHEC",0,VLOOKUP($A13,[8]HISTOSEPT21!$A$6:$AU$39,13,0))</f>
        <v>225000</v>
      </c>
      <c r="D13" s="8"/>
      <c r="E13" s="8" t="str">
        <f>VLOOKUP($A13,[8]HISTOSEPT21!$A$6:$AU$39,8,0)</f>
        <v>BANQUE</v>
      </c>
      <c r="F13" s="8">
        <f>IF(N13="ECHEC",L13+(TONTAOUT21!I13*2),0)</f>
        <v>0</v>
      </c>
      <c r="G13" s="8"/>
      <c r="H13" s="8">
        <f>VLOOKUP($A13,[8]HISTOSEPT21!$A$6:$AU$39,36,0)</f>
        <v>0</v>
      </c>
      <c r="I13" s="8">
        <f>VLOOKUP($A13,[8]HISTOSEPT21!$A$6:$AU$39,39,0)</f>
        <v>0</v>
      </c>
      <c r="J13" s="8" t="str">
        <f>IF(H13&lt;&gt;0,VLOOKUP($A13,[8]HISTOSEPT21!$A$6:$AU$39,8,0),"ECHEC")</f>
        <v>ECHEC</v>
      </c>
      <c r="K13" s="8">
        <f>VLOOKUP($A13,[8]HISTOSEPT21!$A$6:$AU$39,41,0)</f>
        <v>0</v>
      </c>
      <c r="L13" s="8">
        <f>TONTAOUT21!H13+TONTAOUT21!I13+TONTAOUT21!F13</f>
        <v>0</v>
      </c>
      <c r="M13" s="8">
        <f>VLOOKUP(A13,[8]HISTOSEPT21!$A$6:$AZ$37,17,0)</f>
        <v>0</v>
      </c>
      <c r="N13" s="8" t="str">
        <f>IF(M13&lt;&gt;0,VLOOKUP($A13,[8]HISTOSEPT21!$A$6:$AU$39,8,0),"ECHEC")</f>
        <v>ECHEC</v>
      </c>
      <c r="O13" s="8" t="str">
        <f>IF(R13&lt;&gt;0,VLOOKUP($A13,[8]HISTOSEPT21!$A$6:$AU$39,8,0),"ECHEC")</f>
        <v>ECHEC</v>
      </c>
      <c r="P13" s="8">
        <f>VLOOKUP($A13,[8]HISTOSEPT21!$A$6:$AU$39,33,0)</f>
        <v>0</v>
      </c>
      <c r="Q13" s="8">
        <f t="shared" si="1"/>
        <v>0</v>
      </c>
      <c r="R13" s="8">
        <f>VLOOKUP($A13,[8]HISTOSEPT21!$A$6:$AU$39,30,0)</f>
        <v>0</v>
      </c>
      <c r="S13" s="45">
        <f t="shared" si="0"/>
        <v>0</v>
      </c>
    </row>
    <row r="14" spans="1:20" x14ac:dyDescent="0.25">
      <c r="A14" s="1" t="s">
        <v>11</v>
      </c>
      <c r="B14" s="1" t="str">
        <f>VLOOKUP(A14,[6]LISTADHERENT!A$5:H$60,3,0)</f>
        <v>NANKAM APPOLINAIRE</v>
      </c>
      <c r="C14" s="8">
        <f>IF(E14="ECHEC",0,VLOOKUP($A14,[8]HISTOSEPT21!$A$6:$AU$39,13,0))</f>
        <v>75000</v>
      </c>
      <c r="D14" s="8"/>
      <c r="E14" s="8" t="str">
        <f>VLOOKUP($A14,[8]HISTOSEPT21!$A$6:$AU$39,8,0)</f>
        <v>BANQUE</v>
      </c>
      <c r="F14" s="8">
        <f>IF(N14="ECHEC",L14+(TONTAOUT21!I14*2),0)</f>
        <v>0</v>
      </c>
      <c r="G14" s="8"/>
      <c r="H14" s="8">
        <f>VLOOKUP($A14,[8]HISTOSEPT21!$A$6:$AU$39,36,0)</f>
        <v>0</v>
      </c>
      <c r="I14" s="8">
        <f>VLOOKUP($A14,[8]HISTOSEPT21!$A$6:$AU$39,39,0)</f>
        <v>0</v>
      </c>
      <c r="J14" s="8" t="str">
        <f>IF(H14&lt;&gt;0,VLOOKUP($A14,[8]HISTOSEPT21!$A$6:$AU$39,8,0),"ECHEC")</f>
        <v>ECHEC</v>
      </c>
      <c r="K14" s="8">
        <f>VLOOKUP($A14,[8]HISTOSEPT21!$A$6:$AU$39,41,0)</f>
        <v>0</v>
      </c>
      <c r="L14" s="8">
        <f>TONTAOUT21!H14+TONTAOUT21!I14+TONTAOUT21!F14</f>
        <v>0</v>
      </c>
      <c r="M14" s="8">
        <f>VLOOKUP(A14,[8]HISTOSEPT21!$A$6:$AZ$37,17,0)</f>
        <v>0</v>
      </c>
      <c r="N14" s="8" t="str">
        <f>IF(M14&lt;&gt;0,VLOOKUP($A14,[8]HISTOSEPT21!$A$6:$AU$39,8,0),"ECHEC")</f>
        <v>ECHEC</v>
      </c>
      <c r="O14" s="8" t="str">
        <f>IF(R14&lt;&gt;0,VLOOKUP($A14,[8]HISTOSEPT21!$A$6:$AU$39,8,0),"ECHEC")</f>
        <v>ECHEC</v>
      </c>
      <c r="P14" s="8">
        <f>VLOOKUP($A14,[8]HISTOSEPT21!$A$6:$AU$39,33,0)</f>
        <v>0</v>
      </c>
      <c r="Q14" s="8">
        <f t="shared" si="1"/>
        <v>0</v>
      </c>
      <c r="R14" s="8">
        <f>VLOOKUP($A14,[8]HISTOSEPT21!$A$6:$AU$39,30,0)</f>
        <v>0</v>
      </c>
      <c r="S14" s="45">
        <f t="shared" si="0"/>
        <v>0</v>
      </c>
    </row>
    <row r="15" spans="1:20" x14ac:dyDescent="0.25">
      <c r="A15" s="1" t="s">
        <v>72</v>
      </c>
      <c r="B15" s="1" t="str">
        <f>VLOOKUP(A15,[6]LISTADHERENT!A$5:H$60,3,0)</f>
        <v>NGONDIEP CLAUDE</v>
      </c>
      <c r="C15" s="8"/>
      <c r="D15" s="8"/>
      <c r="E15" s="8"/>
      <c r="F15" s="8">
        <f>IF(N15="ECHEC",L15+(TONTAOUT21!I15*2),0)</f>
        <v>0</v>
      </c>
      <c r="G15" s="8"/>
      <c r="H15" s="8"/>
      <c r="I15" s="8"/>
      <c r="J15" s="8"/>
      <c r="K15" s="8"/>
      <c r="L15" s="8">
        <f>TONTAOUT21!H15+TONTAOUT21!I15+TONTAOUT21!F15</f>
        <v>0</v>
      </c>
      <c r="M15" s="8"/>
      <c r="N15" s="8"/>
      <c r="O15" s="8"/>
      <c r="P15" s="8">
        <f>VLOOKUP($A15,[8]HISTOSEPT21!$A$6:$AU$39,33,0)</f>
        <v>0</v>
      </c>
      <c r="Q15" s="8"/>
      <c r="R15" s="8">
        <f>VLOOKUP($A15,[8]HISTOSEPT21!$A$6:$AU$39,30,0)</f>
        <v>0</v>
      </c>
      <c r="S15" s="45">
        <f t="shared" si="0"/>
        <v>0</v>
      </c>
    </row>
    <row r="16" spans="1:20" x14ac:dyDescent="0.25">
      <c r="A16" s="1" t="s">
        <v>32</v>
      </c>
      <c r="B16" s="1" t="str">
        <f>VLOOKUP(A16,[6]LISTADHERENT!A$5:H$60,3,0)</f>
        <v>MBOGNING TUGMA GUY</v>
      </c>
      <c r="C16" s="8"/>
      <c r="D16" s="8"/>
      <c r="E16" s="8"/>
      <c r="F16" s="8">
        <f>IF(N16="ECHEC",L16+(TONTAOUT21!I16*2),0)</f>
        <v>0</v>
      </c>
      <c r="G16" s="8"/>
      <c r="H16" s="8"/>
      <c r="I16" s="8"/>
      <c r="J16" s="8"/>
      <c r="K16" s="8"/>
      <c r="L16" s="8">
        <f>TONTAOUT21!H16+TONTAOUT21!I16+TONTAOUT21!F16</f>
        <v>0</v>
      </c>
      <c r="M16" s="8"/>
      <c r="N16" s="8"/>
      <c r="O16" s="8"/>
      <c r="P16" s="8"/>
      <c r="Q16" s="8"/>
      <c r="R16" s="8"/>
      <c r="S16" s="45">
        <f t="shared" si="0"/>
        <v>0</v>
      </c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IF(E17="ECHEC",0,VLOOKUP($A17,[8]HISTOSEPT21!$A$6:$AU$39,13,0))</f>
        <v>150000</v>
      </c>
      <c r="D17" s="8"/>
      <c r="E17" s="8" t="str">
        <f>VLOOKUP($A17,[8]HISTOSEPT21!$A$6:$AU$39,8,0)</f>
        <v>BANQUE</v>
      </c>
      <c r="F17" s="8">
        <f>IF(N17="ECHEC",L17+(TONTAOUT21!I17*2),0)</f>
        <v>0</v>
      </c>
      <c r="G17" s="8"/>
      <c r="H17" s="8">
        <f>VLOOKUP($A17,[8]HISTOSEPT21!$A$6:$AU$39,36,0)</f>
        <v>0</v>
      </c>
      <c r="I17" s="8">
        <f>VLOOKUP($A17,[8]HISTOSEPT21!$A$6:$AU$39,39,0)</f>
        <v>0</v>
      </c>
      <c r="J17" s="8" t="str">
        <f>IF(H17&lt;&gt;0,VLOOKUP($A17,[8]HISTOSEPT21!$A$6:$AU$39,8,0),"ECHEC")</f>
        <v>ECHEC</v>
      </c>
      <c r="K17" s="8">
        <f>VLOOKUP($A17,[8]HISTOSEPT21!$A$6:$AU$39,41,0)</f>
        <v>0</v>
      </c>
      <c r="L17" s="8">
        <f>TONTAOUT21!H17+TONTAOUT21!I17+TONTAOUT21!F17</f>
        <v>0</v>
      </c>
      <c r="M17" s="8">
        <f>VLOOKUP(A17,[8]HISTOSEPT21!$A$6:$AZ$37,17,0)</f>
        <v>0</v>
      </c>
      <c r="N17" s="8" t="str">
        <f>IF(M17&lt;&gt;0,VLOOKUP($A17,[8]HISTOSEPT21!$A$6:$AU$39,8,0),"ECHEC")</f>
        <v>ECHEC</v>
      </c>
      <c r="O17" s="8" t="str">
        <f>IF(R17&lt;&gt;0,VLOOKUP($A17,[8]HISTOSEPT21!$A$6:$AU$39,8,0),"ECHEC")</f>
        <v>ECHEC</v>
      </c>
      <c r="P17" s="8">
        <f>VLOOKUP($A17,[8]HISTOSEPT21!$A$6:$AU$39,33,0)</f>
        <v>0</v>
      </c>
      <c r="Q17" s="8">
        <f>IF(R17=0,0,($C$37-R17))</f>
        <v>0</v>
      </c>
      <c r="R17" s="8">
        <f>VLOOKUP($A17,[8]HISTOSEPT21!$A$6:$AU$39,30,0)</f>
        <v>0</v>
      </c>
      <c r="S17" s="45">
        <f t="shared" si="0"/>
        <v>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/>
      <c r="D18" s="8"/>
      <c r="E18" s="8"/>
      <c r="F18" s="8">
        <f>IF(N18="ECHEC",L18+(TONTAOUT21!I18*2),0)</f>
        <v>0</v>
      </c>
      <c r="G18" s="8"/>
      <c r="H18" s="8"/>
      <c r="I18" s="8"/>
      <c r="J18" s="8"/>
      <c r="K18" s="8"/>
      <c r="L18" s="8">
        <f>TONTAOUT21!H18+TONTAOUT21!I18+TONTAOUT21!F18</f>
        <v>0</v>
      </c>
      <c r="M18" s="8"/>
      <c r="N18" s="8" t="str">
        <f>IF(M18&lt;&gt;0,VLOOKUP($A18,[8]HISTOSEPT21!$A$6:$AU$39,8,0),"ECHEC")</f>
        <v>ECHEC</v>
      </c>
      <c r="O18" s="8" t="str">
        <f>IF(R18&lt;&gt;0,VLOOKUP($A18,[8]HISTOSEPT21!$A$6:$AU$39,8,0),"ECHEC")</f>
        <v>ECHEC</v>
      </c>
      <c r="P18" s="8"/>
      <c r="Q18" s="8"/>
      <c r="R18" s="8"/>
      <c r="S18" s="45">
        <f t="shared" si="0"/>
        <v>0</v>
      </c>
      <c r="T18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IF(E19="ECHEC",0,VLOOKUP($A19,[8]HISTOSEPT21!$A$6:$AU$39,13,0))</f>
        <v>75000</v>
      </c>
      <c r="D19" s="8"/>
      <c r="E19" s="8" t="str">
        <f>VLOOKUP($A19,[8]HISTOSEPT21!$A$6:$AU$39,8,0)</f>
        <v>BANQUE</v>
      </c>
      <c r="F19" s="8">
        <f>IF(N19="ECHEC",L19+(TONTAOUT21!I19*2),0)</f>
        <v>0</v>
      </c>
      <c r="G19" s="8"/>
      <c r="H19" s="8">
        <f>VLOOKUP($A19,[8]HISTOSEPT21!$A$6:$AU$39,36,0)</f>
        <v>0</v>
      </c>
      <c r="I19" s="8">
        <f>VLOOKUP($A19,[8]HISTOSEPT21!$A$6:$AU$39,39,0)</f>
        <v>0</v>
      </c>
      <c r="J19" s="8" t="str">
        <f>IF(H19&lt;&gt;0,VLOOKUP($A19,[8]HISTOSEPT21!$A$6:$AU$39,8,0),"ECHEC")</f>
        <v>ECHEC</v>
      </c>
      <c r="K19" s="8">
        <f>VLOOKUP($A19,[8]HISTOSEPT21!$A$6:$AU$39,41,0)</f>
        <v>0</v>
      </c>
      <c r="L19" s="8">
        <f>TONTAOUT21!H19+TONTAOUT21!I19+TONTAOUT21!F19</f>
        <v>0</v>
      </c>
      <c r="M19" s="8">
        <f>VLOOKUP(A19,[8]HISTOSEPT21!$A$6:$AZ$37,17,0)</f>
        <v>0</v>
      </c>
      <c r="N19" s="8" t="str">
        <f>IF(M19&lt;&gt;0,VLOOKUP($A19,[8]HISTOSEPT21!$A$6:$AU$39,8,0),"ECHEC")</f>
        <v>ECHEC</v>
      </c>
      <c r="O19" s="8" t="str">
        <f>IF(R19&lt;&gt;0,VLOOKUP($A19,[8]HISTOSEPT21!$A$6:$AU$39,8,0),"ECHEC")</f>
        <v>ECHEC</v>
      </c>
      <c r="P19" s="8">
        <f>VLOOKUP($A19,[8]HISTOSEPT21!$A$6:$AU$39,33,0)</f>
        <v>0</v>
      </c>
      <c r="Q19" s="8">
        <f>IF(R19=0,0,($C$37-R19))</f>
        <v>0</v>
      </c>
      <c r="R19" s="8">
        <f>VLOOKUP($A19,[8]HISTOSEPT21!$A$6:$AU$39,30,0)</f>
        <v>0</v>
      </c>
      <c r="S19" s="45">
        <f t="shared" si="0"/>
        <v>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IF(E20="ECHEC",0,VLOOKUP($A20,[8]HISTOSEPT21!$A$6:$AU$39,13,0))</f>
        <v>75000</v>
      </c>
      <c r="D20" s="8"/>
      <c r="E20" s="8" t="str">
        <f>VLOOKUP($A20,[8]HISTOSEPT21!$A$6:$AU$39,8,0)</f>
        <v>BANQUE</v>
      </c>
      <c r="F20" s="8">
        <f>IF(N20="ECHEC",L20+(TONTAOUT21!I20*2),0)</f>
        <v>0</v>
      </c>
      <c r="G20" s="8"/>
      <c r="H20" s="8">
        <f>VLOOKUP($A20,[8]HISTOSEPT21!$A$6:$AU$39,36,0)</f>
        <v>0</v>
      </c>
      <c r="I20" s="8">
        <f>VLOOKUP($A20,[8]HISTOSEPT21!$A$6:$AU$39,39,0)</f>
        <v>0</v>
      </c>
      <c r="J20" s="8" t="str">
        <f>IF(H20&lt;&gt;0,VLOOKUP($A20,[8]HISTOSEPT21!$A$6:$AU$39,8,0),"ECHEC")</f>
        <v>ECHEC</v>
      </c>
      <c r="K20" s="8">
        <f>VLOOKUP($A20,[8]HISTOSEPT21!$A$6:$AU$39,41,0)</f>
        <v>0</v>
      </c>
      <c r="L20" s="8">
        <f>TONTAOUT21!H20+TONTAOUT21!I20+TONTAOUT21!F20</f>
        <v>0</v>
      </c>
      <c r="M20" s="8">
        <f>VLOOKUP(A20,[8]HISTOSEPT21!$A$6:$AZ$37,17,0)</f>
        <v>0</v>
      </c>
      <c r="N20" s="8" t="str">
        <f>IF(M20&lt;&gt;0,VLOOKUP($A20,[8]HISTOSEPT21!$A$6:$AU$39,8,0),"ECHEC")</f>
        <v>ECHEC</v>
      </c>
      <c r="O20" s="8" t="str">
        <f>IF(R20&lt;&gt;0,VLOOKUP($A20,[8]HISTOSEPT21!$A$6:$AU$39,8,0),"ECHEC")</f>
        <v>ECHEC</v>
      </c>
      <c r="P20" s="8">
        <f>VLOOKUP($A20,[8]HISTOSEPT21!$A$6:$AU$39,33,0)</f>
        <v>0</v>
      </c>
      <c r="Q20" s="8">
        <f>IF(R20=0,0,($C$37-R20))</f>
        <v>0</v>
      </c>
      <c r="R20" s="8">
        <f>VLOOKUP($A20,[8]HISTOSEPT21!$A$6:$AU$39,30,0)</f>
        <v>0</v>
      </c>
      <c r="S20" s="45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IF(E21="ECHEC",0,VLOOKUP($A21,[8]HISTOSEPT21!$A$6:$AU$39,13,0))</f>
        <v>75000</v>
      </c>
      <c r="D21" s="8"/>
      <c r="E21" s="8" t="str">
        <f>VLOOKUP($A21,[8]HISTOSEPT21!$A$6:$AU$39,8,0)</f>
        <v>BANQUE</v>
      </c>
      <c r="F21" s="8">
        <f>IF(N21="ECHEC",L21+(TONTAOUT21!I21*2),0)</f>
        <v>0</v>
      </c>
      <c r="G21" s="8"/>
      <c r="H21" s="8">
        <f>VLOOKUP($A21,[8]HISTOSEPT21!$A$6:$AU$39,36,0)</f>
        <v>0</v>
      </c>
      <c r="I21" s="8">
        <f>VLOOKUP($A21,[8]HISTOSEPT21!$A$6:$AU$39,39,0)</f>
        <v>0</v>
      </c>
      <c r="J21" s="8" t="str">
        <f>IF(H21&lt;&gt;0,VLOOKUP($A21,[8]HISTOSEPT21!$A$6:$AU$39,8,0),"ECHEC")</f>
        <v>ECHEC</v>
      </c>
      <c r="K21" s="8">
        <f>VLOOKUP($A21,[8]HISTOSEPT21!$A$6:$AU$39,41,0)</f>
        <v>0</v>
      </c>
      <c r="L21" s="8">
        <f>TONTAOUT21!H21+TONTAOUT21!I21+TONTAOUT21!F21</f>
        <v>0</v>
      </c>
      <c r="M21" s="8">
        <f>VLOOKUP(A21,[8]HISTOSEPT21!$A$6:$AZ$37,17,0)</f>
        <v>0</v>
      </c>
      <c r="N21" s="8" t="str">
        <f>IF(M21&lt;&gt;0,VLOOKUP($A21,[8]HISTOSEPT21!$A$6:$AU$39,8,0),"ECHEC")</f>
        <v>ECHEC</v>
      </c>
      <c r="O21" s="8" t="str">
        <f>IF(R21&lt;&gt;0,VLOOKUP($A21,[8]HISTOSEPT21!$A$6:$AU$39,8,0),"ECHEC")</f>
        <v>ECHEC</v>
      </c>
      <c r="P21" s="8">
        <f>VLOOKUP($A21,[8]HISTOSEPT21!$A$6:$AU$39,33,0)</f>
        <v>0</v>
      </c>
      <c r="Q21" s="8">
        <f>IF(R21=0,0,($C$37-R21))</f>
        <v>0</v>
      </c>
      <c r="R21" s="8">
        <f>VLOOKUP($A21,[8]HISTOSEPT21!$A$6:$AU$39,30,0)</f>
        <v>0</v>
      </c>
      <c r="S21" s="45">
        <f t="shared" si="0"/>
        <v>0</v>
      </c>
    </row>
    <row r="22" spans="1:24" x14ac:dyDescent="0.25">
      <c r="A22" s="16" t="s">
        <v>51</v>
      </c>
      <c r="B22" s="1" t="str">
        <f>VLOOKUP(A22,[6]LISTADHERENT!A$5:H$60,3,0)</f>
        <v>TCHEMHOU EMMANUEL</v>
      </c>
      <c r="C22" s="8">
        <f>IF(E22="ECHEC",0,VLOOKUP($A22,[8]HISTOSEPT21!$A$6:$AU$39,13,0))</f>
        <v>0</v>
      </c>
      <c r="D22" s="8"/>
      <c r="E22" s="8"/>
      <c r="F22" s="8">
        <f>IF(N22="ECHEC",L22+(TONTAOUT21!I22*2),0)</f>
        <v>0</v>
      </c>
      <c r="G22" s="8"/>
      <c r="H22" s="8">
        <f>VLOOKUP($A22,[8]HISTOSEPT21!$A$6:$AU$39,36,0)</f>
        <v>0</v>
      </c>
      <c r="I22" s="8">
        <f>VLOOKUP($A22,[8]HISTOSEPT21!$A$6:$AU$39,39,0)</f>
        <v>0</v>
      </c>
      <c r="J22" s="8" t="str">
        <f>IF(H22&lt;&gt;0,VLOOKUP($A22,[8]HISTOSEPT21!$A$6:$AU$39,8,0),"ECHEC")</f>
        <v>ECHEC</v>
      </c>
      <c r="K22" s="8">
        <f>VLOOKUP($A22,[8]HISTOSEPT21!$A$6:$AU$39,41,0)</f>
        <v>0</v>
      </c>
      <c r="L22" s="8">
        <f>TONTAOUT21!H22+TONTAOUT21!I22+TONTAOUT21!F22</f>
        <v>0</v>
      </c>
      <c r="M22" s="8">
        <f>VLOOKUP(A22,[8]HISTOSEPT21!$A$6:$AZ$37,17,0)</f>
        <v>0</v>
      </c>
      <c r="N22" s="8" t="str">
        <f>IF(M22&lt;&gt;0,VLOOKUP($A22,[8]HISTOSEPT21!$A$6:$AU$39,8,0),"ECHEC")</f>
        <v>ECHEC</v>
      </c>
      <c r="O22" s="8" t="str">
        <f>IF(R22&lt;&gt;0,VLOOKUP($A22,[8]HISTOSEPT21!$A$6:$AU$39,8,0),"ECHEC")</f>
        <v>ECHEC</v>
      </c>
      <c r="P22" s="8">
        <f>VLOOKUP($A22,[8]HISTOSEPT21!$A$6:$AU$39,33,0)</f>
        <v>0</v>
      </c>
      <c r="Q22" s="8">
        <f>IF(R22=0,0,($C$37-R22))</f>
        <v>0</v>
      </c>
      <c r="R22" s="8">
        <f>VLOOKUP($A22,[8]HISTOSEPT21!$A$6:$AU$39,30,0)</f>
        <v>0</v>
      </c>
      <c r="S22" s="45">
        <f t="shared" si="0"/>
        <v>0</v>
      </c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IF(E23="ECHEC",0,VLOOKUP($A23,[8]HISTOSEPT21!$A$6:$AU$39,13,0))</f>
        <v>150000</v>
      </c>
      <c r="D23" s="8"/>
      <c r="E23" s="8" t="str">
        <f>VLOOKUP($A23,[8]HISTOSEPT21!$A$6:$AU$39,8,0)</f>
        <v>BANQUE</v>
      </c>
      <c r="F23" s="8">
        <f>IF(N23="ECHEC",L23+(TONTAOUT21!I23*2),0)</f>
        <v>0</v>
      </c>
      <c r="G23" s="8"/>
      <c r="H23" s="8">
        <f>VLOOKUP($A23,[8]HISTOSEPT21!$A$6:$AU$39,36,0)</f>
        <v>0</v>
      </c>
      <c r="I23" s="8">
        <f>VLOOKUP($A23,[8]HISTOSEPT21!$A$6:$AU$39,39,0)</f>
        <v>0</v>
      </c>
      <c r="J23" s="8" t="str">
        <f>IF(H23&lt;&gt;0,VLOOKUP($A23,[8]HISTOSEPT21!$A$6:$AU$39,8,0),"ECHEC")</f>
        <v>ECHEC</v>
      </c>
      <c r="K23" s="8">
        <f>VLOOKUP($A23,[8]HISTOSEPT21!$A$6:$AU$39,41,0)</f>
        <v>0</v>
      </c>
      <c r="L23" s="8">
        <f>TONTAOUT21!H23+TONTAOUT21!I23+TONTAOUT21!F23</f>
        <v>0</v>
      </c>
      <c r="M23" s="8"/>
      <c r="N23" s="8" t="str">
        <f>IF(M23&lt;&gt;0,VLOOKUP($A23,[8]HISTOSEPT21!$A$6:$AU$39,8,0),"ECHEC")</f>
        <v>ECHEC</v>
      </c>
      <c r="O23" s="8" t="str">
        <f>IF(R23&lt;&gt;0,VLOOKUP($A23,[8]HISTOSEPT21!$A$6:$AU$39,8,0),"ECHEC")</f>
        <v>ECHEC</v>
      </c>
      <c r="P23" s="8">
        <f>VLOOKUP($A23,[8]HISTOSEPT21!$A$6:$AU$39,33,0)</f>
        <v>0</v>
      </c>
      <c r="Q23" s="8">
        <f>IF(R23=0,0,($C$37-R23))</f>
        <v>0</v>
      </c>
      <c r="R23" s="8">
        <f>VLOOKUP($A23,[8]HISTOSEPT21!$A$6:$AU$39,30,0)</f>
        <v>0</v>
      </c>
      <c r="S23" s="45">
        <f t="shared" si="0"/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/>
      <c r="D24" s="8"/>
      <c r="E24" s="8"/>
      <c r="F24" s="8">
        <f>IF(N24="ECHEC",L24+(TONTAOUT21!I24*2),0)</f>
        <v>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45">
        <f t="shared" si="0"/>
        <v>0</v>
      </c>
    </row>
    <row r="25" spans="1:24" x14ac:dyDescent="0.25">
      <c r="A25" s="1"/>
      <c r="C25"/>
      <c r="E25"/>
      <c r="F25"/>
      <c r="H25" s="3"/>
      <c r="I25" s="3"/>
      <c r="K25" s="2"/>
      <c r="O25" s="2"/>
      <c r="P25" s="2"/>
      <c r="Q25"/>
    </row>
    <row r="26" spans="1:24" ht="18" x14ac:dyDescent="0.25">
      <c r="A26" s="1"/>
      <c r="C26"/>
      <c r="E26"/>
      <c r="F26"/>
      <c r="G26" s="32"/>
      <c r="H26" s="3"/>
      <c r="I26" s="3"/>
      <c r="K26" s="2"/>
      <c r="O26" s="2"/>
      <c r="P26" s="2"/>
      <c r="Q26"/>
      <c r="S26" s="21">
        <f>SUM(S6:S24)</f>
        <v>0</v>
      </c>
    </row>
    <row r="27" spans="1:24" ht="18" x14ac:dyDescent="0.25">
      <c r="A27" s="1"/>
      <c r="B27" s="9" t="s">
        <v>13</v>
      </c>
      <c r="C27" s="9">
        <f t="shared" ref="C27:R27" si="2">SUM(C6:C26)</f>
        <v>1275000</v>
      </c>
      <c r="D27" s="9">
        <f t="shared" si="2"/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>SUM(L6:L26)</f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P27" s="9">
        <f t="shared" si="2"/>
        <v>0</v>
      </c>
      <c r="Q27" s="9">
        <f t="shared" si="2"/>
        <v>0</v>
      </c>
      <c r="R27" s="9">
        <f t="shared" si="2"/>
        <v>0</v>
      </c>
      <c r="S27" s="17"/>
      <c r="U27" s="17"/>
      <c r="V27" s="17"/>
      <c r="W27" s="17"/>
      <c r="X27" s="17"/>
    </row>
    <row r="28" spans="1:24" x14ac:dyDescent="0.25">
      <c r="A28" s="2"/>
      <c r="C28"/>
      <c r="E28"/>
      <c r="F28"/>
      <c r="G28" s="32"/>
      <c r="H28" s="3"/>
      <c r="I28" s="3"/>
      <c r="K28" s="2"/>
      <c r="O28" s="2"/>
      <c r="P28" s="2"/>
      <c r="Q28" s="2"/>
      <c r="R28" s="2"/>
      <c r="S28" s="17"/>
      <c r="T28" s="2"/>
    </row>
    <row r="29" spans="1:24" ht="43.5" x14ac:dyDescent="0.25">
      <c r="C29" s="23" t="s">
        <v>17</v>
      </c>
      <c r="D29" s="6" t="s">
        <v>22</v>
      </c>
      <c r="E29" s="6" t="s">
        <v>25</v>
      </c>
      <c r="F29" s="6" t="s">
        <v>27</v>
      </c>
      <c r="G29" s="6" t="s">
        <v>28</v>
      </c>
      <c r="H29" s="3"/>
      <c r="K29" s="9" t="s">
        <v>35</v>
      </c>
      <c r="L29" s="9">
        <f>C34+D34+R27+TONTAOUT21!M34</f>
        <v>1159500</v>
      </c>
      <c r="M29" s="9"/>
      <c r="N29" s="9"/>
      <c r="P29"/>
      <c r="Q29"/>
      <c r="S29" s="17"/>
    </row>
    <row r="30" spans="1:24" ht="18" x14ac:dyDescent="0.25">
      <c r="C30" s="22"/>
      <c r="F30"/>
      <c r="G30"/>
      <c r="H30" s="3"/>
      <c r="K30" s="9" t="s">
        <v>60</v>
      </c>
      <c r="L30" s="9">
        <f>C3*COUNTIF(Q6:Q26,"&gt;0")</f>
        <v>0</v>
      </c>
      <c r="M30" s="9">
        <f>D3</f>
        <v>0</v>
      </c>
      <c r="N30" s="32"/>
      <c r="P30"/>
      <c r="Q30"/>
    </row>
    <row r="31" spans="1:24" ht="18" x14ac:dyDescent="0.25">
      <c r="B31" s="9" t="s">
        <v>14</v>
      </c>
      <c r="C31" s="21">
        <f>SUMIFS(C6:C25,E6:E25,"ESPECES")</f>
        <v>0</v>
      </c>
      <c r="D31" s="9">
        <f>SUMIFS(L2:L21,N2:N21,"ESPECES")+SUMIFS(F2:F21,G2:G21,"ESPECES")</f>
        <v>0</v>
      </c>
      <c r="E31" s="9">
        <f>SUMIFS(H6:H25,J6:J25,"ESPECES")</f>
        <v>0</v>
      </c>
      <c r="F31" s="9">
        <f>SUMIFS(Q6:Q25,O6:O25,"ESPECES")</f>
        <v>0</v>
      </c>
      <c r="G31" s="9">
        <f>C31+D31-E31-F31</f>
        <v>0</v>
      </c>
      <c r="H31" s="3"/>
      <c r="K31" s="2"/>
      <c r="N31" s="9"/>
      <c r="O31" s="9"/>
      <c r="P31"/>
      <c r="Q31"/>
    </row>
    <row r="32" spans="1:24" ht="18" x14ac:dyDescent="0.25">
      <c r="B32" s="9" t="s">
        <v>9</v>
      </c>
      <c r="C32" s="21">
        <f>SUMIFS(C6:C25,E6:E25,"BANQUE")</f>
        <v>1275000</v>
      </c>
      <c r="D32" s="9">
        <f>SUMIFS(M3:M22,N3:N22,"BANQUE")+SUMIFS(F3:F22,G3:G22,"BANQUE")</f>
        <v>0</v>
      </c>
      <c r="E32" s="9">
        <f>SUMIFS(H6:H25,J6:J25,"BANQUE")</f>
        <v>0</v>
      </c>
      <c r="F32" s="9">
        <f>SUMIFS(Q6:Q25,O6:O25,"BANQUE")</f>
        <v>0</v>
      </c>
      <c r="G32" s="9">
        <f>C32+D32-E32-F32</f>
        <v>1275000</v>
      </c>
      <c r="H32" s="3"/>
      <c r="K32" s="9" t="s">
        <v>33</v>
      </c>
      <c r="L32" s="9">
        <f>L29-L30</f>
        <v>1159500</v>
      </c>
      <c r="M32" s="9"/>
      <c r="O32" s="9"/>
      <c r="P32"/>
      <c r="Q32"/>
    </row>
    <row r="33" spans="2:17" ht="18" x14ac:dyDescent="0.25">
      <c r="B33" s="9"/>
      <c r="C33" s="21"/>
      <c r="E33"/>
      <c r="F33" s="9"/>
      <c r="G33" s="9"/>
      <c r="H33" s="3"/>
      <c r="K33" s="2"/>
      <c r="O33" s="9"/>
      <c r="P33"/>
      <c r="Q33"/>
    </row>
    <row r="34" spans="2:17" ht="18" x14ac:dyDescent="0.25">
      <c r="B34" s="9" t="s">
        <v>13</v>
      </c>
      <c r="C34" s="21">
        <f>C31+C32</f>
        <v>1275000</v>
      </c>
      <c r="D34" s="21">
        <f>D31+D32</f>
        <v>0</v>
      </c>
      <c r="E34" s="21">
        <f t="shared" ref="E34" si="3">E31+E32</f>
        <v>0</v>
      </c>
      <c r="F34" s="21">
        <f>F31+F32</f>
        <v>0</v>
      </c>
      <c r="G34" s="21">
        <f>G31+G32</f>
        <v>1275000</v>
      </c>
      <c r="H34" s="3"/>
      <c r="K34" s="9" t="s">
        <v>56</v>
      </c>
      <c r="L34" s="9">
        <f>L32-H27</f>
        <v>1159500</v>
      </c>
      <c r="M34" s="9">
        <f>L34</f>
        <v>1159500</v>
      </c>
      <c r="N34" s="9" t="s">
        <v>57</v>
      </c>
      <c r="P34"/>
      <c r="Q34"/>
    </row>
    <row r="35" spans="2:17" ht="18" x14ac:dyDescent="0.25">
      <c r="B35" s="9"/>
      <c r="C35" s="21"/>
      <c r="D35" s="9"/>
      <c r="F35"/>
      <c r="G35"/>
      <c r="H35" s="3"/>
      <c r="K35" s="2"/>
      <c r="M35" s="3"/>
      <c r="P35"/>
      <c r="Q35"/>
    </row>
    <row r="36" spans="2:17" ht="18" x14ac:dyDescent="0.25">
      <c r="B36" s="9"/>
      <c r="C36" s="21"/>
      <c r="D36" s="9"/>
      <c r="F36"/>
      <c r="G36"/>
      <c r="H36" s="3"/>
      <c r="K36" s="9" t="s">
        <v>52</v>
      </c>
      <c r="L36" s="9">
        <f>COUNTIFS(E6:E25,"ECHEC")*75000</f>
        <v>0</v>
      </c>
      <c r="M36" s="9">
        <f>L36+TONTAOUT21!M36</f>
        <v>0</v>
      </c>
      <c r="N36" s="9" t="s">
        <v>57</v>
      </c>
      <c r="P36"/>
      <c r="Q36"/>
    </row>
    <row r="37" spans="2:17" ht="18" x14ac:dyDescent="0.25">
      <c r="B37" s="9" t="s">
        <v>6</v>
      </c>
      <c r="C37" s="21">
        <v>1200000</v>
      </c>
      <c r="F37"/>
      <c r="G37" s="9"/>
      <c r="H37" s="9"/>
      <c r="K37" s="9" t="s">
        <v>53</v>
      </c>
      <c r="L37" s="21">
        <f>SUMIFS(F3:F22,G3:G22,"ECHEC")</f>
        <v>0</v>
      </c>
      <c r="M37" s="9">
        <f>L37+TONTAOUT21!M37</f>
        <v>0</v>
      </c>
      <c r="N37" s="9" t="s">
        <v>57</v>
      </c>
      <c r="P37"/>
      <c r="Q37"/>
    </row>
    <row r="38" spans="2:17" ht="18" x14ac:dyDescent="0.25">
      <c r="B38" s="9"/>
      <c r="C38" s="21"/>
      <c r="I38" s="9"/>
      <c r="J38" s="9"/>
      <c r="K38"/>
      <c r="L38" s="3"/>
      <c r="M38" s="3"/>
      <c r="P38"/>
      <c r="Q38"/>
    </row>
    <row r="39" spans="2:17" x14ac:dyDescent="0.25">
      <c r="C39"/>
      <c r="E39"/>
      <c r="F39"/>
      <c r="H39" s="3"/>
      <c r="I39" s="3"/>
      <c r="K39" s="2"/>
      <c r="O39" s="2"/>
      <c r="P39" s="2"/>
      <c r="Q39"/>
    </row>
    <row r="40" spans="2:17" ht="18" x14ac:dyDescent="0.25">
      <c r="C40"/>
      <c r="E40"/>
      <c r="F40"/>
      <c r="H40" s="3"/>
      <c r="I40" s="3"/>
      <c r="K40" s="2"/>
      <c r="L40" s="9" t="s">
        <v>17</v>
      </c>
      <c r="N40" s="9"/>
      <c r="O40" s="9">
        <v>1275000</v>
      </c>
      <c r="P40" s="2"/>
      <c r="Q40"/>
    </row>
    <row r="41" spans="2:17" ht="18" x14ac:dyDescent="0.25">
      <c r="C41"/>
      <c r="E41"/>
      <c r="F41"/>
      <c r="H41" s="3"/>
      <c r="I41" s="3"/>
      <c r="K41" s="2"/>
      <c r="L41" s="9" t="s">
        <v>56</v>
      </c>
      <c r="M41" s="9"/>
      <c r="N41" s="9">
        <f>L34</f>
        <v>1159500</v>
      </c>
      <c r="O41" s="9"/>
      <c r="P41" s="9"/>
      <c r="Q41"/>
    </row>
    <row r="42" spans="2:17" ht="18" x14ac:dyDescent="0.25">
      <c r="C42" s="22"/>
      <c r="I42" s="9"/>
      <c r="J42" s="9"/>
      <c r="K42"/>
      <c r="L42" s="9"/>
      <c r="M42" s="3"/>
      <c r="N42" s="9"/>
      <c r="P42"/>
      <c r="Q42"/>
    </row>
    <row r="43" spans="2:17" ht="18" x14ac:dyDescent="0.25">
      <c r="C43" s="22"/>
      <c r="I43" s="9"/>
      <c r="J43" s="9"/>
      <c r="K43"/>
      <c r="L43" s="9"/>
      <c r="M43" s="3"/>
      <c r="N43" s="9">
        <f>SUM(N40:N42)</f>
        <v>1159500</v>
      </c>
      <c r="P43"/>
      <c r="Q43"/>
    </row>
    <row r="44" spans="2:17" x14ac:dyDescent="0.25">
      <c r="C44" s="22"/>
      <c r="K44"/>
      <c r="L44" s="3"/>
      <c r="M44" s="3"/>
      <c r="P44"/>
      <c r="Q44"/>
    </row>
    <row r="45" spans="2:17" ht="18" x14ac:dyDescent="0.25">
      <c r="C45" s="22"/>
      <c r="K45"/>
      <c r="L45" s="9" t="s">
        <v>65</v>
      </c>
      <c r="M45" s="3"/>
      <c r="N45" s="9">
        <f>TONTRESUME!C22-11000</f>
        <v>525000</v>
      </c>
      <c r="P45"/>
      <c r="Q45"/>
    </row>
    <row r="46" spans="2:17" ht="18" x14ac:dyDescent="0.25">
      <c r="C46" s="22"/>
      <c r="K46"/>
      <c r="L46" s="9" t="s">
        <v>66</v>
      </c>
      <c r="M46" s="3"/>
      <c r="N46" s="9">
        <f>TONTRESUME!C7</f>
        <v>75000</v>
      </c>
      <c r="P46"/>
      <c r="Q46"/>
    </row>
    <row r="47" spans="2:17" ht="18" x14ac:dyDescent="0.25">
      <c r="B47" s="9"/>
      <c r="C47" s="9"/>
      <c r="D47" s="9"/>
    </row>
    <row r="48" spans="2:17" ht="18" x14ac:dyDescent="0.25">
      <c r="B48" s="9"/>
      <c r="C48" s="9"/>
      <c r="D48" s="9"/>
      <c r="L48" s="9" t="s">
        <v>67</v>
      </c>
      <c r="N48" s="11">
        <f>SUM(N45:N47)</f>
        <v>600000</v>
      </c>
    </row>
    <row r="49" spans="2:14" ht="18" x14ac:dyDescent="0.25">
      <c r="B49" s="9"/>
      <c r="C49" s="9"/>
    </row>
    <row r="50" spans="2:14" ht="18" x14ac:dyDescent="0.25">
      <c r="B50" s="9"/>
      <c r="C50" s="9"/>
      <c r="L50" s="9" t="s">
        <v>69</v>
      </c>
      <c r="N50" s="41">
        <f>N43-N48</f>
        <v>559500</v>
      </c>
    </row>
    <row r="51" spans="2:14" ht="18" x14ac:dyDescent="0.25">
      <c r="L51" s="9" t="s">
        <v>68</v>
      </c>
      <c r="N51" s="41">
        <f>N50/17</f>
        <v>32911.76470588235</v>
      </c>
    </row>
    <row r="52" spans="2:14" ht="18" x14ac:dyDescent="0.25">
      <c r="B52" s="6"/>
      <c r="C52" s="9"/>
    </row>
  </sheetData>
  <autoFilter ref="A5:R24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G6:G7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zoomScaleNormal="100" workbookViewId="0">
      <pane xSplit="3" ySplit="5" topLeftCell="N12" activePane="bottomRight" state="frozen"/>
      <selection activeCell="E36" sqref="E36"/>
      <selection pane="topRight" activeCell="E36" sqref="E36"/>
      <selection pane="bottomLeft" activeCell="E36" sqref="E36"/>
      <selection pane="bottomRight" activeCell="A16" sqref="A16:XFD16"/>
    </sheetView>
  </sheetViews>
  <sheetFormatPr baseColWidth="10" defaultColWidth="11" defaultRowHeight="15" x14ac:dyDescent="0.25"/>
  <cols>
    <col min="1" max="2" width="13.85546875" customWidth="1"/>
    <col min="3" max="3" width="29.5703125" bestFit="1" customWidth="1"/>
    <col min="4" max="4" width="17" style="2" customWidth="1"/>
    <col min="5" max="5" width="12.5703125" bestFit="1" customWidth="1"/>
    <col min="6" max="6" width="17.5703125" style="3" bestFit="1" customWidth="1"/>
    <col min="7" max="8" width="17.5703125" style="3" customWidth="1"/>
    <col min="9" max="9" width="18.28515625" customWidth="1"/>
    <col min="10" max="10" width="16.7109375" customWidth="1"/>
    <col min="11" max="12" width="17.5703125" style="3" bestFit="1" customWidth="1"/>
    <col min="13" max="14" width="17.42578125" customWidth="1"/>
    <col min="15" max="15" width="17.5703125" style="3" bestFit="1" customWidth="1"/>
    <col min="16" max="16" width="17.5703125" style="3" customWidth="1"/>
    <col min="17" max="17" width="15.42578125" style="3" customWidth="1"/>
    <col min="18" max="18" width="17.5703125" style="3" customWidth="1"/>
    <col min="19" max="19" width="19" bestFit="1" customWidth="1"/>
    <col min="20" max="20" width="12.42578125" bestFit="1" customWidth="1"/>
  </cols>
  <sheetData>
    <row r="1" spans="1:21" x14ac:dyDescent="0.25">
      <c r="A1" s="1" t="s">
        <v>0</v>
      </c>
      <c r="B1" s="1"/>
      <c r="C1" s="1" t="s">
        <v>1</v>
      </c>
      <c r="D1"/>
      <c r="E1" s="1"/>
      <c r="F1" s="1"/>
      <c r="G1"/>
      <c r="I1" s="3"/>
      <c r="J1" s="3"/>
      <c r="L1" s="2"/>
      <c r="M1" s="1"/>
      <c r="N1" s="1"/>
      <c r="P1" s="2"/>
      <c r="Q1" s="2"/>
      <c r="R1"/>
    </row>
    <row r="2" spans="1:21" x14ac:dyDescent="0.25">
      <c r="A2" s="1" t="s">
        <v>2</v>
      </c>
      <c r="B2" s="1"/>
      <c r="C2" s="1">
        <v>2021</v>
      </c>
      <c r="D2" s="1" t="s">
        <v>58</v>
      </c>
      <c r="E2" s="1" t="s">
        <v>61</v>
      </c>
      <c r="F2" s="1"/>
      <c r="G2"/>
      <c r="I2" s="3"/>
      <c r="J2" s="3"/>
      <c r="L2" s="2"/>
      <c r="M2" s="1"/>
      <c r="N2" s="1"/>
      <c r="P2" s="2"/>
      <c r="Q2" s="2"/>
      <c r="R2"/>
    </row>
    <row r="3" spans="1:21" x14ac:dyDescent="0.25">
      <c r="A3" s="1" t="s">
        <v>59</v>
      </c>
      <c r="B3" s="1"/>
      <c r="C3" s="4">
        <v>75000</v>
      </c>
      <c r="D3" s="4">
        <f>C3*16</f>
        <v>1200000</v>
      </c>
      <c r="E3" s="1">
        <f>ROUNDDOWN(M26/D3,0)</f>
        <v>1</v>
      </c>
      <c r="F3" s="1"/>
      <c r="G3"/>
      <c r="I3" s="3"/>
      <c r="J3" s="3"/>
      <c r="L3" s="2"/>
      <c r="M3" s="1"/>
      <c r="N3" s="1"/>
      <c r="P3" s="2"/>
      <c r="Q3" s="2"/>
      <c r="R3"/>
    </row>
    <row r="4" spans="1:21" s="37" customFormat="1" ht="18" x14ac:dyDescent="0.25">
      <c r="C4" s="38"/>
      <c r="D4" s="54">
        <v>44490</v>
      </c>
      <c r="E4" s="55"/>
      <c r="F4" s="55"/>
      <c r="G4" s="55"/>
      <c r="H4" s="55"/>
      <c r="I4" s="55"/>
      <c r="J4" s="55"/>
      <c r="K4" s="55"/>
      <c r="L4" s="55"/>
      <c r="M4" s="55"/>
      <c r="O4" s="39"/>
      <c r="P4" s="39"/>
      <c r="Q4" s="39"/>
      <c r="R4" s="39"/>
      <c r="T4"/>
    </row>
    <row r="5" spans="1:21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1" t="s">
        <v>7</v>
      </c>
      <c r="F5" s="6" t="s">
        <v>20</v>
      </c>
      <c r="G5" s="6" t="s">
        <v>54</v>
      </c>
      <c r="H5" s="6" t="s">
        <v>26</v>
      </c>
      <c r="I5" s="6" t="s">
        <v>25</v>
      </c>
      <c r="J5" s="6" t="s">
        <v>18</v>
      </c>
      <c r="K5" s="18" t="s">
        <v>26</v>
      </c>
      <c r="L5" s="18" t="s">
        <v>34</v>
      </c>
      <c r="M5" s="18" t="s">
        <v>47</v>
      </c>
      <c r="N5" s="18" t="s">
        <v>45</v>
      </c>
      <c r="O5" s="18" t="s">
        <v>19</v>
      </c>
      <c r="P5" s="6" t="s">
        <v>21</v>
      </c>
      <c r="Q5" s="18" t="s">
        <v>34</v>
      </c>
      <c r="R5" s="6" t="s">
        <v>23</v>
      </c>
      <c r="S5" s="4" t="s">
        <v>24</v>
      </c>
      <c r="T5" s="6" t="s">
        <v>85</v>
      </c>
    </row>
    <row r="6" spans="1:21" s="17" customFormat="1" x14ac:dyDescent="0.25">
      <c r="A6" s="1" t="s">
        <v>36</v>
      </c>
      <c r="B6" s="8"/>
      <c r="C6" s="1" t="str">
        <f>VLOOKUP(A6,[6]LISTADHERENT!A$5:H$60,3,0)</f>
        <v>BOUTCHOUANG WILLIAM</v>
      </c>
      <c r="D6" s="8">
        <f>IF(F6="ECHEC",0,VLOOKUP($A6,[8]HISTOOCT21!$A$6:$AU$39,13,0))</f>
        <v>75000</v>
      </c>
      <c r="E6" s="8"/>
      <c r="F6" s="8" t="str">
        <f>VLOOKUP($A6,[8]HISTOOCT21!$A$6:$AU$39,8,0)</f>
        <v>BANQUE</v>
      </c>
      <c r="G6" s="8">
        <f>IF(O6="ECHEC",M6+(TONTAOUT21!I6*2),0)</f>
        <v>0</v>
      </c>
      <c r="H6" s="7"/>
      <c r="I6" s="8">
        <f>VLOOKUP($A6,[8]HISTOOCT21!$A$6:$AU$39,36,0)</f>
        <v>0</v>
      </c>
      <c r="J6" s="8">
        <f>VLOOKUP($A6,[8]HISTOOCT21!$A$6:$AU$39,39,0)</f>
        <v>0</v>
      </c>
      <c r="K6" s="8" t="str">
        <f>IF(I6&lt;&gt;0,VLOOKUP($A6,[8]HISTOOCT21!$A$6:$AU$39,8,0),"ECHEC")</f>
        <v>ECHEC</v>
      </c>
      <c r="L6" s="8">
        <f>VLOOKUP($A6,[8]HISTOOCT21!$A$6:$AU$39,41,0)</f>
        <v>0</v>
      </c>
      <c r="M6" s="8">
        <f>TONTAOUT21!H6+TONTAOUT21!I6+TONTAOUT21!F6</f>
        <v>0</v>
      </c>
      <c r="N6" s="8">
        <f>VLOOKUP(A6,[8]HISTOOCT21!$A$6:$AZ$37,17,0)</f>
        <v>0</v>
      </c>
      <c r="O6" s="8" t="str">
        <f>IF(M6&lt;&gt;0,VLOOKUP($A6,[8]HISTOOCT21!$A$6:$AU$39,8,0),"ECHEC")</f>
        <v>ECHEC</v>
      </c>
      <c r="P6" s="8" t="str">
        <f>IF(S6&lt;&gt;0,VLOOKUP($A6,[8]HISTOOCT21!$A$6:$AU$39,8,0),"ECHEC")</f>
        <v>ECHEC</v>
      </c>
      <c r="Q6" s="8">
        <f>VLOOKUP($A6,[8]HISTOOCT21!$A$6:$AU$39,33,0)</f>
        <v>0</v>
      </c>
      <c r="R6" s="8">
        <f t="shared" ref="R6:R21" si="0">IF(S6=0,0,($D$34-S6))</f>
        <v>0</v>
      </c>
      <c r="S6" s="8">
        <f>VLOOKUP($A6,[8]HISTOOCT21!$A$6:$AU$39,30,0)</f>
        <v>0</v>
      </c>
      <c r="T6" s="45">
        <f>IF(S6=0,0,(S6-75000))</f>
        <v>0</v>
      </c>
      <c r="U6">
        <v>1</v>
      </c>
    </row>
    <row r="7" spans="1:21" s="17" customFormat="1" x14ac:dyDescent="0.25">
      <c r="A7" s="1" t="s">
        <v>37</v>
      </c>
      <c r="B7" s="1"/>
      <c r="C7" s="1" t="str">
        <f>VLOOKUP(A7,[6]LISTADHERENT!A$5:H$60,3,0)</f>
        <v xml:space="preserve">DJOMO JEAN PAUL </v>
      </c>
      <c r="D7" s="8">
        <f>IF(F7="ECHEC",0,VLOOKUP($A7,[8]HISTOOCT21!$A$6:$AU$39,13,0))</f>
        <v>75000</v>
      </c>
      <c r="E7" s="8"/>
      <c r="F7" s="8" t="str">
        <f>VLOOKUP($A7,[8]HISTOOCT21!$A$6:$AU$39,8,0)</f>
        <v>BANQUE</v>
      </c>
      <c r="G7" s="8">
        <f>IF(O7="ECHEC",M7+(TONTAOUT21!I8*2),0)</f>
        <v>0</v>
      </c>
      <c r="H7" s="8"/>
      <c r="I7" s="8">
        <f>VLOOKUP($A7,[8]HISTOOCT21!$A$6:$AU$39,36,0)</f>
        <v>0</v>
      </c>
      <c r="J7" s="8">
        <f>VLOOKUP($A7,[8]HISTOOCT21!$A$6:$AU$39,39,0)</f>
        <v>0</v>
      </c>
      <c r="K7" s="8" t="str">
        <f>IF(I7&lt;&gt;0,VLOOKUP($A7,[8]HISTOOCT21!$A$6:$AU$39,8,0),"ECHEC")</f>
        <v>ECHEC</v>
      </c>
      <c r="L7" s="8">
        <f>VLOOKUP($A7,[8]HISTOOCT21!$A$6:$AU$39,41,0)</f>
        <v>0</v>
      </c>
      <c r="M7" s="8">
        <f>TONTAOUT21!H8+TONTAOUT21!I8+TONTAOUT21!F8</f>
        <v>0</v>
      </c>
      <c r="N7" s="8">
        <f>VLOOKUP(A7,[8]HISTOOCT21!$A$6:$AZ$37,17,0)</f>
        <v>0</v>
      </c>
      <c r="O7" s="8" t="str">
        <f>IF(N7&lt;&gt;0,VLOOKUP($A7,[8]HISTOOCT21!$A$6:$AU$39,8,0),"ECHEC")</f>
        <v>ECHEC</v>
      </c>
      <c r="P7" s="8" t="str">
        <f>IF(S7&lt;&gt;0,VLOOKUP($A7,[8]HISTOOCT21!$A$6:$AU$39,8,0),"ECHEC")</f>
        <v>ECHEC</v>
      </c>
      <c r="Q7" s="8">
        <f>VLOOKUP($A7,[8]HISTOOCT21!$A$6:$AU$39,33,0)</f>
        <v>0</v>
      </c>
      <c r="R7" s="8">
        <f t="shared" si="0"/>
        <v>0</v>
      </c>
      <c r="S7" s="8">
        <f>VLOOKUP($A7,[8]HISTOOCT21!$A$6:$AU$39,30,0)</f>
        <v>0</v>
      </c>
      <c r="T7" s="45">
        <f t="shared" ref="T7:T23" si="1">IF(S7=0,0,(S7-75000))</f>
        <v>0</v>
      </c>
      <c r="U7"/>
    </row>
    <row r="8" spans="1:21" s="13" customFormat="1" x14ac:dyDescent="0.25">
      <c r="A8" s="1" t="s">
        <v>38</v>
      </c>
      <c r="B8" s="1"/>
      <c r="C8" s="1" t="str">
        <f>VLOOKUP(A8,[6]LISTADHERENT!A$5:H$60,3,0)</f>
        <v>DJOUKWE NANGUEN GUY BLAISE</v>
      </c>
      <c r="D8" s="8">
        <f>IF(F8="ECHEC",0,VLOOKUP($A8,[8]HISTOOCT21!$A$6:$AU$39,13,0))</f>
        <v>75000</v>
      </c>
      <c r="E8" s="8"/>
      <c r="F8" s="8" t="str">
        <f>VLOOKUP($A8,[8]HISTOOCT21!$A$6:$AU$39,8,0)</f>
        <v>BANQUE</v>
      </c>
      <c r="G8" s="8">
        <f>IF(O8="ECHEC",M8+(TONTAOUT21!I9*2),0)</f>
        <v>0</v>
      </c>
      <c r="H8" s="8"/>
      <c r="I8" s="8">
        <f>VLOOKUP($A8,[8]HISTOOCT21!$A$6:$AU$39,36,0)</f>
        <v>100000</v>
      </c>
      <c r="J8" s="8">
        <f>VLOOKUP($A8,[8]HISTOOCT21!$A$6:$AU$39,39,0)</f>
        <v>2000</v>
      </c>
      <c r="K8" s="8" t="str">
        <f>IF(I8&lt;&gt;0,VLOOKUP($A8,[8]HISTOOCT21!$A$6:$AU$39,8,0),"ECHEC")</f>
        <v>BANQUE</v>
      </c>
      <c r="L8" s="8">
        <f>VLOOKUP($A8,[8]HISTOOCT21!$A$6:$AU$39,41,0)</f>
        <v>0</v>
      </c>
      <c r="M8" s="8">
        <f>TONTAOUT21!H9+TONTAOUT21!I9+TONTAOUT21!F9</f>
        <v>0</v>
      </c>
      <c r="N8" s="8">
        <f>VLOOKUP(A8,[8]HISTOOCT21!$A$6:$AZ$37,17,0)</f>
        <v>0</v>
      </c>
      <c r="O8" s="8" t="str">
        <f>IF(N8&lt;&gt;0,VLOOKUP($A8,[8]HISTOOCT21!$A$6:$AU$39,8,0),"ECHEC")</f>
        <v>ECHEC</v>
      </c>
      <c r="P8" s="8" t="str">
        <f>IF(S8&lt;&gt;0,VLOOKUP($A8,[8]HISTOOCT21!$A$6:$AU$39,8,0),"ECHEC")</f>
        <v>ECHEC</v>
      </c>
      <c r="Q8" s="8">
        <f>VLOOKUP($A8,[8]HISTOOCT21!$A$6:$AU$39,33,0)</f>
        <v>0</v>
      </c>
      <c r="R8" s="8">
        <f t="shared" si="0"/>
        <v>0</v>
      </c>
      <c r="S8" s="8">
        <f>VLOOKUP($A8,[8]HISTOOCT21!$A$6:$AU$39,30,0)</f>
        <v>0</v>
      </c>
      <c r="T8" s="45">
        <f t="shared" si="1"/>
        <v>0</v>
      </c>
      <c r="U8"/>
    </row>
    <row r="9" spans="1:21" s="13" customFormat="1" x14ac:dyDescent="0.25">
      <c r="A9" s="1" t="s">
        <v>70</v>
      </c>
      <c r="B9" s="1"/>
      <c r="C9" s="1" t="str">
        <f>VLOOKUP(A9,[6]LISTADHERENT!A$5:H$60,3,0)</f>
        <v>DJUOMBESSY ANTOINE</v>
      </c>
      <c r="D9" s="8">
        <f>IF(F9="ECHEC",0,VLOOKUP($A9,[8]HISTOOCT21!$A$6:$AU$39,13,0))</f>
        <v>75000</v>
      </c>
      <c r="E9" s="8"/>
      <c r="F9" s="8" t="str">
        <f>VLOOKUP($A9,[8]HISTOOCT21!$A$6:$AU$39,8,0)</f>
        <v>BANQUE</v>
      </c>
      <c r="G9" s="8">
        <f>IF(O9="ECHEC",M9+(TONTAOUT21!I10*2),0)</f>
        <v>0</v>
      </c>
      <c r="H9" s="8"/>
      <c r="I9" s="8">
        <f>VLOOKUP($A9,[8]HISTOOCT21!$A$6:$AU$39,36,0)</f>
        <v>50000</v>
      </c>
      <c r="J9" s="8">
        <f>VLOOKUP($A9,[8]HISTOOCT21!$A$6:$AU$39,39,0)</f>
        <v>1500</v>
      </c>
      <c r="K9" s="8" t="str">
        <f>IF(I9&lt;&gt;0,VLOOKUP($A9,[8]HISTOOCT21!$A$6:$AU$39,8,0),"ECHEC")</f>
        <v>BANQUE</v>
      </c>
      <c r="L9" s="8">
        <f>VLOOKUP($A9,[8]HISTOOCT21!$A$6:$AU$39,41,0)</f>
        <v>0</v>
      </c>
      <c r="M9" s="8">
        <f>TONTAOUT21!H10+TONTAOUT21!I10+TONTAOUT21!F10</f>
        <v>0</v>
      </c>
      <c r="N9" s="8">
        <f>VLOOKUP(A9,[8]HISTOOCT21!$A$6:$AZ$37,17,0)</f>
        <v>0</v>
      </c>
      <c r="O9" s="8" t="str">
        <f>IF(N9&lt;&gt;0,VLOOKUP($A9,[8]HISTOOCT21!$A$6:$AU$39,8,0),"ECHEC")</f>
        <v>ECHEC</v>
      </c>
      <c r="P9" s="8" t="str">
        <f>IF(S9&lt;&gt;0,VLOOKUP($A9,[8]HISTOOCT21!$A$6:$AU$39,8,0),"ECHEC")</f>
        <v>ECHEC</v>
      </c>
      <c r="Q9" s="8">
        <f>VLOOKUP($A9,[8]HISTOOCT21!$A$6:$AU$39,33,0)</f>
        <v>0</v>
      </c>
      <c r="R9" s="8">
        <f t="shared" si="0"/>
        <v>0</v>
      </c>
      <c r="S9" s="8">
        <f>VLOOKUP($A9,[8]HISTOOCT21!$A$6:$AU$39,30,0)</f>
        <v>0</v>
      </c>
      <c r="T9" s="45">
        <f t="shared" si="1"/>
        <v>0</v>
      </c>
      <c r="U9"/>
    </row>
    <row r="10" spans="1:21" x14ac:dyDescent="0.25">
      <c r="A10" s="1" t="s">
        <v>29</v>
      </c>
      <c r="B10" s="1"/>
      <c r="C10" s="1" t="str">
        <f>VLOOKUP(A10,[6]LISTADHERENT!A$5:H$60,3,0)</f>
        <v>HOTCHO BENJAMIN</v>
      </c>
      <c r="D10" s="8">
        <f>IF(F10="ECHEC",0,VLOOKUP($A10,[8]HISTOOCT21!$A$6:$AU$39,13,0))</f>
        <v>75000</v>
      </c>
      <c r="E10" s="8"/>
      <c r="F10" s="8" t="str">
        <f>VLOOKUP($A10,[8]HISTOOCT21!$A$6:$AU$39,8,0)</f>
        <v>BANQUE</v>
      </c>
      <c r="G10" s="8">
        <f>IF(O10="ECHEC",M10+(TONTAOUT21!I10*2),0)</f>
        <v>0</v>
      </c>
      <c r="H10" s="8"/>
      <c r="I10" s="8">
        <f>VLOOKUP($A10,[8]HISTOOCT21!$A$6:$AU$39,36,0)</f>
        <v>0</v>
      </c>
      <c r="J10" s="8">
        <f>VLOOKUP($A10,[8]HISTOOCT21!$A$6:$AU$39,39,0)</f>
        <v>0</v>
      </c>
      <c r="K10" s="8" t="str">
        <f>IF(I10&lt;&gt;0,VLOOKUP($A10,[8]HISTOOCT21!$A$6:$AU$39,8,0),"ECHEC")</f>
        <v>ECHEC</v>
      </c>
      <c r="L10" s="8">
        <f>VLOOKUP($A10,[8]HISTOOCT21!$A$6:$AU$39,41,0)</f>
        <v>0</v>
      </c>
      <c r="M10" s="8">
        <f>TONTAOUT21!H10+TONTAOUT21!I10+TONTAOUT21!F10</f>
        <v>0</v>
      </c>
      <c r="N10" s="8">
        <f>VLOOKUP(A10,[8]HISTOOCT21!$A$6:$AZ$37,17,0)</f>
        <v>0</v>
      </c>
      <c r="O10" s="8" t="str">
        <f>IF(N10&lt;&gt;0,VLOOKUP($A10,[8]HISTOOCT21!$A$6:$AU$39,8,0),"ECHEC")</f>
        <v>ECHEC</v>
      </c>
      <c r="P10" s="8" t="str">
        <f>IF(S10&lt;&gt;0,VLOOKUP($A10,[8]HISTOOCT21!$A$6:$AU$39,8,0),"ECHEC")</f>
        <v>ECHEC</v>
      </c>
      <c r="Q10" s="8">
        <f>VLOOKUP($A10,[8]HISTOOCT21!$A$6:$AU$39,33,0)</f>
        <v>0</v>
      </c>
      <c r="R10" s="8">
        <f t="shared" si="0"/>
        <v>0</v>
      </c>
      <c r="S10" s="8">
        <f>VLOOKUP($A10,[8]HISTOOCT21!$A$6:$AU$39,30,0)</f>
        <v>0</v>
      </c>
      <c r="T10" s="45">
        <f t="shared" si="1"/>
        <v>0</v>
      </c>
    </row>
    <row r="11" spans="1:21" x14ac:dyDescent="0.25">
      <c r="A11" s="1" t="s">
        <v>40</v>
      </c>
      <c r="B11" s="1"/>
      <c r="C11" s="1" t="str">
        <f>VLOOKUP(A11,[6]LISTADHERENT!A$5:H$60,3,0)</f>
        <v>HENGUE PAUL OMER</v>
      </c>
      <c r="D11" s="8">
        <f>IF(F11="ECHEC",0,VLOOKUP($A11,[8]HISTOOCT21!$A$6:$AU$39,13,0))</f>
        <v>75000</v>
      </c>
      <c r="E11" s="8"/>
      <c r="F11" s="8" t="str">
        <f>VLOOKUP($A11,[8]HISTOOCT21!$A$6:$AU$39,8,0)</f>
        <v>BANQUE</v>
      </c>
      <c r="G11" s="8">
        <f>IF(O11="ECHEC",M11+(TONTAOUT21!I11*2),0)</f>
        <v>0</v>
      </c>
      <c r="H11" s="8"/>
      <c r="I11" s="8">
        <f>VLOOKUP($A11,[8]HISTOOCT21!$A$6:$AU$39,36,0)</f>
        <v>0</v>
      </c>
      <c r="J11" s="8">
        <f>VLOOKUP($A11,[8]HISTOOCT21!$A$6:$AU$39,39,0)</f>
        <v>0</v>
      </c>
      <c r="K11" s="8" t="str">
        <f>IF(I11&lt;&gt;0,VLOOKUP($A11,[8]HISTOOCT21!$A$6:$AU$39,8,0),"ECHEC")</f>
        <v>ECHEC</v>
      </c>
      <c r="L11" s="8">
        <f>VLOOKUP($A11,[8]HISTOOCT21!$A$6:$AU$39,41,0)</f>
        <v>0</v>
      </c>
      <c r="M11" s="8">
        <f>TONTAOUT21!H11+TONTAOUT21!I11+TONTAOUT21!F11</f>
        <v>0</v>
      </c>
      <c r="N11" s="8">
        <f>VLOOKUP(A11,[8]HISTOOCT21!$A$6:$AZ$37,17,0)</f>
        <v>0</v>
      </c>
      <c r="O11" s="8" t="str">
        <f>IF(N11&lt;&gt;0,VLOOKUP($A11,[8]HISTOOCT21!$A$6:$AU$39,8,0),"ECHEC")</f>
        <v>ECHEC</v>
      </c>
      <c r="P11" s="8" t="str">
        <f>IF(S11&lt;&gt;0,VLOOKUP($A11,[8]HISTOOCT21!$A$6:$AU$39,8,0),"ECHEC")</f>
        <v>ECHEC</v>
      </c>
      <c r="Q11" s="8">
        <f>VLOOKUP($A11,[8]HISTOOCT21!$A$6:$AU$39,33,0)</f>
        <v>0</v>
      </c>
      <c r="R11" s="8">
        <f t="shared" si="0"/>
        <v>0</v>
      </c>
      <c r="S11" s="8">
        <f>VLOOKUP($A11,[8]HISTOOCT21!$A$6:$AU$39,30,0)</f>
        <v>0</v>
      </c>
      <c r="T11" s="45">
        <f t="shared" si="1"/>
        <v>0</v>
      </c>
    </row>
    <row r="12" spans="1:21" x14ac:dyDescent="0.25">
      <c r="A12" s="1" t="s">
        <v>10</v>
      </c>
      <c r="B12" s="1"/>
      <c r="C12" s="1" t="str">
        <f>VLOOKUP(A12,[6]LISTADHERENT!A$5:H$60,3,0)</f>
        <v>KOUATCHO MESSACK</v>
      </c>
      <c r="D12" s="8">
        <f>IF(F12="ECHEC",0,VLOOKUP($A12,[8]HISTOOCT21!$A$6:$AU$39,13,0))</f>
        <v>75000</v>
      </c>
      <c r="E12" s="8"/>
      <c r="F12" s="8" t="str">
        <f>VLOOKUP($A12,[8]HISTOOCT21!$A$6:$AU$39,8,0)</f>
        <v>BANQUE</v>
      </c>
      <c r="G12" s="8">
        <f>IF(O12="ECHEC",M12+(TONTAOUT21!I12*2),0)</f>
        <v>0</v>
      </c>
      <c r="H12" s="8"/>
      <c r="I12" s="8">
        <f>VLOOKUP($A12,[8]HISTOOCT21!$A$6:$AU$39,36,0)</f>
        <v>100000</v>
      </c>
      <c r="J12" s="8">
        <f>VLOOKUP($A12,[8]HISTOOCT21!$A$6:$AU$39,39,0)</f>
        <v>2000</v>
      </c>
      <c r="K12" s="8" t="str">
        <f>IF(I12&lt;&gt;0,VLOOKUP($A12,[8]HISTOOCT21!$A$6:$AU$39,8,0),"ECHEC")</f>
        <v>BANQUE</v>
      </c>
      <c r="L12" s="8">
        <f>VLOOKUP($A12,[8]HISTOOCT21!$A$6:$AU$39,41,0)</f>
        <v>0</v>
      </c>
      <c r="M12" s="8">
        <f>TONTAOUT21!H12+TONTAOUT21!I12+TONTAOUT21!F12</f>
        <v>0</v>
      </c>
      <c r="N12" s="8">
        <f>VLOOKUP(A12,[8]HISTOOCT21!$A$6:$AZ$37,17,0)</f>
        <v>0</v>
      </c>
      <c r="O12" s="8" t="str">
        <f>IF(N12&lt;&gt;0,VLOOKUP($A12,[8]HISTOOCT21!$A$6:$AU$39,8,0),"ECHEC")</f>
        <v>ECHEC</v>
      </c>
      <c r="P12" s="8" t="str">
        <f>IF(S12&lt;&gt;0,VLOOKUP($A12,[8]HISTOOCT21!$A$6:$AU$39,8,0),"ECHEC")</f>
        <v>ECHEC</v>
      </c>
      <c r="Q12" s="8">
        <f>VLOOKUP($A12,[8]HISTOOCT21!$A$6:$AU$39,33,0)</f>
        <v>0</v>
      </c>
      <c r="R12" s="8">
        <f t="shared" si="0"/>
        <v>0</v>
      </c>
      <c r="S12" s="8">
        <f>VLOOKUP($A12,[8]HISTOOCT21!$A$6:$AU$39,30,0)</f>
        <v>0</v>
      </c>
      <c r="T12" s="45">
        <f t="shared" si="1"/>
        <v>0</v>
      </c>
    </row>
    <row r="13" spans="1:21" x14ac:dyDescent="0.25">
      <c r="A13" s="1" t="s">
        <v>32</v>
      </c>
      <c r="B13" s="1"/>
      <c r="C13" s="1" t="str">
        <f>VLOOKUP(A13,[6]LISTADHERENT!A$5:H$60,3,0)</f>
        <v>MBOGNING TUGMA GUY</v>
      </c>
      <c r="D13" s="8">
        <f>IF(F13="ECHEC",0,VLOOKUP($A13,[8]HISTOOCT21!$A$6:$AU$39,13,0))</f>
        <v>225000</v>
      </c>
      <c r="E13" s="8"/>
      <c r="F13" s="8" t="str">
        <f>VLOOKUP($A13,[8]HISTOOCT21!$A$6:$AU$39,8,0)</f>
        <v>BANQUE</v>
      </c>
      <c r="G13" s="8">
        <f>IF(O13="ECHEC",M13+(TONTAOUT21!I13*2),0)</f>
        <v>0</v>
      </c>
      <c r="H13" s="8"/>
      <c r="I13" s="8">
        <f>VLOOKUP($A13,[8]HISTOOCT21!$A$6:$AU$39,36,0)</f>
        <v>80000</v>
      </c>
      <c r="J13" s="8">
        <f>VLOOKUP($A13,[8]HISTOOCT21!$A$6:$AU$39,39,0)</f>
        <v>1000</v>
      </c>
      <c r="K13" s="8" t="str">
        <f>IF(I13&lt;&gt;0,VLOOKUP($A13,[8]HISTOOCT21!$A$6:$AU$39,8,0),"ECHEC")</f>
        <v>BANQUE</v>
      </c>
      <c r="L13" s="8">
        <f>VLOOKUP($A13,[8]HISTOOCT21!$A$6:$AU$39,41,0)</f>
        <v>0</v>
      </c>
      <c r="M13" s="8">
        <f>TONTAOUT21!H13+TONTAOUT21!I13+TONTAOUT21!F13</f>
        <v>0</v>
      </c>
      <c r="N13" s="8">
        <f>VLOOKUP(A13,[8]HISTOOCT21!$A$6:$AZ$37,17,0)</f>
        <v>0</v>
      </c>
      <c r="O13" s="8" t="str">
        <f>IF(N13&lt;&gt;0,VLOOKUP($A13,[8]HISTOOCT21!$A$6:$AU$39,8,0),"ECHEC")</f>
        <v>ECHEC</v>
      </c>
      <c r="P13" s="8" t="str">
        <f>IF(S13&lt;&gt;0,VLOOKUP($A13,[8]HISTOOCT21!$A$6:$AU$39,8,0),"ECHEC")</f>
        <v>ECHEC</v>
      </c>
      <c r="Q13" s="8">
        <f>VLOOKUP($A13,[8]HISTOOCT21!$A$6:$AU$39,33,0)</f>
        <v>0</v>
      </c>
      <c r="R13" s="8">
        <f t="shared" si="0"/>
        <v>0</v>
      </c>
      <c r="S13" s="8">
        <f>VLOOKUP($A13,[8]HISTOOCT21!$A$6:$AU$39,30,0)</f>
        <v>0</v>
      </c>
      <c r="T13" s="45">
        <f t="shared" si="1"/>
        <v>0</v>
      </c>
    </row>
    <row r="14" spans="1:21" x14ac:dyDescent="0.25">
      <c r="A14" s="1" t="s">
        <v>11</v>
      </c>
      <c r="B14" s="1"/>
      <c r="C14" s="1" t="str">
        <f>VLOOKUP(A14,[6]LISTADHERENT!A$5:H$60,3,0)</f>
        <v>NANKAM APPOLINAIRE</v>
      </c>
      <c r="D14" s="8">
        <f>IF(F14="ECHEC",0,VLOOKUP($A14,[8]HISTOOCT21!$A$6:$AU$39,13,0))</f>
        <v>75000</v>
      </c>
      <c r="E14" s="8"/>
      <c r="F14" s="8" t="str">
        <f>VLOOKUP($A14,[8]HISTOOCT21!$A$6:$AU$39,8,0)</f>
        <v>BANQUE</v>
      </c>
      <c r="G14" s="8">
        <f>IF(O14="ECHEC",M14+(TONTAOUT21!I14*2),0)</f>
        <v>0</v>
      </c>
      <c r="H14" s="8"/>
      <c r="I14" s="8">
        <f>VLOOKUP($A14,[8]HISTOOCT21!$A$6:$AU$39,36,0)</f>
        <v>0</v>
      </c>
      <c r="J14" s="8">
        <f>VLOOKUP($A14,[8]HISTOOCT21!$A$6:$AU$39,39,0)</f>
        <v>0</v>
      </c>
      <c r="K14" s="8" t="str">
        <f>IF(I14&lt;&gt;0,VLOOKUP($A14,[8]HISTOOCT21!$A$6:$AU$39,8,0),"ECHEC")</f>
        <v>ECHEC</v>
      </c>
      <c r="L14" s="8">
        <f>VLOOKUP($A14,[8]HISTOOCT21!$A$6:$AU$39,41,0)</f>
        <v>0</v>
      </c>
      <c r="M14" s="8">
        <f>TONTAOUT21!H14+TONTAOUT21!I14+TONTAOUT21!F14</f>
        <v>0</v>
      </c>
      <c r="N14" s="8">
        <f>VLOOKUP(A14,[8]HISTOOCT21!$A$6:$AZ$37,17,0)</f>
        <v>0</v>
      </c>
      <c r="O14" s="8" t="str">
        <f>IF(N14&lt;&gt;0,VLOOKUP($A14,[8]HISTOOCT21!$A$6:$AU$39,8,0),"ECHEC")</f>
        <v>ECHEC</v>
      </c>
      <c r="P14" s="8" t="str">
        <f>IF(S14&lt;&gt;0,VLOOKUP($A14,[8]HISTOOCT21!$A$6:$AU$39,8,0),"ECHEC")</f>
        <v>ECHEC</v>
      </c>
      <c r="Q14" s="8">
        <f>VLOOKUP($A14,[8]HISTOOCT21!$A$6:$AU$39,33,0)</f>
        <v>0</v>
      </c>
      <c r="R14" s="8">
        <f t="shared" si="0"/>
        <v>0</v>
      </c>
      <c r="S14" s="8">
        <f>VLOOKUP($A14,[8]HISTOOCT21!$A$6:$AU$39,30,0)</f>
        <v>0</v>
      </c>
      <c r="T14" s="45">
        <f t="shared" si="1"/>
        <v>0</v>
      </c>
    </row>
    <row r="15" spans="1:21" x14ac:dyDescent="0.25">
      <c r="A15" s="1" t="s">
        <v>72</v>
      </c>
      <c r="B15" s="1"/>
      <c r="C15" s="1" t="str">
        <f>VLOOKUP(A15,[6]LISTADHERENT!A$5:H$60,3,0)</f>
        <v>NGONDIEP CLAUDE</v>
      </c>
      <c r="D15" s="8">
        <f>IF(F15="ECHEC",0,VLOOKUP($A15,[8]HISTOOCT21!$A$6:$AU$39,13,0))</f>
        <v>75000</v>
      </c>
      <c r="E15" s="8"/>
      <c r="F15" s="8" t="str">
        <f>VLOOKUP($A15,[8]HISTOOCT21!$A$6:$AU$39,8,0)</f>
        <v>ESPECES</v>
      </c>
      <c r="G15" s="8">
        <f>IF(O15="ECHEC",M15+(TONTAOUT21!I14*2),0)</f>
        <v>0</v>
      </c>
      <c r="H15" s="8"/>
      <c r="I15" s="8">
        <f>VLOOKUP($A15,[8]HISTOOCT21!$A$6:$AU$39,36,0)</f>
        <v>100000</v>
      </c>
      <c r="J15" s="8">
        <f>VLOOKUP($A15,[8]HISTOOCT21!$A$6:$AU$39,39,0)</f>
        <v>2000</v>
      </c>
      <c r="K15" s="8" t="str">
        <f>IF(I15&lt;&gt;0,VLOOKUP($A15,[8]HISTOOCT21!$A$6:$AU$39,8,0),"ECHEC")</f>
        <v>ESPECES</v>
      </c>
      <c r="L15" s="8">
        <f>VLOOKUP($A15,[8]HISTOOCT21!$A$6:$AU$39,41,0)</f>
        <v>0</v>
      </c>
      <c r="M15" s="8">
        <f>TONTAOUT21!H14+TONTAOUT21!I14+TONTAOUT21!F14</f>
        <v>0</v>
      </c>
      <c r="N15" s="8">
        <f>VLOOKUP(A15,[8]HISTOOCT21!$A$6:$AZ$37,17,0)</f>
        <v>0</v>
      </c>
      <c r="O15" s="8" t="str">
        <f>IF(N15&lt;&gt;0,VLOOKUP($A15,[8]HISTOOCT21!$A$6:$AU$39,8,0),"ECHEC")</f>
        <v>ECHEC</v>
      </c>
      <c r="P15" s="8" t="str">
        <f>IF(S15&lt;&gt;0,VLOOKUP($A15,[8]HISTOOCT21!$A$6:$AU$39,8,0),"ECHEC")</f>
        <v>ECHEC</v>
      </c>
      <c r="Q15" s="8">
        <f>VLOOKUP($A15,[8]HISTOOCT21!$A$6:$AU$39,33,0)</f>
        <v>0</v>
      </c>
      <c r="R15" s="8">
        <f t="shared" si="0"/>
        <v>0</v>
      </c>
      <c r="S15" s="8">
        <f>VLOOKUP($A15,[8]HISTOOCT21!$A$6:$AU$39,30,0)</f>
        <v>0</v>
      </c>
      <c r="T15" s="45">
        <f t="shared" si="1"/>
        <v>0</v>
      </c>
    </row>
    <row r="16" spans="1:21" x14ac:dyDescent="0.25">
      <c r="A16" s="1" t="s">
        <v>31</v>
      </c>
      <c r="B16" s="1"/>
      <c r="C16" s="1" t="str">
        <f>VLOOKUP(A16,[6]LISTADHERENT!A$5:H$60,3,0)</f>
        <v>NGUIEMEGNI MATHIEU BLAISE</v>
      </c>
      <c r="D16" s="8">
        <f>IF(F16="ECHEC",0,VLOOKUP($A16,[8]HISTOOCT21!$A$6:$AU$39,13,0))</f>
        <v>150000</v>
      </c>
      <c r="E16" s="8"/>
      <c r="F16" s="8" t="str">
        <f>VLOOKUP($A16,[8]HISTOOCT21!$A$6:$AU$39,8,0)</f>
        <v>BANQUE</v>
      </c>
      <c r="G16" s="8">
        <f>IF(O16="ECHEC",M16+(TONTAOUT21!I17*2),0)</f>
        <v>0</v>
      </c>
      <c r="H16" s="8"/>
      <c r="I16" s="8">
        <f>VLOOKUP($A16,[8]HISTOOCT21!$A$6:$AU$39,36,0)</f>
        <v>0</v>
      </c>
      <c r="J16" s="8">
        <f>VLOOKUP($A16,[8]HISTOOCT21!$A$6:$AU$39,39,0)</f>
        <v>0</v>
      </c>
      <c r="K16" s="8" t="str">
        <f>IF(I16&lt;&gt;0,VLOOKUP($A16,[8]HISTOOCT21!$A$6:$AU$39,8,0),"ECHEC")</f>
        <v>ECHEC</v>
      </c>
      <c r="L16" s="8">
        <f>VLOOKUP($A16,[8]HISTOOCT21!$A$6:$AU$39,41,0)</f>
        <v>0</v>
      </c>
      <c r="M16" s="8">
        <f>TONTAOUT21!H17+TONTAOUT21!I17+TONTAOUT21!F17</f>
        <v>0</v>
      </c>
      <c r="N16" s="8">
        <f>VLOOKUP(A16,[8]HISTOOCT21!$A$6:$AZ$37,17,0)</f>
        <v>0</v>
      </c>
      <c r="O16" s="8" t="str">
        <f>IF(N16&lt;&gt;0,VLOOKUP($A16,[8]HISTOOCT21!$A$6:$AU$39,8,0),"ECHEC")</f>
        <v>ECHEC</v>
      </c>
      <c r="P16" s="8" t="str">
        <f>IF(S16&lt;&gt;0,VLOOKUP($A16,[8]HISTOOCT21!$A$6:$AU$39,8,0),"ECHEC")</f>
        <v>BANQUE</v>
      </c>
      <c r="Q16" s="8">
        <f>VLOOKUP($A16,[8]HISTOOCT21!$A$6:$AU$39,33,0)</f>
        <v>0</v>
      </c>
      <c r="R16" s="8">
        <f t="shared" si="0"/>
        <v>1020000</v>
      </c>
      <c r="S16" s="8">
        <f>VLOOKUP($A16,[8]HISTOOCT21!$A$6:$AU$39,30,0)</f>
        <v>180000</v>
      </c>
      <c r="T16" s="45">
        <f t="shared" si="1"/>
        <v>105000</v>
      </c>
    </row>
    <row r="17" spans="1:25" x14ac:dyDescent="0.25">
      <c r="A17" s="16" t="s">
        <v>12</v>
      </c>
      <c r="B17" s="16"/>
      <c r="C17" s="1" t="str">
        <f>VLOOKUP(A17,[6]LISTADHERENT!A$5:H$60,3,0)</f>
        <v>NKAMGANG JUSTIN DEJOLIE</v>
      </c>
      <c r="D17" s="8">
        <f>IF(F17="ECHEC",0,VLOOKUP($A17,[8]HISTOOCT21!$A$6:$AU$39,13,0))</f>
        <v>75000</v>
      </c>
      <c r="E17" s="8"/>
      <c r="F17" s="8" t="str">
        <f>VLOOKUP($A17,[8]HISTOOCT21!$A$6:$AU$39,8,0)</f>
        <v>ESPECES</v>
      </c>
      <c r="G17" s="8">
        <f>IF(O17="ECHEC",M17+(TONTAOUT21!I19*2),0)</f>
        <v>0</v>
      </c>
      <c r="H17" s="8"/>
      <c r="I17" s="8">
        <f>VLOOKUP($A17,[8]HISTOOCT21!$A$6:$AU$39,36,0)</f>
        <v>0</v>
      </c>
      <c r="J17" s="8">
        <f>VLOOKUP($A17,[8]HISTOOCT21!$A$6:$AU$39,39,0)</f>
        <v>0</v>
      </c>
      <c r="K17" s="8" t="str">
        <f>IF(I17&lt;&gt;0,VLOOKUP($A17,[8]HISTOOCT21!$A$6:$AU$39,8,0),"ECHEC")</f>
        <v>ECHEC</v>
      </c>
      <c r="L17" s="8">
        <f>VLOOKUP($A17,[8]HISTOOCT21!$A$6:$AU$39,41,0)</f>
        <v>0</v>
      </c>
      <c r="M17" s="8">
        <f>TONTAOUT21!H19+TONTAOUT21!I19+TONTAOUT21!F19</f>
        <v>0</v>
      </c>
      <c r="N17" s="8">
        <f>VLOOKUP(A17,[8]HISTOOCT21!$A$6:$AZ$37,17,0)</f>
        <v>0</v>
      </c>
      <c r="O17" s="8" t="str">
        <f>IF(N17&lt;&gt;0,VLOOKUP($A17,[8]HISTOOCT21!$A$6:$AU$39,8,0),"ECHEC")</f>
        <v>ECHEC</v>
      </c>
      <c r="P17" s="8" t="str">
        <f>IF(S17&lt;&gt;0,VLOOKUP($A17,[8]HISTOOCT21!$A$6:$AU$39,8,0),"ECHEC")</f>
        <v>ECHEC</v>
      </c>
      <c r="Q17" s="8">
        <f>VLOOKUP($A17,[8]HISTOOCT21!$A$6:$AU$39,33,0)</f>
        <v>0</v>
      </c>
      <c r="R17" s="8">
        <f t="shared" si="0"/>
        <v>0</v>
      </c>
      <c r="S17" s="8">
        <f>VLOOKUP($A17,[8]HISTOOCT21!$A$6:$AU$39,30,0)</f>
        <v>0</v>
      </c>
      <c r="T17" s="45">
        <f t="shared" si="1"/>
        <v>0</v>
      </c>
    </row>
    <row r="18" spans="1:25" x14ac:dyDescent="0.25">
      <c r="A18" s="1" t="s">
        <v>42</v>
      </c>
      <c r="B18" s="1"/>
      <c r="C18" s="1" t="str">
        <f>VLOOKUP(A18,[6]LISTADHERENT!A$5:H$60,3,0)</f>
        <v>PATEGO NJOSSU GUSTAVE</v>
      </c>
      <c r="D18" s="8">
        <f>IF(F18="ECHEC",0,VLOOKUP($A18,[8]HISTOOCT21!$A$6:$AU$39,13,0))</f>
        <v>75000</v>
      </c>
      <c r="E18" s="8"/>
      <c r="F18" s="8" t="str">
        <f>VLOOKUP($A18,[8]HISTOOCT21!$A$6:$AU$39,8,0)</f>
        <v>BANQUE</v>
      </c>
      <c r="G18" s="8">
        <f>IF(O18="ECHEC",M18+(TONTAOUT21!I20*2),0)</f>
        <v>0</v>
      </c>
      <c r="H18" s="8"/>
      <c r="I18" s="8">
        <f>VLOOKUP($A18,[8]HISTOOCT21!$A$6:$AU$39,36,0)</f>
        <v>0</v>
      </c>
      <c r="J18" s="8">
        <f>VLOOKUP($A18,[8]HISTOOCT21!$A$6:$AU$39,39,0)</f>
        <v>0</v>
      </c>
      <c r="K18" s="8" t="str">
        <f>IF(I18&lt;&gt;0,VLOOKUP($A18,[8]HISTOOCT21!$A$6:$AU$39,8,0),"ECHEC")</f>
        <v>ECHEC</v>
      </c>
      <c r="L18" s="8">
        <f>VLOOKUP($A18,[8]HISTOOCT21!$A$6:$AU$39,41,0)</f>
        <v>0</v>
      </c>
      <c r="M18" s="8">
        <f>TONTAOUT21!H20+TONTAOUT21!I20+TONTAOUT21!F20</f>
        <v>0</v>
      </c>
      <c r="N18" s="8">
        <f>VLOOKUP(A18,[8]HISTOOCT21!$A$6:$AZ$37,17,0)</f>
        <v>0</v>
      </c>
      <c r="O18" s="8" t="str">
        <f>IF(N18&lt;&gt;0,VLOOKUP($A18,[8]HISTOOCT21!$A$6:$AU$39,8,0),"ECHEC")</f>
        <v>ECHEC</v>
      </c>
      <c r="P18" s="8" t="str">
        <f>IF(S18&lt;&gt;0,VLOOKUP($A18,[8]HISTOOCT21!$A$6:$AU$39,8,0),"ECHEC")</f>
        <v>ECHEC</v>
      </c>
      <c r="Q18" s="8">
        <f>VLOOKUP($A18,[8]HISTOOCT21!$A$6:$AU$39,33,0)</f>
        <v>0</v>
      </c>
      <c r="R18" s="8">
        <f t="shared" si="0"/>
        <v>0</v>
      </c>
      <c r="S18" s="8">
        <f>VLOOKUP($A18,[8]HISTOOCT21!$A$6:$AU$39,30,0)</f>
        <v>0</v>
      </c>
      <c r="T18" s="45">
        <f t="shared" si="1"/>
        <v>0</v>
      </c>
    </row>
    <row r="19" spans="1:25" x14ac:dyDescent="0.25">
      <c r="A19" s="16" t="s">
        <v>71</v>
      </c>
      <c r="B19" s="16"/>
      <c r="C19" s="1" t="str">
        <f>VLOOKUP(A19,[6]LISTADHERENT!A$5:H$60,3,0)</f>
        <v>SIME BRICE</v>
      </c>
      <c r="D19" s="8">
        <f>IF(F19="ECHEC",0,VLOOKUP($A19,[8]HISTOOCT21!$A$6:$AU$39,13,0))</f>
        <v>75000</v>
      </c>
      <c r="E19" s="8"/>
      <c r="F19" s="8" t="str">
        <f>VLOOKUP($A19,[8]HISTOOCT21!$A$6:$AU$39,8,0)</f>
        <v>BANQUE</v>
      </c>
      <c r="G19" s="8">
        <f>IF(O19="ECHEC",M19+(TONTAOUT21!I21*2),0)</f>
        <v>0</v>
      </c>
      <c r="H19" s="8"/>
      <c r="I19" s="8">
        <f>VLOOKUP($A19,[8]HISTOOCT21!$A$6:$AU$39,36,0)</f>
        <v>0</v>
      </c>
      <c r="J19" s="8">
        <f>VLOOKUP($A19,[8]HISTOOCT21!$A$6:$AU$39,39,0)</f>
        <v>0</v>
      </c>
      <c r="K19" s="8" t="str">
        <f>IF(I19&lt;&gt;0,VLOOKUP($A19,[8]HISTOOCT21!$A$6:$AU$39,8,0),"ECHEC")</f>
        <v>ECHEC</v>
      </c>
      <c r="L19" s="8">
        <f>VLOOKUP($A19,[8]HISTOOCT21!$A$6:$AU$39,41,0)</f>
        <v>0</v>
      </c>
      <c r="M19" s="8">
        <f>TONTAOUT21!H21+TONTAOUT21!I21+TONTAOUT21!F21</f>
        <v>0</v>
      </c>
      <c r="N19" s="8">
        <f>VLOOKUP(A19,[8]HISTOOCT21!$A$6:$AZ$37,17,0)</f>
        <v>0</v>
      </c>
      <c r="O19" s="8" t="str">
        <f>IF(N19&lt;&gt;0,VLOOKUP($A19,[8]HISTOOCT21!$A$6:$AU$39,8,0),"ECHEC")</f>
        <v>ECHEC</v>
      </c>
      <c r="P19" s="8" t="str">
        <f>IF(S19&lt;&gt;0,VLOOKUP($A19,[8]HISTOOCT21!$A$6:$AU$39,8,0),"ECHEC")</f>
        <v>ECHEC</v>
      </c>
      <c r="Q19" s="8">
        <f>VLOOKUP($A19,[8]HISTOOCT21!$A$6:$AU$39,33,0)</f>
        <v>0</v>
      </c>
      <c r="R19" s="8">
        <f t="shared" si="0"/>
        <v>0</v>
      </c>
      <c r="S19" s="8">
        <f>VLOOKUP($A19,[8]HISTOOCT21!$A$6:$AU$39,30,0)</f>
        <v>0</v>
      </c>
      <c r="T19" s="45">
        <f t="shared" si="1"/>
        <v>0</v>
      </c>
    </row>
    <row r="20" spans="1:25" x14ac:dyDescent="0.25">
      <c r="A20" s="16" t="s">
        <v>43</v>
      </c>
      <c r="B20" s="16"/>
      <c r="C20" s="1" t="str">
        <f>VLOOKUP(A20,[6]LISTADHERENT!A$5:H$60,3,0)</f>
        <v>SIMO PIERRE</v>
      </c>
      <c r="D20" s="8">
        <f>IF(F20="ECHEC",0,VLOOKUP($A20,[8]HISTOOCT21!$A$6:$AU$39,13,0))</f>
        <v>75000</v>
      </c>
      <c r="E20" s="8"/>
      <c r="F20" s="8" t="str">
        <f>VLOOKUP($A20,[8]HISTOOCT21!$A$6:$AU$39,8,0)</f>
        <v>BANQUE</v>
      </c>
      <c r="G20" s="8">
        <f>IF(O20="ECHEC",M20+(TONTAOUT21!I22*2),0)</f>
        <v>0</v>
      </c>
      <c r="H20" s="8"/>
      <c r="I20" s="8">
        <f>VLOOKUP($A20,[8]HISTOOCT21!$A$6:$AU$39,36,0)</f>
        <v>0</v>
      </c>
      <c r="J20" s="8">
        <f>VLOOKUP($A20,[8]HISTOOCT21!$A$6:$AU$39,39,0)</f>
        <v>0</v>
      </c>
      <c r="K20" s="8" t="str">
        <f>IF(I20&lt;&gt;0,VLOOKUP($A20,[8]HISTOOCT21!$A$6:$AU$39,8,0),"ECHEC")</f>
        <v>ECHEC</v>
      </c>
      <c r="L20" s="8">
        <f>VLOOKUP($A20,[8]HISTOOCT21!$A$6:$AU$39,41,0)</f>
        <v>0</v>
      </c>
      <c r="M20" s="8">
        <f>TONTAOUT21!H22+TONTAOUT21!I22+TONTAOUT21!F22</f>
        <v>0</v>
      </c>
      <c r="N20" s="8">
        <f>VLOOKUP(A20,[8]HISTOOCT21!$A$6:$AZ$37,17,0)</f>
        <v>0</v>
      </c>
      <c r="O20" s="8" t="str">
        <f>IF(N20&lt;&gt;0,VLOOKUP($A20,[8]HISTOOCT21!$A$6:$AU$39,8,0),"ECHEC")</f>
        <v>ECHEC</v>
      </c>
      <c r="P20" s="8" t="str">
        <f>IF(S20&lt;&gt;0,VLOOKUP($A20,[8]HISTOOCT21!$A$6:$AU$39,8,0),"ECHEC")</f>
        <v>ECHEC</v>
      </c>
      <c r="Q20" s="8">
        <f>VLOOKUP($A20,[8]HISTOOCT21!$A$6:$AU$39,33,0)</f>
        <v>0</v>
      </c>
      <c r="R20" s="8">
        <f t="shared" si="0"/>
        <v>0</v>
      </c>
      <c r="S20" s="8">
        <f>VLOOKUP($A20,[8]HISTOOCT21!$A$6:$AU$39,30,0)</f>
        <v>0</v>
      </c>
      <c r="T20" s="45">
        <f t="shared" si="1"/>
        <v>0</v>
      </c>
    </row>
    <row r="21" spans="1:25" x14ac:dyDescent="0.25">
      <c r="A21" s="1" t="s">
        <v>30</v>
      </c>
      <c r="B21" s="1"/>
      <c r="C21" s="1" t="str">
        <f>VLOOKUP(A21,[6]LISTADHERENT!A$5:H$60,3,0)</f>
        <v>YOUMBI EMMANUEL</v>
      </c>
      <c r="D21" s="8">
        <f>IF(F21="ECHEC",0,VLOOKUP($A21,[8]HISTOOCT21!$A$6:$AU$39,13,0))</f>
        <v>150000</v>
      </c>
      <c r="E21" s="8"/>
      <c r="F21" s="8" t="str">
        <f>VLOOKUP($A21,[8]HISTOOCT21!$A$6:$AU$39,8,0)</f>
        <v>BANQUE</v>
      </c>
      <c r="G21" s="8">
        <f>IF(O21="ECHEC",M21+(TONTAOUT21!I23*2),0)</f>
        <v>0</v>
      </c>
      <c r="H21" s="8"/>
      <c r="I21" s="8">
        <f>VLOOKUP($A21,[8]HISTOOCT21!$A$6:$AU$39,36,0)</f>
        <v>0</v>
      </c>
      <c r="J21" s="8">
        <f>VLOOKUP($A21,[8]HISTOOCT21!$A$6:$AU$39,39,0)</f>
        <v>0</v>
      </c>
      <c r="K21" s="8" t="str">
        <f>IF(I21&lt;&gt;0,VLOOKUP($A21,[8]HISTOOCT21!$A$6:$AU$39,8,0),"ECHEC")</f>
        <v>ECHEC</v>
      </c>
      <c r="L21" s="8">
        <f>VLOOKUP($A21,[8]HISTOOCT21!$A$6:$AU$39,41,0)</f>
        <v>0</v>
      </c>
      <c r="M21" s="8">
        <f>TONTAOUT21!H23+TONTAOUT21!I23+TONTAOUT21!F23</f>
        <v>0</v>
      </c>
      <c r="N21" s="8"/>
      <c r="O21" s="8" t="str">
        <f>IF(N21&lt;&gt;0,VLOOKUP($A21,[8]HISTOOCT21!$A$6:$AU$39,8,0),"ECHEC")</f>
        <v>ECHEC</v>
      </c>
      <c r="P21" s="8" t="str">
        <f>IF(S21&lt;&gt;0,VLOOKUP($A21,[8]HISTOOCT21!$A$6:$AU$39,8,0),"ECHEC")</f>
        <v>ECHEC</v>
      </c>
      <c r="Q21" s="8">
        <f>VLOOKUP($A21,[8]HISTOOCT21!$A$6:$AU$39,33,0)</f>
        <v>0</v>
      </c>
      <c r="R21" s="8">
        <f t="shared" si="0"/>
        <v>0</v>
      </c>
      <c r="S21" s="8">
        <f>VLOOKUP($A21,[8]HISTOOCT21!$A$6:$AU$39,30,0)</f>
        <v>0</v>
      </c>
      <c r="T21" s="45">
        <f t="shared" si="1"/>
        <v>0</v>
      </c>
    </row>
    <row r="22" spans="1:25" x14ac:dyDescent="0.25">
      <c r="A22" s="1"/>
      <c r="B22" s="1"/>
      <c r="D22"/>
      <c r="F22"/>
      <c r="G22"/>
      <c r="I22" s="3"/>
      <c r="J22" s="3"/>
      <c r="L22" s="2"/>
      <c r="P22" s="2"/>
      <c r="Q22" s="2"/>
      <c r="R22"/>
      <c r="T22" s="45">
        <f t="shared" si="1"/>
        <v>0</v>
      </c>
    </row>
    <row r="23" spans="1:25" ht="18" x14ac:dyDescent="0.25">
      <c r="A23" s="1" t="s">
        <v>73</v>
      </c>
      <c r="B23" s="1"/>
      <c r="C23" s="9">
        <f>SUM(C12:C22)</f>
        <v>0</v>
      </c>
      <c r="D23"/>
      <c r="F23"/>
      <c r="G23"/>
      <c r="H23" s="32"/>
      <c r="I23" s="3"/>
      <c r="J23" s="3"/>
      <c r="L23" s="2"/>
      <c r="P23" s="2"/>
      <c r="Q23" s="2"/>
      <c r="R23"/>
      <c r="T23" s="45">
        <f t="shared" si="1"/>
        <v>0</v>
      </c>
    </row>
    <row r="24" spans="1:25" ht="19.5" x14ac:dyDescent="0.25">
      <c r="A24" s="1" t="s">
        <v>74</v>
      </c>
      <c r="B24" s="1"/>
      <c r="C24" s="42">
        <f>COUNT(D6:D21)</f>
        <v>16</v>
      </c>
      <c r="D24" s="9">
        <f t="shared" ref="D24:T24" si="2">SUM(D6:D23)</f>
        <v>1500000</v>
      </c>
      <c r="E24" s="9">
        <f t="shared" si="2"/>
        <v>0</v>
      </c>
      <c r="F24" s="9">
        <f t="shared" si="2"/>
        <v>0</v>
      </c>
      <c r="G24" s="9">
        <f t="shared" si="2"/>
        <v>0</v>
      </c>
      <c r="H24" s="9">
        <f t="shared" si="2"/>
        <v>0</v>
      </c>
      <c r="I24" s="9">
        <f t="shared" si="2"/>
        <v>430000</v>
      </c>
      <c r="J24" s="9">
        <f t="shared" si="2"/>
        <v>8500</v>
      </c>
      <c r="K24" s="9">
        <f t="shared" si="2"/>
        <v>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0</v>
      </c>
      <c r="P24" s="9">
        <f t="shared" si="2"/>
        <v>0</v>
      </c>
      <c r="Q24" s="9">
        <f t="shared" si="2"/>
        <v>0</v>
      </c>
      <c r="R24" s="9">
        <f t="shared" si="2"/>
        <v>1020000</v>
      </c>
      <c r="S24" s="9">
        <f t="shared" si="2"/>
        <v>180000</v>
      </c>
      <c r="T24" s="9">
        <f t="shared" si="2"/>
        <v>105000</v>
      </c>
      <c r="V24" s="17"/>
      <c r="W24" s="17"/>
      <c r="X24" s="17"/>
      <c r="Y24" s="17"/>
    </row>
    <row r="25" spans="1:25" x14ac:dyDescent="0.25">
      <c r="A25" s="2"/>
      <c r="B25" s="2"/>
      <c r="D25"/>
      <c r="F25"/>
      <c r="G25"/>
      <c r="H25" s="32"/>
      <c r="I25" s="3"/>
      <c r="J25" s="3"/>
      <c r="L25" s="2"/>
      <c r="P25" s="2"/>
      <c r="Q25" s="2"/>
      <c r="R25" s="2"/>
      <c r="S25" s="2"/>
      <c r="U25" s="2"/>
    </row>
    <row r="26" spans="1:25" ht="43.5" x14ac:dyDescent="0.25">
      <c r="D26" s="23" t="s">
        <v>17</v>
      </c>
      <c r="E26" s="6" t="s">
        <v>22</v>
      </c>
      <c r="F26" s="6" t="s">
        <v>25</v>
      </c>
      <c r="G26" s="6" t="s">
        <v>27</v>
      </c>
      <c r="H26" s="6" t="s">
        <v>28</v>
      </c>
      <c r="I26" s="3"/>
      <c r="L26" s="9" t="s">
        <v>84</v>
      </c>
      <c r="M26" s="9">
        <f>D31+E31+S24</f>
        <v>1680000</v>
      </c>
      <c r="N26" s="9"/>
      <c r="O26" s="9"/>
      <c r="Q26"/>
      <c r="R26"/>
      <c r="T26" s="21"/>
    </row>
    <row r="27" spans="1:25" ht="18" x14ac:dyDescent="0.25">
      <c r="D27" s="22"/>
      <c r="G27"/>
      <c r="H27"/>
      <c r="I27" s="3"/>
      <c r="L27" s="9" t="s">
        <v>60</v>
      </c>
      <c r="M27" s="9">
        <f>D3*COUNTIF(R6:R23,"&gt;0")</f>
        <v>1200000</v>
      </c>
      <c r="N27" s="9">
        <f>E3</f>
        <v>1</v>
      </c>
      <c r="O27" s="32"/>
      <c r="Q27"/>
      <c r="R27"/>
      <c r="T27" s="17"/>
    </row>
    <row r="28" spans="1:25" ht="18" x14ac:dyDescent="0.25">
      <c r="C28" s="9" t="s">
        <v>14</v>
      </c>
      <c r="D28" s="21">
        <f>SUMIFS(D6:D22,F6:F22,"ESPECES")</f>
        <v>150000</v>
      </c>
      <c r="E28" s="9">
        <f>SUMIFS(M2:M19,O2:O19,"ESPECES")+SUMIFS(G2:G19,H2:H19,"ESPECES")</f>
        <v>0</v>
      </c>
      <c r="F28" s="9">
        <f>SUMIFS(I6:I22,K6:K22,"ESPECES")</f>
        <v>100000</v>
      </c>
      <c r="G28" s="9">
        <f>SUMIFS(R6:R22,P6:P22,"ESPECES")</f>
        <v>0</v>
      </c>
      <c r="H28" s="9">
        <f>D28+E28-F28-G28</f>
        <v>50000</v>
      </c>
      <c r="I28" s="3"/>
      <c r="L28" s="2"/>
      <c r="O28" s="9"/>
      <c r="P28" s="9"/>
      <c r="Q28"/>
      <c r="R28"/>
      <c r="T28" s="17"/>
    </row>
    <row r="29" spans="1:25" ht="18" x14ac:dyDescent="0.25">
      <c r="C29" s="9" t="s">
        <v>9</v>
      </c>
      <c r="D29" s="21">
        <f>SUMIFS(D6:D22,F6:F22,"BANQUE")</f>
        <v>1350000</v>
      </c>
      <c r="E29" s="9">
        <f>SUMIFS(N3:N20,O3:O20,"BANQUE")+SUMIFS(G3:G20,H3:H20,"BANQUE")</f>
        <v>0</v>
      </c>
      <c r="F29" s="9">
        <f>SUMIFS(I6:I22,K6:K22,"BANQUE")</f>
        <v>330000</v>
      </c>
      <c r="G29" s="9">
        <f>SUMIFS(R6:R22,P6:P22,"BANQUE")</f>
        <v>1020000</v>
      </c>
      <c r="H29" s="9">
        <f>D29+E29-F29-G29</f>
        <v>0</v>
      </c>
      <c r="I29" s="3"/>
      <c r="L29" s="9" t="s">
        <v>33</v>
      </c>
      <c r="M29" s="9">
        <f>M26-M27</f>
        <v>480000</v>
      </c>
      <c r="N29" s="9"/>
      <c r="P29" s="9"/>
      <c r="Q29"/>
      <c r="R29"/>
      <c r="T29" s="17"/>
    </row>
    <row r="30" spans="1:25" ht="18" x14ac:dyDescent="0.25">
      <c r="C30" s="9"/>
      <c r="D30" s="21"/>
      <c r="F30"/>
      <c r="G30" s="9"/>
      <c r="H30" s="9"/>
      <c r="I30" s="3"/>
      <c r="L30" s="2"/>
      <c r="P30" s="9"/>
      <c r="Q30"/>
      <c r="R30"/>
    </row>
    <row r="31" spans="1:25" ht="18" x14ac:dyDescent="0.25">
      <c r="C31" s="9" t="s">
        <v>13</v>
      </c>
      <c r="D31" s="21">
        <f>D28+D29</f>
        <v>1500000</v>
      </c>
      <c r="E31" s="21">
        <f>E28+E29</f>
        <v>0</v>
      </c>
      <c r="F31" s="21">
        <f t="shared" ref="F31" si="3">F28+F29</f>
        <v>430000</v>
      </c>
      <c r="G31" s="21">
        <f>G28+G29</f>
        <v>1020000</v>
      </c>
      <c r="H31" s="21">
        <f>H28+H29</f>
        <v>50000</v>
      </c>
      <c r="I31" s="3"/>
      <c r="L31" s="9" t="s">
        <v>56</v>
      </c>
      <c r="M31" s="9">
        <f>M29-I24</f>
        <v>50000</v>
      </c>
      <c r="N31" s="9">
        <f>M31</f>
        <v>50000</v>
      </c>
      <c r="O31" s="9" t="s">
        <v>57</v>
      </c>
      <c r="Q31"/>
      <c r="R31"/>
    </row>
    <row r="32" spans="1:25" ht="18" x14ac:dyDescent="0.25">
      <c r="C32" s="9"/>
      <c r="D32" s="21"/>
      <c r="E32" s="9"/>
      <c r="G32"/>
      <c r="H32"/>
      <c r="I32" s="3"/>
      <c r="L32" s="2"/>
      <c r="N32" s="3"/>
      <c r="Q32"/>
      <c r="R32"/>
    </row>
    <row r="33" spans="3:18" ht="18" x14ac:dyDescent="0.25">
      <c r="C33" s="9"/>
      <c r="D33" s="21"/>
      <c r="E33" s="9"/>
      <c r="G33"/>
      <c r="H33"/>
      <c r="I33" s="3"/>
      <c r="L33" s="9" t="s">
        <v>52</v>
      </c>
      <c r="M33" s="9">
        <f>COUNTIFS(F6:F22,"ECHEC")*75000</f>
        <v>0</v>
      </c>
      <c r="N33" s="9">
        <f>M33+TONTSEPT21!M36</f>
        <v>0</v>
      </c>
      <c r="O33" s="9" t="s">
        <v>57</v>
      </c>
      <c r="Q33"/>
      <c r="R33"/>
    </row>
    <row r="34" spans="3:18" ht="18" x14ac:dyDescent="0.25">
      <c r="C34" s="9" t="s">
        <v>6</v>
      </c>
      <c r="D34" s="21">
        <v>1200000</v>
      </c>
      <c r="G34"/>
      <c r="H34" s="9"/>
      <c r="I34" s="9"/>
      <c r="L34" s="9" t="s">
        <v>53</v>
      </c>
      <c r="M34" s="21">
        <f>SUMIFS(G3:G20,H3:H20,"ECHEC")</f>
        <v>0</v>
      </c>
      <c r="N34" s="9">
        <f>M34+TONTSEPT21!M37</f>
        <v>0</v>
      </c>
      <c r="O34" s="9" t="s">
        <v>57</v>
      </c>
      <c r="Q34"/>
      <c r="R34"/>
    </row>
    <row r="35" spans="3:18" ht="18" x14ac:dyDescent="0.25">
      <c r="C35" s="9"/>
      <c r="D35" s="21"/>
      <c r="J35" s="9"/>
      <c r="K35" s="9"/>
      <c r="L35"/>
      <c r="M35" s="3"/>
      <c r="N35" s="3"/>
      <c r="Q35"/>
      <c r="R35"/>
    </row>
    <row r="36" spans="3:18" x14ac:dyDescent="0.25">
      <c r="D36"/>
      <c r="F36"/>
      <c r="G36"/>
      <c r="I36" s="3"/>
      <c r="J36" s="3"/>
      <c r="L36" s="2"/>
      <c r="P36" s="2"/>
      <c r="Q36" s="2"/>
      <c r="R36"/>
    </row>
    <row r="37" spans="3:18" ht="18" x14ac:dyDescent="0.25">
      <c r="D37"/>
      <c r="F37"/>
      <c r="G37"/>
      <c r="I37" s="3"/>
      <c r="J37" s="3"/>
      <c r="L37" s="2"/>
      <c r="M37" s="9"/>
      <c r="O37" s="9"/>
      <c r="P37" s="9"/>
      <c r="Q37" s="2"/>
      <c r="R37"/>
    </row>
    <row r="38" spans="3:18" ht="18" x14ac:dyDescent="0.25">
      <c r="D38"/>
      <c r="F38"/>
      <c r="G38"/>
      <c r="I38" s="3"/>
      <c r="J38" s="3"/>
      <c r="L38" s="2"/>
      <c r="M38" s="9"/>
      <c r="N38" s="9"/>
      <c r="O38" s="9"/>
      <c r="P38" s="9"/>
      <c r="Q38" s="9"/>
      <c r="R38"/>
    </row>
    <row r="39" spans="3:18" ht="18" x14ac:dyDescent="0.25">
      <c r="D39" s="22"/>
      <c r="J39" s="9"/>
      <c r="K39" s="9"/>
      <c r="L39"/>
      <c r="M39" s="9"/>
      <c r="N39" s="3"/>
      <c r="O39" s="9"/>
      <c r="Q39"/>
      <c r="R39"/>
    </row>
    <row r="40" spans="3:18" ht="18" x14ac:dyDescent="0.25">
      <c r="D40" s="22"/>
      <c r="J40" s="9"/>
      <c r="K40" s="9"/>
      <c r="L40"/>
      <c r="M40" s="9"/>
      <c r="N40" s="3"/>
      <c r="O40" s="9"/>
      <c r="Q40"/>
      <c r="R40"/>
    </row>
    <row r="41" spans="3:18" x14ac:dyDescent="0.25">
      <c r="D41" s="22"/>
      <c r="L41"/>
      <c r="M41" s="3"/>
      <c r="N41" s="3"/>
      <c r="Q41"/>
      <c r="R41"/>
    </row>
    <row r="42" spans="3:18" ht="18" x14ac:dyDescent="0.25">
      <c r="D42" s="22"/>
      <c r="L42"/>
      <c r="M42" s="9"/>
      <c r="N42" s="3"/>
      <c r="O42" s="9"/>
      <c r="Q42"/>
      <c r="R42"/>
    </row>
    <row r="43" spans="3:18" ht="18" x14ac:dyDescent="0.25">
      <c r="D43" s="22"/>
      <c r="L43"/>
      <c r="M43" s="9"/>
      <c r="N43" s="3"/>
      <c r="O43" s="9"/>
      <c r="Q43"/>
      <c r="R43"/>
    </row>
    <row r="44" spans="3:18" ht="18" x14ac:dyDescent="0.25">
      <c r="C44" s="9"/>
      <c r="D44" s="9"/>
      <c r="E44" s="9"/>
    </row>
    <row r="45" spans="3:18" ht="18" x14ac:dyDescent="0.25">
      <c r="C45" s="9"/>
      <c r="D45" s="9"/>
      <c r="E45" s="9"/>
      <c r="M45" s="9"/>
      <c r="O45" s="11"/>
    </row>
    <row r="46" spans="3:18" ht="18" x14ac:dyDescent="0.25">
      <c r="C46" s="9"/>
      <c r="D46" s="9"/>
    </row>
    <row r="47" spans="3:18" ht="18" x14ac:dyDescent="0.25">
      <c r="C47" s="9"/>
      <c r="D47" s="9"/>
      <c r="M47" s="9"/>
      <c r="O47" s="41"/>
    </row>
    <row r="48" spans="3:18" ht="18" x14ac:dyDescent="0.25">
      <c r="M48" s="9"/>
      <c r="O48" s="41"/>
    </row>
    <row r="49" spans="3:4" ht="18" x14ac:dyDescent="0.25">
      <c r="C49" s="6"/>
      <c r="D49" s="9"/>
    </row>
  </sheetData>
  <autoFilter ref="A5:S21">
    <sortState ref="A6:Q32">
      <sortCondition ref="C6:C32"/>
    </sortState>
  </autoFilter>
  <mergeCells count="1">
    <mergeCell ref="D4:M4"/>
  </mergeCells>
  <dataValidations disablePrompts="1" count="1">
    <dataValidation type="list" allowBlank="1" showInputMessage="1" showErrorMessage="1" sqref="H6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zoomScaleNormal="100" zoomScaleSheetLayoutView="118" workbookViewId="0">
      <pane xSplit="3" ySplit="5" topLeftCell="O18" activePane="bottomRight" state="frozen"/>
      <selection activeCell="E36" sqref="E36"/>
      <selection pane="topRight" activeCell="E36" sqref="E36"/>
      <selection pane="bottomLeft" activeCell="E36" sqref="E36"/>
      <selection pane="bottomRight" activeCell="N12" sqref="N12"/>
    </sheetView>
  </sheetViews>
  <sheetFormatPr baseColWidth="10" defaultColWidth="11" defaultRowHeight="15" x14ac:dyDescent="0.25"/>
  <cols>
    <col min="1" max="2" width="13.85546875" customWidth="1"/>
    <col min="3" max="3" width="29.5703125" bestFit="1" customWidth="1"/>
    <col min="4" max="4" width="17" style="2" customWidth="1"/>
    <col min="5" max="5" width="12.5703125" bestFit="1" customWidth="1"/>
    <col min="6" max="6" width="17.5703125" style="3" bestFit="1" customWidth="1"/>
    <col min="7" max="8" width="17.5703125" style="3" customWidth="1"/>
    <col min="9" max="9" width="18.28515625" customWidth="1"/>
    <col min="10" max="10" width="16.7109375" customWidth="1"/>
    <col min="11" max="12" width="17.5703125" style="3" bestFit="1" customWidth="1"/>
    <col min="13" max="14" width="17.42578125" customWidth="1"/>
    <col min="15" max="15" width="17.5703125" style="3" bestFit="1" customWidth="1"/>
    <col min="16" max="16" width="17.5703125" style="3" customWidth="1"/>
    <col min="17" max="17" width="15.42578125" style="3" customWidth="1"/>
    <col min="18" max="18" width="17.5703125" style="3" customWidth="1"/>
    <col min="19" max="19" width="19" bestFit="1" customWidth="1"/>
    <col min="20" max="20" width="12.42578125" bestFit="1" customWidth="1"/>
  </cols>
  <sheetData>
    <row r="1" spans="1:21" x14ac:dyDescent="0.25">
      <c r="A1" s="1" t="s">
        <v>0</v>
      </c>
      <c r="B1" s="1"/>
      <c r="C1" s="1" t="s">
        <v>1</v>
      </c>
      <c r="D1"/>
      <c r="E1" s="1"/>
      <c r="F1" s="1"/>
      <c r="G1"/>
      <c r="I1" s="3"/>
      <c r="J1" s="3"/>
      <c r="L1" s="2"/>
      <c r="M1" s="1"/>
      <c r="N1" s="1"/>
      <c r="P1" s="2"/>
      <c r="Q1" s="2"/>
      <c r="R1"/>
    </row>
    <row r="2" spans="1:21" x14ac:dyDescent="0.25">
      <c r="A2" s="1" t="s">
        <v>2</v>
      </c>
      <c r="B2" s="1"/>
      <c r="C2" s="1">
        <v>2021</v>
      </c>
      <c r="D2" s="1" t="s">
        <v>58</v>
      </c>
      <c r="E2" s="1" t="s">
        <v>61</v>
      </c>
      <c r="F2" s="1"/>
      <c r="G2"/>
      <c r="I2" s="3"/>
      <c r="J2" s="3"/>
      <c r="L2" s="2"/>
      <c r="M2" s="1"/>
      <c r="N2" s="1"/>
      <c r="P2" s="2"/>
      <c r="Q2" s="2"/>
      <c r="R2"/>
    </row>
    <row r="3" spans="1:21" x14ac:dyDescent="0.25">
      <c r="A3" s="1" t="s">
        <v>59</v>
      </c>
      <c r="B3" s="1"/>
      <c r="C3" s="4">
        <v>75000</v>
      </c>
      <c r="D3" s="4">
        <f>C3*16</f>
        <v>1200000</v>
      </c>
      <c r="E3" s="1">
        <f>ROUNDDOWN(M26/D3,0)</f>
        <v>1</v>
      </c>
      <c r="F3" s="1"/>
      <c r="G3"/>
      <c r="I3" s="3"/>
      <c r="J3" s="3"/>
      <c r="L3" s="2"/>
      <c r="M3" s="1"/>
      <c r="N3" s="1"/>
      <c r="P3" s="2"/>
      <c r="Q3" s="2"/>
      <c r="R3"/>
    </row>
    <row r="4" spans="1:21" s="37" customFormat="1" ht="18" x14ac:dyDescent="0.25">
      <c r="C4" s="38"/>
      <c r="D4" s="54">
        <v>44521</v>
      </c>
      <c r="E4" s="55"/>
      <c r="F4" s="55"/>
      <c r="G4" s="55"/>
      <c r="H4" s="55"/>
      <c r="I4" s="55"/>
      <c r="J4" s="55"/>
      <c r="K4" s="55"/>
      <c r="L4" s="55"/>
      <c r="M4" s="55"/>
      <c r="O4" s="39"/>
      <c r="P4" s="39"/>
      <c r="Q4" s="39"/>
      <c r="R4" s="39"/>
      <c r="T4"/>
    </row>
    <row r="5" spans="1:21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1" t="s">
        <v>7</v>
      </c>
      <c r="F5" s="6" t="s">
        <v>20</v>
      </c>
      <c r="G5" s="6" t="s">
        <v>54</v>
      </c>
      <c r="H5" s="6" t="s">
        <v>26</v>
      </c>
      <c r="I5" s="6" t="s">
        <v>25</v>
      </c>
      <c r="J5" s="6" t="s">
        <v>18</v>
      </c>
      <c r="K5" s="18" t="s">
        <v>26</v>
      </c>
      <c r="L5" s="18" t="s">
        <v>34</v>
      </c>
      <c r="M5" s="18" t="s">
        <v>47</v>
      </c>
      <c r="N5" s="18" t="s">
        <v>45</v>
      </c>
      <c r="O5" s="18" t="s">
        <v>19</v>
      </c>
      <c r="P5" s="6" t="s">
        <v>21</v>
      </c>
      <c r="Q5" s="18" t="s">
        <v>34</v>
      </c>
      <c r="R5" s="6" t="s">
        <v>23</v>
      </c>
      <c r="S5" s="4" t="s">
        <v>24</v>
      </c>
      <c r="T5" s="6" t="s">
        <v>85</v>
      </c>
    </row>
    <row r="6" spans="1:21" s="17" customFormat="1" x14ac:dyDescent="0.25">
      <c r="A6" s="1" t="s">
        <v>36</v>
      </c>
      <c r="B6" s="1"/>
      <c r="C6" s="1" t="str">
        <f>VLOOKUP(A6,[6]LISTADHERENT!A$5:H$60,3,0)</f>
        <v>BOUTCHOUANG WILLIAM</v>
      </c>
      <c r="D6" s="8">
        <f>IF(F6="ECHEC",0,VLOOKUP($A6,[8]HISTONOV21!$A$6:$AU$39,13,0))</f>
        <v>75000</v>
      </c>
      <c r="E6" s="8"/>
      <c r="F6" s="8" t="str">
        <f>VLOOKUP($A6,[8]HISTONOV21!$A$6:$AU$39,8,0)</f>
        <v>BANQUE</v>
      </c>
      <c r="G6" s="8">
        <f>IF(O6="ECHEC",M6+(TONTAOUT21!I6*2),0)</f>
        <v>0</v>
      </c>
      <c r="H6" s="7"/>
      <c r="I6" s="8">
        <f>VLOOKUP($A6,[8]HISTONOV21!$A$6:$AU$39,36,0)</f>
        <v>0</v>
      </c>
      <c r="J6" s="8">
        <f>VLOOKUP($A6,[8]HISTONOV21!$A$6:$AU$39,39,0)</f>
        <v>0</v>
      </c>
      <c r="K6" s="8" t="str">
        <f>IF(I6&lt;&gt;0,VLOOKUP($A6,[8]HISTONOV21!$A$6:$AU$39,8,0),"ECHEC")</f>
        <v>ECHEC</v>
      </c>
      <c r="L6" s="8">
        <f>VLOOKUP($A6,[8]HISTONOV21!$A$6:$AU$39,41,0)</f>
        <v>0</v>
      </c>
      <c r="M6" s="8">
        <f>TONTOCT21!I6+TONTOCT21!J6+TONTOCT21!G6</f>
        <v>0</v>
      </c>
      <c r="N6" s="8">
        <f>VLOOKUP(A6,[8]HISTONOV21!$A$6:$AZ$37,17,0)</f>
        <v>0</v>
      </c>
      <c r="O6" s="8" t="str">
        <f>IF(M6&lt;&gt;0,VLOOKUP($A6,[8]HISTONOV21!$A$6:$AU$39,8,0),"ECHEC")</f>
        <v>ECHEC</v>
      </c>
      <c r="P6" s="8" t="str">
        <f>IF(S6&lt;&gt;0,VLOOKUP($A6,[8]HISTONOV21!$A$6:$AU$39,8,0),"ECHEC")</f>
        <v>ECHEC</v>
      </c>
      <c r="Q6" s="8">
        <f>VLOOKUP($A6,[8]HISTONOV21!$A$6:$AU$39,33,0)</f>
        <v>0</v>
      </c>
      <c r="R6" s="8">
        <f t="shared" ref="R6:R21" si="0">IF(S6=0,0,($D$34-S6))</f>
        <v>0</v>
      </c>
      <c r="S6" s="8">
        <f>VLOOKUP($A6,[8]HISTONOV21!$A$6:$AU$39,30,0)</f>
        <v>0</v>
      </c>
      <c r="T6" s="45">
        <f>IF(S6=0,0,(S6-75000))</f>
        <v>0</v>
      </c>
      <c r="U6">
        <v>1</v>
      </c>
    </row>
    <row r="7" spans="1:21" s="17" customFormat="1" x14ac:dyDescent="0.25">
      <c r="A7" s="1" t="s">
        <v>37</v>
      </c>
      <c r="B7" s="1"/>
      <c r="C7" s="1" t="str">
        <f>VLOOKUP(A7,[6]LISTADHERENT!A$5:H$60,3,0)</f>
        <v xml:space="preserve">DJOMO JEAN PAUL </v>
      </c>
      <c r="D7" s="8">
        <f>IF(F7="ECHEC",0,VLOOKUP($A7,[8]HISTONOV21!$A$6:$AU$39,13,0))</f>
        <v>75000</v>
      </c>
      <c r="E7" s="8"/>
      <c r="F7" s="8" t="str">
        <f>VLOOKUP($A7,[8]HISTONOV21!$A$6:$AU$39,8,0)</f>
        <v>BANQUE</v>
      </c>
      <c r="G7" s="8">
        <f>IF(O7="ECHEC",M7+(TONTAOUT21!I8*2),0)</f>
        <v>0</v>
      </c>
      <c r="H7" s="8"/>
      <c r="I7" s="8">
        <f>VLOOKUP($A7,[8]HISTONOV21!$A$6:$AU$39,36,0)</f>
        <v>100000</v>
      </c>
      <c r="J7" s="8">
        <f>VLOOKUP($A7,[8]HISTONOV21!$A$6:$AU$39,39,0)</f>
        <v>2000</v>
      </c>
      <c r="K7" s="8" t="str">
        <f>IF(I7&lt;&gt;0,VLOOKUP($A7,[8]HISTONOV21!$A$6:$AU$39,8,0),"ECHEC")</f>
        <v>BANQUE</v>
      </c>
      <c r="L7" s="8">
        <f>VLOOKUP($A7,[8]HISTONOV21!$A$6:$AU$39,41,0)</f>
        <v>0</v>
      </c>
      <c r="M7" s="8">
        <f>TONTOCT21!I7+TONTOCT21!J7+TONTOCT21!G7</f>
        <v>0</v>
      </c>
      <c r="N7" s="8">
        <f>VLOOKUP(A7,[8]HISTONOV21!$A$6:$AZ$37,17,0)</f>
        <v>0</v>
      </c>
      <c r="O7" s="8" t="str">
        <f>IF(N7&lt;&gt;0,VLOOKUP($A7,[8]HISTONOV21!$A$6:$AU$39,8,0),"ECHEC")</f>
        <v>ECHEC</v>
      </c>
      <c r="P7" s="8" t="str">
        <f>IF(S7&lt;&gt;0,VLOOKUP($A7,[8]HISTONOV21!$A$6:$AU$39,8,0),"ECHEC")</f>
        <v>ECHEC</v>
      </c>
      <c r="Q7" s="8">
        <f>VLOOKUP($A7,[8]HISTONOV21!$A$6:$AU$39,33,0)</f>
        <v>0</v>
      </c>
      <c r="R7" s="8">
        <f t="shared" si="0"/>
        <v>0</v>
      </c>
      <c r="S7" s="8">
        <f>VLOOKUP($A7,[8]HISTONOV21!$A$6:$AU$39,30,0)</f>
        <v>0</v>
      </c>
      <c r="T7" s="45">
        <f t="shared" ref="T7:T23" si="1">IF(S7=0,0,(S7-75000))</f>
        <v>0</v>
      </c>
      <c r="U7"/>
    </row>
    <row r="8" spans="1:21" s="13" customFormat="1" x14ac:dyDescent="0.25">
      <c r="A8" s="1" t="s">
        <v>38</v>
      </c>
      <c r="B8" s="1"/>
      <c r="C8" s="1" t="str">
        <f>VLOOKUP(A8,[6]LISTADHERENT!A$5:H$60,3,0)</f>
        <v>DJOUKWE NANGUEN GUY BLAISE</v>
      </c>
      <c r="D8" s="8">
        <f>IF(F8="ECHEC",0,VLOOKUP($A8,[8]HISTONOV21!$A$6:$AU$39,13,0))</f>
        <v>75000</v>
      </c>
      <c r="E8" s="8"/>
      <c r="F8" s="8" t="str">
        <f>VLOOKUP($A8,[8]HISTONOV21!$A$6:$AU$39,8,0)</f>
        <v>BANQUE</v>
      </c>
      <c r="G8" s="8">
        <f>IF(O8="ECHEC",M8+(TONTAOUT21!I9*2),0)</f>
        <v>0</v>
      </c>
      <c r="H8" s="8"/>
      <c r="I8" s="8">
        <f>VLOOKUP($A8,[8]HISTONOV21!$A$6:$AU$39,36,0)</f>
        <v>100000</v>
      </c>
      <c r="J8" s="8">
        <f>VLOOKUP($A8,[8]HISTONOV21!$A$6:$AU$39,39,0)</f>
        <v>2000</v>
      </c>
      <c r="K8" s="8" t="str">
        <f>IF(I8&lt;&gt;0,VLOOKUP($A8,[8]HISTONOV21!$A$6:$AU$39,8,0),"ECHEC")</f>
        <v>BANQUE</v>
      </c>
      <c r="L8" s="8">
        <f>VLOOKUP($A8,[8]HISTONOV21!$A$6:$AU$39,41,0)</f>
        <v>0</v>
      </c>
      <c r="M8" s="8">
        <f>TONTOCT21!I8+TONTOCT21!J8+TONTOCT21!G8</f>
        <v>102000</v>
      </c>
      <c r="N8" s="8">
        <f>VLOOKUP(A8,[8]HISTONOV21!$A$6:$AZ$37,17,0)</f>
        <v>102000</v>
      </c>
      <c r="O8" s="8" t="str">
        <f>IF(N8&lt;&gt;0,VLOOKUP($A8,[8]HISTONOV21!$A$6:$AU$39,8,0),"ECHEC")</f>
        <v>BANQUE</v>
      </c>
      <c r="P8" s="8" t="str">
        <f>IF(S8&lt;&gt;0,VLOOKUP($A8,[8]HISTONOV21!$A$6:$AU$39,8,0),"ECHEC")</f>
        <v>ECHEC</v>
      </c>
      <c r="Q8" s="8">
        <f>VLOOKUP($A8,[8]HISTONOV21!$A$6:$AU$39,33,0)</f>
        <v>0</v>
      </c>
      <c r="R8" s="8">
        <f t="shared" si="0"/>
        <v>0</v>
      </c>
      <c r="S8" s="8">
        <f>VLOOKUP($A8,[8]HISTONOV21!$A$6:$AU$39,30,0)</f>
        <v>0</v>
      </c>
      <c r="T8" s="45">
        <f t="shared" si="1"/>
        <v>0</v>
      </c>
      <c r="U8"/>
    </row>
    <row r="9" spans="1:21" s="13" customFormat="1" x14ac:dyDescent="0.25">
      <c r="A9" s="1" t="s">
        <v>70</v>
      </c>
      <c r="B9" s="1"/>
      <c r="C9" s="1" t="str">
        <f>VLOOKUP(A9,[6]LISTADHERENT!A$5:H$60,3,0)</f>
        <v>DJUOMBESSY ANTOINE</v>
      </c>
      <c r="D9" s="8">
        <f>IF(F9="ECHEC",0,VLOOKUP($A9,[8]HISTONOV21!$A$6:$AU$39,13,0))</f>
        <v>75000</v>
      </c>
      <c r="E9" s="8"/>
      <c r="F9" s="8" t="str">
        <f>VLOOKUP($A9,[8]HISTONOV21!$A$6:$AU$39,8,0)</f>
        <v>BANQUE</v>
      </c>
      <c r="G9" s="8">
        <f>IF(O9="ECHEC",M9+(TONTAOUT21!I10*2),0)</f>
        <v>0</v>
      </c>
      <c r="H9" s="8"/>
      <c r="I9" s="8">
        <f>VLOOKUP($A9,[8]HISTONOV21!$A$6:$AU$39,36,0)</f>
        <v>0</v>
      </c>
      <c r="J9" s="8">
        <f>VLOOKUP($A9,[8]HISTONOV21!$A$6:$AU$39,39,0)</f>
        <v>0</v>
      </c>
      <c r="K9" s="8" t="str">
        <f>IF(I9&lt;&gt;0,VLOOKUP($A9,[8]HISTONOV21!$A$6:$AU$39,8,0),"ECHEC")</f>
        <v>ECHEC</v>
      </c>
      <c r="L9" s="8">
        <f>VLOOKUP($A9,[8]HISTONOV21!$A$6:$AU$39,41,0)</f>
        <v>0</v>
      </c>
      <c r="M9" s="8">
        <f>TONTOCT21!I9+TONTOCT21!J9+TONTOCT21!G9</f>
        <v>51500</v>
      </c>
      <c r="N9" s="8">
        <f>VLOOKUP(A9,[8]HISTONOV21!$A$6:$AZ$37,17,0)</f>
        <v>51500</v>
      </c>
      <c r="O9" s="8" t="str">
        <f>IF(N9&lt;&gt;0,VLOOKUP($A9,[8]HISTONOV21!$A$6:$AU$39,8,0),"ECHEC")</f>
        <v>BANQUE</v>
      </c>
      <c r="P9" s="8" t="str">
        <f>IF(S9&lt;&gt;0,VLOOKUP($A9,[8]HISTONOV21!$A$6:$AU$39,8,0),"ECHEC")</f>
        <v>ECHEC</v>
      </c>
      <c r="Q9" s="8">
        <f>VLOOKUP($A9,[8]HISTONOV21!$A$6:$AU$39,33,0)</f>
        <v>0</v>
      </c>
      <c r="R9" s="8">
        <f t="shared" si="0"/>
        <v>0</v>
      </c>
      <c r="S9" s="8">
        <f>VLOOKUP($A9,[8]HISTONOV21!$A$6:$AU$39,30,0)</f>
        <v>0</v>
      </c>
      <c r="T9" s="45">
        <f t="shared" si="1"/>
        <v>0</v>
      </c>
      <c r="U9"/>
    </row>
    <row r="10" spans="1:21" x14ac:dyDescent="0.25">
      <c r="A10" s="1" t="s">
        <v>29</v>
      </c>
      <c r="B10" s="1"/>
      <c r="C10" s="1" t="str">
        <f>VLOOKUP(A10,[6]LISTADHERENT!A$5:H$60,3,0)</f>
        <v>HOTCHO BENJAMIN</v>
      </c>
      <c r="D10" s="8">
        <f>IF(F10="ECHEC",0,VLOOKUP($A10,[8]HISTONOV21!$A$6:$AU$39,13,0))</f>
        <v>75000</v>
      </c>
      <c r="E10" s="8"/>
      <c r="F10" s="8" t="str">
        <f>VLOOKUP($A10,[8]HISTONOV21!$A$6:$AU$39,8,0)</f>
        <v>BANQUE</v>
      </c>
      <c r="G10" s="8">
        <f>IF(O10="ECHEC",M10+(TONTAOUT21!I10*2),0)</f>
        <v>0</v>
      </c>
      <c r="H10" s="8"/>
      <c r="I10" s="8">
        <f>VLOOKUP($A10,[8]HISTONOV21!$A$6:$AU$39,36,0)</f>
        <v>0</v>
      </c>
      <c r="J10" s="8">
        <f>VLOOKUP($A10,[8]HISTONOV21!$A$6:$AU$39,39,0)</f>
        <v>0</v>
      </c>
      <c r="K10" s="8" t="str">
        <f>IF(I10&lt;&gt;0,VLOOKUP($A10,[8]HISTONOV21!$A$6:$AU$39,8,0),"ECHEC")</f>
        <v>ECHEC</v>
      </c>
      <c r="L10" s="8">
        <f>VLOOKUP($A10,[8]HISTONOV21!$A$6:$AU$39,41,0)</f>
        <v>0</v>
      </c>
      <c r="M10" s="8">
        <f>TONTOCT21!I10+TONTOCT21!J10+TONTOCT21!G10</f>
        <v>0</v>
      </c>
      <c r="N10" s="8">
        <f>VLOOKUP(A10,[8]HISTONOV21!$A$6:$AZ$37,17,0)</f>
        <v>0</v>
      </c>
      <c r="O10" s="8" t="str">
        <f>IF(N10&lt;&gt;0,VLOOKUP($A10,[8]HISTONOV21!$A$6:$AU$39,8,0),"ECHEC")</f>
        <v>ECHEC</v>
      </c>
      <c r="P10" s="8" t="str">
        <f>IF(S10&lt;&gt;0,VLOOKUP($A10,[8]HISTONOV21!$A$6:$AU$39,8,0),"ECHEC")</f>
        <v>ECHEC</v>
      </c>
      <c r="Q10" s="8">
        <f>VLOOKUP($A10,[8]HISTONOV21!$A$6:$AU$39,33,0)</f>
        <v>0</v>
      </c>
      <c r="R10" s="8">
        <f t="shared" si="0"/>
        <v>0</v>
      </c>
      <c r="S10" s="8">
        <f>VLOOKUP($A10,[8]HISTONOV21!$A$6:$AU$39,30,0)</f>
        <v>0</v>
      </c>
      <c r="T10" s="45">
        <f t="shared" si="1"/>
        <v>0</v>
      </c>
    </row>
    <row r="11" spans="1:21" x14ac:dyDescent="0.25">
      <c r="A11" s="1" t="s">
        <v>40</v>
      </c>
      <c r="B11" s="1"/>
      <c r="C11" s="1" t="str">
        <f>VLOOKUP(A11,[6]LISTADHERENT!A$5:H$60,3,0)</f>
        <v>HENGUE PAUL OMER</v>
      </c>
      <c r="D11" s="8">
        <f>IF(F11="ECHEC",0,VLOOKUP($A11,[8]HISTONOV21!$A$6:$AU$39,13,0))</f>
        <v>75000</v>
      </c>
      <c r="E11" s="8"/>
      <c r="F11" s="8" t="str">
        <f>VLOOKUP($A11,[8]HISTONOV21!$A$6:$AU$39,8,0)</f>
        <v>BANQUE</v>
      </c>
      <c r="G11" s="8">
        <f>IF(O11="ECHEC",M11+(TONTAOUT21!I11*2),0)</f>
        <v>0</v>
      </c>
      <c r="H11" s="8"/>
      <c r="I11" s="8">
        <f>VLOOKUP($A11,[8]HISTONOV21!$A$6:$AU$39,36,0)</f>
        <v>0</v>
      </c>
      <c r="J11" s="8">
        <f>VLOOKUP($A11,[8]HISTONOV21!$A$6:$AU$39,39,0)</f>
        <v>0</v>
      </c>
      <c r="K11" s="8" t="str">
        <f>IF(I11&lt;&gt;0,VLOOKUP($A11,[8]HISTONOV21!$A$6:$AU$39,8,0),"ECHEC")</f>
        <v>ECHEC</v>
      </c>
      <c r="L11" s="8">
        <f>VLOOKUP($A11,[8]HISTONOV21!$A$6:$AU$39,41,0)</f>
        <v>0</v>
      </c>
      <c r="M11" s="8">
        <f>TONTOCT21!I11+TONTOCT21!J11+TONTOCT21!G11</f>
        <v>0</v>
      </c>
      <c r="N11" s="8">
        <f>VLOOKUP(A11,[8]HISTONOV21!$A$6:$AZ$37,17,0)</f>
        <v>0</v>
      </c>
      <c r="O11" s="8" t="str">
        <f>IF(N11&lt;&gt;0,VLOOKUP($A11,[8]HISTONOV21!$A$6:$AU$39,8,0),"ECHEC")</f>
        <v>ECHEC</v>
      </c>
      <c r="P11" s="8" t="str">
        <f>IF(S11&lt;&gt;0,VLOOKUP($A11,[8]HISTONOV21!$A$6:$AU$39,8,0),"ECHEC")</f>
        <v>ECHEC</v>
      </c>
      <c r="Q11" s="8">
        <f>VLOOKUP($A11,[8]HISTONOV21!$A$6:$AU$39,33,0)</f>
        <v>0</v>
      </c>
      <c r="R11" s="8">
        <f t="shared" si="0"/>
        <v>0</v>
      </c>
      <c r="S11" s="8">
        <f>VLOOKUP($A11,[8]HISTONOV21!$A$6:$AU$39,30,0)</f>
        <v>0</v>
      </c>
      <c r="T11" s="45">
        <f t="shared" si="1"/>
        <v>0</v>
      </c>
    </row>
    <row r="12" spans="1:21" x14ac:dyDescent="0.25">
      <c r="A12" s="1" t="s">
        <v>10</v>
      </c>
      <c r="B12" s="1"/>
      <c r="C12" s="1" t="str">
        <f>VLOOKUP(A12,[6]LISTADHERENT!A$5:H$60,3,0)</f>
        <v>KOUATCHO MESSACK</v>
      </c>
      <c r="D12" s="8">
        <f>IF(F12="ECHEC",0,VLOOKUP($A12,[8]HISTONOV21!$A$6:$AU$39,13,0))</f>
        <v>75000</v>
      </c>
      <c r="E12" s="8"/>
      <c r="F12" s="8" t="str">
        <f>VLOOKUP($A12,[8]HISTONOV21!$A$6:$AU$39,8,0)</f>
        <v>BANQUE</v>
      </c>
      <c r="G12" s="8">
        <f>IF(O12="ECHEC",M12+(TONTAOUT21!I12*2),0)</f>
        <v>0</v>
      </c>
      <c r="H12" s="8"/>
      <c r="I12" s="8">
        <f>VLOOKUP($A12,[8]HISTONOV21!$A$6:$AU$39,36,0)</f>
        <v>200000</v>
      </c>
      <c r="J12" s="8">
        <f>VLOOKUP($A12,[8]HISTONOV21!$A$6:$AU$39,39,0)</f>
        <v>2000</v>
      </c>
      <c r="K12" s="8" t="str">
        <f>IF(I12&lt;&gt;0,VLOOKUP($A12,[8]HISTONOV21!$A$6:$AU$39,8,0),"ECHEC")</f>
        <v>BANQUE</v>
      </c>
      <c r="L12" s="8">
        <f>VLOOKUP($A12,[8]HISTONOV21!$A$6:$AU$39,41,0)</f>
        <v>0</v>
      </c>
      <c r="M12" s="8">
        <f>TONTOCT21!I12+TONTOCT21!J12+TONTOCT21!G12</f>
        <v>102000</v>
      </c>
      <c r="N12" s="8">
        <f>VLOOKUP(A12,[8]HISTONOV21!$A$6:$AZ$37,17,0)</f>
        <v>102000</v>
      </c>
      <c r="O12" s="8" t="str">
        <f>IF(N12&lt;&gt;0,VLOOKUP($A12,[8]HISTONOV21!$A$6:$AU$39,8,0),"ECHEC")</f>
        <v>BANQUE</v>
      </c>
      <c r="P12" s="8" t="str">
        <f>IF(S12&lt;&gt;0,VLOOKUP($A12,[8]HISTONOV21!$A$6:$AU$39,8,0),"ECHEC")</f>
        <v>ECHEC</v>
      </c>
      <c r="Q12" s="8">
        <f>VLOOKUP($A12,[8]HISTONOV21!$A$6:$AU$39,33,0)</f>
        <v>0</v>
      </c>
      <c r="R12" s="8">
        <f t="shared" si="0"/>
        <v>0</v>
      </c>
      <c r="S12" s="8">
        <f>VLOOKUP($A12,[8]HISTONOV21!$A$6:$AU$39,30,0)</f>
        <v>0</v>
      </c>
      <c r="T12" s="45">
        <f t="shared" si="1"/>
        <v>0</v>
      </c>
    </row>
    <row r="13" spans="1:21" x14ac:dyDescent="0.25">
      <c r="A13" s="1" t="s">
        <v>32</v>
      </c>
      <c r="B13" s="1"/>
      <c r="C13" s="1" t="str">
        <f>VLOOKUP(A13,[6]LISTADHERENT!A$5:H$60,3,0)</f>
        <v>MBOGNING TUGMA GUY</v>
      </c>
      <c r="D13" s="8">
        <f>IF(F13="ECHEC",0,VLOOKUP($A13,[8]HISTONOV21!$A$6:$AU$39,13,0))</f>
        <v>225000</v>
      </c>
      <c r="E13" s="8"/>
      <c r="F13" s="8" t="str">
        <f>VLOOKUP($A13,[8]HISTONOV21!$A$6:$AU$39,8,0)</f>
        <v>BANQUE</v>
      </c>
      <c r="G13" s="8">
        <f>IF(O13="ECHEC",M13+(TONTAOUT21!I13*2),0)</f>
        <v>0</v>
      </c>
      <c r="H13" s="8"/>
      <c r="I13" s="8">
        <f>VLOOKUP($A13,[8]HISTONOV21!$A$6:$AU$39,36,0)</f>
        <v>100000</v>
      </c>
      <c r="J13" s="8">
        <f>VLOOKUP($A13,[8]HISTONOV21!$A$6:$AU$39,39,0)</f>
        <v>1000</v>
      </c>
      <c r="K13" s="8" t="str">
        <f>IF(I13&lt;&gt;0,VLOOKUP($A13,[8]HISTONOV21!$A$6:$AU$39,8,0),"ECHEC")</f>
        <v>BANQUE</v>
      </c>
      <c r="L13" s="8">
        <f>VLOOKUP($A13,[8]HISTONOV21!$A$6:$AU$39,41,0)</f>
        <v>0</v>
      </c>
      <c r="M13" s="8">
        <f>TONTOCT21!I13+TONTOCT21!J13+TONTOCT21!G13</f>
        <v>81000</v>
      </c>
      <c r="N13" s="8">
        <f>VLOOKUP(A13,[8]HISTONOV21!$A$6:$AZ$37,17,0)</f>
        <v>81000</v>
      </c>
      <c r="O13" s="8" t="str">
        <f>IF(N13&lt;&gt;0,VLOOKUP($A13,[8]HISTONOV21!$A$6:$AU$39,8,0),"ECHEC")</f>
        <v>BANQUE</v>
      </c>
      <c r="P13" s="8" t="str">
        <f>IF(S13&lt;&gt;0,VLOOKUP($A13,[8]HISTONOV21!$A$6:$AU$39,8,0),"ECHEC")</f>
        <v>BANQUE</v>
      </c>
      <c r="Q13" s="8">
        <f>VLOOKUP($A13,[8]HISTONOV21!$A$6:$AU$39,33,0)</f>
        <v>0</v>
      </c>
      <c r="R13" s="8">
        <f t="shared" si="0"/>
        <v>1115000</v>
      </c>
      <c r="S13" s="8">
        <f>VLOOKUP($A13,[8]HISTONOV21!$A$6:$AU$39,30,0)</f>
        <v>85000</v>
      </c>
      <c r="T13" s="45">
        <f t="shared" si="1"/>
        <v>10000</v>
      </c>
    </row>
    <row r="14" spans="1:21" x14ac:dyDescent="0.25">
      <c r="A14" s="1" t="s">
        <v>11</v>
      </c>
      <c r="B14" s="1"/>
      <c r="C14" s="1" t="str">
        <f>VLOOKUP(A14,[6]LISTADHERENT!A$5:H$60,3,0)</f>
        <v>NANKAM APPOLINAIRE</v>
      </c>
      <c r="D14" s="8">
        <f>IF(F14="ECHEC",0,VLOOKUP($A14,[8]HISTONOV21!$A$6:$AU$39,13,0))</f>
        <v>75000</v>
      </c>
      <c r="E14" s="8"/>
      <c r="F14" s="8" t="str">
        <f>VLOOKUP($A14,[8]HISTONOV21!$A$6:$AU$39,8,0)</f>
        <v>BANQUE</v>
      </c>
      <c r="G14" s="8">
        <f>IF(O14="ECHEC",M14+(TONTAOUT21!I14*2),0)</f>
        <v>0</v>
      </c>
      <c r="H14" s="8"/>
      <c r="I14" s="8">
        <f>VLOOKUP($A14,[8]HISTONOV21!$A$6:$AU$39,36,0)</f>
        <v>0</v>
      </c>
      <c r="J14" s="8">
        <f>VLOOKUP($A14,[8]HISTONOV21!$A$6:$AU$39,39,0)</f>
        <v>0</v>
      </c>
      <c r="K14" s="8" t="str">
        <f>IF(I14&lt;&gt;0,VLOOKUP($A14,[8]HISTONOV21!$A$6:$AU$39,8,0),"ECHEC")</f>
        <v>ECHEC</v>
      </c>
      <c r="L14" s="8">
        <f>VLOOKUP($A14,[8]HISTONOV21!$A$6:$AU$39,41,0)</f>
        <v>0</v>
      </c>
      <c r="M14" s="8">
        <f>TONTOCT21!I14+TONTOCT21!J14+TONTOCT21!G14</f>
        <v>0</v>
      </c>
      <c r="N14" s="8">
        <f>VLOOKUP(A14,[8]HISTONOV21!$A$6:$AZ$37,17,0)</f>
        <v>0</v>
      </c>
      <c r="O14" s="8" t="str">
        <f>IF(N14&lt;&gt;0,VLOOKUP($A14,[8]HISTONOV21!$A$6:$AU$39,8,0),"ECHEC")</f>
        <v>ECHEC</v>
      </c>
      <c r="P14" s="8" t="str">
        <f>IF(S14&lt;&gt;0,VLOOKUP($A14,[8]HISTONOV21!$A$6:$AU$39,8,0),"ECHEC")</f>
        <v>ECHEC</v>
      </c>
      <c r="Q14" s="8">
        <f>VLOOKUP($A14,[8]HISTONOV21!$A$6:$AU$39,33,0)</f>
        <v>0</v>
      </c>
      <c r="R14" s="8">
        <f t="shared" si="0"/>
        <v>0</v>
      </c>
      <c r="S14" s="8">
        <f>VLOOKUP($A14,[8]HISTONOV21!$A$6:$AU$39,30,0)</f>
        <v>0</v>
      </c>
      <c r="T14" s="45">
        <f t="shared" si="1"/>
        <v>0</v>
      </c>
    </row>
    <row r="15" spans="1:21" x14ac:dyDescent="0.25">
      <c r="A15" s="1" t="s">
        <v>72</v>
      </c>
      <c r="B15" s="1"/>
      <c r="C15" s="1" t="str">
        <f>VLOOKUP(A15,[6]LISTADHERENT!A$5:H$60,3,0)</f>
        <v>NGONDIEP CLAUDE</v>
      </c>
      <c r="D15" s="8">
        <f>IF(F15="ECHEC",0,VLOOKUP($A15,[8]HISTONOV21!$A$6:$AU$39,13,0))</f>
        <v>75000</v>
      </c>
      <c r="E15" s="8"/>
      <c r="F15" s="8" t="str">
        <f>VLOOKUP($A15,[8]HISTONOV21!$A$6:$AU$39,8,0)</f>
        <v>BANQUE</v>
      </c>
      <c r="G15" s="8">
        <f>IF(O15="ECHEC",M15+(TONTAOUT21!I14*2),0)</f>
        <v>0</v>
      </c>
      <c r="H15" s="8"/>
      <c r="I15" s="8">
        <f>VLOOKUP($A15,[8]HISTONOV21!$A$6:$AU$39,36,0)</f>
        <v>150000</v>
      </c>
      <c r="J15" s="8">
        <f>VLOOKUP($A15,[8]HISTONOV21!$A$6:$AU$39,39,0)</f>
        <v>3000</v>
      </c>
      <c r="K15" s="8" t="str">
        <f>IF(I15&lt;&gt;0,VLOOKUP($A15,[8]HISTONOV21!$A$6:$AU$39,8,0),"ECHEC")</f>
        <v>BANQUE</v>
      </c>
      <c r="L15" s="8">
        <f>VLOOKUP($A15,[8]HISTONOV21!$A$6:$AU$39,41,0)</f>
        <v>0</v>
      </c>
      <c r="M15" s="8">
        <f>TONTOCT21!I15+TONTOCT21!J15+TONTOCT21!G15</f>
        <v>102000</v>
      </c>
      <c r="N15" s="8">
        <f>VLOOKUP(A15,[8]HISTONOV21!$A$6:$AZ$37,17,0)</f>
        <v>102000</v>
      </c>
      <c r="O15" s="8" t="str">
        <f>IF(N15&lt;&gt;0,VLOOKUP($A15,[8]HISTONOV21!$A$6:$AU$39,8,0),"ECHEC")</f>
        <v>BANQUE</v>
      </c>
      <c r="P15" s="8" t="str">
        <f>IF(S15&lt;&gt;0,VLOOKUP($A15,[8]HISTONOV21!$A$6:$AU$39,8,0),"ECHEC")</f>
        <v>ECHEC</v>
      </c>
      <c r="Q15" s="8">
        <f>VLOOKUP($A15,[8]HISTONOV21!$A$6:$AU$39,33,0)</f>
        <v>0</v>
      </c>
      <c r="R15" s="8">
        <f t="shared" si="0"/>
        <v>0</v>
      </c>
      <c r="S15" s="8">
        <f>VLOOKUP($A15,[8]HISTONOV21!$A$6:$AU$39,30,0)</f>
        <v>0</v>
      </c>
      <c r="T15" s="45">
        <f t="shared" si="1"/>
        <v>0</v>
      </c>
    </row>
    <row r="16" spans="1:21" x14ac:dyDescent="0.25">
      <c r="A16" s="1" t="s">
        <v>31</v>
      </c>
      <c r="B16" s="1"/>
      <c r="C16" s="1" t="str">
        <f>VLOOKUP(A16,[6]LISTADHERENT!A$5:H$60,3,0)</f>
        <v>NGUIEMEGNI MATHIEU BLAISE</v>
      </c>
      <c r="D16" s="8">
        <f>IF(F16="ECHEC",0,VLOOKUP($A16,[8]HISTONOV21!$A$6:$AU$39,13,0))</f>
        <v>150000</v>
      </c>
      <c r="E16" s="8"/>
      <c r="F16" s="8" t="str">
        <f>VLOOKUP($A16,[8]HISTONOV21!$A$6:$AU$39,8,0)</f>
        <v>BANQUE</v>
      </c>
      <c r="G16" s="8">
        <f>IF(O16="ECHEC",M16+(TONTAOUT21!I17*2),0)</f>
        <v>0</v>
      </c>
      <c r="H16" s="8"/>
      <c r="I16" s="8">
        <f>VLOOKUP($A16,[8]HISTONOV21!$A$6:$AU$39,36,0)</f>
        <v>0</v>
      </c>
      <c r="J16" s="8">
        <f>VLOOKUP($A16,[8]HISTONOV21!$A$6:$AU$39,39,0)</f>
        <v>0</v>
      </c>
      <c r="K16" s="8" t="str">
        <f>IF(I16&lt;&gt;0,VLOOKUP($A16,[8]HISTONOV21!$A$6:$AU$39,8,0),"ECHEC")</f>
        <v>ECHEC</v>
      </c>
      <c r="L16" s="8">
        <f>VLOOKUP($A16,[8]HISTONOV21!$A$6:$AU$39,41,0)</f>
        <v>0</v>
      </c>
      <c r="M16" s="8">
        <f>TONTOCT21!I16+TONTOCT21!J16+TONTOCT21!G16</f>
        <v>0</v>
      </c>
      <c r="N16" s="8">
        <f>VLOOKUP(A16,[8]HISTONOV21!$A$6:$AZ$37,17,0)</f>
        <v>0</v>
      </c>
      <c r="O16" s="8" t="str">
        <f>IF(N16&lt;&gt;0,VLOOKUP($A16,[8]HISTONOV21!$A$6:$AU$39,8,0),"ECHEC")</f>
        <v>ECHEC</v>
      </c>
      <c r="P16" s="8" t="str">
        <f>IF(S16&lt;&gt;0,VLOOKUP($A16,[8]HISTONOV21!$A$6:$AU$39,8,0),"ECHEC")</f>
        <v>ECHEC</v>
      </c>
      <c r="Q16" s="8">
        <f>VLOOKUP($A16,[8]HISTONOV21!$A$6:$AU$39,33,0)</f>
        <v>0</v>
      </c>
      <c r="R16" s="8">
        <f t="shared" si="0"/>
        <v>0</v>
      </c>
      <c r="S16" s="8">
        <f>VLOOKUP($A16,[8]HISTONOV21!$A$6:$AU$39,30,0)</f>
        <v>0</v>
      </c>
      <c r="T16" s="45">
        <f t="shared" si="1"/>
        <v>0</v>
      </c>
    </row>
    <row r="17" spans="1:25" x14ac:dyDescent="0.25">
      <c r="A17" s="16" t="s">
        <v>12</v>
      </c>
      <c r="B17" s="16"/>
      <c r="C17" s="1" t="str">
        <f>VLOOKUP(A17,[6]LISTADHERENT!A$5:H$60,3,0)</f>
        <v>NKAMGANG JUSTIN DEJOLIE</v>
      </c>
      <c r="D17" s="8">
        <f>IF(F17="ECHEC",0,VLOOKUP($A17,[8]HISTONOV21!$A$6:$AU$39,13,0))</f>
        <v>75000</v>
      </c>
      <c r="E17" s="8"/>
      <c r="F17" s="8" t="str">
        <f>VLOOKUP($A17,[8]HISTONOV21!$A$6:$AU$39,8,0)</f>
        <v>BANQUE</v>
      </c>
      <c r="G17" s="8">
        <f>IF(O17="ECHEC",M17+(TONTAOUT21!I19*2),0)</f>
        <v>0</v>
      </c>
      <c r="H17" s="8"/>
      <c r="I17" s="8">
        <f>VLOOKUP($A17,[8]HISTONOV21!$A$6:$AU$39,36,0)</f>
        <v>123500</v>
      </c>
      <c r="J17" s="8">
        <f>VLOOKUP($A17,[8]HISTONOV21!$A$6:$AU$39,39,0)</f>
        <v>2000</v>
      </c>
      <c r="K17" s="8" t="str">
        <f>IF(I17&lt;&gt;0,VLOOKUP($A17,[8]HISTONOV21!$A$6:$AU$39,8,0),"ECHEC")</f>
        <v>BANQUE</v>
      </c>
      <c r="L17" s="8">
        <f>VLOOKUP($A17,[8]HISTONOV21!$A$6:$AU$39,41,0)</f>
        <v>0</v>
      </c>
      <c r="M17" s="8">
        <f>TONTOCT21!I17+TONTOCT21!J17+TONTOCT21!G17</f>
        <v>0</v>
      </c>
      <c r="N17" s="8">
        <f>VLOOKUP(A17,[8]HISTONOV21!$A$6:$AZ$37,17,0)</f>
        <v>0</v>
      </c>
      <c r="O17" s="8" t="str">
        <f>IF(N17&lt;&gt;0,VLOOKUP($A17,[8]HISTONOV21!$A$6:$AU$39,8,0),"ECHEC")</f>
        <v>ECHEC</v>
      </c>
      <c r="P17" s="8" t="str">
        <f>IF(S17&lt;&gt;0,VLOOKUP($A17,[8]HISTONOV21!$A$6:$AU$39,8,0),"ECHEC")</f>
        <v>ECHEC</v>
      </c>
      <c r="Q17" s="8">
        <f>VLOOKUP($A17,[8]HISTONOV21!$A$6:$AU$39,33,0)</f>
        <v>0</v>
      </c>
      <c r="R17" s="8">
        <f t="shared" si="0"/>
        <v>0</v>
      </c>
      <c r="S17" s="8">
        <f>VLOOKUP($A17,[8]HISTONOV21!$A$6:$AU$39,30,0)</f>
        <v>0</v>
      </c>
      <c r="T17" s="45">
        <f t="shared" si="1"/>
        <v>0</v>
      </c>
    </row>
    <row r="18" spans="1:25" x14ac:dyDescent="0.25">
      <c r="A18" s="1" t="s">
        <v>42</v>
      </c>
      <c r="B18" s="1"/>
      <c r="C18" s="1" t="str">
        <f>VLOOKUP(A18,[6]LISTADHERENT!A$5:H$60,3,0)</f>
        <v>PATEGO NJOSSU GUSTAVE</v>
      </c>
      <c r="D18" s="8">
        <f>IF(F18="ECHEC",0,VLOOKUP($A18,[8]HISTONOV21!$A$6:$AU$39,13,0))</f>
        <v>75000</v>
      </c>
      <c r="E18" s="8"/>
      <c r="F18" s="8" t="str">
        <f>VLOOKUP($A18,[8]HISTONOV21!$A$6:$AU$39,8,0)</f>
        <v>BANQUE</v>
      </c>
      <c r="G18" s="8">
        <f>IF(O18="ECHEC",M18+(TONTAOUT21!I20*2),0)</f>
        <v>0</v>
      </c>
      <c r="H18" s="8"/>
      <c r="I18" s="8">
        <f>VLOOKUP($A18,[8]HISTONOV21!$A$6:$AU$39,36,0)</f>
        <v>0</v>
      </c>
      <c r="J18" s="8">
        <f>VLOOKUP($A18,[8]HISTONOV21!$A$6:$AU$39,39,0)</f>
        <v>0</v>
      </c>
      <c r="K18" s="8" t="str">
        <f>IF(I18&lt;&gt;0,VLOOKUP($A18,[8]HISTONOV21!$A$6:$AU$39,8,0),"ECHEC")</f>
        <v>ECHEC</v>
      </c>
      <c r="L18" s="8">
        <f>VLOOKUP($A18,[8]HISTONOV21!$A$6:$AU$39,41,0)</f>
        <v>0</v>
      </c>
      <c r="M18" s="8">
        <f>TONTOCT21!I18+TONTOCT21!J18+TONTOCT21!G18</f>
        <v>0</v>
      </c>
      <c r="N18" s="8">
        <f>VLOOKUP(A18,[8]HISTONOV21!$A$6:$AZ$37,17,0)</f>
        <v>0</v>
      </c>
      <c r="O18" s="8" t="str">
        <f>IF(N18&lt;&gt;0,VLOOKUP($A18,[8]HISTONOV21!$A$6:$AU$39,8,0),"ECHEC")</f>
        <v>ECHEC</v>
      </c>
      <c r="P18" s="8" t="str">
        <f>IF(S18&lt;&gt;0,VLOOKUP($A18,[8]HISTONOV21!$A$6:$AU$39,8,0),"ECHEC")</f>
        <v>ECHEC</v>
      </c>
      <c r="Q18" s="8">
        <f>VLOOKUP($A18,[8]HISTONOV21!$A$6:$AU$39,33,0)</f>
        <v>0</v>
      </c>
      <c r="R18" s="8">
        <f t="shared" si="0"/>
        <v>0</v>
      </c>
      <c r="S18" s="8">
        <f>VLOOKUP($A18,[8]HISTONOV21!$A$6:$AU$39,30,0)</f>
        <v>0</v>
      </c>
      <c r="T18" s="45">
        <f t="shared" si="1"/>
        <v>0</v>
      </c>
    </row>
    <row r="19" spans="1:25" x14ac:dyDescent="0.25">
      <c r="A19" s="16" t="s">
        <v>71</v>
      </c>
      <c r="B19" s="16"/>
      <c r="C19" s="1" t="str">
        <f>VLOOKUP(A19,[6]LISTADHERENT!A$5:H$60,3,0)</f>
        <v>SIME BRICE</v>
      </c>
      <c r="D19" s="8">
        <f>IF(F19="ECHEC",0,VLOOKUP($A19,[8]HISTONOV21!$A$6:$AU$39,13,0))</f>
        <v>75000</v>
      </c>
      <c r="E19" s="8"/>
      <c r="F19" s="8" t="str">
        <f>VLOOKUP($A19,[8]HISTONOV21!$A$6:$AU$39,8,0)</f>
        <v>BANQUE</v>
      </c>
      <c r="G19" s="8">
        <f>IF(O19="ECHEC",M19+(TONTAOUT21!I21*2),0)</f>
        <v>0</v>
      </c>
      <c r="H19" s="8"/>
      <c r="I19" s="8">
        <f>VLOOKUP($A19,[8]HISTONOV21!$A$6:$AU$39,36,0)</f>
        <v>0</v>
      </c>
      <c r="J19" s="8">
        <f>VLOOKUP($A19,[8]HISTONOV21!$A$6:$AU$39,39,0)</f>
        <v>0</v>
      </c>
      <c r="K19" s="8" t="str">
        <f>IF(I19&lt;&gt;0,VLOOKUP($A19,[8]HISTONOV21!$A$6:$AU$39,8,0),"ECHEC")</f>
        <v>ECHEC</v>
      </c>
      <c r="L19" s="8">
        <f>VLOOKUP($A19,[8]HISTONOV21!$A$6:$AU$39,41,0)</f>
        <v>0</v>
      </c>
      <c r="M19" s="8">
        <f>TONTOCT21!I19+TONTOCT21!J19+TONTOCT21!G19</f>
        <v>0</v>
      </c>
      <c r="N19" s="8">
        <f>VLOOKUP(A19,[8]HISTONOV21!$A$6:$AZ$37,17,0)</f>
        <v>0</v>
      </c>
      <c r="O19" s="8" t="str">
        <f>IF(N19&lt;&gt;0,VLOOKUP($A19,[8]HISTONOV21!$A$6:$AU$39,8,0),"ECHEC")</f>
        <v>ECHEC</v>
      </c>
      <c r="P19" s="8" t="str">
        <f>IF(S19&lt;&gt;0,VLOOKUP($A19,[8]HISTONOV21!$A$6:$AU$39,8,0),"ECHEC")</f>
        <v>ECHEC</v>
      </c>
      <c r="Q19" s="8">
        <f>VLOOKUP($A19,[8]HISTONOV21!$A$6:$AU$39,33,0)</f>
        <v>0</v>
      </c>
      <c r="R19" s="8">
        <f t="shared" si="0"/>
        <v>0</v>
      </c>
      <c r="S19" s="8">
        <f>VLOOKUP($A19,[8]HISTONOV21!$A$6:$AU$39,30,0)</f>
        <v>0</v>
      </c>
      <c r="T19" s="45">
        <f t="shared" si="1"/>
        <v>0</v>
      </c>
    </row>
    <row r="20" spans="1:25" x14ac:dyDescent="0.25">
      <c r="A20" s="16" t="s">
        <v>43</v>
      </c>
      <c r="B20" s="16"/>
      <c r="C20" s="1" t="str">
        <f>VLOOKUP(A20,[6]LISTADHERENT!A$5:H$60,3,0)</f>
        <v>SIMO PIERRE</v>
      </c>
      <c r="D20" s="8">
        <f>IF(F20="ECHEC",0,VLOOKUP($A20,[8]HISTONOV21!$A$6:$AU$39,13,0))</f>
        <v>75000</v>
      </c>
      <c r="E20" s="8"/>
      <c r="F20" s="8" t="str">
        <f>VLOOKUP($A20,[8]HISTONOV21!$A$6:$AU$39,8,0)</f>
        <v>BANQUE</v>
      </c>
      <c r="G20" s="8">
        <f>IF(O20="ECHEC",M20+(TONTAOUT21!I22*2),0)</f>
        <v>0</v>
      </c>
      <c r="H20" s="8"/>
      <c r="I20" s="8">
        <f>VLOOKUP($A20,[8]HISTONOV21!$A$6:$AU$39,36,0)</f>
        <v>0</v>
      </c>
      <c r="J20" s="8">
        <f>VLOOKUP($A20,[8]HISTONOV21!$A$6:$AU$39,39,0)</f>
        <v>0</v>
      </c>
      <c r="K20" s="8" t="str">
        <f>IF(I20&lt;&gt;0,VLOOKUP($A20,[8]HISTONOV21!$A$6:$AU$39,8,0),"ECHEC")</f>
        <v>ECHEC</v>
      </c>
      <c r="L20" s="8">
        <f>VLOOKUP($A20,[8]HISTONOV21!$A$6:$AU$39,41,0)</f>
        <v>0</v>
      </c>
      <c r="M20" s="8">
        <f>TONTOCT21!I20+TONTOCT21!J20+TONTOCT21!G20</f>
        <v>0</v>
      </c>
      <c r="N20" s="8">
        <f>VLOOKUP(A20,[8]HISTONOV21!$A$6:$AZ$37,17,0)</f>
        <v>0</v>
      </c>
      <c r="O20" s="8" t="str">
        <f>IF(N20&lt;&gt;0,VLOOKUP($A20,[8]HISTONOV21!$A$6:$AU$39,8,0),"ECHEC")</f>
        <v>ECHEC</v>
      </c>
      <c r="P20" s="8" t="str">
        <f>IF(S20&lt;&gt;0,VLOOKUP($A20,[8]HISTONOV21!$A$6:$AU$39,8,0),"ECHEC")</f>
        <v>ECHEC</v>
      </c>
      <c r="Q20" s="8">
        <f>VLOOKUP($A20,[8]HISTONOV21!$A$6:$AU$39,33,0)</f>
        <v>0</v>
      </c>
      <c r="R20" s="8">
        <f t="shared" si="0"/>
        <v>0</v>
      </c>
      <c r="S20" s="8">
        <f>VLOOKUP($A20,[8]HISTONOV21!$A$6:$AU$39,30,0)</f>
        <v>0</v>
      </c>
      <c r="T20" s="45">
        <f t="shared" si="1"/>
        <v>0</v>
      </c>
    </row>
    <row r="21" spans="1:25" x14ac:dyDescent="0.25">
      <c r="A21" s="1" t="s">
        <v>30</v>
      </c>
      <c r="B21" s="1"/>
      <c r="C21" s="1" t="str">
        <f>VLOOKUP(A21,[6]LISTADHERENT!A$5:H$60,3,0)</f>
        <v>YOUMBI EMMANUEL</v>
      </c>
      <c r="D21" s="8">
        <f>IF(F21="ECHEC",0,VLOOKUP($A21,[8]HISTONOV21!$A$6:$AU$39,13,0))</f>
        <v>150000</v>
      </c>
      <c r="E21" s="8"/>
      <c r="F21" s="8" t="str">
        <f>VLOOKUP($A21,[8]HISTONOV21!$A$6:$AU$39,8,0)</f>
        <v>BANQUE</v>
      </c>
      <c r="G21" s="8">
        <f>IF(O21="ECHEC",M21+(TONTAOUT21!I23*2),0)</f>
        <v>0</v>
      </c>
      <c r="H21" s="8"/>
      <c r="I21" s="8">
        <f>VLOOKUP($A21,[8]HISTONOV21!$A$6:$AU$39,36,0)</f>
        <v>0</v>
      </c>
      <c r="J21" s="8">
        <f>VLOOKUP($A21,[8]HISTONOV21!$A$6:$AU$39,39,0)</f>
        <v>0</v>
      </c>
      <c r="K21" s="8" t="str">
        <f>IF(I21&lt;&gt;0,VLOOKUP($A21,[8]HISTONOV21!$A$6:$AU$39,8,0),"ECHEC")</f>
        <v>ECHEC</v>
      </c>
      <c r="L21" s="8">
        <f>VLOOKUP($A21,[8]HISTONOV21!$A$6:$AU$39,41,0)</f>
        <v>0</v>
      </c>
      <c r="M21" s="8">
        <f>TONTOCT21!I21+TONTOCT21!J21+TONTOCT21!G21</f>
        <v>0</v>
      </c>
      <c r="N21" s="8"/>
      <c r="O21" s="8" t="str">
        <f>IF(N21&lt;&gt;0,VLOOKUP($A21,[8]HISTONOV21!$A$6:$AU$39,8,0),"ECHEC")</f>
        <v>ECHEC</v>
      </c>
      <c r="P21" s="8" t="str">
        <f>IF(S21&lt;&gt;0,VLOOKUP($A21,[8]HISTONOV21!$A$6:$AU$39,8,0),"ECHEC")</f>
        <v>ECHEC</v>
      </c>
      <c r="Q21" s="8">
        <f>VLOOKUP($A21,[8]HISTONOV21!$A$6:$AU$39,33,0)</f>
        <v>0</v>
      </c>
      <c r="R21" s="8">
        <f t="shared" si="0"/>
        <v>0</v>
      </c>
      <c r="S21" s="8">
        <f>VLOOKUP($A21,[8]HISTONOV21!$A$6:$AU$39,30,0)</f>
        <v>0</v>
      </c>
      <c r="T21" s="45">
        <f t="shared" si="1"/>
        <v>0</v>
      </c>
    </row>
    <row r="22" spans="1:25" x14ac:dyDescent="0.25">
      <c r="A22" s="1"/>
      <c r="B22" s="1"/>
      <c r="D22"/>
      <c r="F22"/>
      <c r="G22"/>
      <c r="I22" s="3"/>
      <c r="J22" s="3"/>
      <c r="L22" s="2"/>
      <c r="P22" s="2"/>
      <c r="Q22" s="2"/>
      <c r="R22"/>
      <c r="T22" s="45">
        <f t="shared" si="1"/>
        <v>0</v>
      </c>
    </row>
    <row r="23" spans="1:25" ht="18" x14ac:dyDescent="0.25">
      <c r="A23" s="1" t="s">
        <v>73</v>
      </c>
      <c r="B23" s="1"/>
      <c r="C23" s="9">
        <f>SUM(C6:C22)</f>
        <v>0</v>
      </c>
      <c r="D23"/>
      <c r="F23"/>
      <c r="G23"/>
      <c r="H23" s="32"/>
      <c r="I23" s="3"/>
      <c r="J23" s="3"/>
      <c r="L23" s="2"/>
      <c r="P23" s="2"/>
      <c r="Q23" s="2"/>
      <c r="R23"/>
      <c r="T23" s="45">
        <f t="shared" si="1"/>
        <v>0</v>
      </c>
    </row>
    <row r="24" spans="1:25" ht="18" x14ac:dyDescent="0.25">
      <c r="A24" s="1" t="s">
        <v>74</v>
      </c>
      <c r="B24" s="1"/>
      <c r="C24" s="43">
        <f>COUNT(E6:E18)</f>
        <v>0</v>
      </c>
      <c r="D24" s="9">
        <f t="shared" ref="D24:T24" si="2">SUM(D6:D23)</f>
        <v>1500000</v>
      </c>
      <c r="E24" s="9">
        <f t="shared" si="2"/>
        <v>0</v>
      </c>
      <c r="F24" s="9">
        <f t="shared" si="2"/>
        <v>0</v>
      </c>
      <c r="G24" s="9">
        <f t="shared" si="2"/>
        <v>0</v>
      </c>
      <c r="H24" s="9">
        <f t="shared" si="2"/>
        <v>0</v>
      </c>
      <c r="I24" s="9">
        <f t="shared" si="2"/>
        <v>773500</v>
      </c>
      <c r="J24" s="9">
        <f t="shared" si="2"/>
        <v>12000</v>
      </c>
      <c r="K24" s="9">
        <f t="shared" si="2"/>
        <v>0</v>
      </c>
      <c r="L24" s="9">
        <f t="shared" si="2"/>
        <v>0</v>
      </c>
      <c r="M24" s="9">
        <f t="shared" si="2"/>
        <v>438500</v>
      </c>
      <c r="N24" s="9">
        <f t="shared" si="2"/>
        <v>438500</v>
      </c>
      <c r="O24" s="9">
        <f t="shared" si="2"/>
        <v>0</v>
      </c>
      <c r="P24" s="9">
        <f t="shared" si="2"/>
        <v>0</v>
      </c>
      <c r="Q24" s="9">
        <f t="shared" si="2"/>
        <v>0</v>
      </c>
      <c r="R24" s="9">
        <f t="shared" si="2"/>
        <v>1115000</v>
      </c>
      <c r="S24" s="9">
        <f t="shared" si="2"/>
        <v>85000</v>
      </c>
      <c r="T24" s="9">
        <f t="shared" si="2"/>
        <v>10000</v>
      </c>
      <c r="V24" s="17"/>
      <c r="W24" s="17"/>
      <c r="X24" s="17"/>
      <c r="Y24" s="17"/>
    </row>
    <row r="25" spans="1:25" x14ac:dyDescent="0.25">
      <c r="A25" s="2"/>
      <c r="B25" s="2"/>
      <c r="D25"/>
      <c r="F25"/>
      <c r="G25"/>
      <c r="H25" s="32"/>
      <c r="I25" s="3"/>
      <c r="J25" s="3"/>
      <c r="L25" s="2"/>
      <c r="P25" s="2"/>
      <c r="Q25" s="2"/>
      <c r="R25" s="2"/>
      <c r="S25" s="2"/>
      <c r="U25" s="2"/>
    </row>
    <row r="26" spans="1:25" ht="43.5" x14ac:dyDescent="0.25">
      <c r="D26" s="23" t="s">
        <v>17</v>
      </c>
      <c r="E26" s="6" t="s">
        <v>22</v>
      </c>
      <c r="F26" s="6" t="s">
        <v>25</v>
      </c>
      <c r="G26" s="6" t="s">
        <v>27</v>
      </c>
      <c r="H26" s="6" t="s">
        <v>28</v>
      </c>
      <c r="I26" s="3"/>
      <c r="L26" s="9" t="s">
        <v>84</v>
      </c>
      <c r="M26" s="9">
        <f>D31+E31+S24+TONTOCT21!N31</f>
        <v>2073500</v>
      </c>
      <c r="N26" s="9"/>
      <c r="O26" s="9"/>
      <c r="Q26"/>
      <c r="R26"/>
      <c r="T26" s="21"/>
    </row>
    <row r="27" spans="1:25" ht="18" x14ac:dyDescent="0.25">
      <c r="D27" s="22"/>
      <c r="G27"/>
      <c r="H27"/>
      <c r="I27" s="3"/>
      <c r="L27" s="9" t="s">
        <v>60</v>
      </c>
      <c r="M27" s="9">
        <f>D3*COUNTIF(R6:R23,"&gt;0")</f>
        <v>1200000</v>
      </c>
      <c r="N27" s="9">
        <f>E3</f>
        <v>1</v>
      </c>
      <c r="O27" s="32"/>
      <c r="Q27"/>
      <c r="R27"/>
      <c r="T27" s="17"/>
    </row>
    <row r="28" spans="1:25" ht="18" x14ac:dyDescent="0.25">
      <c r="C28" s="9" t="s">
        <v>14</v>
      </c>
      <c r="D28" s="21">
        <f>SUMIFS(D6:D22,F6:F22,"ESPECES")</f>
        <v>0</v>
      </c>
      <c r="E28" s="9">
        <f>SUMIFS(M2:M19,O2:O19,"ESPECES")+SUMIFS(G2:G19,H2:H19,"ESPECES")</f>
        <v>0</v>
      </c>
      <c r="F28" s="9">
        <f>SUMIFS(I6:I22,K6:K22,"ESPECES")</f>
        <v>0</v>
      </c>
      <c r="G28" s="9">
        <f>SUMIFS(R6:R22,P6:P22,"ESPECES")</f>
        <v>0</v>
      </c>
      <c r="H28" s="9">
        <f>D28+E28-F28-G28</f>
        <v>0</v>
      </c>
      <c r="I28" s="3"/>
      <c r="L28" s="2"/>
      <c r="O28" s="9"/>
      <c r="P28" s="9"/>
      <c r="Q28"/>
      <c r="R28"/>
      <c r="T28" s="17"/>
    </row>
    <row r="29" spans="1:25" ht="18" x14ac:dyDescent="0.25">
      <c r="C29" s="9" t="s">
        <v>9</v>
      </c>
      <c r="D29" s="21">
        <f>SUMIFS(D6:D22,F6:F22,"BANQUE")</f>
        <v>1500000</v>
      </c>
      <c r="E29" s="9">
        <f>SUMIFS(N3:N20,O3:O20,"BANQUE")+SUMIFS(G3:G20,H3:H20,"BANQUE")</f>
        <v>438500</v>
      </c>
      <c r="F29" s="9">
        <f>SUMIFS(I6:I22,K6:K22,"BANQUE")</f>
        <v>773500</v>
      </c>
      <c r="G29" s="9">
        <f>SUMIFS(R6:R22,P6:P22,"BANQUE")</f>
        <v>1115000</v>
      </c>
      <c r="H29" s="9">
        <f>D29+E29-F29-G29</f>
        <v>50000</v>
      </c>
      <c r="I29" s="3"/>
      <c r="L29" s="9" t="s">
        <v>33</v>
      </c>
      <c r="M29" s="9">
        <f>M26-M27</f>
        <v>873500</v>
      </c>
      <c r="N29" s="9"/>
      <c r="P29" s="9"/>
      <c r="Q29"/>
      <c r="R29"/>
      <c r="T29" s="17"/>
    </row>
    <row r="30" spans="1:25" ht="18" x14ac:dyDescent="0.25">
      <c r="C30" s="9"/>
      <c r="D30" s="21"/>
      <c r="F30"/>
      <c r="G30" s="9"/>
      <c r="H30" s="9"/>
      <c r="I30" s="3"/>
      <c r="L30" s="2"/>
      <c r="P30" s="9"/>
      <c r="Q30"/>
      <c r="R30"/>
    </row>
    <row r="31" spans="1:25" ht="18" x14ac:dyDescent="0.25">
      <c r="C31" s="9" t="s">
        <v>13</v>
      </c>
      <c r="D31" s="21">
        <f>D28+D29</f>
        <v>1500000</v>
      </c>
      <c r="E31" s="21">
        <f>E28+E29</f>
        <v>438500</v>
      </c>
      <c r="F31" s="21">
        <f t="shared" ref="F31" si="3">F28+F29</f>
        <v>773500</v>
      </c>
      <c r="G31" s="21">
        <f>G28+G29</f>
        <v>1115000</v>
      </c>
      <c r="H31" s="21">
        <f>H28+H29</f>
        <v>50000</v>
      </c>
      <c r="I31" s="3"/>
      <c r="L31" s="9" t="s">
        <v>56</v>
      </c>
      <c r="M31" s="9">
        <f>M29-I24</f>
        <v>100000</v>
      </c>
      <c r="N31" s="9">
        <f>M31</f>
        <v>100000</v>
      </c>
      <c r="O31" s="9" t="s">
        <v>57</v>
      </c>
      <c r="Q31"/>
      <c r="R31"/>
    </row>
    <row r="32" spans="1:25" ht="18" x14ac:dyDescent="0.25">
      <c r="C32" s="9"/>
      <c r="D32" s="21"/>
      <c r="E32" s="9"/>
      <c r="G32"/>
      <c r="H32"/>
      <c r="I32" s="3"/>
      <c r="L32" s="2"/>
      <c r="N32" s="3"/>
      <c r="Q32"/>
      <c r="R32"/>
    </row>
    <row r="33" spans="3:18" ht="18" x14ac:dyDescent="0.25">
      <c r="C33" s="9"/>
      <c r="D33" s="21"/>
      <c r="E33" s="9"/>
      <c r="G33"/>
      <c r="H33"/>
      <c r="I33" s="3"/>
      <c r="L33" s="9" t="s">
        <v>52</v>
      </c>
      <c r="M33" s="9">
        <f>COUNTIFS(F6:F22,"ECHEC")*75000</f>
        <v>0</v>
      </c>
      <c r="N33" s="9">
        <f>M33+TONTOCT21!N33</f>
        <v>0</v>
      </c>
      <c r="O33" s="9" t="s">
        <v>57</v>
      </c>
      <c r="Q33"/>
      <c r="R33"/>
    </row>
    <row r="34" spans="3:18" ht="18" x14ac:dyDescent="0.25">
      <c r="C34" s="9" t="s">
        <v>6</v>
      </c>
      <c r="D34" s="21">
        <v>1200000</v>
      </c>
      <c r="G34"/>
      <c r="H34" s="9"/>
      <c r="I34" s="9"/>
      <c r="L34" s="9" t="s">
        <v>53</v>
      </c>
      <c r="M34" s="21">
        <f>SUMIFS(G3:G20,H3:H20,"ECHEC")</f>
        <v>0</v>
      </c>
      <c r="N34" s="9">
        <f>M34+TONTOCT21!N34</f>
        <v>0</v>
      </c>
      <c r="O34" s="9" t="s">
        <v>57</v>
      </c>
      <c r="Q34"/>
      <c r="R34"/>
    </row>
    <row r="35" spans="3:18" ht="18" x14ac:dyDescent="0.25">
      <c r="C35" s="9"/>
      <c r="D35" s="21"/>
      <c r="J35" s="9"/>
      <c r="K35" s="9"/>
      <c r="L35"/>
      <c r="M35" s="3"/>
      <c r="N35" s="3"/>
      <c r="Q35"/>
      <c r="R35"/>
    </row>
    <row r="36" spans="3:18" x14ac:dyDescent="0.25">
      <c r="D36"/>
      <c r="F36"/>
      <c r="G36"/>
      <c r="I36" s="3"/>
      <c r="J36" s="3"/>
      <c r="L36" s="2"/>
      <c r="P36" s="2"/>
      <c r="Q36" s="2"/>
      <c r="R36"/>
    </row>
    <row r="37" spans="3:18" ht="18" x14ac:dyDescent="0.25">
      <c r="D37"/>
      <c r="F37"/>
      <c r="G37"/>
      <c r="I37" s="3"/>
      <c r="J37" s="3"/>
      <c r="L37" s="2"/>
      <c r="M37" s="9"/>
      <c r="O37" s="9"/>
      <c r="P37" s="9"/>
      <c r="Q37" s="2"/>
      <c r="R37"/>
    </row>
    <row r="38" spans="3:18" ht="18" x14ac:dyDescent="0.25">
      <c r="D38"/>
      <c r="F38"/>
      <c r="G38"/>
      <c r="I38" s="3"/>
      <c r="J38" s="3"/>
      <c r="L38" s="2"/>
      <c r="M38" s="9"/>
      <c r="N38" s="9"/>
      <c r="O38" s="9"/>
      <c r="P38" s="9"/>
      <c r="Q38" s="9"/>
      <c r="R38"/>
    </row>
    <row r="39" spans="3:18" ht="18" x14ac:dyDescent="0.25">
      <c r="D39" s="22"/>
      <c r="L39"/>
      <c r="M39" s="9"/>
      <c r="N39" s="3"/>
      <c r="O39" s="9"/>
      <c r="Q39"/>
      <c r="R39"/>
    </row>
    <row r="40" spans="3:18" ht="18" x14ac:dyDescent="0.25">
      <c r="D40" s="22"/>
      <c r="L40"/>
      <c r="M40" s="9"/>
      <c r="N40" s="3"/>
      <c r="O40" s="9"/>
      <c r="Q40"/>
      <c r="R40"/>
    </row>
    <row r="41" spans="3:18" ht="18" x14ac:dyDescent="0.25">
      <c r="C41" s="9"/>
      <c r="D41" s="9"/>
      <c r="E41" s="9"/>
    </row>
    <row r="42" spans="3:18" ht="18" x14ac:dyDescent="0.25">
      <c r="C42" s="9"/>
      <c r="D42" s="9"/>
      <c r="E42" s="9"/>
      <c r="M42" s="9"/>
      <c r="O42" s="11"/>
    </row>
    <row r="43" spans="3:18" ht="18" x14ac:dyDescent="0.25">
      <c r="C43" s="9"/>
      <c r="D43" s="9"/>
    </row>
    <row r="44" spans="3:18" ht="18" x14ac:dyDescent="0.25">
      <c r="C44" s="9"/>
      <c r="D44" s="9"/>
      <c r="M44" s="9"/>
      <c r="O44" s="41"/>
    </row>
    <row r="45" spans="3:18" ht="18" x14ac:dyDescent="0.25">
      <c r="M45" s="9"/>
      <c r="O45" s="41"/>
    </row>
    <row r="46" spans="3:18" ht="18" x14ac:dyDescent="0.25">
      <c r="C46" s="6"/>
      <c r="D46" s="9"/>
    </row>
  </sheetData>
  <autoFilter ref="A5:S20">
    <sortState ref="A6:Q32">
      <sortCondition ref="C6:C32"/>
    </sortState>
  </autoFilter>
  <mergeCells count="1">
    <mergeCell ref="D4:M4"/>
  </mergeCells>
  <dataValidations disablePrompts="1" count="1">
    <dataValidation type="list" allowBlank="1" showInputMessage="1" showErrorMessage="1" sqref="H6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47"/>
  <sheetViews>
    <sheetView zoomScaleNormal="100" workbookViewId="0">
      <pane xSplit="3" ySplit="5" topLeftCell="J27" activePane="bottomRight" state="frozen"/>
      <selection activeCell="E36" sqref="E36"/>
      <selection pane="topRight" activeCell="E36" sqref="E36"/>
      <selection pane="bottomLeft" activeCell="E36" sqref="E36"/>
      <selection pane="bottomRight" activeCell="I14" sqref="I14"/>
    </sheetView>
  </sheetViews>
  <sheetFormatPr baseColWidth="10" defaultColWidth="11" defaultRowHeight="15" x14ac:dyDescent="0.25"/>
  <cols>
    <col min="1" max="2" width="13.85546875" customWidth="1"/>
    <col min="3" max="3" width="29.5703125" bestFit="1" customWidth="1"/>
    <col min="4" max="4" width="17" style="2" customWidth="1"/>
    <col min="5" max="5" width="12.5703125" bestFit="1" customWidth="1"/>
    <col min="6" max="6" width="17.5703125" style="3" bestFit="1" customWidth="1"/>
    <col min="7" max="8" width="17.5703125" style="3" customWidth="1"/>
    <col min="9" max="9" width="18.28515625" customWidth="1"/>
    <col min="10" max="10" width="16.7109375" customWidth="1"/>
    <col min="11" max="12" width="17.5703125" style="3" bestFit="1" customWidth="1"/>
    <col min="13" max="14" width="17.42578125" customWidth="1"/>
    <col min="15" max="15" width="17.5703125" style="3" bestFit="1" customWidth="1"/>
    <col min="16" max="16" width="17.5703125" style="3" customWidth="1"/>
    <col min="17" max="17" width="15.42578125" style="3" customWidth="1"/>
    <col min="18" max="18" width="17.5703125" style="3" customWidth="1"/>
    <col min="19" max="19" width="19" bestFit="1" customWidth="1"/>
    <col min="20" max="20" width="12.42578125" bestFit="1" customWidth="1"/>
  </cols>
  <sheetData>
    <row r="1" spans="1:21" x14ac:dyDescent="0.25">
      <c r="A1" s="1" t="s">
        <v>0</v>
      </c>
      <c r="B1" s="1"/>
      <c r="C1" s="1" t="s">
        <v>1</v>
      </c>
      <c r="D1"/>
      <c r="E1" s="1"/>
      <c r="F1" s="1"/>
      <c r="G1"/>
      <c r="I1" s="3"/>
      <c r="J1" s="3"/>
      <c r="L1" s="2"/>
      <c r="M1" s="1"/>
      <c r="N1" s="1"/>
      <c r="P1" s="2"/>
      <c r="Q1" s="2"/>
      <c r="R1"/>
    </row>
    <row r="2" spans="1:21" x14ac:dyDescent="0.25">
      <c r="A2" s="1" t="s">
        <v>2</v>
      </c>
      <c r="B2" s="1"/>
      <c r="C2" s="1">
        <v>2021</v>
      </c>
      <c r="D2" s="1" t="s">
        <v>58</v>
      </c>
      <c r="E2" s="1" t="s">
        <v>61</v>
      </c>
      <c r="F2" s="1"/>
      <c r="G2"/>
      <c r="I2" s="3"/>
      <c r="J2" s="3"/>
      <c r="L2" s="2"/>
      <c r="M2" s="1"/>
      <c r="N2" s="1"/>
      <c r="P2" s="2"/>
      <c r="Q2" s="2"/>
      <c r="R2"/>
    </row>
    <row r="3" spans="1:21" x14ac:dyDescent="0.25">
      <c r="A3" s="1" t="s">
        <v>59</v>
      </c>
      <c r="B3" s="1"/>
      <c r="C3" s="4">
        <v>75000</v>
      </c>
      <c r="D3" s="4">
        <f>C3*16</f>
        <v>1200000</v>
      </c>
      <c r="E3" s="1">
        <f>ROUNDDOWN(M26/D3,0)</f>
        <v>2</v>
      </c>
      <c r="F3" s="1"/>
      <c r="G3"/>
      <c r="I3" s="3"/>
      <c r="J3" s="3"/>
      <c r="L3" s="2"/>
      <c r="M3" s="1"/>
      <c r="N3" s="1"/>
      <c r="P3" s="2"/>
      <c r="Q3" s="2"/>
      <c r="R3"/>
    </row>
    <row r="4" spans="1:21" s="37" customFormat="1" ht="18" x14ac:dyDescent="0.25">
      <c r="C4" s="38"/>
      <c r="D4" s="54">
        <v>44551</v>
      </c>
      <c r="E4" s="55"/>
      <c r="F4" s="55"/>
      <c r="G4" s="55"/>
      <c r="H4" s="55"/>
      <c r="I4" s="55"/>
      <c r="J4" s="55"/>
      <c r="K4" s="55"/>
      <c r="L4" s="55"/>
      <c r="M4" s="55"/>
      <c r="O4" s="39"/>
      <c r="P4" s="39"/>
      <c r="Q4" s="39"/>
      <c r="R4" s="39"/>
      <c r="T4"/>
    </row>
    <row r="5" spans="1:21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1" t="s">
        <v>7</v>
      </c>
      <c r="F5" s="6" t="s">
        <v>20</v>
      </c>
      <c r="G5" s="6" t="s">
        <v>54</v>
      </c>
      <c r="H5" s="6" t="s">
        <v>26</v>
      </c>
      <c r="I5" s="6" t="s">
        <v>25</v>
      </c>
      <c r="J5" s="6" t="s">
        <v>18</v>
      </c>
      <c r="K5" s="18" t="s">
        <v>26</v>
      </c>
      <c r="L5" s="18" t="s">
        <v>34</v>
      </c>
      <c r="M5" s="18" t="s">
        <v>47</v>
      </c>
      <c r="N5" s="18" t="s">
        <v>45</v>
      </c>
      <c r="O5" s="18" t="s">
        <v>19</v>
      </c>
      <c r="P5" s="6" t="s">
        <v>21</v>
      </c>
      <c r="Q5" s="18" t="s">
        <v>34</v>
      </c>
      <c r="R5" s="6" t="s">
        <v>23</v>
      </c>
      <c r="S5" s="4" t="s">
        <v>24</v>
      </c>
      <c r="T5" s="6" t="s">
        <v>85</v>
      </c>
    </row>
    <row r="6" spans="1:21" s="17" customFormat="1" x14ac:dyDescent="0.25">
      <c r="A6" s="1" t="s">
        <v>36</v>
      </c>
      <c r="B6" s="1"/>
      <c r="C6" s="1" t="str">
        <f>VLOOKUP(A6,[6]LISTADHERENT!A$5:H$60,3,0)</f>
        <v>BOUTCHOUANG WILLIAM</v>
      </c>
      <c r="D6" s="8">
        <f>IF(F6="ECHEC",0,VLOOKUP($A6,[8]HISTODEC21!$A$6:$AU$39,13,0))</f>
        <v>75000</v>
      </c>
      <c r="E6" s="8"/>
      <c r="F6" s="8" t="str">
        <f>VLOOKUP($A6,[8]HISTODEC21!$A$6:$AU$39,8,0)</f>
        <v>BANQUE</v>
      </c>
      <c r="G6" s="8">
        <f>IF(O6="ECHEC",M6+(TONTAOUT21!I6*2),0)</f>
        <v>0</v>
      </c>
      <c r="H6" s="7"/>
      <c r="I6" s="8">
        <f>VLOOKUP($A6,[8]HISTODEC21!$A$6:$AU$39,36,0)</f>
        <v>0</v>
      </c>
      <c r="J6" s="8">
        <f>VLOOKUP($A6,[8]HISTODEC21!$A$6:$AU$39,39,0)</f>
        <v>0</v>
      </c>
      <c r="K6" s="8" t="str">
        <f>IF(I6&lt;&gt;0,VLOOKUP($A6,[8]HISTODEC21!$A$6:$AU$39,8,0),"ECHEC")</f>
        <v>ECHEC</v>
      </c>
      <c r="L6" s="8">
        <f>VLOOKUP($A6,[8]HISTODEC21!$A$6:$AU$39,41,0)</f>
        <v>0</v>
      </c>
      <c r="M6" s="8">
        <f>TONTNOV21!I6+TONTNOV21!J6+TONTNOV21!G6</f>
        <v>0</v>
      </c>
      <c r="N6" s="8">
        <f>VLOOKUP(A6,[8]HISTODEC21!$A$6:$AZ$37,17,0)</f>
        <v>0</v>
      </c>
      <c r="O6" s="8" t="str">
        <f>IF(M6&lt;&gt;0,VLOOKUP($A6,[8]HISTODEC21!$A$6:$AU$39,8,0),"ECHEC")</f>
        <v>ECHEC</v>
      </c>
      <c r="P6" s="8" t="str">
        <f>IF(S6&lt;&gt;0,VLOOKUP($A6,[8]HISTODEC21!$A$6:$AU$39,8,0),"ECHEC")</f>
        <v>ECHEC</v>
      </c>
      <c r="Q6" s="8">
        <f>VLOOKUP($A6,[8]HISTODEC21!$A$6:$AU$39,33,0)</f>
        <v>0</v>
      </c>
      <c r="R6" s="8">
        <f t="shared" ref="R6:R21" si="0">IF(S6=0,0,($D$34-S6))</f>
        <v>0</v>
      </c>
      <c r="S6" s="8">
        <f>VLOOKUP($A6,[8]HISTODEC21!$A$6:$AU$39,30,0)</f>
        <v>0</v>
      </c>
      <c r="T6" s="45">
        <f>IF(S6=0,0,(S6-75000))</f>
        <v>0</v>
      </c>
      <c r="U6">
        <v>2</v>
      </c>
    </row>
    <row r="7" spans="1:21" s="17" customFormat="1" x14ac:dyDescent="0.25">
      <c r="A7" s="1" t="s">
        <v>37</v>
      </c>
      <c r="B7" s="1"/>
      <c r="C7" s="1" t="str">
        <f>VLOOKUP(A7,[6]LISTADHERENT!A$5:H$60,3,0)</f>
        <v xml:space="preserve">DJOMO JEAN PAUL </v>
      </c>
      <c r="D7" s="8">
        <f>IF(F7="ECHEC",0,VLOOKUP($A7,[8]HISTODEC21!$A$6:$AU$39,13,0))</f>
        <v>75000</v>
      </c>
      <c r="E7" s="8"/>
      <c r="F7" s="8" t="str">
        <f>VLOOKUP($A7,[8]HISTODEC21!$A$6:$AU$39,8,0)</f>
        <v>BANQUE</v>
      </c>
      <c r="G7" s="8">
        <f>IF(O7="ECHEC",M7+(TONTAOUT21!I8*2),0)</f>
        <v>0</v>
      </c>
      <c r="H7" s="8"/>
      <c r="I7" s="8">
        <f>VLOOKUP($A7,[8]HISTODEC21!$A$6:$AU$39,36,0)</f>
        <v>0</v>
      </c>
      <c r="J7" s="8">
        <f>VLOOKUP($A7,[8]HISTODEC21!$A$6:$AU$39,39,0)</f>
        <v>0</v>
      </c>
      <c r="K7" s="8" t="str">
        <f>IF(I7&lt;&gt;0,VLOOKUP($A7,[8]HISTODEC21!$A$6:$AU$39,8,0),"ECHEC")</f>
        <v>ECHEC</v>
      </c>
      <c r="L7" s="8">
        <f>VLOOKUP($A7,[8]HISTODEC21!$A$6:$AU$39,41,0)</f>
        <v>0</v>
      </c>
      <c r="M7" s="8">
        <f>TONTNOV21!I7+TONTNOV21!J7+TONTNOV21!G7</f>
        <v>102000</v>
      </c>
      <c r="N7" s="8">
        <f>VLOOKUP(A7,[8]HISTODEC21!$A$6:$AZ$37,17,0)</f>
        <v>102000</v>
      </c>
      <c r="O7" s="8" t="str">
        <f>IF(N7&lt;&gt;0,VLOOKUP($A7,[8]HISTODEC21!$A$6:$AU$39,8,0),"ECHEC")</f>
        <v>BANQUE</v>
      </c>
      <c r="P7" s="8" t="str">
        <f>IF(S7&lt;&gt;0,VLOOKUP($A7,[8]HISTODEC21!$A$6:$AU$39,8,0),"ECHEC")</f>
        <v>ECHEC</v>
      </c>
      <c r="Q7" s="8">
        <f>VLOOKUP($A7,[8]HISTODEC21!$A$6:$AU$39,33,0)</f>
        <v>0</v>
      </c>
      <c r="R7" s="8">
        <f t="shared" si="0"/>
        <v>0</v>
      </c>
      <c r="S7" s="8">
        <f>VLOOKUP($A7,[8]HISTODEC21!$A$6:$AU$39,30,0)</f>
        <v>0</v>
      </c>
      <c r="T7" s="45">
        <f t="shared" ref="T7:T23" si="1">IF(S7=0,0,(S7-75000))</f>
        <v>0</v>
      </c>
      <c r="U7"/>
    </row>
    <row r="8" spans="1:21" s="13" customFormat="1" x14ac:dyDescent="0.25">
      <c r="A8" s="1" t="s">
        <v>38</v>
      </c>
      <c r="B8" s="1"/>
      <c r="C8" s="1" t="str">
        <f>VLOOKUP(A8,[6]LISTADHERENT!A$5:H$60,3,0)</f>
        <v>DJOUKWE NANGUEN GUY BLAISE</v>
      </c>
      <c r="D8" s="8">
        <f>IF(F8="ECHEC",0,VLOOKUP($A8,[8]HISTODEC21!$A$6:$AU$39,13,0))</f>
        <v>75000</v>
      </c>
      <c r="E8" s="8"/>
      <c r="F8" s="8" t="str">
        <f>VLOOKUP($A8,[8]HISTODEC21!$A$6:$AU$39,8,0)</f>
        <v>BANQUE</v>
      </c>
      <c r="G8" s="8">
        <f>IF(O8="ECHEC",M8+(TONTAOUT21!I9*2),0)</f>
        <v>0</v>
      </c>
      <c r="H8" s="8"/>
      <c r="I8" s="8">
        <f>VLOOKUP($A8,[8]HISTODEC21!$A$6:$AU$39,36,0)</f>
        <v>0</v>
      </c>
      <c r="J8" s="8">
        <f>VLOOKUP($A8,[8]HISTODEC21!$A$6:$AU$39,39,0)</f>
        <v>0</v>
      </c>
      <c r="K8" s="8" t="str">
        <f>IF(I8&lt;&gt;0,VLOOKUP($A8,[8]HISTODEC21!$A$6:$AU$39,8,0),"ECHEC")</f>
        <v>ECHEC</v>
      </c>
      <c r="L8" s="8">
        <f>VLOOKUP($A8,[8]HISTODEC21!$A$6:$AU$39,41,0)</f>
        <v>0</v>
      </c>
      <c r="M8" s="8">
        <f>TONTNOV21!I8+TONTNOV21!J8+TONTNOV21!G8</f>
        <v>102000</v>
      </c>
      <c r="N8" s="8">
        <f>VLOOKUP(A8,[8]HISTODEC21!$A$6:$AZ$37,17,0)</f>
        <v>102000</v>
      </c>
      <c r="O8" s="8" t="str">
        <f>IF(N8&lt;&gt;0,VLOOKUP($A8,[8]HISTODEC21!$A$6:$AU$39,8,0),"ECHEC")</f>
        <v>BANQUE</v>
      </c>
      <c r="P8" s="8" t="str">
        <f>IF(S8&lt;&gt;0,VLOOKUP($A8,[8]HISTODEC21!$A$6:$AU$39,8,0),"ECHEC")</f>
        <v>BANQUE</v>
      </c>
      <c r="Q8" s="8">
        <f>VLOOKUP($A8,[8]HISTODEC21!$A$6:$AU$39,33,0)</f>
        <v>0</v>
      </c>
      <c r="R8" s="8">
        <f t="shared" si="0"/>
        <v>1080000</v>
      </c>
      <c r="S8" s="8">
        <f>VLOOKUP($A8,[8]HISTODEC21!$A$6:$AU$39,30,0)</f>
        <v>120000</v>
      </c>
      <c r="T8" s="45">
        <f t="shared" si="1"/>
        <v>45000</v>
      </c>
      <c r="U8"/>
    </row>
    <row r="9" spans="1:21" s="13" customFormat="1" x14ac:dyDescent="0.25">
      <c r="A9" s="1" t="s">
        <v>70</v>
      </c>
      <c r="B9" s="1"/>
      <c r="C9" s="1" t="str">
        <f>VLOOKUP(A9,[6]LISTADHERENT!A$5:H$60,3,0)</f>
        <v>DJUOMBESSY ANTOINE</v>
      </c>
      <c r="D9" s="8">
        <f>IF(F9="ECHEC",0,VLOOKUP($A9,[8]HISTODEC21!$A$6:$AU$39,13,0))</f>
        <v>75000</v>
      </c>
      <c r="E9" s="8"/>
      <c r="F9" s="8" t="str">
        <f>VLOOKUP($A9,[8]HISTODEC21!$A$6:$AU$39,8,0)</f>
        <v>BANQUE</v>
      </c>
      <c r="G9" s="8">
        <f>IF(O9="ECHEC",M9+(TONTAOUT21!I10*2),0)</f>
        <v>0</v>
      </c>
      <c r="H9" s="8"/>
      <c r="I9" s="8">
        <f>VLOOKUP($A9,[8]HISTODEC21!$A$6:$AU$39,36,0)</f>
        <v>0</v>
      </c>
      <c r="J9" s="8">
        <f>VLOOKUP($A9,[8]HISTODEC21!$A$6:$AU$39,39,0)</f>
        <v>0</v>
      </c>
      <c r="K9" s="8" t="str">
        <f>IF(I9&lt;&gt;0,VLOOKUP($A9,[8]HISTODEC21!$A$6:$AU$39,8,0),"ECHEC")</f>
        <v>ECHEC</v>
      </c>
      <c r="L9" s="8">
        <f>VLOOKUP($A9,[8]HISTODEC21!$A$6:$AU$39,41,0)</f>
        <v>0</v>
      </c>
      <c r="M9" s="8">
        <f>TONTNOV21!I9+TONTNOV21!J9+TONTNOV21!G9</f>
        <v>0</v>
      </c>
      <c r="N9" s="8">
        <f>VLOOKUP(A9,[8]HISTODEC21!$A$6:$AZ$37,17,0)</f>
        <v>0</v>
      </c>
      <c r="O9" s="8" t="str">
        <f>IF(N9&lt;&gt;0,VLOOKUP($A9,[8]HISTODEC21!$A$6:$AU$39,8,0),"ECHEC")</f>
        <v>ECHEC</v>
      </c>
      <c r="P9" s="8" t="str">
        <f>IF(S9&lt;&gt;0,VLOOKUP($A9,[8]HISTODEC21!$A$6:$AU$39,8,0),"ECHEC")</f>
        <v>ECHEC</v>
      </c>
      <c r="Q9" s="8">
        <f>VLOOKUP($A9,[8]HISTODEC21!$A$6:$AU$39,33,0)</f>
        <v>0</v>
      </c>
      <c r="R9" s="8">
        <f t="shared" si="0"/>
        <v>0</v>
      </c>
      <c r="S9" s="8">
        <f>VLOOKUP($A9,[8]HISTODEC21!$A$6:$AU$39,30,0)</f>
        <v>0</v>
      </c>
      <c r="T9" s="45">
        <f t="shared" si="1"/>
        <v>0</v>
      </c>
      <c r="U9"/>
    </row>
    <row r="10" spans="1:21" x14ac:dyDescent="0.25">
      <c r="A10" s="1" t="s">
        <v>29</v>
      </c>
      <c r="B10" s="1"/>
      <c r="C10" s="1" t="str">
        <f>VLOOKUP(A10,[6]LISTADHERENT!A$5:H$60,3,0)</f>
        <v>HOTCHO BENJAMIN</v>
      </c>
      <c r="D10" s="8">
        <f>IF(F10="ECHEC",0,VLOOKUP($A10,[8]HISTODEC21!$A$6:$AU$39,13,0))</f>
        <v>75000</v>
      </c>
      <c r="E10" s="8"/>
      <c r="F10" s="8" t="str">
        <f>VLOOKUP($A10,[8]HISTODEC21!$A$6:$AU$39,8,0)</f>
        <v>BANQUE</v>
      </c>
      <c r="G10" s="8">
        <f>IF(O10="ECHEC",M10+(TONTAOUT21!I10*2),0)</f>
        <v>0</v>
      </c>
      <c r="H10" s="8"/>
      <c r="I10" s="8">
        <f>VLOOKUP($A10,[8]HISTODEC21!$A$6:$AU$39,36,0)</f>
        <v>0</v>
      </c>
      <c r="J10" s="8">
        <f>VLOOKUP($A10,[8]HISTODEC21!$A$6:$AU$39,39,0)</f>
        <v>0</v>
      </c>
      <c r="K10" s="8" t="str">
        <f>IF(I10&lt;&gt;0,VLOOKUP($A10,[8]HISTODEC21!$A$6:$AU$39,8,0),"ECHEC")</f>
        <v>ECHEC</v>
      </c>
      <c r="L10" s="8">
        <f>VLOOKUP($A10,[8]HISTODEC21!$A$6:$AU$39,41,0)</f>
        <v>0</v>
      </c>
      <c r="M10" s="8">
        <f>TONTNOV21!I10+TONTNOV21!J10+TONTNOV21!G10</f>
        <v>0</v>
      </c>
      <c r="N10" s="8">
        <f>VLOOKUP(A10,[8]HISTODEC21!$A$6:$AZ$37,17,0)</f>
        <v>0</v>
      </c>
      <c r="O10" s="8" t="str">
        <f>IF(N10&lt;&gt;0,VLOOKUP($A10,[8]HISTODEC21!$A$6:$AU$39,8,0),"ECHEC")</f>
        <v>ECHEC</v>
      </c>
      <c r="P10" s="8" t="str">
        <f>IF(S10&lt;&gt;0,VLOOKUP($A10,[8]HISTODEC21!$A$6:$AU$39,8,0),"ECHEC")</f>
        <v>ECHEC</v>
      </c>
      <c r="Q10" s="8">
        <f>VLOOKUP($A10,[8]HISTODEC21!$A$6:$AU$39,33,0)</f>
        <v>0</v>
      </c>
      <c r="R10" s="8">
        <f t="shared" si="0"/>
        <v>0</v>
      </c>
      <c r="S10" s="8">
        <f>VLOOKUP($A10,[8]HISTODEC21!$A$6:$AU$39,30,0)</f>
        <v>0</v>
      </c>
      <c r="T10" s="45">
        <f t="shared" si="1"/>
        <v>0</v>
      </c>
    </row>
    <row r="11" spans="1:21" x14ac:dyDescent="0.25">
      <c r="A11" s="1" t="s">
        <v>40</v>
      </c>
      <c r="B11" s="1"/>
      <c r="C11" s="1" t="str">
        <f>VLOOKUP(A11,[6]LISTADHERENT!A$5:H$60,3,0)</f>
        <v>HENGUE PAUL OMER</v>
      </c>
      <c r="D11" s="8">
        <f>IF(F11="ECHEC",0,VLOOKUP($A11,[8]HISTODEC21!$A$6:$AU$39,13,0))</f>
        <v>75000</v>
      </c>
      <c r="E11" s="8"/>
      <c r="F11" s="8" t="str">
        <f>VLOOKUP($A11,[8]HISTODEC21!$A$6:$AU$39,8,0)</f>
        <v>BANQUE</v>
      </c>
      <c r="G11" s="8">
        <f>IF(O11="ECHEC",M11+(TONTAOUT21!I11*2),0)</f>
        <v>0</v>
      </c>
      <c r="H11" s="8"/>
      <c r="I11" s="8">
        <f>VLOOKUP($A11,[8]HISTODEC21!$A$6:$AU$39,36,0)</f>
        <v>0</v>
      </c>
      <c r="J11" s="8">
        <f>VLOOKUP($A11,[8]HISTODEC21!$A$6:$AU$39,39,0)</f>
        <v>0</v>
      </c>
      <c r="K11" s="8" t="str">
        <f>IF(I11&lt;&gt;0,VLOOKUP($A11,[8]HISTODEC21!$A$6:$AU$39,8,0),"ECHEC")</f>
        <v>ECHEC</v>
      </c>
      <c r="L11" s="8">
        <f>VLOOKUP($A11,[8]HISTODEC21!$A$6:$AU$39,41,0)</f>
        <v>0</v>
      </c>
      <c r="M11" s="8">
        <f>TONTNOV21!I11+TONTNOV21!J11+TONTNOV21!G11</f>
        <v>0</v>
      </c>
      <c r="N11" s="8">
        <f>VLOOKUP(A11,[8]HISTODEC21!$A$6:$AZ$37,17,0)</f>
        <v>0</v>
      </c>
      <c r="O11" s="8" t="str">
        <f>IF(N11&lt;&gt;0,VLOOKUP($A11,[8]HISTODEC21!$A$6:$AU$39,8,0),"ECHEC")</f>
        <v>ECHEC</v>
      </c>
      <c r="P11" s="8" t="str">
        <f>IF(S11&lt;&gt;0,VLOOKUP($A11,[8]HISTODEC21!$A$6:$AU$39,8,0),"ECHEC")</f>
        <v>ECHEC</v>
      </c>
      <c r="Q11" s="8">
        <f>VLOOKUP($A11,[8]HISTODEC21!$A$6:$AU$39,33,0)</f>
        <v>0</v>
      </c>
      <c r="R11" s="8">
        <f t="shared" si="0"/>
        <v>0</v>
      </c>
      <c r="S11" s="8">
        <f>VLOOKUP($A11,[8]HISTODEC21!$A$6:$AU$39,30,0)</f>
        <v>0</v>
      </c>
      <c r="T11" s="45">
        <f t="shared" si="1"/>
        <v>0</v>
      </c>
    </row>
    <row r="12" spans="1:21" x14ac:dyDescent="0.25">
      <c r="A12" s="1" t="s">
        <v>10</v>
      </c>
      <c r="B12" s="1"/>
      <c r="C12" s="1" t="str">
        <f>VLOOKUP(A12,[6]LISTADHERENT!A$5:H$60,3,0)</f>
        <v>KOUATCHO MESSACK</v>
      </c>
      <c r="D12" s="8">
        <f>IF(F12="ECHEC",0,VLOOKUP($A12,[8]HISTODEC21!$A$6:$AU$39,13,0))</f>
        <v>75000</v>
      </c>
      <c r="E12" s="8"/>
      <c r="F12" s="8" t="str">
        <f>VLOOKUP($A12,[8]HISTODEC21!$A$6:$AU$39,8,0)</f>
        <v>BANQUE</v>
      </c>
      <c r="G12" s="8">
        <f>IF(O12="ECHEC",M12+(TONTAOUT21!I12*2),0)</f>
        <v>0</v>
      </c>
      <c r="H12" s="8"/>
      <c r="I12" s="8">
        <f>VLOOKUP($A12,[8]HISTODEC21!$A$6:$AU$39,36,0)+202000</f>
        <v>202000</v>
      </c>
      <c r="J12" s="8">
        <f>VLOOKUP($A12,[8]HISTODEC21!$A$6:$AU$39,39,0)+4000</f>
        <v>4000</v>
      </c>
      <c r="K12" s="8" t="str">
        <f>IF(I12&lt;&gt;0,VLOOKUP($A12,[8]HISTODEC21!$A$6:$AU$39,8,0),"ECHEC")</f>
        <v>BANQUE</v>
      </c>
      <c r="L12" s="8">
        <f>VLOOKUP($A12,[8]HISTODEC21!$A$6:$AU$39,41,0)</f>
        <v>0</v>
      </c>
      <c r="M12" s="8">
        <f>TONTNOV21!I12+TONTNOV21!J12+TONTNOV21!G12</f>
        <v>202000</v>
      </c>
      <c r="N12" s="12">
        <f>VLOOKUP(A12,[8]HISTODEC21!$A$6:$AZ$37,17,0)+202000</f>
        <v>404000</v>
      </c>
      <c r="O12" s="8" t="str">
        <f>IF(N12&lt;&gt;0,VLOOKUP($A12,[8]HISTODEC21!$A$6:$AU$39,8,0),"ECHEC")</f>
        <v>BANQUE</v>
      </c>
      <c r="P12" s="8" t="str">
        <f>IF(S12&lt;&gt;0,VLOOKUP($A12,[8]HISTODEC21!$A$6:$AU$39,8,0),"ECHEC")</f>
        <v>ECHEC</v>
      </c>
      <c r="Q12" s="8">
        <f>VLOOKUP($A12,[8]HISTODEC21!$A$6:$AU$39,33,0)</f>
        <v>0</v>
      </c>
      <c r="R12" s="8">
        <f t="shared" si="0"/>
        <v>0</v>
      </c>
      <c r="S12" s="8">
        <f>VLOOKUP($A12,[8]HISTODEC21!$A$6:$AU$39,30,0)</f>
        <v>0</v>
      </c>
      <c r="T12" s="45">
        <f t="shared" si="1"/>
        <v>0</v>
      </c>
    </row>
    <row r="13" spans="1:21" x14ac:dyDescent="0.25">
      <c r="A13" s="1" t="s">
        <v>32</v>
      </c>
      <c r="B13" s="1"/>
      <c r="C13" s="1" t="str">
        <f>VLOOKUP(A13,[6]LISTADHERENT!A$5:H$60,3,0)</f>
        <v>MBOGNING TUGMA GUY</v>
      </c>
      <c r="D13" s="8">
        <f>IF(F13="ECHEC",0,VLOOKUP($A13,[8]HISTODEC21!$A$6:$AU$39,13,0))</f>
        <v>225000</v>
      </c>
      <c r="E13" s="8"/>
      <c r="F13" s="8" t="str">
        <f>VLOOKUP($A13,[8]HISTODEC21!$A$6:$AU$39,8,0)</f>
        <v>BANQUE</v>
      </c>
      <c r="G13" s="8">
        <f>IF(O13="ECHEC",M13+(TONTAOUT21!I13*2),0)</f>
        <v>0</v>
      </c>
      <c r="H13" s="8"/>
      <c r="I13" s="8">
        <f>VLOOKUP($A13,[8]HISTODEC21!$A$6:$AU$39,36,0)</f>
        <v>0</v>
      </c>
      <c r="J13" s="8">
        <f>VLOOKUP($A13,[8]HISTODEC21!$A$6:$AU$39,39,0)</f>
        <v>0</v>
      </c>
      <c r="K13" s="8" t="str">
        <f>IF(I13&lt;&gt;0,VLOOKUP($A13,[8]HISTODEC21!$A$6:$AU$39,8,0),"ECHEC")</f>
        <v>ECHEC</v>
      </c>
      <c r="L13" s="8">
        <f>VLOOKUP($A13,[8]HISTODEC21!$A$6:$AU$39,41,0)</f>
        <v>0</v>
      </c>
      <c r="M13" s="8">
        <f>TONTNOV21!I13+TONTNOV21!J13+TONTNOV21!G13</f>
        <v>101000</v>
      </c>
      <c r="N13" s="8">
        <f>VLOOKUP(A13,[8]HISTODEC21!$A$6:$AZ$37,17,0)</f>
        <v>101000</v>
      </c>
      <c r="O13" s="8" t="str">
        <f>IF(N13&lt;&gt;0,VLOOKUP($A13,[8]HISTODEC21!$A$6:$AU$39,8,0),"ECHEC")</f>
        <v>BANQUE</v>
      </c>
      <c r="P13" s="8" t="str">
        <f>IF(S13&lt;&gt;0,VLOOKUP($A13,[8]HISTODEC21!$A$6:$AU$39,8,0),"ECHEC")</f>
        <v>ECHEC</v>
      </c>
      <c r="Q13" s="8">
        <f>VLOOKUP($A13,[8]HISTODEC21!$A$6:$AU$39,33,0)</f>
        <v>0</v>
      </c>
      <c r="R13" s="8">
        <f t="shared" si="0"/>
        <v>0</v>
      </c>
      <c r="S13" s="8">
        <f>VLOOKUP($A13,[8]HISTODEC21!$A$6:$AU$39,30,0)</f>
        <v>0</v>
      </c>
      <c r="T13" s="45">
        <f t="shared" si="1"/>
        <v>0</v>
      </c>
    </row>
    <row r="14" spans="1:21" x14ac:dyDescent="0.25">
      <c r="A14" s="1" t="s">
        <v>11</v>
      </c>
      <c r="B14" s="1"/>
      <c r="C14" s="1" t="str">
        <f>VLOOKUP(A14,[6]LISTADHERENT!A$5:H$60,3,0)</f>
        <v>NANKAM APPOLINAIRE</v>
      </c>
      <c r="D14" s="8">
        <f>IF(F14="ECHEC",0,VLOOKUP($A14,[8]HISTODEC21!$A$6:$AU$39,13,0))</f>
        <v>75000</v>
      </c>
      <c r="E14" s="8"/>
      <c r="F14" s="8" t="str">
        <f>VLOOKUP($A14,[8]HISTODEC21!$A$6:$AU$39,8,0)</f>
        <v>BANQUE</v>
      </c>
      <c r="G14" s="8">
        <f>IF(O14="ECHEC",M14+(TONTAOUT21!I14*2),0)</f>
        <v>0</v>
      </c>
      <c r="H14" s="8"/>
      <c r="I14" s="8">
        <f>VLOOKUP($A14,[8]HISTODEC21!$A$6:$AU$39,36,0)</f>
        <v>0</v>
      </c>
      <c r="J14" s="8">
        <f>VLOOKUP($A14,[8]HISTODEC21!$A$6:$AU$39,39,0)</f>
        <v>0</v>
      </c>
      <c r="K14" s="8" t="str">
        <f>IF(I14&lt;&gt;0,VLOOKUP($A14,[8]HISTODEC21!$A$6:$AU$39,8,0),"ECHEC")</f>
        <v>ECHEC</v>
      </c>
      <c r="L14" s="8">
        <f>VLOOKUP($A14,[8]HISTODEC21!$A$6:$AU$39,41,0)</f>
        <v>0</v>
      </c>
      <c r="M14" s="8">
        <f>TONTNOV21!I14+TONTNOV21!J14+TONTNOV21!G14</f>
        <v>0</v>
      </c>
      <c r="N14" s="8">
        <f>VLOOKUP(A14,[8]HISTODEC21!$A$6:$AZ$37,17,0)</f>
        <v>0</v>
      </c>
      <c r="O14" s="8" t="str">
        <f>IF(N14&lt;&gt;0,VLOOKUP($A14,[8]HISTODEC21!$A$6:$AU$39,8,0),"ECHEC")</f>
        <v>ECHEC</v>
      </c>
      <c r="P14" s="8" t="str">
        <f>IF(S14&lt;&gt;0,VLOOKUP($A14,[8]HISTODEC21!$A$6:$AU$39,8,0),"ECHEC")</f>
        <v>ECHEC</v>
      </c>
      <c r="Q14" s="8">
        <f>VLOOKUP($A14,[8]HISTODEC21!$A$6:$AU$39,33,0)</f>
        <v>0</v>
      </c>
      <c r="R14" s="8">
        <f t="shared" si="0"/>
        <v>0</v>
      </c>
      <c r="S14" s="8">
        <f>VLOOKUP($A14,[8]HISTODEC21!$A$6:$AU$39,30,0)</f>
        <v>0</v>
      </c>
      <c r="T14" s="45">
        <f t="shared" si="1"/>
        <v>0</v>
      </c>
    </row>
    <row r="15" spans="1:21" x14ac:dyDescent="0.25">
      <c r="A15" s="1" t="s">
        <v>72</v>
      </c>
      <c r="B15" s="1"/>
      <c r="C15" s="1" t="str">
        <f>VLOOKUP(A15,[6]LISTADHERENT!A$5:H$60,3,0)</f>
        <v>NGONDIEP CLAUDE</v>
      </c>
      <c r="D15" s="8">
        <f>IF(F15="ECHEC",0,VLOOKUP($A15,[8]HISTODEC21!$A$6:$AU$39,13,0))</f>
        <v>75000</v>
      </c>
      <c r="E15" s="8"/>
      <c r="F15" s="8" t="str">
        <f>VLOOKUP($A15,[8]HISTODEC21!$A$6:$AU$39,8,0)</f>
        <v>BANQUE</v>
      </c>
      <c r="G15" s="8">
        <f>IF(O15="ECHEC",M15+(TONTAOUT21!I14*2),0)</f>
        <v>0</v>
      </c>
      <c r="H15" s="8"/>
      <c r="I15" s="8">
        <f>VLOOKUP($A15,[8]HISTODEC21!$A$6:$AU$39,36,0)</f>
        <v>0</v>
      </c>
      <c r="J15" s="8">
        <f>VLOOKUP($A15,[8]HISTODEC21!$A$6:$AU$39,39,0)</f>
        <v>0</v>
      </c>
      <c r="K15" s="8" t="str">
        <f>IF(I15&lt;&gt;0,VLOOKUP($A15,[8]HISTODEC21!$A$6:$AU$39,8,0),"ECHEC")</f>
        <v>ECHEC</v>
      </c>
      <c r="L15" s="8">
        <f>VLOOKUP($A15,[8]HISTODEC21!$A$6:$AU$39,41,0)</f>
        <v>0</v>
      </c>
      <c r="M15" s="8">
        <f>TONTNOV21!I15+TONTNOV21!J15+TONTNOV21!G15</f>
        <v>153000</v>
      </c>
      <c r="N15" s="8">
        <f>VLOOKUP(A15,[8]HISTODEC21!$A$6:$AZ$37,17,0)</f>
        <v>153000</v>
      </c>
      <c r="O15" s="8" t="str">
        <f>IF(N15&lt;&gt;0,VLOOKUP($A15,[8]HISTODEC21!$A$6:$AU$39,8,0),"ECHEC")</f>
        <v>BANQUE</v>
      </c>
      <c r="P15" s="8" t="str">
        <f>IF(S15&lt;&gt;0,VLOOKUP($A15,[8]HISTODEC21!$A$6:$AU$39,8,0),"ECHEC")</f>
        <v>BANQUE</v>
      </c>
      <c r="Q15" s="8">
        <f>VLOOKUP($A15,[8]HISTODEC21!$A$6:$AU$39,33,0)</f>
        <v>0</v>
      </c>
      <c r="R15" s="8">
        <f t="shared" si="0"/>
        <v>1075000</v>
      </c>
      <c r="S15" s="8">
        <f>VLOOKUP($A15,[8]HISTODEC21!$A$6:$AU$39,30,0)</f>
        <v>125000</v>
      </c>
      <c r="T15" s="45">
        <f t="shared" si="1"/>
        <v>50000</v>
      </c>
    </row>
    <row r="16" spans="1:21" x14ac:dyDescent="0.25">
      <c r="A16" s="1" t="s">
        <v>31</v>
      </c>
      <c r="B16" s="1"/>
      <c r="C16" s="1" t="str">
        <f>VLOOKUP(A16,[6]LISTADHERENT!A$5:H$60,3,0)</f>
        <v>NGUIEMEGNI MATHIEU BLAISE</v>
      </c>
      <c r="D16" s="8">
        <f>IF(F16="ECHEC",0,VLOOKUP($A16,[8]HISTODEC21!$A$6:$AU$39,13,0))</f>
        <v>150000</v>
      </c>
      <c r="E16" s="8"/>
      <c r="F16" s="8" t="str">
        <f>VLOOKUP($A16,[8]HISTODEC21!$A$6:$AU$39,8,0)</f>
        <v>BANQUE</v>
      </c>
      <c r="G16" s="8">
        <f>IF(O16="ECHEC",M16+(TONTAOUT21!I17*2),0)</f>
        <v>0</v>
      </c>
      <c r="H16" s="8"/>
      <c r="I16" s="8">
        <f>VLOOKUP($A16,[8]HISTODEC21!$A$6:$AU$39,36,0)</f>
        <v>0</v>
      </c>
      <c r="J16" s="8">
        <f>VLOOKUP($A16,[8]HISTODEC21!$A$6:$AU$39,39,0)</f>
        <v>0</v>
      </c>
      <c r="K16" s="8" t="str">
        <f>IF(I16&lt;&gt;0,VLOOKUP($A16,[8]HISTODEC21!$A$6:$AU$39,8,0),"ECHEC")</f>
        <v>ECHEC</v>
      </c>
      <c r="L16" s="8">
        <f>VLOOKUP($A16,[8]HISTODEC21!$A$6:$AU$39,41,0)</f>
        <v>0</v>
      </c>
      <c r="M16" s="8">
        <f>TONTNOV21!I16+TONTNOV21!J16+TONTNOV21!G16</f>
        <v>0</v>
      </c>
      <c r="N16" s="8">
        <f>VLOOKUP(A16,[8]HISTODEC21!$A$6:$AZ$37,17,0)</f>
        <v>0</v>
      </c>
      <c r="O16" s="8" t="str">
        <f>IF(N16&lt;&gt;0,VLOOKUP($A16,[8]HISTODEC21!$A$6:$AU$39,8,0),"ECHEC")</f>
        <v>ECHEC</v>
      </c>
      <c r="P16" s="8" t="str">
        <f>IF(S16&lt;&gt;0,VLOOKUP($A16,[8]HISTODEC21!$A$6:$AU$39,8,0),"ECHEC")</f>
        <v>ECHEC</v>
      </c>
      <c r="Q16" s="8">
        <f>VLOOKUP($A16,[8]HISTODEC21!$A$6:$AU$39,33,0)</f>
        <v>0</v>
      </c>
      <c r="R16" s="8">
        <f t="shared" si="0"/>
        <v>0</v>
      </c>
      <c r="S16" s="8">
        <f>VLOOKUP($A16,[8]HISTODEC21!$A$6:$AU$39,30,0)</f>
        <v>0</v>
      </c>
      <c r="T16" s="45">
        <f t="shared" si="1"/>
        <v>0</v>
      </c>
    </row>
    <row r="17" spans="1:25" x14ac:dyDescent="0.25">
      <c r="A17" s="16" t="s">
        <v>12</v>
      </c>
      <c r="B17" s="16"/>
      <c r="C17" s="1" t="str">
        <f>VLOOKUP(A17,[6]LISTADHERENT!A$5:H$60,3,0)</f>
        <v>NKAMGANG JUSTIN DEJOLIE</v>
      </c>
      <c r="D17" s="8">
        <f>IF(F17="ECHEC",0,VLOOKUP($A17,[8]HISTODEC21!$A$6:$AU$39,13,0))</f>
        <v>75000</v>
      </c>
      <c r="E17" s="8"/>
      <c r="F17" s="8" t="str">
        <f>VLOOKUP($A17,[8]HISTODEC21!$A$6:$AU$39,8,0)</f>
        <v>BANQUE</v>
      </c>
      <c r="G17" s="8">
        <f>IF(O17="ECHEC",M17+(TONTAOUT21!I19*2),0)</f>
        <v>0</v>
      </c>
      <c r="H17" s="8"/>
      <c r="I17" s="8">
        <f>VLOOKUP($A17,[8]HISTODEC21!$A$6:$AU$39,36,0)</f>
        <v>28500</v>
      </c>
      <c r="J17" s="8">
        <f>VLOOKUP($A17,[8]HISTODEC21!$A$6:$AU$39,39,0)</f>
        <v>1000</v>
      </c>
      <c r="K17" s="8" t="str">
        <f>IF(I17&lt;&gt;0,VLOOKUP($A17,[8]HISTODEC21!$A$6:$AU$39,8,0),"ECHEC")</f>
        <v>BANQUE</v>
      </c>
      <c r="L17" s="8">
        <f>VLOOKUP($A17,[8]HISTODEC21!$A$6:$AU$39,41,0)</f>
        <v>0</v>
      </c>
      <c r="M17" s="8">
        <f>TONTNOV21!I17+TONTNOV21!J17+TONTNOV21!G17</f>
        <v>125500</v>
      </c>
      <c r="N17" s="8">
        <f>VLOOKUP(A17,[8]HISTODEC21!$A$6:$AZ$37,17,0)</f>
        <v>125500</v>
      </c>
      <c r="O17" s="8" t="str">
        <f>IF(N17&lt;&gt;0,VLOOKUP($A17,[8]HISTODEC21!$A$6:$AU$39,8,0),"ECHEC")</f>
        <v>BANQUE</v>
      </c>
      <c r="P17" s="8" t="str">
        <f>IF(S17&lt;&gt;0,VLOOKUP($A17,[8]HISTODEC21!$A$6:$AU$39,8,0),"ECHEC")</f>
        <v>ECHEC</v>
      </c>
      <c r="Q17" s="8">
        <f>VLOOKUP($A17,[8]HISTODEC21!$A$6:$AU$39,33,0)</f>
        <v>0</v>
      </c>
      <c r="R17" s="8">
        <f t="shared" si="0"/>
        <v>0</v>
      </c>
      <c r="S17" s="8">
        <f>VLOOKUP($A17,[8]HISTODEC21!$A$6:$AU$39,30,0)</f>
        <v>0</v>
      </c>
      <c r="T17" s="45">
        <f t="shared" si="1"/>
        <v>0</v>
      </c>
    </row>
    <row r="18" spans="1:25" x14ac:dyDescent="0.25">
      <c r="A18" s="1" t="s">
        <v>42</v>
      </c>
      <c r="B18" s="1"/>
      <c r="C18" s="1" t="str">
        <f>VLOOKUP(A18,[6]LISTADHERENT!A$5:H$60,3,0)</f>
        <v>PATEGO NJOSSU GUSTAVE</v>
      </c>
      <c r="D18" s="8">
        <f>IF(F18="ECHEC",0,VLOOKUP($A18,[8]HISTODEC21!$A$6:$AU$39,13,0))</f>
        <v>75000</v>
      </c>
      <c r="E18" s="8"/>
      <c r="F18" s="8" t="str">
        <f>VLOOKUP($A18,[8]HISTODEC21!$A$6:$AU$39,8,0)</f>
        <v>BANQUE</v>
      </c>
      <c r="G18" s="8">
        <f>IF(O18="ECHEC",M18+(TONTAOUT21!I20*2),0)</f>
        <v>0</v>
      </c>
      <c r="H18" s="8"/>
      <c r="I18" s="8">
        <f>VLOOKUP($A18,[8]HISTODEC21!$A$6:$AU$39,36,0)</f>
        <v>0</v>
      </c>
      <c r="J18" s="8">
        <f>VLOOKUP($A18,[8]HISTODEC21!$A$6:$AU$39,39,0)</f>
        <v>0</v>
      </c>
      <c r="K18" s="8" t="str">
        <f>IF(I18&lt;&gt;0,VLOOKUP($A18,[8]HISTODEC21!$A$6:$AU$39,8,0),"ECHEC")</f>
        <v>ECHEC</v>
      </c>
      <c r="L18" s="8">
        <f>VLOOKUP($A18,[8]HISTODEC21!$A$6:$AU$39,41,0)</f>
        <v>0</v>
      </c>
      <c r="M18" s="8">
        <f>TONTNOV21!I18+TONTNOV21!J18+TONTNOV21!G18</f>
        <v>0</v>
      </c>
      <c r="N18" s="8">
        <f>VLOOKUP(A18,[8]HISTODEC21!$A$6:$AZ$37,17,0)</f>
        <v>0</v>
      </c>
      <c r="O18" s="8" t="str">
        <f>IF(N18&lt;&gt;0,VLOOKUP($A18,[8]HISTODEC21!$A$6:$AU$39,8,0),"ECHEC")</f>
        <v>ECHEC</v>
      </c>
      <c r="P18" s="8" t="str">
        <f>IF(S18&lt;&gt;0,VLOOKUP($A18,[8]HISTODEC21!$A$6:$AU$39,8,0),"ECHEC")</f>
        <v>ECHEC</v>
      </c>
      <c r="Q18" s="8">
        <f>VLOOKUP($A18,[8]HISTODEC21!$A$6:$AU$39,33,0)</f>
        <v>0</v>
      </c>
      <c r="R18" s="8">
        <f t="shared" si="0"/>
        <v>0</v>
      </c>
      <c r="S18" s="8">
        <f>VLOOKUP($A18,[8]HISTODEC21!$A$6:$AU$39,30,0)</f>
        <v>0</v>
      </c>
      <c r="T18" s="45">
        <f t="shared" si="1"/>
        <v>0</v>
      </c>
    </row>
    <row r="19" spans="1:25" x14ac:dyDescent="0.25">
      <c r="A19" s="16" t="s">
        <v>71</v>
      </c>
      <c r="B19" s="16"/>
      <c r="C19" s="1" t="str">
        <f>VLOOKUP(A19,[6]LISTADHERENT!A$5:H$60,3,0)</f>
        <v>SIME BRICE</v>
      </c>
      <c r="D19" s="8">
        <f>IF(F19="ECHEC",0,VLOOKUP($A19,[8]HISTODEC21!$A$6:$AU$39,13,0))</f>
        <v>75000</v>
      </c>
      <c r="E19" s="8"/>
      <c r="F19" s="8" t="str">
        <f>VLOOKUP($A19,[8]HISTODEC21!$A$6:$AU$39,8,0)</f>
        <v>BANQUE</v>
      </c>
      <c r="G19" s="8">
        <f>IF(O19="ECHEC",M19+(TONTAOUT21!I21*2),0)</f>
        <v>0</v>
      </c>
      <c r="H19" s="8"/>
      <c r="I19" s="8">
        <f>VLOOKUP($A19,[8]HISTODEC21!$A$6:$AU$39,36,0)</f>
        <v>0</v>
      </c>
      <c r="J19" s="8">
        <f>VLOOKUP($A19,[8]HISTODEC21!$A$6:$AU$39,39,0)</f>
        <v>0</v>
      </c>
      <c r="K19" s="8" t="str">
        <f>IF(I19&lt;&gt;0,VLOOKUP($A19,[8]HISTODEC21!$A$6:$AU$39,8,0),"ECHEC")</f>
        <v>ECHEC</v>
      </c>
      <c r="L19" s="8">
        <f>VLOOKUP($A19,[8]HISTODEC21!$A$6:$AU$39,41,0)</f>
        <v>0</v>
      </c>
      <c r="M19" s="8">
        <f>TONTNOV21!I19+TONTNOV21!J19+TONTNOV21!G19</f>
        <v>0</v>
      </c>
      <c r="N19" s="8">
        <f>VLOOKUP(A19,[8]HISTODEC21!$A$6:$AZ$37,17,0)</f>
        <v>0</v>
      </c>
      <c r="O19" s="8" t="str">
        <f>IF(N19&lt;&gt;0,VLOOKUP($A19,[8]HISTODEC21!$A$6:$AU$39,8,0),"ECHEC")</f>
        <v>ECHEC</v>
      </c>
      <c r="P19" s="8" t="str">
        <f>IF(S19&lt;&gt;0,VLOOKUP($A19,[8]HISTODEC21!$A$6:$AU$39,8,0),"ECHEC")</f>
        <v>ECHEC</v>
      </c>
      <c r="Q19" s="8">
        <f>VLOOKUP($A19,[8]HISTODEC21!$A$6:$AU$39,33,0)</f>
        <v>0</v>
      </c>
      <c r="R19" s="8">
        <f t="shared" si="0"/>
        <v>0</v>
      </c>
      <c r="S19" s="8">
        <f>VLOOKUP($A19,[8]HISTODEC21!$A$6:$AU$39,30,0)</f>
        <v>0</v>
      </c>
      <c r="T19" s="45">
        <f t="shared" si="1"/>
        <v>0</v>
      </c>
    </row>
    <row r="20" spans="1:25" x14ac:dyDescent="0.25">
      <c r="A20" s="16" t="s">
        <v>43</v>
      </c>
      <c r="B20" s="16"/>
      <c r="C20" s="1" t="str">
        <f>VLOOKUP(A20,[6]LISTADHERENT!A$5:H$60,3,0)</f>
        <v>SIMO PIERRE</v>
      </c>
      <c r="D20" s="8">
        <f>IF(F20="ECHEC",0,VLOOKUP($A20,[8]HISTODEC21!$A$6:$AU$39,13,0))</f>
        <v>75000</v>
      </c>
      <c r="E20" s="8"/>
      <c r="F20" s="8" t="str">
        <f>VLOOKUP($A20,[8]HISTODEC21!$A$6:$AU$39,8,0)</f>
        <v>BANQUE</v>
      </c>
      <c r="G20" s="8">
        <f>IF(O20="ECHEC",M20+(TONTAOUT21!I22*2),0)</f>
        <v>0</v>
      </c>
      <c r="H20" s="8"/>
      <c r="I20" s="8">
        <f>VLOOKUP($A20,[8]HISTODEC21!$A$6:$AU$39,36,0)</f>
        <v>0</v>
      </c>
      <c r="J20" s="8">
        <f>VLOOKUP($A20,[8]HISTODEC21!$A$6:$AU$39,39,0)</f>
        <v>0</v>
      </c>
      <c r="K20" s="8" t="str">
        <f>IF(I20&lt;&gt;0,VLOOKUP($A20,[8]HISTODEC21!$A$6:$AU$39,8,0),"ECHEC")</f>
        <v>ECHEC</v>
      </c>
      <c r="L20" s="8">
        <f>VLOOKUP($A20,[8]HISTODEC21!$A$6:$AU$39,41,0)</f>
        <v>0</v>
      </c>
      <c r="M20" s="8">
        <f>TONTNOV21!I20+TONTNOV21!J20+TONTNOV21!G20</f>
        <v>0</v>
      </c>
      <c r="N20" s="8">
        <f>VLOOKUP(A20,[8]HISTODEC21!$A$6:$AZ$37,17,0)</f>
        <v>0</v>
      </c>
      <c r="O20" s="8" t="str">
        <f>IF(N20&lt;&gt;0,VLOOKUP($A20,[8]HISTODEC21!$A$6:$AU$39,8,0),"ECHEC")</f>
        <v>ECHEC</v>
      </c>
      <c r="P20" s="8" t="str">
        <f>IF(S20&lt;&gt;0,VLOOKUP($A20,[8]HISTODEC21!$A$6:$AU$39,8,0),"ECHEC")</f>
        <v>ECHEC</v>
      </c>
      <c r="Q20" s="8">
        <f>VLOOKUP($A20,[8]HISTODEC21!$A$6:$AU$39,33,0)</f>
        <v>0</v>
      </c>
      <c r="R20" s="8">
        <f t="shared" si="0"/>
        <v>0</v>
      </c>
      <c r="S20" s="8">
        <f>VLOOKUP($A20,[8]HISTODEC21!$A$6:$AU$39,30,0)</f>
        <v>0</v>
      </c>
      <c r="T20" s="45">
        <f t="shared" si="1"/>
        <v>0</v>
      </c>
    </row>
    <row r="21" spans="1:25" x14ac:dyDescent="0.25">
      <c r="A21" s="1" t="s">
        <v>30</v>
      </c>
      <c r="B21" s="1"/>
      <c r="C21" s="1" t="str">
        <f>VLOOKUP(A21,[6]LISTADHERENT!A$5:H$60,3,0)</f>
        <v>YOUMBI EMMANUEL</v>
      </c>
      <c r="D21" s="8">
        <f>IF(F21="ECHEC",0,VLOOKUP($A21,[8]HISTODEC21!$A$6:$AU$39,13,0))</f>
        <v>150000</v>
      </c>
      <c r="E21" s="8"/>
      <c r="F21" s="8" t="str">
        <f>VLOOKUP($A21,[8]HISTODEC21!$A$6:$AU$39,8,0)</f>
        <v>BANQUE</v>
      </c>
      <c r="G21" s="8">
        <f>IF(O21="ECHEC",M21+(TONTAOUT21!I23*2),0)</f>
        <v>0</v>
      </c>
      <c r="H21" s="8"/>
      <c r="I21" s="8">
        <f>VLOOKUP($A21,[8]HISTODEC21!$A$6:$AU$39,36,0)</f>
        <v>0</v>
      </c>
      <c r="J21" s="8">
        <f>VLOOKUP($A21,[8]HISTODEC21!$A$6:$AU$39,39,0)</f>
        <v>0</v>
      </c>
      <c r="K21" s="8" t="str">
        <f>IF(I21&lt;&gt;0,VLOOKUP($A21,[8]HISTODEC21!$A$6:$AU$39,8,0),"ECHEC")</f>
        <v>ECHEC</v>
      </c>
      <c r="L21" s="8">
        <f>VLOOKUP($A21,[8]HISTODEC21!$A$6:$AU$39,41,0)</f>
        <v>0</v>
      </c>
      <c r="M21" s="8">
        <f>TONTNOV21!I21+TONTNOV21!J21+TONTNOV21!G21</f>
        <v>0</v>
      </c>
      <c r="N21" s="8"/>
      <c r="O21" s="8" t="str">
        <f>IF(N21&lt;&gt;0,VLOOKUP($A21,[8]HISTODEC21!$A$6:$AU$39,8,0),"ECHEC")</f>
        <v>ECHEC</v>
      </c>
      <c r="P21" s="8" t="str">
        <f>IF(S21&lt;&gt;0,VLOOKUP($A21,[8]HISTODEC21!$A$6:$AU$39,8,0),"ECHEC")</f>
        <v>ECHEC</v>
      </c>
      <c r="Q21" s="8">
        <f>VLOOKUP($A21,[8]HISTODEC21!$A$6:$AU$39,33,0)</f>
        <v>0</v>
      </c>
      <c r="R21" s="8">
        <f t="shared" si="0"/>
        <v>0</v>
      </c>
      <c r="S21" s="8">
        <f>VLOOKUP($A21,[8]HISTODEC21!$A$6:$AU$39,30,0)</f>
        <v>0</v>
      </c>
      <c r="T21" s="45">
        <f t="shared" si="1"/>
        <v>0</v>
      </c>
    </row>
    <row r="22" spans="1:25" x14ac:dyDescent="0.25">
      <c r="A22" s="1"/>
      <c r="B22" s="1"/>
      <c r="D22"/>
      <c r="F22"/>
      <c r="G22"/>
      <c r="I22" s="3"/>
      <c r="J22" s="3"/>
      <c r="L22" s="2"/>
      <c r="P22" s="2"/>
      <c r="Q22" s="2"/>
      <c r="R22"/>
      <c r="T22" s="45">
        <f t="shared" si="1"/>
        <v>0</v>
      </c>
    </row>
    <row r="23" spans="1:25" ht="18" x14ac:dyDescent="0.25">
      <c r="A23" s="1" t="s">
        <v>73</v>
      </c>
      <c r="B23" s="1"/>
      <c r="C23" s="9">
        <f>SUM(C6:C22)</f>
        <v>0</v>
      </c>
      <c r="D23"/>
      <c r="F23"/>
      <c r="G23"/>
      <c r="H23" s="32"/>
      <c r="I23" s="3"/>
      <c r="J23" s="3"/>
      <c r="L23" s="2"/>
      <c r="P23" s="2"/>
      <c r="Q23" s="2"/>
      <c r="R23"/>
      <c r="T23" s="45">
        <f t="shared" si="1"/>
        <v>0</v>
      </c>
    </row>
    <row r="24" spans="1:25" ht="18" x14ac:dyDescent="0.25">
      <c r="A24" s="1" t="s">
        <v>74</v>
      </c>
      <c r="B24" s="1"/>
      <c r="C24" s="43">
        <f>COUNT(E6:E18)</f>
        <v>0</v>
      </c>
      <c r="D24" s="9">
        <f t="shared" ref="D24:T24" si="2">SUM(D6:D23)</f>
        <v>1500000</v>
      </c>
      <c r="E24" s="9">
        <f t="shared" si="2"/>
        <v>0</v>
      </c>
      <c r="F24" s="9">
        <f t="shared" si="2"/>
        <v>0</v>
      </c>
      <c r="G24" s="9">
        <f t="shared" si="2"/>
        <v>0</v>
      </c>
      <c r="H24" s="9">
        <f t="shared" si="2"/>
        <v>0</v>
      </c>
      <c r="I24" s="9">
        <f t="shared" si="2"/>
        <v>230500</v>
      </c>
      <c r="J24" s="9">
        <f t="shared" si="2"/>
        <v>5000</v>
      </c>
      <c r="K24" s="9">
        <f t="shared" si="2"/>
        <v>0</v>
      </c>
      <c r="L24" s="9">
        <f t="shared" si="2"/>
        <v>0</v>
      </c>
      <c r="M24" s="9">
        <f t="shared" si="2"/>
        <v>785500</v>
      </c>
      <c r="N24" s="9">
        <f t="shared" si="2"/>
        <v>987500</v>
      </c>
      <c r="O24" s="9">
        <f t="shared" si="2"/>
        <v>0</v>
      </c>
      <c r="P24" s="9">
        <f t="shared" si="2"/>
        <v>0</v>
      </c>
      <c r="Q24" s="9">
        <f t="shared" si="2"/>
        <v>0</v>
      </c>
      <c r="R24" s="9">
        <f t="shared" si="2"/>
        <v>2155000</v>
      </c>
      <c r="S24" s="9">
        <f t="shared" si="2"/>
        <v>245000</v>
      </c>
      <c r="T24" s="9">
        <f t="shared" si="2"/>
        <v>95000</v>
      </c>
      <c r="V24" s="17"/>
      <c r="W24" s="17"/>
      <c r="X24" s="17"/>
      <c r="Y24" s="17"/>
    </row>
    <row r="25" spans="1:25" x14ac:dyDescent="0.25">
      <c r="A25" s="2"/>
      <c r="B25" s="2"/>
      <c r="D25"/>
      <c r="F25"/>
      <c r="G25"/>
      <c r="H25" s="32"/>
      <c r="I25" s="3"/>
      <c r="J25" s="3"/>
      <c r="L25" s="2"/>
      <c r="P25" s="2"/>
      <c r="Q25" s="2"/>
      <c r="R25" s="2"/>
      <c r="S25" s="2"/>
      <c r="U25" s="2"/>
    </row>
    <row r="26" spans="1:25" ht="43.5" x14ac:dyDescent="0.25">
      <c r="D26" s="23" t="s">
        <v>17</v>
      </c>
      <c r="E26" s="6" t="s">
        <v>22</v>
      </c>
      <c r="F26" s="6" t="s">
        <v>25</v>
      </c>
      <c r="G26" s="6" t="s">
        <v>27</v>
      </c>
      <c r="H26" s="6" t="s">
        <v>28</v>
      </c>
      <c r="I26" s="3"/>
      <c r="L26" s="9" t="s">
        <v>84</v>
      </c>
      <c r="M26" s="9">
        <f>D31+E31+S24+TONTNOV21!N31</f>
        <v>2832500</v>
      </c>
      <c r="N26" s="9"/>
      <c r="O26" s="9"/>
      <c r="Q26"/>
      <c r="R26"/>
      <c r="T26" s="21">
        <f>SUM(T6:T24)</f>
        <v>190000</v>
      </c>
    </row>
    <row r="27" spans="1:25" ht="18" x14ac:dyDescent="0.25">
      <c r="D27" s="22"/>
      <c r="G27"/>
      <c r="H27"/>
      <c r="I27" s="3"/>
      <c r="L27" s="9" t="s">
        <v>60</v>
      </c>
      <c r="M27" s="9">
        <f>D3*COUNTIF(R6:R23,"&gt;0")</f>
        <v>2400000</v>
      </c>
      <c r="N27" s="9">
        <f>E3</f>
        <v>2</v>
      </c>
      <c r="O27" s="32"/>
      <c r="Q27"/>
      <c r="R27"/>
      <c r="T27" s="17"/>
    </row>
    <row r="28" spans="1:25" ht="18" x14ac:dyDescent="0.25">
      <c r="C28" s="9" t="s">
        <v>14</v>
      </c>
      <c r="D28" s="21">
        <f>SUMIFS(D6:D22,F6:F22,"ESPECES")</f>
        <v>0</v>
      </c>
      <c r="E28" s="9">
        <f>SUMIFS(M2:M19,O2:O19,"ESPECES")+SUMIFS(G2:G19,H2:H19,"ESPECES")</f>
        <v>0</v>
      </c>
      <c r="F28" s="9">
        <f>SUMIFS(I6:I22,K6:K22,"ESPECES")</f>
        <v>0</v>
      </c>
      <c r="G28" s="9">
        <f>SUMIFS(R6:R22,P6:P22,"ESPECES")</f>
        <v>0</v>
      </c>
      <c r="H28" s="9">
        <f>D28+E28-F28-G28</f>
        <v>0</v>
      </c>
      <c r="I28" s="3"/>
      <c r="L28" s="2"/>
      <c r="O28" s="9"/>
      <c r="P28" s="9"/>
      <c r="Q28"/>
      <c r="R28"/>
      <c r="T28" s="17"/>
    </row>
    <row r="29" spans="1:25" ht="18" x14ac:dyDescent="0.25">
      <c r="C29" s="9" t="s">
        <v>9</v>
      </c>
      <c r="D29" s="21">
        <f>SUMIFS(D6:D22,F6:F22,"BANQUE")</f>
        <v>1500000</v>
      </c>
      <c r="E29" s="9">
        <f>SUMIFS(N3:N20,O3:O20,"BANQUE")+SUMIFS(G3:G20,H3:H20,"BANQUE")</f>
        <v>987500</v>
      </c>
      <c r="F29" s="9">
        <f>SUMIFS(I6:I22,K6:K22,"BANQUE")</f>
        <v>230500</v>
      </c>
      <c r="G29" s="9">
        <f>SUMIFS(R6:R22,P6:P22,"BANQUE")</f>
        <v>2155000</v>
      </c>
      <c r="H29" s="9">
        <f>D29+E29-F29-G29</f>
        <v>102000</v>
      </c>
      <c r="I29" s="3"/>
      <c r="L29" s="9" t="s">
        <v>33</v>
      </c>
      <c r="M29" s="9">
        <f>M26-M27</f>
        <v>432500</v>
      </c>
      <c r="N29" s="9"/>
      <c r="P29" s="9"/>
      <c r="Q29"/>
      <c r="R29"/>
      <c r="T29" s="17"/>
    </row>
    <row r="30" spans="1:25" ht="18" x14ac:dyDescent="0.25">
      <c r="C30" s="9"/>
      <c r="D30" s="21"/>
      <c r="F30"/>
      <c r="G30" s="9"/>
      <c r="H30" s="9"/>
      <c r="I30" s="3"/>
      <c r="L30" s="2"/>
      <c r="P30" s="9"/>
      <c r="Q30"/>
      <c r="R30"/>
    </row>
    <row r="31" spans="1:25" ht="18" x14ac:dyDescent="0.25">
      <c r="C31" s="9" t="s">
        <v>13</v>
      </c>
      <c r="D31" s="21">
        <f>D28+D29</f>
        <v>1500000</v>
      </c>
      <c r="E31" s="21">
        <f>E28+E29</f>
        <v>987500</v>
      </c>
      <c r="F31" s="21">
        <f t="shared" ref="F31" si="3">F28+F29</f>
        <v>230500</v>
      </c>
      <c r="G31" s="21">
        <f>G28+G29</f>
        <v>2155000</v>
      </c>
      <c r="H31" s="21">
        <f>H28+H29</f>
        <v>102000</v>
      </c>
      <c r="I31" s="3"/>
      <c r="L31" s="9" t="s">
        <v>56</v>
      </c>
      <c r="M31" s="9">
        <f>M29-I24</f>
        <v>202000</v>
      </c>
      <c r="N31" s="9">
        <f>M31</f>
        <v>202000</v>
      </c>
      <c r="O31" s="9" t="s">
        <v>57</v>
      </c>
      <c r="Q31"/>
      <c r="R31"/>
    </row>
    <row r="32" spans="1:25" ht="18" x14ac:dyDescent="0.25">
      <c r="C32" s="9"/>
      <c r="D32" s="21"/>
      <c r="E32" s="9"/>
      <c r="G32"/>
      <c r="H32"/>
      <c r="I32" s="3"/>
      <c r="L32" s="2"/>
      <c r="N32" s="3"/>
      <c r="Q32"/>
      <c r="R32"/>
    </row>
    <row r="33" spans="3:18" ht="18" x14ac:dyDescent="0.25">
      <c r="C33" s="9"/>
      <c r="D33" s="21"/>
      <c r="E33" s="9"/>
      <c r="G33"/>
      <c r="H33"/>
      <c r="I33" s="3"/>
      <c r="L33" s="9" t="s">
        <v>52</v>
      </c>
      <c r="M33" s="9">
        <f>COUNTIFS(F6:F22,"ECHEC")*75000</f>
        <v>0</v>
      </c>
      <c r="N33" s="9">
        <f>M33+TONTOCT21!N33</f>
        <v>0</v>
      </c>
      <c r="O33" s="9" t="s">
        <v>57</v>
      </c>
      <c r="Q33"/>
      <c r="R33"/>
    </row>
    <row r="34" spans="3:18" ht="18" x14ac:dyDescent="0.25">
      <c r="C34" s="9" t="s">
        <v>6</v>
      </c>
      <c r="D34" s="21">
        <v>1200000</v>
      </c>
      <c r="G34"/>
      <c r="H34" s="9"/>
      <c r="I34" s="9"/>
      <c r="L34" s="9" t="s">
        <v>53</v>
      </c>
      <c r="M34" s="21">
        <f>SUMIFS(G3:G20,H3:H20,"ECHEC")</f>
        <v>0</v>
      </c>
      <c r="N34" s="9">
        <f>M34+TONTOCT21!N34</f>
        <v>0</v>
      </c>
      <c r="O34" s="9" t="s">
        <v>57</v>
      </c>
      <c r="Q34"/>
      <c r="R34"/>
    </row>
    <row r="35" spans="3:18" ht="18" x14ac:dyDescent="0.25">
      <c r="C35" s="9"/>
      <c r="D35" s="21"/>
      <c r="J35" s="9"/>
      <c r="K35" s="9"/>
      <c r="L35"/>
      <c r="M35" s="3"/>
      <c r="N35" s="3"/>
      <c r="Q35"/>
      <c r="R35"/>
    </row>
    <row r="36" spans="3:18" ht="18" x14ac:dyDescent="0.25">
      <c r="D36"/>
      <c r="F36"/>
      <c r="G36"/>
      <c r="I36" s="3"/>
      <c r="J36" s="3"/>
      <c r="L36" s="2"/>
      <c r="M36" s="9" t="s">
        <v>56</v>
      </c>
      <c r="N36" s="9"/>
      <c r="O36" s="9">
        <f>M29</f>
        <v>432500</v>
      </c>
      <c r="P36" s="9"/>
      <c r="Q36" s="9"/>
      <c r="R36"/>
    </row>
    <row r="37" spans="3:18" ht="18" x14ac:dyDescent="0.25">
      <c r="D37" s="22"/>
      <c r="J37" s="9"/>
      <c r="K37" s="9"/>
      <c r="L37"/>
      <c r="M37" s="9"/>
      <c r="N37" s="3"/>
      <c r="O37" s="9"/>
      <c r="Q37"/>
      <c r="R37"/>
    </row>
    <row r="38" spans="3:18" ht="18" x14ac:dyDescent="0.25">
      <c r="D38" s="22"/>
      <c r="J38" s="9"/>
      <c r="K38" s="9"/>
      <c r="L38"/>
      <c r="M38" s="9"/>
      <c r="N38" s="3"/>
      <c r="O38" s="9">
        <f>SUM(O35:O37)</f>
        <v>432500</v>
      </c>
      <c r="Q38"/>
      <c r="R38"/>
    </row>
    <row r="39" spans="3:18" x14ac:dyDescent="0.25">
      <c r="D39" s="22"/>
      <c r="L39"/>
      <c r="M39" s="3"/>
      <c r="N39" s="3"/>
      <c r="Q39"/>
      <c r="R39"/>
    </row>
    <row r="40" spans="3:18" ht="18" x14ac:dyDescent="0.25">
      <c r="D40" s="22"/>
      <c r="L40"/>
      <c r="M40" s="9" t="s">
        <v>65</v>
      </c>
      <c r="N40" s="3"/>
      <c r="O40" s="9">
        <f>TONTRESUME!C22-11000</f>
        <v>525000</v>
      </c>
      <c r="Q40"/>
      <c r="R40"/>
    </row>
    <row r="41" spans="3:18" ht="18" x14ac:dyDescent="0.25">
      <c r="D41" s="22"/>
      <c r="L41"/>
      <c r="M41" s="9" t="s">
        <v>66</v>
      </c>
      <c r="N41" s="3"/>
      <c r="O41" s="9">
        <f>TONTRESUME!C7</f>
        <v>75000</v>
      </c>
      <c r="Q41"/>
      <c r="R41"/>
    </row>
    <row r="42" spans="3:18" ht="18" x14ac:dyDescent="0.25">
      <c r="C42" s="9"/>
      <c r="D42" s="9"/>
      <c r="E42" s="9"/>
    </row>
    <row r="43" spans="3:18" ht="18" x14ac:dyDescent="0.25">
      <c r="C43" s="9"/>
      <c r="D43" s="9"/>
      <c r="E43" s="9"/>
      <c r="M43" s="9" t="s">
        <v>67</v>
      </c>
      <c r="O43" s="11">
        <f>SUM(O40:O42)</f>
        <v>600000</v>
      </c>
    </row>
    <row r="44" spans="3:18" ht="18" x14ac:dyDescent="0.25">
      <c r="C44" s="9"/>
      <c r="D44" s="9"/>
    </row>
    <row r="45" spans="3:18" ht="18" x14ac:dyDescent="0.25">
      <c r="C45" s="9"/>
      <c r="D45" s="9"/>
      <c r="M45" s="9" t="s">
        <v>69</v>
      </c>
      <c r="O45" s="41">
        <f>O38-O43</f>
        <v>-167500</v>
      </c>
    </row>
    <row r="46" spans="3:18" ht="18" x14ac:dyDescent="0.25">
      <c r="M46" s="9" t="s">
        <v>68</v>
      </c>
      <c r="O46" s="41">
        <f>O45/17</f>
        <v>-9852.9411764705874</v>
      </c>
    </row>
    <row r="47" spans="3:18" ht="18" x14ac:dyDescent="0.25">
      <c r="C47" s="6"/>
      <c r="D47" s="9"/>
    </row>
  </sheetData>
  <autoFilter ref="A5:S20">
    <sortState ref="A6:Q32">
      <sortCondition ref="C6:C32"/>
    </sortState>
  </autoFilter>
  <mergeCells count="1">
    <mergeCell ref="D4:M4"/>
  </mergeCells>
  <dataValidations disablePrompts="1" count="1">
    <dataValidation type="list" allowBlank="1" showInputMessage="1" showErrorMessage="1" sqref="H6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34"/>
  <sheetViews>
    <sheetView workbookViewId="0">
      <pane xSplit="3" ySplit="5" topLeftCell="J30" activePane="bottomRight" state="frozen"/>
      <selection activeCell="G6" sqref="G6:G39"/>
      <selection pane="topRight" activeCell="G6" sqref="G6:G39"/>
      <selection pane="bottomLeft" activeCell="G6" sqref="G6:G39"/>
      <selection pane="bottomRight" activeCell="K29" sqref="K29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IF(E6="ECHEC",0,VLOOKUP($A6,[9]HISTOJANV22!$A$7:$AQ$36,13,0))</f>
        <v>75000</v>
      </c>
      <c r="E6" s="8" t="str">
        <f>VLOOKUP($A6,[9]HISTOJANV22!$A$7:$AU$38,8,0)</f>
        <v>BANQUE</v>
      </c>
      <c r="F6" s="8">
        <f>VLOOKUP($A6,[9]HISTOJANV22!$A$7:$AU$38,36,0)</f>
        <v>0</v>
      </c>
      <c r="G6" s="8">
        <f>VLOOKUP($A6,[9]HISTOJANV22!$A$7:$AU$38,39,0)</f>
        <v>0</v>
      </c>
      <c r="H6" s="8">
        <f>IF(G6=0,0,VLOOKUP($A6,[9]HISTOJANV22!$A$7:$AU$38,42,0))</f>
        <v>0</v>
      </c>
      <c r="I6" s="8">
        <f>VLOOKUP($A6,[9]HISTOJANV22!$A$7:$AU$38,41,0)</f>
        <v>0</v>
      </c>
      <c r="J6" s="8"/>
      <c r="K6" s="8">
        <f>VLOOKUP($A6,[9]HISTOJANV22!$A$7:$AU$38,17,0)</f>
        <v>0</v>
      </c>
      <c r="L6" s="8" t="str">
        <f>IF(K6&lt;&gt;0,VLOOKUP($A6,[9]HISTOJANV22!$A$6:$BA$36,8,0),"ECHEC")</f>
        <v>ECHEC</v>
      </c>
      <c r="M6" s="8">
        <f>IF(P6=0,0,VLOOKUP($A6,[9]HISTOJANV22!$A$7:$AU$38,32,0))</f>
        <v>0</v>
      </c>
      <c r="N6" s="8">
        <f>VLOOKUP($A6,[9]HISTOJANV22!$A$7:$AU$38,33,0)</f>
        <v>0</v>
      </c>
      <c r="O6" s="8">
        <f t="shared" ref="O6:O21" si="0">IF(P6=0,0,($C$3-P6))</f>
        <v>0</v>
      </c>
      <c r="P6" s="8">
        <f>VLOOKUP($A6,[9]HISTOJANV22!$A$7:$AU$38,30,0)</f>
        <v>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IF(E7="ECHEC",0,VLOOKUP($A7,[9]HISTOJANV22!$A$7:$AQ$36,13,0))</f>
        <v>75000</v>
      </c>
      <c r="E7" s="8" t="str">
        <f>VLOOKUP($A7,[9]HISTOJANV22!$A$7:$AU$38,8,0)</f>
        <v>BANQUE</v>
      </c>
      <c r="F7" s="8">
        <f>VLOOKUP($A7,[9]HISTOJANV22!$A$7:$AU$38,36,0)</f>
        <v>100000</v>
      </c>
      <c r="G7" s="8">
        <f>VLOOKUP($A7,[9]HISTOJANV22!$A$7:$AU$38,39,0)</f>
        <v>2000</v>
      </c>
      <c r="H7" s="8" t="str">
        <f>IF(G7=0,0,VLOOKUP($A7,[9]HISTOJANV22!$A$7:$AU$38,42,0))</f>
        <v>BANQUE</v>
      </c>
      <c r="I7" s="8">
        <f>VLOOKUP($A7,[9]HISTOJANV22!$A$7:$AU$38,41,0)</f>
        <v>0</v>
      </c>
      <c r="J7" s="8"/>
      <c r="K7" s="8">
        <f>VLOOKUP($A7,[9]HISTOJANV22!$A$7:$AU$38,17,0)</f>
        <v>0</v>
      </c>
      <c r="L7" s="8" t="str">
        <f>IF(K7&lt;&gt;0,VLOOKUP($A7,[9]HISTOJANV22!$A$6:$BA$36,8,0),"ECHEC")</f>
        <v>ECHEC</v>
      </c>
      <c r="M7" s="8" t="str">
        <f>IF(P7=0,0,VLOOKUP($A7,[9]HISTOJANV22!$A$7:$AU$38,32,0))</f>
        <v>BANQUE</v>
      </c>
      <c r="N7" s="8">
        <f>VLOOKUP($A7,[9]HISTOJANV22!$A$7:$AU$38,33,0)</f>
        <v>0</v>
      </c>
      <c r="O7" s="8">
        <f t="shared" si="0"/>
        <v>1105000</v>
      </c>
      <c r="P7" s="8">
        <f>VLOOKUP($A7,[9]HISTOJANV22!$A$7:$AU$38,30,0)</f>
        <v>95000</v>
      </c>
      <c r="Q7" s="45">
        <f t="shared" ref="Q7:Q23" si="1">IF(P7=0,0,(P7-75000))</f>
        <v>20000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IF(E8="ECHEC",0,VLOOKUP($A8,[9]HISTOJANV22!$A$7:$AQ$36,13,0))</f>
        <v>75000</v>
      </c>
      <c r="E8" s="8" t="str">
        <f>VLOOKUP($A8,[9]HISTOJANV22!$A$7:$AU$38,8,0)</f>
        <v>BANQUE</v>
      </c>
      <c r="F8" s="8">
        <f>VLOOKUP($A8,[9]HISTOJANV22!$A$7:$AU$38,36,0)</f>
        <v>100000</v>
      </c>
      <c r="G8" s="8">
        <f>VLOOKUP($A8,[9]HISTOJANV22!$A$7:$AU$38,39,0)</f>
        <v>2000</v>
      </c>
      <c r="H8" s="8" t="str">
        <f>IF(G8=0,0,VLOOKUP($A8,[9]HISTOJANV22!$A$7:$AU$38,42,0))</f>
        <v>BANQUE</v>
      </c>
      <c r="I8" s="8">
        <f>VLOOKUP($A8,[9]HISTOJANV22!$A$7:$AU$38,41,0)</f>
        <v>0</v>
      </c>
      <c r="J8" s="8"/>
      <c r="K8" s="8">
        <f>VLOOKUP($A8,[9]HISTOJANV22!$A$7:$AU$38,17,0)</f>
        <v>0</v>
      </c>
      <c r="L8" s="8" t="str">
        <f>IF(K8&lt;&gt;0,VLOOKUP($A8,[9]HISTOJANV22!$A$6:$BA$36,8,0),"ECHEC")</f>
        <v>ECHEC</v>
      </c>
      <c r="M8" s="8">
        <f>IF(P8=0,0,VLOOKUP($A8,[9]HISTOJANV22!$A$7:$AU$38,32,0))</f>
        <v>0</v>
      </c>
      <c r="N8" s="8">
        <f>VLOOKUP($A8,[9]HISTOJANV22!$A$7:$AU$38,33,0)</f>
        <v>0</v>
      </c>
      <c r="O8" s="8">
        <f t="shared" si="0"/>
        <v>0</v>
      </c>
      <c r="P8" s="8">
        <f>VLOOKUP($A8,[9]HISTOJANV22!$A$7:$AU$38,30,0)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IF(E9="ECHEC",0,VLOOKUP($A9,[9]HISTOJANV22!$A$7:$AQ$36,13,0))</f>
        <v>75000</v>
      </c>
      <c r="E9" s="8" t="str">
        <f>VLOOKUP($A9,[9]HISTOJANV22!$A$7:$AU$38,8,0)</f>
        <v>BANQUE</v>
      </c>
      <c r="F9" s="8">
        <f>VLOOKUP($A9,[9]HISTOJANV22!$A$7:$AU$38,36,0)</f>
        <v>0</v>
      </c>
      <c r="G9" s="8">
        <f>VLOOKUP($A9,[9]HISTOJANV22!$A$7:$AU$38,39,0)</f>
        <v>0</v>
      </c>
      <c r="H9" s="8">
        <f>IF(G9=0,0,VLOOKUP($A9,[9]HISTOJANV22!$A$7:$AU$38,42,0))</f>
        <v>0</v>
      </c>
      <c r="I9" s="8">
        <f>VLOOKUP($A9,[9]HISTOJANV22!$A$7:$AU$38,41,0)</f>
        <v>0</v>
      </c>
      <c r="J9" s="8"/>
      <c r="K9" s="8">
        <f>VLOOKUP($A9,[9]HISTOJANV22!$A$7:$AU$38,17,0)</f>
        <v>0</v>
      </c>
      <c r="L9" s="8" t="str">
        <f>IF(K9&lt;&gt;0,VLOOKUP($A9,[9]HISTOJANV22!$A$6:$BA$36,8,0),"ECHEC")</f>
        <v>ECHEC</v>
      </c>
      <c r="M9" s="8">
        <f>IF(P9=0,0,VLOOKUP($A9,[9]HISTOJANV22!$A$7:$AU$38,32,0))</f>
        <v>0</v>
      </c>
      <c r="N9" s="8">
        <f>VLOOKUP($A9,[9]HISTOJANV22!$A$7:$AU$38,33,0)</f>
        <v>0</v>
      </c>
      <c r="O9" s="8">
        <f t="shared" si="0"/>
        <v>0</v>
      </c>
      <c r="P9" s="8">
        <f>VLOOKUP($A9,[9]HISTOJANV22!$A$7:$AU$38,30,0)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IF(E10="ECHEC",0,VLOOKUP($A10,[9]HISTOJANV22!$A$7:$AQ$36,13,0))</f>
        <v>75000</v>
      </c>
      <c r="E10" s="8" t="str">
        <f>VLOOKUP($A10,[9]HISTOJANV22!$A$7:$AU$38,8,0)</f>
        <v>BANQUE</v>
      </c>
      <c r="F10" s="8">
        <f>VLOOKUP($A10,[9]HISTOJANV22!$A$7:$AU$38,36,0)</f>
        <v>0</v>
      </c>
      <c r="G10" s="8">
        <f>VLOOKUP($A10,[9]HISTOJANV22!$A$7:$AU$38,39,0)</f>
        <v>0</v>
      </c>
      <c r="H10" s="8">
        <f>IF(G10=0,0,VLOOKUP($A10,[9]HISTOJANV22!$A$7:$AU$38,42,0))</f>
        <v>0</v>
      </c>
      <c r="I10" s="8">
        <f>VLOOKUP($A10,[9]HISTOJANV22!$A$7:$AU$38,41,0)</f>
        <v>0</v>
      </c>
      <c r="J10" s="8"/>
      <c r="K10" s="8">
        <f>VLOOKUP($A10,[9]HISTOJANV22!$A$7:$AU$38,17,0)</f>
        <v>0</v>
      </c>
      <c r="L10" s="8" t="str">
        <f>IF(K10&lt;&gt;0,VLOOKUP($A10,[9]HISTOJANV22!$A$6:$BA$36,8,0),"ECHEC")</f>
        <v>ECHEC</v>
      </c>
      <c r="M10" s="8">
        <f>IF(P10=0,0,VLOOKUP($A10,[9]HISTOJANV22!$A$7:$AU$38,32,0))</f>
        <v>0</v>
      </c>
      <c r="N10" s="8">
        <f>VLOOKUP($A10,[9]HISTOJANV22!$A$7:$AU$38,33,0)</f>
        <v>0</v>
      </c>
      <c r="O10" s="8">
        <f t="shared" si="0"/>
        <v>0</v>
      </c>
      <c r="P10" s="8">
        <f>VLOOKUP($A10,[9]HISTOJANV22!$A$7:$AU$38,30,0)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IF(E11="ECHEC",0,VLOOKUP($A11,[9]HISTOJANV22!$A$7:$AQ$36,13,0))</f>
        <v>75000</v>
      </c>
      <c r="E11" s="8" t="str">
        <f>VLOOKUP($A11,[9]HISTOJANV22!$A$7:$AU$38,8,0)</f>
        <v>BANQUE</v>
      </c>
      <c r="F11" s="8">
        <f>VLOOKUP($A11,[9]HISTOJANV22!$A$7:$AU$38,36,0)</f>
        <v>0</v>
      </c>
      <c r="G11" s="8">
        <f>VLOOKUP($A11,[9]HISTOJANV22!$A$7:$AU$38,39,0)</f>
        <v>0</v>
      </c>
      <c r="H11" s="8">
        <f>IF(G11=0,0,VLOOKUP($A11,[9]HISTOJANV22!$A$7:$AU$38,42,0))</f>
        <v>0</v>
      </c>
      <c r="I11" s="8">
        <f>VLOOKUP($A11,[9]HISTOJANV22!$A$7:$AU$38,41,0)</f>
        <v>0</v>
      </c>
      <c r="J11" s="8"/>
      <c r="K11" s="8">
        <f>VLOOKUP($A11,[9]HISTOJANV22!$A$7:$AU$38,17,0)</f>
        <v>0</v>
      </c>
      <c r="L11" s="8" t="str">
        <f>IF(K11&lt;&gt;0,VLOOKUP($A11,[9]HISTOJANV22!$A$6:$BA$36,8,0),"ECHEC")</f>
        <v>ECHEC</v>
      </c>
      <c r="M11" s="8">
        <f>IF(P11=0,0,VLOOKUP($A11,[9]HISTOJANV22!$A$7:$AU$38,32,0))</f>
        <v>0</v>
      </c>
      <c r="N11" s="8">
        <f>VLOOKUP($A11,[9]HISTOJANV22!$A$7:$AU$38,33,0)</f>
        <v>0</v>
      </c>
      <c r="O11" s="8">
        <f t="shared" si="0"/>
        <v>0</v>
      </c>
      <c r="P11" s="8">
        <f>VLOOKUP($A11,[9]HISTOJANV22!$A$7:$AU$38,30,0)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IF(E12="ECHEC",0,VLOOKUP($A12,[9]HISTOJANV22!$A$7:$AQ$36,13,0))</f>
        <v>75000</v>
      </c>
      <c r="E12" s="8" t="str">
        <f>VLOOKUP($A12,[9]HISTOJANV22!$A$7:$AU$38,8,0)</f>
        <v>BANQUE</v>
      </c>
      <c r="F12" s="8">
        <f>VLOOKUP($A12,[9]HISTOJANV22!$A$7:$AU$38,36,0)</f>
        <v>100000</v>
      </c>
      <c r="G12" s="8">
        <f>VLOOKUP($A12,[9]HISTOJANV22!$A$7:$AU$38,39,0)</f>
        <v>2000</v>
      </c>
      <c r="H12" s="8" t="str">
        <f>IF(G12=0,0,VLOOKUP($A12,[9]HISTOJANV22!$A$7:$AU$38,42,0))</f>
        <v>BANQUE</v>
      </c>
      <c r="I12" s="8">
        <f>VLOOKUP($A12,[9]HISTOJANV22!$A$7:$AU$38,41,0)</f>
        <v>0</v>
      </c>
      <c r="J12" s="8">
        <v>206000</v>
      </c>
      <c r="K12" s="8">
        <f>VLOOKUP($A12,[9]HISTOJANV22!$A$7:$AU$38,17,0)</f>
        <v>206000</v>
      </c>
      <c r="L12" s="8" t="str">
        <f>IF(K12&lt;&gt;0,VLOOKUP($A12,[9]HISTOJANV22!$A$6:$BA$36,8,0),"ECHEC")</f>
        <v>BANQUE</v>
      </c>
      <c r="M12" s="8">
        <f>IF(P12=0,0,VLOOKUP($A12,[9]HISTOJANV22!$A$7:$AU$38,32,0))</f>
        <v>0</v>
      </c>
      <c r="N12" s="8">
        <f>VLOOKUP($A12,[9]HISTOJANV22!$A$7:$AU$38,33,0)</f>
        <v>0</v>
      </c>
      <c r="O12" s="8">
        <f t="shared" si="0"/>
        <v>0</v>
      </c>
      <c r="P12" s="8">
        <f>VLOOKUP($A12,[9]HISTOJANV22!$A$7:$AU$38,30,0)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IF(E13="ECHEC",0,VLOOKUP($A13,[9]HISTOJANV22!$A$7:$AQ$36,13,0))</f>
        <v>225000</v>
      </c>
      <c r="E13" s="8" t="str">
        <f>VLOOKUP($A13,[9]HISTOJANV22!$A$7:$AU$38,8,0)</f>
        <v>BANQUE</v>
      </c>
      <c r="F13" s="8">
        <f>VLOOKUP($A13,[9]HISTOJANV22!$A$7:$AU$38,36,0)</f>
        <v>100000</v>
      </c>
      <c r="G13" s="8">
        <f>VLOOKUP($A13,[9]HISTOJANV22!$A$7:$AU$38,39,0)</f>
        <v>2000</v>
      </c>
      <c r="H13" s="8" t="str">
        <f>IF(G13=0,0,VLOOKUP($A13,[9]HISTOJANV22!$A$7:$AU$38,42,0))</f>
        <v>BANQUE</v>
      </c>
      <c r="I13" s="8">
        <f>VLOOKUP($A13,[9]HISTOJANV22!$A$7:$AU$38,41,0)</f>
        <v>0</v>
      </c>
      <c r="J13" s="8"/>
      <c r="K13" s="8">
        <f>VLOOKUP($A13,[9]HISTOJANV22!$A$7:$AU$38,17,0)</f>
        <v>0</v>
      </c>
      <c r="L13" s="8" t="str">
        <f>IF(K13&lt;&gt;0,VLOOKUP($A13,[9]HISTOJANV22!$A$6:$BA$36,8,0),"ECHEC")</f>
        <v>ECHEC</v>
      </c>
      <c r="M13" s="8">
        <f>IF(P13=0,0,VLOOKUP($A13,[9]HISTOJANV22!$A$7:$AU$38,32,0))</f>
        <v>0</v>
      </c>
      <c r="N13" s="8">
        <f>VLOOKUP($A13,[9]HISTOJANV22!$A$7:$AU$38,33,0)</f>
        <v>0</v>
      </c>
      <c r="O13" s="8">
        <f t="shared" si="0"/>
        <v>0</v>
      </c>
      <c r="P13" s="8">
        <f>VLOOKUP($A13,[9]HISTOJANV22!$A$7:$AU$38,30,0)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IF(E14="ECHEC",0,VLOOKUP($A14,[9]HISTOJANV22!$A$7:$AQ$36,13,0))</f>
        <v>75000</v>
      </c>
      <c r="E14" s="8" t="str">
        <f>VLOOKUP($A14,[9]HISTOJANV22!$A$7:$AU$38,8,0)</f>
        <v>BANQUE</v>
      </c>
      <c r="F14" s="8">
        <f>VLOOKUP($A14,[9]HISTOJANV22!$A$7:$AU$38,36,0)</f>
        <v>0</v>
      </c>
      <c r="G14" s="8">
        <f>VLOOKUP($A14,[9]HISTOJANV22!$A$7:$AU$38,39,0)</f>
        <v>0</v>
      </c>
      <c r="H14" s="8">
        <f>IF(G14=0,0,VLOOKUP($A14,[9]HISTOJANV22!$A$7:$AU$38,42,0))</f>
        <v>0</v>
      </c>
      <c r="I14" s="8">
        <f>VLOOKUP($A14,[9]HISTOJANV22!$A$7:$AU$38,41,0)</f>
        <v>0</v>
      </c>
      <c r="J14" s="8"/>
      <c r="K14" s="8">
        <f>VLOOKUP($A14,[9]HISTOJANV22!$A$7:$AU$38,17,0)</f>
        <v>0</v>
      </c>
      <c r="L14" s="8" t="str">
        <f>IF(K14&lt;&gt;0,VLOOKUP($A14,[9]HISTOJANV22!$A$6:$BA$36,8,0),"ECHEC")</f>
        <v>ECHEC</v>
      </c>
      <c r="M14" s="8">
        <f>IF(P14=0,0,VLOOKUP($A14,[9]HISTOJANV22!$A$7:$AU$38,32,0))</f>
        <v>0</v>
      </c>
      <c r="N14" s="8">
        <f>VLOOKUP($A14,[9]HISTOJANV22!$A$7:$AU$38,33,0)</f>
        <v>0</v>
      </c>
      <c r="O14" s="8">
        <f t="shared" si="0"/>
        <v>0</v>
      </c>
      <c r="P14" s="8">
        <f>VLOOKUP($A14,[9]HISTOJANV22!$A$7:$AU$38,30,0)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IF(E15="ECHEC",0,VLOOKUP($A15,[9]HISTOJANV22!$A$7:$AQ$36,13,0))</f>
        <v>75000</v>
      </c>
      <c r="E15" s="8" t="str">
        <f>VLOOKUP($A15,[9]HISTOJANV22!$A$7:$AU$38,8,0)</f>
        <v>BANQUE</v>
      </c>
      <c r="F15" s="8">
        <f>VLOOKUP($A15,[9]HISTOJANV22!$A$7:$AU$38,36,0)</f>
        <v>100000</v>
      </c>
      <c r="G15" s="8">
        <f>VLOOKUP($A15,[9]HISTOJANV22!$A$7:$AU$38,39,0)</f>
        <v>2000</v>
      </c>
      <c r="H15" s="8" t="str">
        <f>IF(G15=0,0,VLOOKUP($A15,[9]HISTOJANV22!$A$7:$AU$38,42,0))</f>
        <v>BANQUE</v>
      </c>
      <c r="I15" s="8">
        <f>VLOOKUP($A15,[9]HISTOJANV22!$A$7:$AU$38,41,0)</f>
        <v>0</v>
      </c>
      <c r="J15" s="8"/>
      <c r="K15" s="8">
        <f>VLOOKUP($A15,[9]HISTOJANV22!$A$7:$AU$38,17,0)</f>
        <v>0</v>
      </c>
      <c r="L15" s="8" t="str">
        <f>IF(K15&lt;&gt;0,VLOOKUP($A15,[9]HISTOJANV22!$A$6:$BA$36,8,0),"ECHEC")</f>
        <v>ECHEC</v>
      </c>
      <c r="M15" s="8">
        <f>IF(P15=0,0,VLOOKUP($A15,[9]HISTOJANV22!$A$7:$AU$38,32,0))</f>
        <v>0</v>
      </c>
      <c r="N15" s="8">
        <f>VLOOKUP($A15,[9]HISTOJANV22!$A$7:$AU$38,33,0)</f>
        <v>0</v>
      </c>
      <c r="O15" s="8">
        <f t="shared" si="0"/>
        <v>0</v>
      </c>
      <c r="P15" s="8">
        <f>VLOOKUP($A15,[9]HISTOJANV22!$A$7:$AU$38,30,0)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IF(E16="ECHEC",0,VLOOKUP($A16,[9]HISTOJANV22!$A$7:$AQ$36,13,0))</f>
        <v>150000</v>
      </c>
      <c r="E16" s="8" t="str">
        <f>VLOOKUP($A16,[9]HISTOJANV22!$A$7:$AU$38,8,0)</f>
        <v>BANQUE</v>
      </c>
      <c r="F16" s="8">
        <f>VLOOKUP($A16,[9]HISTOJANV22!$A$7:$AU$38,36,0)</f>
        <v>30500</v>
      </c>
      <c r="G16" s="8">
        <f>VLOOKUP($A16,[9]HISTOJANV22!$A$7:$AU$38,39,0)</f>
        <v>500</v>
      </c>
      <c r="H16" s="8" t="str">
        <f>IF(G16=0,0,VLOOKUP($A16,[9]HISTOJANV22!$A$7:$AU$38,42,0))</f>
        <v>BANQUE</v>
      </c>
      <c r="I16" s="8">
        <f>VLOOKUP($A16,[9]HISTOJANV22!$A$7:$AU$38,41,0)</f>
        <v>0</v>
      </c>
      <c r="J16" s="8"/>
      <c r="K16" s="8">
        <f>VLOOKUP($A16,[9]HISTOJANV22!$A$7:$AU$38,17,0)</f>
        <v>0</v>
      </c>
      <c r="L16" s="8" t="str">
        <f>IF(K16&lt;&gt;0,VLOOKUP($A16,[9]HISTOJANV22!$A$6:$BA$36,8,0),"ECHEC")</f>
        <v>ECHEC</v>
      </c>
      <c r="M16" s="8">
        <f>IF(P16=0,0,VLOOKUP($A16,[9]HISTOJANV22!$A$7:$AU$38,32,0))</f>
        <v>0</v>
      </c>
      <c r="N16" s="8">
        <f>VLOOKUP($A16,[9]HISTOJANV22!$A$7:$AU$38,33,0)</f>
        <v>0</v>
      </c>
      <c r="O16" s="8">
        <f t="shared" si="0"/>
        <v>0</v>
      </c>
      <c r="P16" s="8">
        <f>VLOOKUP($A16,[9]HISTOJANV22!$A$7:$AU$38,30,0)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IF(E17="ECHEC",0,VLOOKUP($A17,[9]HISTOJANV22!$A$7:$AQ$36,13,0))</f>
        <v>75000</v>
      </c>
      <c r="E17" s="8" t="str">
        <f>VLOOKUP($A17,[9]HISTOJANV22!$A$7:$AU$38,8,0)</f>
        <v>BANQUE</v>
      </c>
      <c r="F17" s="8">
        <f>VLOOKUP($A17,[9]HISTOJANV22!$A$7:$AU$38,36,0)</f>
        <v>100000</v>
      </c>
      <c r="G17" s="8">
        <f>VLOOKUP($A17,[9]HISTOJANV22!$A$7:$AU$38,39,0)</f>
        <v>2000</v>
      </c>
      <c r="H17" s="8" t="str">
        <f>IF(G17=0,0,VLOOKUP($A17,[9]HISTOJANV22!$A$7:$AU$38,42,0))</f>
        <v>BANQUE</v>
      </c>
      <c r="I17" s="8">
        <f>VLOOKUP($A17,[9]HISTOJANV22!$A$7:$AU$38,41,0)</f>
        <v>0</v>
      </c>
      <c r="J17" s="8">
        <v>29500</v>
      </c>
      <c r="K17" s="8">
        <f>VLOOKUP($A17,[9]HISTOJANV22!$A$7:$AU$38,17,0)</f>
        <v>29500</v>
      </c>
      <c r="L17" s="8" t="str">
        <f>IF(K17&lt;&gt;0,VLOOKUP($A17,[9]HISTOJANV22!$A$6:$BA$36,8,0),"ECHEC")</f>
        <v>BANQUE</v>
      </c>
      <c r="M17" s="8">
        <f>IF(P17=0,0,VLOOKUP($A17,[9]HISTOJANV22!$A$7:$AU$38,32,0))</f>
        <v>0</v>
      </c>
      <c r="N17" s="8">
        <f>VLOOKUP($A17,[9]HISTOJANV22!$A$7:$AU$38,33,0)</f>
        <v>0</v>
      </c>
      <c r="O17" s="8">
        <f t="shared" si="0"/>
        <v>0</v>
      </c>
      <c r="P17" s="8">
        <f>VLOOKUP($A17,[9]HISTOJANV22!$A$7:$AU$38,30,0)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IF(E18="ECHEC",0,VLOOKUP($A18,[9]HISTOJANV22!$A$7:$AQ$36,13,0))</f>
        <v>75000</v>
      </c>
      <c r="E18" s="8" t="str">
        <f>VLOOKUP($A18,[9]HISTOJANV22!$A$7:$AU$38,8,0)</f>
        <v>BANQUE</v>
      </c>
      <c r="F18" s="8">
        <f>VLOOKUP($A18,[9]HISTOJANV22!$A$7:$AU$38,36,0)</f>
        <v>0</v>
      </c>
      <c r="G18" s="8">
        <f>VLOOKUP($A18,[9]HISTOJANV22!$A$7:$AU$38,39,0)</f>
        <v>0</v>
      </c>
      <c r="H18" s="8">
        <f>IF(G18=0,0,VLOOKUP($A18,[9]HISTOJANV22!$A$7:$AU$38,42,0))</f>
        <v>0</v>
      </c>
      <c r="I18" s="8">
        <f>VLOOKUP($A18,[9]HISTOJANV22!$A$7:$AU$38,41,0)</f>
        <v>0</v>
      </c>
      <c r="J18" s="8"/>
      <c r="K18" s="8">
        <f>VLOOKUP($A18,[9]HISTOJANV22!$A$7:$AU$38,17,0)</f>
        <v>0</v>
      </c>
      <c r="L18" s="8" t="str">
        <f>IF(K18&lt;&gt;0,VLOOKUP($A18,[9]HISTOJANV22!$A$6:$BA$36,8,0),"ECHEC")</f>
        <v>ECHEC</v>
      </c>
      <c r="M18" s="8">
        <f>IF(P18=0,0,VLOOKUP($A18,[9]HISTOJANV22!$A$7:$AU$38,32,0))</f>
        <v>0</v>
      </c>
      <c r="N18" s="8">
        <f>VLOOKUP($A18,[9]HISTOJANV22!$A$7:$AU$38,33,0)</f>
        <v>0</v>
      </c>
      <c r="O18" s="8">
        <f t="shared" si="0"/>
        <v>0</v>
      </c>
      <c r="P18" s="8">
        <f>VLOOKUP($A18,[9]HISTOJANV22!$A$7:$AU$38,30,0)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IF(E19="ECHEC",0,VLOOKUP($A19,[9]HISTOJANV22!$A$7:$AQ$36,13,0))</f>
        <v>75000</v>
      </c>
      <c r="E19" s="8" t="str">
        <f>VLOOKUP($A19,[9]HISTOJANV22!$A$7:$AU$38,8,0)</f>
        <v>BANQUE</v>
      </c>
      <c r="F19" s="8">
        <f>VLOOKUP($A19,[9]HISTOJANV22!$A$7:$AU$38,36,0)</f>
        <v>0</v>
      </c>
      <c r="G19" s="8">
        <f>VLOOKUP($A19,[9]HISTOJANV22!$A$7:$AU$38,39,0)</f>
        <v>0</v>
      </c>
      <c r="H19" s="8">
        <f>IF(G19=0,0,VLOOKUP($A19,[9]HISTOJANV22!$A$7:$AU$38,42,0))</f>
        <v>0</v>
      </c>
      <c r="I19" s="8">
        <f>VLOOKUP($A19,[9]HISTOJANV22!$A$7:$AU$38,41,0)</f>
        <v>0</v>
      </c>
      <c r="J19" s="8"/>
      <c r="K19" s="8">
        <f>VLOOKUP($A19,[9]HISTOJANV22!$A$7:$AU$38,17,0)</f>
        <v>0</v>
      </c>
      <c r="L19" s="8" t="str">
        <f>IF(K19&lt;&gt;0,VLOOKUP($A19,[9]HISTOJANV22!$A$6:$BA$36,8,0),"ECHEC")</f>
        <v>ECHEC</v>
      </c>
      <c r="M19" s="8">
        <f>IF(P19=0,0,VLOOKUP($A19,[9]HISTOJANV22!$A$7:$AU$38,32,0))</f>
        <v>0</v>
      </c>
      <c r="N19" s="8">
        <f>VLOOKUP($A19,[9]HISTOJANV22!$A$7:$AU$38,33,0)</f>
        <v>0</v>
      </c>
      <c r="O19" s="8">
        <f t="shared" si="0"/>
        <v>0</v>
      </c>
      <c r="P19" s="8">
        <f>VLOOKUP($A19,[9]HISTOJANV22!$A$7:$AU$38,30,0)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IF(E20="ECHEC",0,VLOOKUP($A20,[9]HISTOJANV22!$A$7:$AQ$36,13,0))</f>
        <v>75000</v>
      </c>
      <c r="E20" s="8" t="str">
        <f>VLOOKUP($A20,[9]HISTOJANV22!$A$7:$AU$38,8,0)</f>
        <v>BANQUE</v>
      </c>
      <c r="F20" s="8">
        <f>VLOOKUP($A20,[9]HISTOJANV22!$A$7:$AU$38,36,0)</f>
        <v>0</v>
      </c>
      <c r="G20" s="8">
        <f>VLOOKUP($A20,[9]HISTOJANV22!$A$7:$AU$38,39,0)</f>
        <v>0</v>
      </c>
      <c r="H20" s="8">
        <f>IF(G20=0,0,VLOOKUP($A20,[9]HISTOJANV22!$A$7:$AU$38,42,0))</f>
        <v>0</v>
      </c>
      <c r="I20" s="8">
        <f>VLOOKUP($A20,[9]HISTOJANV22!$A$7:$AU$38,41,0)</f>
        <v>0</v>
      </c>
      <c r="J20" s="8"/>
      <c r="K20" s="8">
        <f>VLOOKUP($A20,[9]HISTOJANV22!$A$7:$AU$38,17,0)</f>
        <v>0</v>
      </c>
      <c r="L20" s="8" t="str">
        <f>IF(K20&lt;&gt;0,VLOOKUP($A20,[9]HISTOJANV22!$A$6:$BA$36,8,0),"ECHEC")</f>
        <v>ECHEC</v>
      </c>
      <c r="M20" s="8">
        <f>IF(P20=0,0,VLOOKUP($A20,[9]HISTOJANV22!$A$7:$AU$38,32,0))</f>
        <v>0</v>
      </c>
      <c r="N20" s="8">
        <f>VLOOKUP($A20,[9]HISTOJANV22!$A$7:$AU$38,33,0)</f>
        <v>0</v>
      </c>
      <c r="O20" s="8">
        <f t="shared" si="0"/>
        <v>0</v>
      </c>
      <c r="P20" s="8">
        <f>VLOOKUP($A20,[9]HISTOJANV22!$A$7:$AU$38,30,0)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IF(E21="ECHEC",0,VLOOKUP($A21,[9]HISTOJANV22!$A$7:$AQ$36,13,0))</f>
        <v>150000</v>
      </c>
      <c r="E21" s="8" t="str">
        <f>VLOOKUP($A21,[9]HISTOJANV22!$A$7:$AU$38,8,0)</f>
        <v>BANQUE</v>
      </c>
      <c r="F21" s="8">
        <f>VLOOKUP($A21,[9]HISTOJANV22!$A$7:$AU$38,36,0)</f>
        <v>0</v>
      </c>
      <c r="G21" s="8">
        <f>VLOOKUP($A21,[9]HISTOJANV22!$A$7:$AU$38,39,0)</f>
        <v>0</v>
      </c>
      <c r="H21" s="8">
        <f>IF(G21=0,0,VLOOKUP($A21,[9]HISTOJANV22!$A$7:$AU$38,42,0))</f>
        <v>0</v>
      </c>
      <c r="I21" s="8">
        <f>VLOOKUP($A21,[9]HISTOJANV22!$A$7:$AU$38,41,0)</f>
        <v>0</v>
      </c>
      <c r="J21" s="8"/>
      <c r="K21" s="8">
        <f>VLOOKUP($A21,[9]HISTOJANV22!$A$7:$AU$38,17,0)</f>
        <v>0</v>
      </c>
      <c r="L21" s="8" t="str">
        <f>IF(K21&lt;&gt;0,VLOOKUP($A21,[9]HISTOJANV22!$A$6:$BA$36,8,0),"ECHEC")</f>
        <v>ECHEC</v>
      </c>
      <c r="M21" s="8">
        <f>IF(P21=0,0,VLOOKUP($A21,[9]HISTOJANV22!$A$7:$AU$38,32,0))</f>
        <v>0</v>
      </c>
      <c r="N21" s="8">
        <f>VLOOKUP($A21,[9]HISTOJANV22!$A$7:$AU$38,33,0)</f>
        <v>0</v>
      </c>
      <c r="O21" s="8">
        <f t="shared" si="0"/>
        <v>0</v>
      </c>
      <c r="P21" s="8">
        <f>VLOOKUP($A21,[9]HISTOJANV22!$A$7:$AU$38,30,0)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630500</v>
      </c>
      <c r="G24" s="9">
        <f t="shared" si="2"/>
        <v>12500</v>
      </c>
      <c r="H24" s="9">
        <f t="shared" si="2"/>
        <v>0</v>
      </c>
      <c r="I24" s="9">
        <f t="shared" si="2"/>
        <v>0</v>
      </c>
      <c r="J24" s="9">
        <f t="shared" si="2"/>
        <v>235500</v>
      </c>
      <c r="K24" s="9">
        <f t="shared" si="2"/>
        <v>235500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1105000</v>
      </c>
      <c r="P24" s="9">
        <f t="shared" si="2"/>
        <v>95000</v>
      </c>
      <c r="Q24" s="9">
        <f t="shared" si="2"/>
        <v>20000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D30+E30+P24+TONTDEC21!N31</f>
        <v>2032500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SUMIFS(K6:K18,L6:L18,"ESPECES")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SUMIFS(K6:K18,L6:L18,"BANQUE")</f>
        <v>235500</v>
      </c>
      <c r="F28" s="9">
        <f>SUMIFS(F6:F23,H6:H23,"BANQUE")</f>
        <v>630500</v>
      </c>
      <c r="G28" s="9">
        <f>SUMIFS(O6:O23,M6:M23,"BANQUE")</f>
        <v>1105000</v>
      </c>
      <c r="H28" s="9">
        <f>D28+E28-F28-G28</f>
        <v>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K26-K27-202000</f>
        <v>630500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235500</v>
      </c>
      <c r="F30" s="9">
        <f>F27+F28</f>
        <v>630500</v>
      </c>
      <c r="G30" s="9">
        <f t="shared" ref="G30:H30" si="3">G27+G28</f>
        <v>1105000</v>
      </c>
      <c r="H30" s="9">
        <f t="shared" si="3"/>
        <v>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+K33+TONTDEC21!N33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+K34+TONTDEC21!N34</f>
        <v>0</v>
      </c>
      <c r="N34" s="9" t="s">
        <v>57</v>
      </c>
    </row>
  </sheetData>
  <autoFilter ref="A5:P17">
    <sortState ref="A5:N48">
      <sortCondition ref="C5:C48"/>
    </sortState>
  </autoFilter>
  <sortState ref="A6:R21">
    <sortCondition ref="C6:C21"/>
  </sortState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18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IF(E6="ECHEC",0,VLOOKUP($A6,[9]HISTOFEV22!$A$7:$AQ$36,13,0))</f>
        <v>75000</v>
      </c>
      <c r="E6" s="8" t="str">
        <f>VLOOKUP($A6,[9]HISTOFEV22!$A$7:$AU$38,8,0)</f>
        <v>BANQUE</v>
      </c>
      <c r="F6" s="8">
        <f>VLOOKUP($A6,[9]HISTOFEV22!$A$7:$AU$38,36,0)</f>
        <v>0</v>
      </c>
      <c r="G6" s="8">
        <f>VLOOKUP($A6,[9]HISTOFEV22!$A$7:$AU$38,39,0)</f>
        <v>0</v>
      </c>
      <c r="H6" s="8">
        <f>IF(G6=0,0,VLOOKUP($A6,[9]HISTOFEV22!$A$7:$AU$38,42,0))</f>
        <v>0</v>
      </c>
      <c r="I6" s="8">
        <f>VLOOKUP($A6,[9]HISTOFEV22!$A$7:$AU$38,41,0)</f>
        <v>0</v>
      </c>
      <c r="J6" s="8">
        <f>TONTJANV22!F6+TONTJANV22!G6</f>
        <v>0</v>
      </c>
      <c r="K6" s="8">
        <f>VLOOKUP($A6,[9]HISTOFEV22!$A$7:$AU$38,17,0)</f>
        <v>0</v>
      </c>
      <c r="L6" s="8" t="str">
        <f>IF(K6&lt;&gt;0,VLOOKUP($A6,[9]HISTOFEV22!$A$6:$BA$36,8,0),"ECHEC")</f>
        <v>ECHEC</v>
      </c>
      <c r="M6" s="8">
        <f>IF(P6=0,0,VLOOKUP($A6,[9]HISTOFEV22!$A$7:$AU$38,32,0))</f>
        <v>0</v>
      </c>
      <c r="N6" s="8">
        <f>VLOOKUP($A6,[9]HISTOFEV22!$A$7:$AU$38,33,0)</f>
        <v>0</v>
      </c>
      <c r="O6" s="8">
        <f t="shared" ref="O6:O21" si="0">IF(P6=0,0,($C$3-P6))</f>
        <v>0</v>
      </c>
      <c r="P6" s="8">
        <f>VLOOKUP($A6,[9]HISTOFEV22!$A$7:$AU$38,30,0)</f>
        <v>0</v>
      </c>
      <c r="Q6" s="45">
        <f>IF(P6=0,0,(P6-75000))</f>
        <v>0</v>
      </c>
      <c r="R6">
        <v>2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IF(E7="ECHEC",0,VLOOKUP($A7,[9]HISTOFEV22!$A$7:$AQ$36,13,0))</f>
        <v>75000</v>
      </c>
      <c r="E7" s="8" t="str">
        <f>VLOOKUP($A7,[9]HISTOFEV22!$A$7:$AU$38,8,0)</f>
        <v>BANQUE</v>
      </c>
      <c r="F7" s="8">
        <f>VLOOKUP($A7,[9]HISTOFEV22!$A$7:$AU$38,36,0)</f>
        <v>0</v>
      </c>
      <c r="G7" s="8">
        <f>VLOOKUP($A7,[9]HISTOFEV22!$A$7:$AU$38,39,0)</f>
        <v>0</v>
      </c>
      <c r="H7" s="8">
        <f>IF(G7=0,0,VLOOKUP($A7,[9]HISTOFEV22!$A$7:$AU$38,42,0))</f>
        <v>0</v>
      </c>
      <c r="I7" s="8">
        <f>VLOOKUP($A7,[9]HISTOFEV22!$A$7:$AU$38,41,0)</f>
        <v>0</v>
      </c>
      <c r="J7" s="8">
        <f>TONTJANV22!F7+TONTJANV22!G7</f>
        <v>102000</v>
      </c>
      <c r="K7" s="8">
        <f>VLOOKUP($A7,[9]HISTOFEV22!$A$7:$AU$38,17,0)</f>
        <v>102000</v>
      </c>
      <c r="L7" s="8" t="str">
        <f>IF(K7&lt;&gt;0,VLOOKUP($A7,[9]HISTOFEV22!$A$6:$BA$36,8,0),"ECHEC")</f>
        <v>BANQUE</v>
      </c>
      <c r="M7" s="8">
        <f>IF(P7=0,0,VLOOKUP($A7,[9]HISTOFEV22!$A$7:$AU$38,32,0))</f>
        <v>0</v>
      </c>
      <c r="N7" s="8">
        <f>VLOOKUP($A7,[9]HISTOFEV22!$A$7:$AU$38,33,0)</f>
        <v>0</v>
      </c>
      <c r="O7" s="8">
        <f t="shared" si="0"/>
        <v>0</v>
      </c>
      <c r="P7" s="8">
        <f>VLOOKUP($A7,[9]HISTOFEV22!$A$7:$AU$38,30,0)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IF(E8="ECHEC",0,VLOOKUP($A8,[9]HISTOFEV22!$A$7:$AQ$36,13,0))</f>
        <v>75000</v>
      </c>
      <c r="E8" s="8" t="str">
        <f>VLOOKUP($A8,[9]HISTOFEV22!$A$7:$AU$38,8,0)</f>
        <v>BANQUE</v>
      </c>
      <c r="F8" s="8">
        <f>VLOOKUP($A8,[9]HISTOFEV22!$A$7:$AU$38,36,0)</f>
        <v>0</v>
      </c>
      <c r="G8" s="8">
        <f>VLOOKUP($A8,[9]HISTOFEV22!$A$7:$AU$38,39,0)</f>
        <v>0</v>
      </c>
      <c r="H8" s="8">
        <f>IF(G8=0,0,VLOOKUP($A8,[9]HISTOFEV22!$A$7:$AU$38,42,0))</f>
        <v>0</v>
      </c>
      <c r="I8" s="8">
        <f>VLOOKUP($A8,[9]HISTOFEV22!$A$7:$AU$38,41,0)</f>
        <v>0</v>
      </c>
      <c r="J8" s="8">
        <f>TONTJANV22!F8+TONTJANV22!G8</f>
        <v>102000</v>
      </c>
      <c r="K8" s="8">
        <f>VLOOKUP($A8,[9]HISTOFEV22!$A$7:$AU$38,17,0)</f>
        <v>102000</v>
      </c>
      <c r="L8" s="8" t="str">
        <f>IF(K8&lt;&gt;0,VLOOKUP($A8,[9]HISTOFEV22!$A$6:$BA$36,8,0),"ECHEC")</f>
        <v>BANQUE</v>
      </c>
      <c r="M8" s="8">
        <f>IF(P8=0,0,VLOOKUP($A8,[9]HISTOFEV22!$A$7:$AU$38,32,0))</f>
        <v>0</v>
      </c>
      <c r="N8" s="8">
        <f>VLOOKUP($A8,[9]HISTOFEV22!$A$7:$AU$38,33,0)</f>
        <v>0</v>
      </c>
      <c r="O8" s="8">
        <f t="shared" si="0"/>
        <v>0</v>
      </c>
      <c r="P8" s="8">
        <f>VLOOKUP($A8,[9]HISTOFEV22!$A$7:$AU$38,30,0)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IF(E9="ECHEC",0,VLOOKUP($A9,[9]HISTOFEV22!$A$7:$AQ$36,13,0))</f>
        <v>75000</v>
      </c>
      <c r="E9" s="8" t="str">
        <f>VLOOKUP($A9,[9]HISTOFEV22!$A$7:$AU$38,8,0)</f>
        <v>BANQUE</v>
      </c>
      <c r="F9" s="8">
        <f>VLOOKUP($A9,[9]HISTOFEV22!$A$7:$AU$38,36,0)</f>
        <v>0</v>
      </c>
      <c r="G9" s="8">
        <f>VLOOKUP($A9,[9]HISTOFEV22!$A$7:$AU$38,39,0)</f>
        <v>0</v>
      </c>
      <c r="H9" s="8">
        <f>IF(G9=0,0,VLOOKUP($A9,[9]HISTOFEV22!$A$7:$AU$38,42,0))</f>
        <v>0</v>
      </c>
      <c r="I9" s="8">
        <f>VLOOKUP($A9,[9]HISTOFEV22!$A$7:$AU$38,41,0)</f>
        <v>0</v>
      </c>
      <c r="J9" s="8">
        <f>TONTJANV22!F9+TONTJANV22!G9</f>
        <v>0</v>
      </c>
      <c r="K9" s="8">
        <f>VLOOKUP($A9,[9]HISTOFEV22!$A$7:$AU$38,17,0)</f>
        <v>0</v>
      </c>
      <c r="L9" s="8" t="str">
        <f>IF(K9&lt;&gt;0,VLOOKUP($A9,[9]HISTOFEV22!$A$6:$BA$36,8,0),"ECHEC")</f>
        <v>ECHEC</v>
      </c>
      <c r="M9" s="8">
        <f>IF(P9=0,0,VLOOKUP($A9,[9]HISTOFEV22!$A$7:$AU$38,32,0))</f>
        <v>0</v>
      </c>
      <c r="N9" s="8">
        <f>VLOOKUP($A9,[9]HISTOFEV22!$A$7:$AU$38,33,0)</f>
        <v>0</v>
      </c>
      <c r="O9" s="8">
        <f t="shared" si="0"/>
        <v>0</v>
      </c>
      <c r="P9" s="8">
        <f>VLOOKUP($A9,[9]HISTOFEV22!$A$7:$AU$38,30,0)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IF(E10="ECHEC",0,VLOOKUP($A10,[9]HISTOFEV22!$A$7:$AQ$36,13,0))</f>
        <v>75000</v>
      </c>
      <c r="E10" s="8" t="str">
        <f>VLOOKUP($A10,[9]HISTOFEV22!$A$7:$AU$38,8,0)</f>
        <v>BANQUE</v>
      </c>
      <c r="F10" s="8">
        <f>VLOOKUP($A10,[9]HISTOFEV22!$A$7:$AU$38,36,0)</f>
        <v>0</v>
      </c>
      <c r="G10" s="8">
        <f>VLOOKUP($A10,[9]HISTOFEV22!$A$7:$AU$38,39,0)</f>
        <v>0</v>
      </c>
      <c r="H10" s="8">
        <f>IF(G10=0,0,VLOOKUP($A10,[9]HISTOFEV22!$A$7:$AU$38,42,0))</f>
        <v>0</v>
      </c>
      <c r="I10" s="8">
        <f>VLOOKUP($A10,[9]HISTOFEV22!$A$7:$AU$38,41,0)</f>
        <v>0</v>
      </c>
      <c r="J10" s="8">
        <f>TONTJANV22!F10+TONTJANV22!G10</f>
        <v>0</v>
      </c>
      <c r="K10" s="8">
        <f>VLOOKUP($A10,[9]HISTOFEV22!$A$7:$AU$38,17,0)</f>
        <v>0</v>
      </c>
      <c r="L10" s="8" t="str">
        <f>IF(K10&lt;&gt;0,VLOOKUP($A10,[9]HISTOFEV22!$A$6:$BA$36,8,0),"ECHEC")</f>
        <v>ECHEC</v>
      </c>
      <c r="M10" s="8">
        <f>IF(P10=0,0,VLOOKUP($A10,[9]HISTOFEV22!$A$7:$AU$38,32,0))</f>
        <v>0</v>
      </c>
      <c r="N10" s="8">
        <f>VLOOKUP($A10,[9]HISTOFEV22!$A$7:$AU$38,33,0)</f>
        <v>0</v>
      </c>
      <c r="O10" s="8">
        <f t="shared" si="0"/>
        <v>0</v>
      </c>
      <c r="P10" s="8">
        <f>VLOOKUP($A10,[9]HISTOFEV22!$A$7:$AU$38,30,0)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IF(E11="ECHEC",0,VLOOKUP($A11,[9]HISTOFEV22!$A$7:$AQ$36,13,0))</f>
        <v>75000</v>
      </c>
      <c r="E11" s="8" t="str">
        <f>VLOOKUP($A11,[9]HISTOFEV22!$A$7:$AU$38,8,0)</f>
        <v>BANQUE</v>
      </c>
      <c r="F11" s="8">
        <f>VLOOKUP($A11,[9]HISTOFEV22!$A$7:$AU$38,36,0)</f>
        <v>0</v>
      </c>
      <c r="G11" s="8">
        <f>VLOOKUP($A11,[9]HISTOFEV22!$A$7:$AU$38,39,0)</f>
        <v>0</v>
      </c>
      <c r="H11" s="8">
        <f>IF(G11=0,0,VLOOKUP($A11,[9]HISTOFEV22!$A$7:$AU$38,42,0))</f>
        <v>0</v>
      </c>
      <c r="I11" s="8">
        <f>VLOOKUP($A11,[9]HISTOFEV22!$A$7:$AU$38,41,0)</f>
        <v>0</v>
      </c>
      <c r="J11" s="8">
        <f>TONTJANV22!F11+TONTJANV22!G11</f>
        <v>0</v>
      </c>
      <c r="K11" s="8">
        <f>VLOOKUP($A11,[9]HISTOFEV22!$A$7:$AU$38,17,0)</f>
        <v>0</v>
      </c>
      <c r="L11" s="8" t="str">
        <f>IF(K11&lt;&gt;0,VLOOKUP($A11,[9]HISTOFEV22!$A$6:$BA$36,8,0),"ECHEC")</f>
        <v>ECHEC</v>
      </c>
      <c r="M11" s="8">
        <f>IF(P11=0,0,VLOOKUP($A11,[9]HISTOFEV22!$A$7:$AU$38,32,0))</f>
        <v>0</v>
      </c>
      <c r="N11" s="8">
        <f>VLOOKUP($A11,[9]HISTOFEV22!$A$7:$AU$38,33,0)</f>
        <v>0</v>
      </c>
      <c r="O11" s="8">
        <f t="shared" si="0"/>
        <v>0</v>
      </c>
      <c r="P11" s="8">
        <f>VLOOKUP($A11,[9]HISTOFEV22!$A$7:$AU$38,30,0)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IF(E12="ECHEC",0,VLOOKUP($A12,[9]HISTOFEV22!$A$7:$AQ$36,13,0))</f>
        <v>75000</v>
      </c>
      <c r="E12" s="8" t="str">
        <f>VLOOKUP($A12,[9]HISTOFEV22!$A$7:$AU$38,8,0)</f>
        <v>BANQUE</v>
      </c>
      <c r="F12" s="8">
        <f>VLOOKUP($A12,[9]HISTOFEV22!$A$7:$AU$38,36,0)</f>
        <v>0</v>
      </c>
      <c r="G12" s="8">
        <f>VLOOKUP($A12,[9]HISTOFEV22!$A$7:$AU$38,39,0)</f>
        <v>0</v>
      </c>
      <c r="H12" s="8">
        <f>IF(G12=0,0,VLOOKUP($A12,[9]HISTOFEV22!$A$7:$AU$38,42,0))</f>
        <v>0</v>
      </c>
      <c r="I12" s="8">
        <f>VLOOKUP($A12,[9]HISTOFEV22!$A$7:$AU$38,41,0)</f>
        <v>0</v>
      </c>
      <c r="J12" s="8">
        <f>TONTJANV22!F12+TONTJANV22!G12</f>
        <v>102000</v>
      </c>
      <c r="K12" s="8">
        <f>VLOOKUP($A12,[9]HISTOFEV22!$A$7:$AU$38,17,0)</f>
        <v>102000</v>
      </c>
      <c r="L12" s="8" t="str">
        <f>IF(K12&lt;&gt;0,VLOOKUP($A12,[9]HISTOFEV22!$A$6:$BA$36,8,0),"ECHEC")</f>
        <v>BANQUE</v>
      </c>
      <c r="M12" s="8">
        <f>IF(P12=0,0,VLOOKUP($A12,[9]HISTOFEV22!$A$7:$AU$38,32,0))</f>
        <v>0</v>
      </c>
      <c r="N12" s="8">
        <f>VLOOKUP($A12,[9]HISTOFEV22!$A$7:$AU$38,33,0)</f>
        <v>0</v>
      </c>
      <c r="O12" s="8">
        <f t="shared" si="0"/>
        <v>0</v>
      </c>
      <c r="P12" s="8">
        <f>VLOOKUP($A12,[9]HISTOFEV22!$A$7:$AU$38,30,0)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IF(E13="ECHEC",0,VLOOKUP($A13,[9]HISTOFEV22!$A$7:$AQ$36,13,0))</f>
        <v>225000</v>
      </c>
      <c r="E13" s="8" t="str">
        <f>VLOOKUP($A13,[9]HISTOFEV22!$A$7:$AU$38,8,0)</f>
        <v>BANQUE</v>
      </c>
      <c r="F13" s="8">
        <f>VLOOKUP($A13,[9]HISTOFEV22!$A$7:$AU$38,36,0)</f>
        <v>0</v>
      </c>
      <c r="G13" s="8">
        <f>VLOOKUP($A13,[9]HISTOFEV22!$A$7:$AU$38,39,0)</f>
        <v>0</v>
      </c>
      <c r="H13" s="8">
        <f>IF(G13=0,0,VLOOKUP($A13,[9]HISTOFEV22!$A$7:$AU$38,42,0))</f>
        <v>0</v>
      </c>
      <c r="I13" s="8">
        <f>VLOOKUP($A13,[9]HISTOFEV22!$A$7:$AU$38,41,0)</f>
        <v>0</v>
      </c>
      <c r="J13" s="8">
        <f>TONTJANV22!F13+TONTJANV22!G13</f>
        <v>102000</v>
      </c>
      <c r="K13" s="8">
        <f>VLOOKUP($A13,[9]HISTOFEV22!$A$7:$AU$38,17,0)</f>
        <v>102000</v>
      </c>
      <c r="L13" s="8" t="str">
        <f>IF(K13&lt;&gt;0,VLOOKUP($A13,[9]HISTOFEV22!$A$6:$BA$36,8,0),"ECHEC")</f>
        <v>BANQUE</v>
      </c>
      <c r="M13" s="8">
        <f>IF(P13=0,0,VLOOKUP($A13,[9]HISTOFEV22!$A$7:$AU$38,32,0))</f>
        <v>0</v>
      </c>
      <c r="N13" s="8">
        <f>VLOOKUP($A13,[9]HISTOFEV22!$A$7:$AU$38,33,0)</f>
        <v>0</v>
      </c>
      <c r="O13" s="8">
        <f t="shared" si="0"/>
        <v>0</v>
      </c>
      <c r="P13" s="8">
        <f>VLOOKUP($A13,[9]HISTOFEV22!$A$7:$AU$38,30,0)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IF(E14="ECHEC",0,VLOOKUP($A14,[9]HISTOFEV22!$A$7:$AQ$36,13,0))</f>
        <v>75000</v>
      </c>
      <c r="E14" s="8" t="str">
        <f>VLOOKUP($A14,[9]HISTOFEV22!$A$7:$AU$38,8,0)</f>
        <v>BANQUE</v>
      </c>
      <c r="F14" s="8">
        <f>VLOOKUP($A14,[9]HISTOFEV22!$A$7:$AU$38,36,0)</f>
        <v>0</v>
      </c>
      <c r="G14" s="8">
        <f>VLOOKUP($A14,[9]HISTOFEV22!$A$7:$AU$38,39,0)</f>
        <v>0</v>
      </c>
      <c r="H14" s="8">
        <f>IF(G14=0,0,VLOOKUP($A14,[9]HISTOFEV22!$A$7:$AU$38,42,0))</f>
        <v>0</v>
      </c>
      <c r="I14" s="8">
        <f>VLOOKUP($A14,[9]HISTOFEV22!$A$7:$AU$38,41,0)</f>
        <v>0</v>
      </c>
      <c r="J14" s="8">
        <f>TONTJANV22!F14+TONTJANV22!G14</f>
        <v>0</v>
      </c>
      <c r="K14" s="8">
        <f>VLOOKUP($A14,[9]HISTOFEV22!$A$7:$AU$38,17,0)</f>
        <v>0</v>
      </c>
      <c r="L14" s="8" t="str">
        <f>IF(K14&lt;&gt;0,VLOOKUP($A14,[9]HISTOFEV22!$A$6:$BA$36,8,0),"ECHEC")</f>
        <v>ECHEC</v>
      </c>
      <c r="M14" s="8" t="str">
        <f>IF(P14=0,0,VLOOKUP($A14,[9]HISTOFEV22!$A$7:$AU$38,32,0))</f>
        <v>BANQUE</v>
      </c>
      <c r="N14" s="8">
        <f>VLOOKUP($A14,[9]HISTOFEV22!$A$7:$AU$38,33,0)</f>
        <v>0</v>
      </c>
      <c r="O14" s="8">
        <f t="shared" si="0"/>
        <v>1115000</v>
      </c>
      <c r="P14" s="8">
        <f>VLOOKUP($A14,[9]HISTOFEV22!$A$7:$AU$38,30,0)</f>
        <v>85000</v>
      </c>
      <c r="Q14" s="45">
        <f t="shared" si="1"/>
        <v>10000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IF(E15="ECHEC",0,VLOOKUP($A15,[9]HISTOFEV22!$A$7:$AQ$36,13,0))</f>
        <v>75000</v>
      </c>
      <c r="E15" s="8" t="str">
        <f>VLOOKUP($A15,[9]HISTOFEV22!$A$7:$AU$38,8,0)</f>
        <v>BANQUE</v>
      </c>
      <c r="F15" s="8">
        <f>VLOOKUP($A15,[9]HISTOFEV22!$A$7:$AU$38,36,0)</f>
        <v>0</v>
      </c>
      <c r="G15" s="8">
        <f>VLOOKUP($A15,[9]HISTOFEV22!$A$7:$AU$38,39,0)</f>
        <v>0</v>
      </c>
      <c r="H15" s="8">
        <f>IF(G15=0,0,VLOOKUP($A15,[9]HISTOFEV22!$A$7:$AU$38,42,0))</f>
        <v>0</v>
      </c>
      <c r="I15" s="8">
        <f>VLOOKUP($A15,[9]HISTOFEV22!$A$7:$AU$38,41,0)</f>
        <v>0</v>
      </c>
      <c r="J15" s="8">
        <f>TONTJANV22!F15+TONTJANV22!G15</f>
        <v>102000</v>
      </c>
      <c r="K15" s="8">
        <f>VLOOKUP($A15,[9]HISTOFEV22!$A$7:$AU$38,17,0)</f>
        <v>102000</v>
      </c>
      <c r="L15" s="8" t="str">
        <f>IF(K15&lt;&gt;0,VLOOKUP($A15,[9]HISTOFEV22!$A$6:$BA$36,8,0),"ECHEC")</f>
        <v>BANQUE</v>
      </c>
      <c r="M15" s="8">
        <f>IF(P15=0,0,VLOOKUP($A15,[9]HISTOFEV22!$A$7:$AU$38,32,0))</f>
        <v>0</v>
      </c>
      <c r="N15" s="8">
        <f>VLOOKUP($A15,[9]HISTOFEV22!$A$7:$AU$38,33,0)</f>
        <v>0</v>
      </c>
      <c r="O15" s="8">
        <f t="shared" si="0"/>
        <v>0</v>
      </c>
      <c r="P15" s="8">
        <f>VLOOKUP($A15,[9]HISTOFEV22!$A$7:$AU$38,30,0)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IF(E16="ECHEC",0,VLOOKUP($A16,[9]HISTOFEV22!$A$7:$AQ$36,13,0))</f>
        <v>150000</v>
      </c>
      <c r="E16" s="8" t="str">
        <f>VLOOKUP($A16,[9]HISTOFEV22!$A$7:$AU$38,8,0)</f>
        <v>BANQUE</v>
      </c>
      <c r="F16" s="8">
        <f>VLOOKUP($A16,[9]HISTOFEV22!$A$7:$AU$38,36,0)</f>
        <v>0</v>
      </c>
      <c r="G16" s="8">
        <f>VLOOKUP($A16,[9]HISTOFEV22!$A$7:$AU$38,39,0)</f>
        <v>0</v>
      </c>
      <c r="H16" s="8">
        <f>IF(G16=0,0,VLOOKUP($A16,[9]HISTOFEV22!$A$7:$AU$38,42,0))</f>
        <v>0</v>
      </c>
      <c r="I16" s="8">
        <f>VLOOKUP($A16,[9]HISTOFEV22!$A$7:$AU$38,41,0)</f>
        <v>0</v>
      </c>
      <c r="J16" s="8">
        <f>TONTJANV22!F16+TONTJANV22!G16</f>
        <v>31000</v>
      </c>
      <c r="K16" s="8">
        <f>VLOOKUP($A16,[9]HISTOFEV22!$A$7:$AU$38,17,0)</f>
        <v>31000</v>
      </c>
      <c r="L16" s="8" t="str">
        <f>IF(K16&lt;&gt;0,VLOOKUP($A16,[9]HISTOFEV22!$A$6:$BA$36,8,0),"ECHEC")</f>
        <v>BANQUE</v>
      </c>
      <c r="M16" s="8">
        <f>IF(P16=0,0,VLOOKUP($A16,[9]HISTOFEV22!$A$7:$AU$38,32,0))</f>
        <v>0</v>
      </c>
      <c r="N16" s="8">
        <f>VLOOKUP($A16,[9]HISTOFEV22!$A$7:$AU$38,33,0)</f>
        <v>0</v>
      </c>
      <c r="O16" s="8">
        <f t="shared" si="0"/>
        <v>0</v>
      </c>
      <c r="P16" s="8">
        <f>VLOOKUP($A16,[9]HISTOFEV22!$A$7:$AU$38,30,0)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IF(E17="ECHEC",0,VLOOKUP($A17,[9]HISTOFEV22!$A$7:$AQ$36,13,0))</f>
        <v>75000</v>
      </c>
      <c r="E17" s="8" t="str">
        <f>VLOOKUP($A17,[9]HISTOFEV22!$A$7:$AU$38,8,0)</f>
        <v>BANQUE</v>
      </c>
      <c r="F17" s="8">
        <f>VLOOKUP($A17,[9]HISTOFEV22!$A$7:$AU$38,36,0)</f>
        <v>0</v>
      </c>
      <c r="G17" s="8">
        <f>VLOOKUP($A17,[9]HISTOFEV22!$A$7:$AU$38,39,0)</f>
        <v>0</v>
      </c>
      <c r="H17" s="8">
        <f>IF(G17=0,0,VLOOKUP($A17,[9]HISTOFEV22!$A$7:$AU$38,42,0))</f>
        <v>0</v>
      </c>
      <c r="I17" s="8">
        <f>VLOOKUP($A17,[9]HISTOFEV22!$A$7:$AU$38,41,0)</f>
        <v>0</v>
      </c>
      <c r="J17" s="8">
        <f>TONTJANV22!F17+TONTJANV22!G17</f>
        <v>102000</v>
      </c>
      <c r="K17" s="8">
        <f>VLOOKUP($A17,[9]HISTOFEV22!$A$7:$AU$38,17,0)</f>
        <v>102000</v>
      </c>
      <c r="L17" s="8" t="str">
        <f>IF(K17&lt;&gt;0,VLOOKUP($A17,[9]HISTOFEV22!$A$6:$BA$36,8,0),"ECHEC")</f>
        <v>BANQUE</v>
      </c>
      <c r="M17" s="8">
        <f>IF(P17=0,0,VLOOKUP($A17,[9]HISTOFEV22!$A$7:$AU$38,32,0))</f>
        <v>0</v>
      </c>
      <c r="N17" s="8">
        <f>VLOOKUP($A17,[9]HISTOFEV22!$A$7:$AU$38,33,0)</f>
        <v>0</v>
      </c>
      <c r="O17" s="8">
        <f t="shared" si="0"/>
        <v>0</v>
      </c>
      <c r="P17" s="8">
        <f>VLOOKUP($A17,[9]HISTOFEV22!$A$7:$AU$38,30,0)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IF(E18="ECHEC",0,VLOOKUP($A18,[9]HISTOFEV22!$A$7:$AQ$36,13,0))</f>
        <v>75000</v>
      </c>
      <c r="E18" s="8" t="str">
        <f>VLOOKUP($A18,[9]HISTOFEV22!$A$7:$AU$38,8,0)</f>
        <v>BANQUE</v>
      </c>
      <c r="F18" s="8">
        <f>VLOOKUP($A18,[9]HISTOFEV22!$A$7:$AU$38,36,0)</f>
        <v>0</v>
      </c>
      <c r="G18" s="8">
        <f>VLOOKUP($A18,[9]HISTOFEV22!$A$7:$AU$38,39,0)</f>
        <v>0</v>
      </c>
      <c r="H18" s="8">
        <f>IF(G18=0,0,VLOOKUP($A18,[9]HISTOFEV22!$A$7:$AU$38,42,0))</f>
        <v>0</v>
      </c>
      <c r="I18" s="8">
        <f>VLOOKUP($A18,[9]HISTOFEV22!$A$7:$AU$38,41,0)</f>
        <v>0</v>
      </c>
      <c r="J18" s="8">
        <f>TONTJANV22!F18+TONTJANV22!G18</f>
        <v>0</v>
      </c>
      <c r="K18" s="8">
        <f>VLOOKUP($A18,[9]HISTOFEV22!$A$7:$AU$38,17,0)</f>
        <v>0</v>
      </c>
      <c r="L18" s="8" t="str">
        <f>IF(K18&lt;&gt;0,VLOOKUP($A18,[9]HISTOFEV22!$A$6:$BA$36,8,0),"ECHEC")</f>
        <v>ECHEC</v>
      </c>
      <c r="M18" s="8">
        <f>IF(P18=0,0,VLOOKUP($A18,[9]HISTOFEV22!$A$7:$AU$38,32,0))</f>
        <v>0</v>
      </c>
      <c r="N18" s="8">
        <f>VLOOKUP($A18,[9]HISTOFEV22!$A$7:$AU$38,33,0)</f>
        <v>0</v>
      </c>
      <c r="O18" s="8">
        <f t="shared" si="0"/>
        <v>0</v>
      </c>
      <c r="P18" s="8">
        <f>VLOOKUP($A18,[9]HISTOFEV22!$A$7:$AU$38,30,0)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IF(E19="ECHEC",0,VLOOKUP($A19,[9]HISTOFEV22!$A$7:$AQ$36,13,0))</f>
        <v>75000</v>
      </c>
      <c r="E19" s="8" t="str">
        <f>VLOOKUP($A19,[9]HISTOFEV22!$A$7:$AU$38,8,0)</f>
        <v>BANQUE</v>
      </c>
      <c r="F19" s="8">
        <f>VLOOKUP($A19,[9]HISTOFEV22!$A$7:$AU$38,36,0)</f>
        <v>0</v>
      </c>
      <c r="G19" s="8">
        <f>VLOOKUP($A19,[9]HISTOFEV22!$A$7:$AU$38,39,0)</f>
        <v>0</v>
      </c>
      <c r="H19" s="8">
        <f>IF(G19=0,0,VLOOKUP($A19,[9]HISTOFEV22!$A$7:$AU$38,42,0))</f>
        <v>0</v>
      </c>
      <c r="I19" s="8">
        <f>VLOOKUP($A19,[9]HISTOFEV22!$A$7:$AU$38,41,0)</f>
        <v>0</v>
      </c>
      <c r="J19" s="8">
        <f>TONTJANV22!F19+TONTJANV22!G19</f>
        <v>0</v>
      </c>
      <c r="K19" s="8">
        <f>VLOOKUP($A19,[9]HISTOFEV22!$A$7:$AU$38,17,0)</f>
        <v>0</v>
      </c>
      <c r="L19" s="8" t="str">
        <f>IF(K19&lt;&gt;0,VLOOKUP($A19,[9]HISTOFEV22!$A$6:$BA$36,8,0),"ECHEC")</f>
        <v>ECHEC</v>
      </c>
      <c r="M19" s="8">
        <f>IF(P19=0,0,VLOOKUP($A19,[9]HISTOFEV22!$A$7:$AU$38,32,0))</f>
        <v>0</v>
      </c>
      <c r="N19" s="8">
        <f>VLOOKUP($A19,[9]HISTOFEV22!$A$7:$AU$38,33,0)</f>
        <v>0</v>
      </c>
      <c r="O19" s="8">
        <f t="shared" si="0"/>
        <v>0</v>
      </c>
      <c r="P19" s="8">
        <f>VLOOKUP($A19,[9]HISTOFEV22!$A$7:$AU$38,30,0)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IF(E20="ECHEC",0,VLOOKUP($A20,[9]HISTOFEV22!$A$7:$AQ$36,13,0))</f>
        <v>75000</v>
      </c>
      <c r="E20" s="8" t="str">
        <f>VLOOKUP($A20,[9]HISTOFEV22!$A$7:$AU$38,8,0)</f>
        <v>BANQUE</v>
      </c>
      <c r="F20" s="8">
        <f>VLOOKUP($A20,[9]HISTOFEV22!$A$7:$AU$38,36,0)</f>
        <v>0</v>
      </c>
      <c r="G20" s="8">
        <f>VLOOKUP($A20,[9]HISTOFEV22!$A$7:$AU$38,39,0)</f>
        <v>0</v>
      </c>
      <c r="H20" s="8">
        <f>IF(G20=0,0,VLOOKUP($A20,[9]HISTOFEV22!$A$7:$AU$38,42,0))</f>
        <v>0</v>
      </c>
      <c r="I20" s="8">
        <f>VLOOKUP($A20,[9]HISTOFEV22!$A$7:$AU$38,41,0)</f>
        <v>0</v>
      </c>
      <c r="J20" s="8">
        <f>TONTJANV22!F20+TONTJANV22!G20</f>
        <v>0</v>
      </c>
      <c r="K20" s="8">
        <f>VLOOKUP($A20,[9]HISTOFEV22!$A$7:$AU$38,17,0)</f>
        <v>0</v>
      </c>
      <c r="L20" s="8" t="str">
        <f>IF(K20&lt;&gt;0,VLOOKUP($A20,[9]HISTOFEV22!$A$6:$BA$36,8,0),"ECHEC")</f>
        <v>ECHEC</v>
      </c>
      <c r="M20" s="8" t="str">
        <f>IF(P20=0,0,VLOOKUP($A20,[9]HISTOFEV22!$A$7:$AU$38,32,0))</f>
        <v>BANQUE</v>
      </c>
      <c r="N20" s="8">
        <f>VLOOKUP($A20,[9]HISTOFEV22!$A$7:$AU$38,33,0)</f>
        <v>0</v>
      </c>
      <c r="O20" s="8">
        <f t="shared" si="0"/>
        <v>1115000</v>
      </c>
      <c r="P20" s="8">
        <f>VLOOKUP($A20,[9]HISTOFEV22!$A$7:$AU$38,30,0)</f>
        <v>85000</v>
      </c>
      <c r="Q20" s="45">
        <f t="shared" si="1"/>
        <v>10000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IF(E21="ECHEC",0,VLOOKUP($A21,[9]HISTOFEV22!$A$7:$AQ$36,13,0))</f>
        <v>150000</v>
      </c>
      <c r="E21" s="8" t="str">
        <f>VLOOKUP($A21,[9]HISTOFEV22!$A$7:$AU$38,8,0)</f>
        <v>BANQUE</v>
      </c>
      <c r="F21" s="8">
        <f>VLOOKUP($A21,[9]HISTOFEV22!$A$7:$AU$38,36,0)</f>
        <v>0</v>
      </c>
      <c r="G21" s="8">
        <f>VLOOKUP($A21,[9]HISTOFEV22!$A$7:$AU$38,39,0)</f>
        <v>0</v>
      </c>
      <c r="H21" s="8">
        <f>IF(G21=0,0,VLOOKUP($A21,[9]HISTOFEV22!$A$7:$AU$38,42,0))</f>
        <v>0</v>
      </c>
      <c r="I21" s="8">
        <f>VLOOKUP($A21,[9]HISTOFEV22!$A$7:$AU$38,41,0)</f>
        <v>0</v>
      </c>
      <c r="J21" s="8">
        <f>TONTJANV22!F21+TONTJANV22!G21</f>
        <v>0</v>
      </c>
      <c r="K21" s="8">
        <f>VLOOKUP($A21,[9]HISTOFEV22!$A$7:$AU$38,17,0)</f>
        <v>0</v>
      </c>
      <c r="L21" s="8" t="str">
        <f>IF(K21&lt;&gt;0,VLOOKUP($A21,[9]HISTOFEV22!$A$6:$BA$36,8,0),"ECHEC")</f>
        <v>ECHEC</v>
      </c>
      <c r="M21" s="8">
        <f>IF(P21=0,0,VLOOKUP($A21,[9]HISTOFEV22!$A$7:$AU$38,32,0))</f>
        <v>0</v>
      </c>
      <c r="N21" s="8">
        <f>VLOOKUP($A21,[9]HISTOFEV22!$A$7:$AU$38,33,0)</f>
        <v>0</v>
      </c>
      <c r="O21" s="8">
        <f t="shared" si="0"/>
        <v>0</v>
      </c>
      <c r="P21" s="8">
        <f>VLOOKUP($A21,[9]HISTOFEV22!$A$7:$AU$38,30,0)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0</v>
      </c>
      <c r="G24" s="9">
        <f t="shared" si="2"/>
        <v>0</v>
      </c>
      <c r="H24" s="9">
        <f t="shared" si="2"/>
        <v>0</v>
      </c>
      <c r="I24" s="9">
        <f t="shared" si="2"/>
        <v>0</v>
      </c>
      <c r="J24" s="9">
        <f t="shared" si="2"/>
        <v>643000</v>
      </c>
      <c r="K24" s="9">
        <f t="shared" si="2"/>
        <v>643000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2230000</v>
      </c>
      <c r="P24" s="9">
        <f t="shared" si="2"/>
        <v>170000</v>
      </c>
      <c r="Q24" s="9">
        <f t="shared" si="2"/>
        <v>20000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D30+E30+P24+TONTJANV22!M31</f>
        <v>2313000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SUMIFS(K6:K18,L6:L18,"ESPECES")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2400000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SUMIFS(K6:K18,L6:L18,"BANQUE")</f>
        <v>643000</v>
      </c>
      <c r="F28" s="9">
        <f>SUMIFS(F6:F23,H6:H23,"BANQUE")</f>
        <v>0</v>
      </c>
      <c r="G28" s="9">
        <f>SUMIFS(O6:O23,M6:M23,"BANQUE")</f>
        <v>2230000</v>
      </c>
      <c r="H28" s="9">
        <f>D28+E28-F28-G28</f>
        <v>-87000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-87000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643000</v>
      </c>
      <c r="F30" s="9">
        <f>F27+F28</f>
        <v>0</v>
      </c>
      <c r="G30" s="9">
        <f t="shared" ref="G30:H30" si="3">G27+G28</f>
        <v>2230000</v>
      </c>
      <c r="H30" s="9">
        <f t="shared" si="3"/>
        <v>-87000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-87000</v>
      </c>
      <c r="L31"/>
      <c r="M31" s="9">
        <f>K31</f>
        <v>-87000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+K33+TONTJANV22!M33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+K34+TONTJANV22!M34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21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IF(E6="ECHEC",0,VLOOKUP($A6,[9]HISTOMARS22!$A$7:$AQ$36,13,0))</f>
        <v>75000</v>
      </c>
      <c r="E6" s="8" t="str">
        <f>VLOOKUP($A6,[9]HISTOMARS22!$A$7:$AU$38,8,0)</f>
        <v>BANQUE</v>
      </c>
      <c r="F6" s="8">
        <f>VLOOKUP($A6,[9]HISTOMARS22!$A$7:$AU$38,36,0)</f>
        <v>0</v>
      </c>
      <c r="G6" s="8">
        <f>VLOOKUP($A6,[9]HISTOMARS22!$A$7:$AU$38,39,0)</f>
        <v>0</v>
      </c>
      <c r="H6" s="8">
        <f>IF(G6=0,0,VLOOKUP($A6,[9]HISTOMARS22!$A$7:$AU$38,42,0))</f>
        <v>0</v>
      </c>
      <c r="I6" s="8">
        <f>VLOOKUP($A6,[9]HISTOMARS22!$A$7:$AU$38,41,0)</f>
        <v>0</v>
      </c>
      <c r="J6" s="8">
        <f>+TONTFEV22!F6+TONTFEV22!G6</f>
        <v>0</v>
      </c>
      <c r="K6" s="8">
        <f>VLOOKUP($A6,[9]HISTOMARS22!$A$7:$AU$38,17,0)</f>
        <v>0</v>
      </c>
      <c r="L6" s="8" t="str">
        <f>IF(K6&lt;&gt;0,VLOOKUP($A6,[9]HISTOMARS22!$A$6:$BA$36,8,0),"ECHEC")</f>
        <v>ECHEC</v>
      </c>
      <c r="M6" s="8">
        <f>IF(P6=0,0,VLOOKUP($A6,[9]HISTOMARS22!$A$7:$AU$38,32,0))</f>
        <v>0</v>
      </c>
      <c r="N6" s="8">
        <f>VLOOKUP($A6,[9]HISTOMARS22!$A$7:$AU$38,33,0)</f>
        <v>0</v>
      </c>
      <c r="O6" s="8">
        <f t="shared" ref="O6:O21" si="0">IF(P6=0,0,($C$3-P6))</f>
        <v>0</v>
      </c>
      <c r="P6" s="8">
        <f>VLOOKUP($A6,[9]HISTOMARS22!$A$7:$AU$38,30,0)</f>
        <v>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IF(E7="ECHEC",0,VLOOKUP($A7,[9]HISTOMARS22!$A$7:$AQ$36,13,0))</f>
        <v>75000</v>
      </c>
      <c r="E7" s="8" t="str">
        <f>VLOOKUP($A7,[9]HISTOMARS22!$A$7:$AU$38,8,0)</f>
        <v>ESPECES</v>
      </c>
      <c r="F7" s="8">
        <f>VLOOKUP($A7,[9]HISTOMARS22!$A$7:$AU$38,36,0)</f>
        <v>0</v>
      </c>
      <c r="G7" s="8">
        <f>VLOOKUP($A7,[9]HISTOMARS22!$A$7:$AU$38,39,0)</f>
        <v>0</v>
      </c>
      <c r="H7" s="8">
        <f>IF(G7=0,0,VLOOKUP($A7,[9]HISTOMARS22!$A$7:$AU$38,42,0))</f>
        <v>0</v>
      </c>
      <c r="I7" s="8">
        <f>VLOOKUP($A7,[9]HISTOMARS22!$A$7:$AU$38,41,0)</f>
        <v>0</v>
      </c>
      <c r="J7" s="8">
        <f>+TONTFEV22!F7+TONTFEV22!G7</f>
        <v>0</v>
      </c>
      <c r="K7" s="8">
        <f>VLOOKUP($A7,[9]HISTOMARS22!$A$7:$AU$38,17,0)</f>
        <v>0</v>
      </c>
      <c r="L7" s="8" t="str">
        <f>IF(K7&lt;&gt;0,VLOOKUP($A7,[9]HISTOMARS22!$A$6:$BA$36,8,0),"ECHEC")</f>
        <v>ECHEC</v>
      </c>
      <c r="M7" s="8">
        <f>IF(P7=0,0,VLOOKUP($A7,[9]HISTOMARS22!$A$7:$AU$38,32,0))</f>
        <v>0</v>
      </c>
      <c r="N7" s="8">
        <f>VLOOKUP($A7,[9]HISTOMARS22!$A$7:$AU$38,33,0)</f>
        <v>0</v>
      </c>
      <c r="O7" s="8">
        <f t="shared" si="0"/>
        <v>0</v>
      </c>
      <c r="P7" s="8">
        <f>VLOOKUP($A7,[9]HISTOMARS22!$A$7:$AU$38,30,0)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IF(E8="ECHEC",0,VLOOKUP($A8,[9]HISTOMARS22!$A$7:$AQ$36,13,0))</f>
        <v>75000</v>
      </c>
      <c r="E8" s="8" t="str">
        <f>VLOOKUP($A8,[9]HISTOMARS22!$A$7:$AU$38,8,0)</f>
        <v>BANQUE</v>
      </c>
      <c r="F8" s="8">
        <f>VLOOKUP($A8,[9]HISTOMARS22!$A$7:$AU$38,36,0)</f>
        <v>50000</v>
      </c>
      <c r="G8" s="8">
        <f>VLOOKUP($A8,[9]HISTOMARS22!$A$7:$AU$38,39,0)</f>
        <v>1000</v>
      </c>
      <c r="H8" s="8" t="str">
        <f>IF(G8=0,0,VLOOKUP($A8,[9]HISTOMARS22!$A$7:$AU$38,42,0))</f>
        <v>BANQUE</v>
      </c>
      <c r="I8" s="8">
        <f>VLOOKUP($A8,[9]HISTOMARS22!$A$7:$AU$38,41,0)</f>
        <v>0</v>
      </c>
      <c r="J8" s="8">
        <f>+TONTFEV22!F8+TONTFEV22!G8</f>
        <v>0</v>
      </c>
      <c r="K8" s="8">
        <f>VLOOKUP($A8,[9]HISTOMARS22!$A$7:$AU$38,17,0)</f>
        <v>0</v>
      </c>
      <c r="L8" s="8" t="str">
        <f>IF(K8&lt;&gt;0,VLOOKUP($A8,[9]HISTOMARS22!$A$6:$BA$36,8,0),"ECHEC")</f>
        <v>ECHEC</v>
      </c>
      <c r="M8" s="8">
        <f>IF(P8=0,0,VLOOKUP($A8,[9]HISTOMARS22!$A$7:$AU$38,32,0))</f>
        <v>0</v>
      </c>
      <c r="N8" s="8">
        <f>VLOOKUP($A8,[9]HISTOMARS22!$A$7:$AU$38,33,0)</f>
        <v>0</v>
      </c>
      <c r="O8" s="8">
        <f t="shared" si="0"/>
        <v>0</v>
      </c>
      <c r="P8" s="8">
        <f>VLOOKUP($A8,[9]HISTOMARS22!$A$7:$AU$38,30,0)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IF(E9="ECHEC",0,VLOOKUP($A9,[9]HISTOMARS22!$A$7:$AQ$36,13,0))</f>
        <v>75000</v>
      </c>
      <c r="E9" s="8" t="str">
        <f>VLOOKUP($A9,[9]HISTOMARS22!$A$7:$AU$38,8,0)</f>
        <v>BANQUE</v>
      </c>
      <c r="F9" s="8">
        <f>VLOOKUP($A9,[9]HISTOMARS22!$A$7:$AU$38,36,0)</f>
        <v>0</v>
      </c>
      <c r="G9" s="8">
        <f>VLOOKUP($A9,[9]HISTOMARS22!$A$7:$AU$38,39,0)</f>
        <v>0</v>
      </c>
      <c r="H9" s="8">
        <f>IF(G9=0,0,VLOOKUP($A9,[9]HISTOMARS22!$A$7:$AU$38,42,0))</f>
        <v>0</v>
      </c>
      <c r="I9" s="8">
        <f>VLOOKUP($A9,[9]HISTOMARS22!$A$7:$AU$38,41,0)</f>
        <v>0</v>
      </c>
      <c r="J9" s="8">
        <f>+TONTFEV22!F9+TONTFEV22!G9</f>
        <v>0</v>
      </c>
      <c r="K9" s="8">
        <f>VLOOKUP($A9,[9]HISTOMARS22!$A$7:$AU$38,17,0)</f>
        <v>0</v>
      </c>
      <c r="L9" s="8" t="str">
        <f>IF(K9&lt;&gt;0,VLOOKUP($A9,[9]HISTOMARS22!$A$6:$BA$36,8,0),"ECHEC")</f>
        <v>ECHEC</v>
      </c>
      <c r="M9" s="8">
        <f>IF(P9=0,0,VLOOKUP($A9,[9]HISTOMARS22!$A$7:$AU$38,32,0))</f>
        <v>0</v>
      </c>
      <c r="N9" s="8">
        <f>VLOOKUP($A9,[9]HISTOMARS22!$A$7:$AU$38,33,0)</f>
        <v>0</v>
      </c>
      <c r="O9" s="8">
        <f t="shared" si="0"/>
        <v>0</v>
      </c>
      <c r="P9" s="8">
        <f>VLOOKUP($A9,[9]HISTOMARS22!$A$7:$AU$38,30,0)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IF(E10="ECHEC",0,VLOOKUP($A10,[9]HISTOMARS22!$A$7:$AQ$36,13,0))</f>
        <v>75000</v>
      </c>
      <c r="E10" s="8" t="str">
        <f>VLOOKUP($A10,[9]HISTOMARS22!$A$7:$AU$38,8,0)</f>
        <v>BANQUE</v>
      </c>
      <c r="F10" s="8">
        <f>VLOOKUP($A10,[9]HISTOMARS22!$A$7:$AU$38,36,0)</f>
        <v>0</v>
      </c>
      <c r="G10" s="8">
        <f>VLOOKUP($A10,[9]HISTOMARS22!$A$7:$AU$38,39,0)</f>
        <v>0</v>
      </c>
      <c r="H10" s="8">
        <f>IF(G10=0,0,VLOOKUP($A10,[9]HISTOMARS22!$A$7:$AU$38,42,0))</f>
        <v>0</v>
      </c>
      <c r="I10" s="8">
        <f>VLOOKUP($A10,[9]HISTOMARS22!$A$7:$AU$38,41,0)</f>
        <v>0</v>
      </c>
      <c r="J10" s="8">
        <f>+TONTFEV22!F10+TONTFEV22!G10</f>
        <v>0</v>
      </c>
      <c r="K10" s="8">
        <f>VLOOKUP($A10,[9]HISTOMARS22!$A$7:$AU$38,17,0)</f>
        <v>0</v>
      </c>
      <c r="L10" s="8" t="str">
        <f>IF(K10&lt;&gt;0,VLOOKUP($A10,[9]HISTOMARS22!$A$6:$BA$36,8,0),"ECHEC")</f>
        <v>ECHEC</v>
      </c>
      <c r="M10" s="8">
        <f>IF(P10=0,0,VLOOKUP($A10,[9]HISTOMARS22!$A$7:$AU$38,32,0))</f>
        <v>0</v>
      </c>
      <c r="N10" s="8">
        <f>VLOOKUP($A10,[9]HISTOMARS22!$A$7:$AU$38,33,0)</f>
        <v>0</v>
      </c>
      <c r="O10" s="8">
        <f t="shared" si="0"/>
        <v>0</v>
      </c>
      <c r="P10" s="8">
        <f>VLOOKUP($A10,[9]HISTOMARS22!$A$7:$AU$38,30,0)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IF(E11="ECHEC",0,VLOOKUP($A11,[9]HISTOMARS22!$A$7:$AQ$36,13,0))</f>
        <v>75000</v>
      </c>
      <c r="E11" s="8" t="str">
        <f>VLOOKUP($A11,[9]HISTOMARS22!$A$7:$AU$38,8,0)</f>
        <v>BANQUE</v>
      </c>
      <c r="F11" s="8">
        <f>VLOOKUP($A11,[9]HISTOMARS22!$A$7:$AU$38,36,0)</f>
        <v>0</v>
      </c>
      <c r="G11" s="8">
        <f>VLOOKUP($A11,[9]HISTOMARS22!$A$7:$AU$38,39,0)</f>
        <v>0</v>
      </c>
      <c r="H11" s="8">
        <f>IF(G11=0,0,VLOOKUP($A11,[9]HISTOMARS22!$A$7:$AU$38,42,0))</f>
        <v>0</v>
      </c>
      <c r="I11" s="8">
        <f>VLOOKUP($A11,[9]HISTOMARS22!$A$7:$AU$38,41,0)</f>
        <v>0</v>
      </c>
      <c r="J11" s="8">
        <f>+TONTFEV22!F11+TONTFEV22!G11</f>
        <v>0</v>
      </c>
      <c r="K11" s="8">
        <f>VLOOKUP($A11,[9]HISTOMARS22!$A$7:$AU$38,17,0)</f>
        <v>0</v>
      </c>
      <c r="L11" s="8" t="str">
        <f>IF(K11&lt;&gt;0,VLOOKUP($A11,[9]HISTOMARS22!$A$6:$BA$36,8,0),"ECHEC")</f>
        <v>ECHEC</v>
      </c>
      <c r="M11" s="8">
        <f>IF(P11=0,0,VLOOKUP($A11,[9]HISTOMARS22!$A$7:$AU$38,32,0))</f>
        <v>0</v>
      </c>
      <c r="N11" s="8">
        <f>VLOOKUP($A11,[9]HISTOMARS22!$A$7:$AU$38,33,0)</f>
        <v>0</v>
      </c>
      <c r="O11" s="8">
        <f t="shared" si="0"/>
        <v>0</v>
      </c>
      <c r="P11" s="8">
        <f>VLOOKUP($A11,[9]HISTOMARS22!$A$7:$AU$38,30,0)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IF(E12="ECHEC",0,VLOOKUP($A12,[9]HISTOMARS22!$A$7:$AQ$36,13,0))</f>
        <v>75000</v>
      </c>
      <c r="E12" s="8" t="str">
        <f>VLOOKUP($A12,[9]HISTOMARS22!$A$7:$AU$38,8,0)</f>
        <v>BANQUE</v>
      </c>
      <c r="F12" s="8">
        <f>VLOOKUP($A12,[9]HISTOMARS22!$A$7:$AU$38,36,0)</f>
        <v>100000</v>
      </c>
      <c r="G12" s="8">
        <f>VLOOKUP($A12,[9]HISTOMARS22!$A$7:$AU$38,39,0)</f>
        <v>2000</v>
      </c>
      <c r="H12" s="8" t="str">
        <f>IF(G12=0,0,VLOOKUP($A12,[9]HISTOMARS22!$A$7:$AU$38,42,0))</f>
        <v>BANQUE</v>
      </c>
      <c r="I12" s="8">
        <f>VLOOKUP($A12,[9]HISTOMARS22!$A$7:$AU$38,41,0)</f>
        <v>0</v>
      </c>
      <c r="J12" s="8">
        <f>+TONTFEV22!F12+TONTFEV22!G12</f>
        <v>0</v>
      </c>
      <c r="K12" s="8">
        <f>VLOOKUP($A12,[9]HISTOMARS22!$A$7:$AU$38,17,0)</f>
        <v>0</v>
      </c>
      <c r="L12" s="8" t="str">
        <f>IF(K12&lt;&gt;0,VLOOKUP($A12,[9]HISTOMARS22!$A$6:$BA$36,8,0),"ECHEC")</f>
        <v>ECHEC</v>
      </c>
      <c r="M12" s="8" t="str">
        <f>IF(P12=0,0,VLOOKUP($A12,[9]HISTOMARS22!$A$7:$AU$38,32,0))</f>
        <v>BANQUE</v>
      </c>
      <c r="N12" s="8">
        <f>VLOOKUP($A12,[9]HISTOMARS22!$A$7:$AU$38,33,0)</f>
        <v>0</v>
      </c>
      <c r="O12" s="8">
        <f t="shared" si="0"/>
        <v>1115000</v>
      </c>
      <c r="P12" s="8">
        <f>VLOOKUP($A12,[9]HISTOMARS22!$A$7:$AU$38,30,0)</f>
        <v>85000</v>
      </c>
      <c r="Q12" s="45">
        <f t="shared" si="1"/>
        <v>10000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IF(E13="ECHEC",0,VLOOKUP($A13,[9]HISTOMARS22!$A$7:$AQ$36,13,0))</f>
        <v>225000</v>
      </c>
      <c r="E13" s="8" t="str">
        <f>VLOOKUP($A13,[9]HISTOMARS22!$A$7:$AU$38,8,0)</f>
        <v>BANQUE</v>
      </c>
      <c r="F13" s="8">
        <f>VLOOKUP($A13,[9]HISTOMARS22!$A$7:$AU$38,36,0)</f>
        <v>0</v>
      </c>
      <c r="G13" s="8">
        <f>VLOOKUP($A13,[9]HISTOMARS22!$A$7:$AU$38,39,0)</f>
        <v>0</v>
      </c>
      <c r="H13" s="8">
        <f>IF(G13=0,0,VLOOKUP($A13,[9]HISTOMARS22!$A$7:$AU$38,42,0))</f>
        <v>0</v>
      </c>
      <c r="I13" s="8">
        <f>VLOOKUP($A13,[9]HISTOMARS22!$A$7:$AU$38,41,0)</f>
        <v>0</v>
      </c>
      <c r="J13" s="8">
        <f>+TONTFEV22!F13+TONTFEV22!G13</f>
        <v>0</v>
      </c>
      <c r="K13" s="8">
        <f>VLOOKUP($A13,[9]HISTOMARS22!$A$7:$AU$38,17,0)</f>
        <v>0</v>
      </c>
      <c r="L13" s="8" t="str">
        <f>IF(K13&lt;&gt;0,VLOOKUP($A13,[9]HISTOMARS22!$A$6:$BA$36,8,0),"ECHEC")</f>
        <v>ECHEC</v>
      </c>
      <c r="M13" s="8">
        <f>IF(P13=0,0,VLOOKUP($A13,[9]HISTOMARS22!$A$7:$AU$38,32,0))</f>
        <v>0</v>
      </c>
      <c r="N13" s="8">
        <f>VLOOKUP($A13,[9]HISTOMARS22!$A$7:$AU$38,33,0)</f>
        <v>0</v>
      </c>
      <c r="O13" s="8">
        <f t="shared" si="0"/>
        <v>0</v>
      </c>
      <c r="P13" s="8">
        <f>VLOOKUP($A13,[9]HISTOMARS22!$A$7:$AU$38,30,0)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IF(E14="ECHEC",0,VLOOKUP($A14,[9]HISTOMARS22!$A$7:$AQ$36,13,0))</f>
        <v>75000</v>
      </c>
      <c r="E14" s="8" t="str">
        <f>VLOOKUP($A14,[9]HISTOMARS22!$A$7:$AU$38,8,0)</f>
        <v>BANQUE</v>
      </c>
      <c r="F14" s="8">
        <f>VLOOKUP($A14,[9]HISTOMARS22!$A$7:$AU$38,36,0)</f>
        <v>0</v>
      </c>
      <c r="G14" s="8">
        <f>VLOOKUP($A14,[9]HISTOMARS22!$A$7:$AU$38,39,0)</f>
        <v>0</v>
      </c>
      <c r="H14" s="8">
        <f>IF(G14=0,0,VLOOKUP($A14,[9]HISTOMARS22!$A$7:$AU$38,42,0))</f>
        <v>0</v>
      </c>
      <c r="I14" s="8">
        <f>VLOOKUP($A14,[9]HISTOMARS22!$A$7:$AU$38,41,0)</f>
        <v>0</v>
      </c>
      <c r="J14" s="8">
        <f>+TONTFEV22!F14+TONTFEV22!G14</f>
        <v>0</v>
      </c>
      <c r="K14" s="8">
        <f>VLOOKUP($A14,[9]HISTOMARS22!$A$7:$AU$38,17,0)</f>
        <v>0</v>
      </c>
      <c r="L14" s="8" t="str">
        <f>IF(K14&lt;&gt;0,VLOOKUP($A14,[9]HISTOMARS22!$A$6:$BA$36,8,0),"ECHEC")</f>
        <v>ECHEC</v>
      </c>
      <c r="M14" s="8">
        <f>IF(P14=0,0,VLOOKUP($A14,[9]HISTOMARS22!$A$7:$AU$38,32,0))</f>
        <v>0</v>
      </c>
      <c r="N14" s="8">
        <f>VLOOKUP($A14,[9]HISTOMARS22!$A$7:$AU$38,33,0)</f>
        <v>0</v>
      </c>
      <c r="O14" s="8">
        <f t="shared" si="0"/>
        <v>0</v>
      </c>
      <c r="P14" s="8">
        <f>VLOOKUP($A14,[9]HISTOMARS22!$A$7:$AU$38,30,0)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IF(E15="ECHEC",0,VLOOKUP($A15,[9]HISTOMARS22!$A$7:$AQ$36,13,0))</f>
        <v>75000</v>
      </c>
      <c r="E15" s="8" t="str">
        <f>VLOOKUP($A15,[9]HISTOMARS22!$A$7:$AU$38,8,0)</f>
        <v>BANQUE</v>
      </c>
      <c r="F15" s="8">
        <f>VLOOKUP($A15,[9]HISTOMARS22!$A$7:$AU$38,36,0)</f>
        <v>50000</v>
      </c>
      <c r="G15" s="8">
        <f>VLOOKUP($A15,[9]HISTOMARS22!$A$7:$AU$38,39,0)</f>
        <v>1000</v>
      </c>
      <c r="H15" s="8" t="str">
        <f>IF(G15=0,0,VLOOKUP($A15,[9]HISTOMARS22!$A$7:$AU$38,42,0))</f>
        <v>BANQUE</v>
      </c>
      <c r="I15" s="8">
        <f>VLOOKUP($A15,[9]HISTOMARS22!$A$7:$AU$38,41,0)</f>
        <v>0</v>
      </c>
      <c r="J15" s="8">
        <f>+TONTFEV22!F15+TONTFEV22!G15</f>
        <v>0</v>
      </c>
      <c r="K15" s="8">
        <f>VLOOKUP($A15,[9]HISTOMARS22!$A$7:$AU$38,17,0)</f>
        <v>0</v>
      </c>
      <c r="L15" s="8" t="str">
        <f>IF(K15&lt;&gt;0,VLOOKUP($A15,[9]HISTOMARS22!$A$6:$BA$36,8,0),"ECHEC")</f>
        <v>ECHEC</v>
      </c>
      <c r="M15" s="8">
        <f>IF(P15=0,0,VLOOKUP($A15,[9]HISTOMARS22!$A$7:$AU$38,32,0))</f>
        <v>0</v>
      </c>
      <c r="N15" s="8">
        <f>VLOOKUP($A15,[9]HISTOMARS22!$A$7:$AU$38,33,0)</f>
        <v>0</v>
      </c>
      <c r="O15" s="8">
        <f t="shared" si="0"/>
        <v>0</v>
      </c>
      <c r="P15" s="8">
        <f>VLOOKUP($A15,[9]HISTOMARS22!$A$7:$AU$38,30,0)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IF(E16="ECHEC",0,VLOOKUP($A16,[9]HISTOMARS22!$A$7:$AQ$36,13,0))</f>
        <v>150000</v>
      </c>
      <c r="E16" s="8" t="str">
        <f>VLOOKUP($A16,[9]HISTOMARS22!$A$7:$AU$38,8,0)</f>
        <v>BANQUE</v>
      </c>
      <c r="F16" s="8">
        <f>VLOOKUP($A16,[9]HISTOMARS22!$A$7:$AU$38,36,0)</f>
        <v>0</v>
      </c>
      <c r="G16" s="8">
        <f>VLOOKUP($A16,[9]HISTOMARS22!$A$7:$AU$38,39,0)</f>
        <v>0</v>
      </c>
      <c r="H16" s="8">
        <f>IF(G16=0,0,VLOOKUP($A16,[9]HISTOMARS22!$A$7:$AU$38,42,0))</f>
        <v>0</v>
      </c>
      <c r="I16" s="8">
        <f>VLOOKUP($A16,[9]HISTOMARS22!$A$7:$AU$38,41,0)</f>
        <v>0</v>
      </c>
      <c r="J16" s="8">
        <f>+TONTFEV22!F16+TONTFEV22!G16</f>
        <v>0</v>
      </c>
      <c r="K16" s="8">
        <f>VLOOKUP($A16,[9]HISTOMARS22!$A$7:$AU$38,17,0)</f>
        <v>0</v>
      </c>
      <c r="L16" s="8" t="str">
        <f>IF(K16&lt;&gt;0,VLOOKUP($A16,[9]HISTOMARS22!$A$6:$BA$36,8,0),"ECHEC")</f>
        <v>ECHEC</v>
      </c>
      <c r="M16" s="8">
        <f>IF(P16=0,0,VLOOKUP($A16,[9]HISTOMARS22!$A$7:$AU$38,32,0))</f>
        <v>0</v>
      </c>
      <c r="N16" s="8">
        <f>VLOOKUP($A16,[9]HISTOMARS22!$A$7:$AU$38,33,0)</f>
        <v>0</v>
      </c>
      <c r="O16" s="8">
        <f t="shared" si="0"/>
        <v>0</v>
      </c>
      <c r="P16" s="8">
        <f>VLOOKUP($A16,[9]HISTOMARS22!$A$7:$AU$38,30,0)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IF(E17="ECHEC",0,VLOOKUP($A17,[9]HISTOMARS22!$A$7:$AQ$36,13,0))</f>
        <v>75000</v>
      </c>
      <c r="E17" s="8" t="str">
        <f>VLOOKUP($A17,[9]HISTOMARS22!$A$7:$AU$38,8,0)</f>
        <v>BANQUE</v>
      </c>
      <c r="F17" s="8">
        <f>VLOOKUP($A17,[9]HISTOMARS22!$A$7:$AU$38,36,0)</f>
        <v>50000</v>
      </c>
      <c r="G17" s="8">
        <f>VLOOKUP($A17,[9]HISTOMARS22!$A$7:$AU$38,39,0)</f>
        <v>1000</v>
      </c>
      <c r="H17" s="8" t="str">
        <f>IF(G17=0,0,VLOOKUP($A17,[9]HISTOMARS22!$A$7:$AU$38,42,0))</f>
        <v>BANQUE</v>
      </c>
      <c r="I17" s="8">
        <f>VLOOKUP($A17,[9]HISTOMARS22!$A$7:$AU$38,41,0)</f>
        <v>0</v>
      </c>
      <c r="J17" s="8">
        <f>+TONTFEV22!F17+TONTFEV22!G17</f>
        <v>0</v>
      </c>
      <c r="K17" s="8">
        <f>VLOOKUP($A17,[9]HISTOMARS22!$A$7:$AU$38,17,0)</f>
        <v>0</v>
      </c>
      <c r="L17" s="8" t="str">
        <f>IF(K17&lt;&gt;0,VLOOKUP($A17,[9]HISTOMARS22!$A$6:$BA$36,8,0),"ECHEC")</f>
        <v>ECHEC</v>
      </c>
      <c r="M17" s="8">
        <f>IF(P17=0,0,VLOOKUP($A17,[9]HISTOMARS22!$A$7:$AU$38,32,0))</f>
        <v>0</v>
      </c>
      <c r="N17" s="8">
        <f>VLOOKUP($A17,[9]HISTOMARS22!$A$7:$AU$38,33,0)</f>
        <v>0</v>
      </c>
      <c r="O17" s="8">
        <f t="shared" si="0"/>
        <v>0</v>
      </c>
      <c r="P17" s="8">
        <f>VLOOKUP($A17,[9]HISTOMARS22!$A$7:$AU$38,30,0)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IF(E18="ECHEC",0,VLOOKUP($A18,[9]HISTOMARS22!$A$7:$AQ$36,13,0))</f>
        <v>75000</v>
      </c>
      <c r="E18" s="8" t="str">
        <f>VLOOKUP($A18,[9]HISTOMARS22!$A$7:$AU$38,8,0)</f>
        <v>BANQUE</v>
      </c>
      <c r="F18" s="8">
        <f>VLOOKUP($A18,[9]HISTOMARS22!$A$7:$AU$38,36,0)</f>
        <v>0</v>
      </c>
      <c r="G18" s="8">
        <f>VLOOKUP($A18,[9]HISTOMARS22!$A$7:$AU$38,39,0)</f>
        <v>0</v>
      </c>
      <c r="H18" s="8">
        <f>IF(G18=0,0,VLOOKUP($A18,[9]HISTOMARS22!$A$7:$AU$38,42,0))</f>
        <v>0</v>
      </c>
      <c r="I18" s="8">
        <f>VLOOKUP($A18,[9]HISTOMARS22!$A$7:$AU$38,41,0)</f>
        <v>0</v>
      </c>
      <c r="J18" s="8">
        <f>+TONTFEV22!F18+TONTFEV22!G18</f>
        <v>0</v>
      </c>
      <c r="K18" s="8">
        <f>VLOOKUP($A18,[9]HISTOMARS22!$A$7:$AU$38,17,0)</f>
        <v>0</v>
      </c>
      <c r="L18" s="8" t="str">
        <f>IF(K18&lt;&gt;0,VLOOKUP($A18,[9]HISTOMARS22!$A$6:$BA$36,8,0),"ECHEC")</f>
        <v>ECHEC</v>
      </c>
      <c r="M18" s="8">
        <f>IF(P18=0,0,VLOOKUP($A18,[9]HISTOMARS22!$A$7:$AU$38,32,0))</f>
        <v>0</v>
      </c>
      <c r="N18" s="8">
        <f>VLOOKUP($A18,[9]HISTOMARS22!$A$7:$AU$38,33,0)</f>
        <v>0</v>
      </c>
      <c r="O18" s="8">
        <f t="shared" si="0"/>
        <v>0</v>
      </c>
      <c r="P18" s="8">
        <f>VLOOKUP($A18,[9]HISTOMARS22!$A$7:$AU$38,30,0)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IF(E19="ECHEC",0,VLOOKUP($A19,[9]HISTOMARS22!$A$7:$AQ$36,13,0))</f>
        <v>75000</v>
      </c>
      <c r="E19" s="8" t="str">
        <f>VLOOKUP($A19,[9]HISTOMARS22!$A$7:$AU$38,8,0)</f>
        <v>ESPECES</v>
      </c>
      <c r="F19" s="8">
        <f>VLOOKUP($A19,[9]HISTOMARS22!$A$7:$AU$38,36,0)</f>
        <v>0</v>
      </c>
      <c r="G19" s="8">
        <f>VLOOKUP($A19,[9]HISTOMARS22!$A$7:$AU$38,39,0)</f>
        <v>0</v>
      </c>
      <c r="H19" s="8">
        <f>IF(G19=0,0,VLOOKUP($A19,[9]HISTOMARS22!$A$7:$AU$38,42,0))</f>
        <v>0</v>
      </c>
      <c r="I19" s="8">
        <f>VLOOKUP($A19,[9]HISTOMARS22!$A$7:$AU$38,41,0)</f>
        <v>0</v>
      </c>
      <c r="J19" s="8">
        <f>+TONTFEV22!F19+TONTFEV22!G19</f>
        <v>0</v>
      </c>
      <c r="K19" s="8">
        <f>VLOOKUP($A19,[9]HISTOMARS22!$A$7:$AU$38,17,0)</f>
        <v>0</v>
      </c>
      <c r="L19" s="8" t="str">
        <f>IF(K19&lt;&gt;0,VLOOKUP($A19,[9]HISTOMARS22!$A$6:$BA$36,8,0),"ECHEC")</f>
        <v>ECHEC</v>
      </c>
      <c r="M19" s="8">
        <f>IF(P19=0,0,VLOOKUP($A19,[9]HISTOMARS22!$A$7:$AU$38,32,0))</f>
        <v>0</v>
      </c>
      <c r="N19" s="8">
        <f>VLOOKUP($A19,[9]HISTOMARS22!$A$7:$AU$38,33,0)</f>
        <v>0</v>
      </c>
      <c r="O19" s="8">
        <f t="shared" si="0"/>
        <v>0</v>
      </c>
      <c r="P19" s="8">
        <f>VLOOKUP($A19,[9]HISTOMARS22!$A$7:$AU$38,30,0)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IF(E20="ECHEC",0,VLOOKUP($A20,[9]HISTOMARS22!$A$7:$AQ$36,13,0))</f>
        <v>75000</v>
      </c>
      <c r="E20" s="8" t="str">
        <f>VLOOKUP($A20,[9]HISTOMARS22!$A$7:$AU$38,8,0)</f>
        <v>BANQUE</v>
      </c>
      <c r="F20" s="8">
        <f>VLOOKUP($A20,[9]HISTOMARS22!$A$7:$AU$38,36,0)</f>
        <v>48000</v>
      </c>
      <c r="G20" s="8">
        <f>VLOOKUP($A20,[9]HISTOMARS22!$A$7:$AU$38,39,0)</f>
        <v>500</v>
      </c>
      <c r="H20" s="8" t="str">
        <f>IF(G20=0,0,VLOOKUP($A20,[9]HISTOMARS22!$A$7:$AU$38,42,0))</f>
        <v>BANQUE</v>
      </c>
      <c r="I20" s="8">
        <f>VLOOKUP($A20,[9]HISTOMARS22!$A$7:$AU$38,41,0)</f>
        <v>0</v>
      </c>
      <c r="J20" s="8">
        <f>+TONTFEV22!F20+TONTFEV22!G20</f>
        <v>0</v>
      </c>
      <c r="K20" s="8">
        <f>VLOOKUP($A20,[9]HISTOMARS22!$A$7:$AU$38,17,0)</f>
        <v>0</v>
      </c>
      <c r="L20" s="8" t="str">
        <f>IF(K20&lt;&gt;0,VLOOKUP($A20,[9]HISTOMARS22!$A$6:$BA$36,8,0),"ECHEC")</f>
        <v>ECHEC</v>
      </c>
      <c r="M20" s="8">
        <f>IF(P20=0,0,VLOOKUP($A20,[9]HISTOMARS22!$A$7:$AU$38,32,0))</f>
        <v>0</v>
      </c>
      <c r="N20" s="8">
        <f>VLOOKUP($A20,[9]HISTOMARS22!$A$7:$AU$38,33,0)</f>
        <v>0</v>
      </c>
      <c r="O20" s="8">
        <f t="shared" si="0"/>
        <v>0</v>
      </c>
      <c r="P20" s="8">
        <f>VLOOKUP($A20,[9]HISTOMARS22!$A$7:$AU$38,30,0)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IF(E21="ECHEC",0,VLOOKUP($A21,[9]HISTOMARS22!$A$7:$AQ$36,13,0))</f>
        <v>150000</v>
      </c>
      <c r="E21" s="8" t="str">
        <f>VLOOKUP($A21,[9]HISTOMARS22!$A$7:$AU$38,8,0)</f>
        <v>BANQUE</v>
      </c>
      <c r="F21" s="8">
        <f>VLOOKUP($A21,[9]HISTOMARS22!$A$7:$AU$38,36,0)</f>
        <v>0</v>
      </c>
      <c r="G21" s="8">
        <f>VLOOKUP($A21,[9]HISTOMARS22!$A$7:$AU$38,39,0)</f>
        <v>0</v>
      </c>
      <c r="H21" s="8">
        <f>IF(G21=0,0,VLOOKUP($A21,[9]HISTOMARS22!$A$7:$AU$38,42,0))</f>
        <v>0</v>
      </c>
      <c r="I21" s="8">
        <f>VLOOKUP($A21,[9]HISTOMARS22!$A$7:$AU$38,41,0)</f>
        <v>0</v>
      </c>
      <c r="J21" s="8">
        <f>+TONTFEV22!F21+TONTFEV22!G21</f>
        <v>0</v>
      </c>
      <c r="K21" s="8">
        <f>VLOOKUP($A21,[9]HISTOMARS22!$A$7:$AU$38,17,0)</f>
        <v>0</v>
      </c>
      <c r="L21" s="8" t="str">
        <f>IF(K21&lt;&gt;0,VLOOKUP($A21,[9]HISTOMARS22!$A$6:$BA$36,8,0),"ECHEC")</f>
        <v>ECHEC</v>
      </c>
      <c r="M21" s="8">
        <f>IF(P21=0,0,VLOOKUP($A21,[9]HISTOMARS22!$A$7:$AU$38,32,0))</f>
        <v>0</v>
      </c>
      <c r="N21" s="8">
        <f>VLOOKUP($A21,[9]HISTOMARS22!$A$7:$AU$38,33,0)</f>
        <v>0</v>
      </c>
      <c r="O21" s="8">
        <f t="shared" si="0"/>
        <v>0</v>
      </c>
      <c r="P21" s="8">
        <f>VLOOKUP($A21,[9]HISTOMARS22!$A$7:$AU$38,30,0)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298000</v>
      </c>
      <c r="G24" s="9">
        <f t="shared" si="2"/>
        <v>5500</v>
      </c>
      <c r="H24" s="9">
        <f t="shared" si="2"/>
        <v>0</v>
      </c>
      <c r="I24" s="9">
        <f t="shared" si="2"/>
        <v>0</v>
      </c>
      <c r="J24" s="9">
        <f t="shared" si="2"/>
        <v>0</v>
      </c>
      <c r="K24" s="9">
        <f t="shared" si="2"/>
        <v>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1115000</v>
      </c>
      <c r="P24" s="9">
        <f t="shared" si="2"/>
        <v>85000</v>
      </c>
      <c r="Q24" s="9">
        <f t="shared" si="2"/>
        <v>10000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D30+E30+P24+TONTFEV22!M31</f>
        <v>1498000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150000</v>
      </c>
      <c r="E27" s="9">
        <f>SUMIFS(K6:K18,L6:L18,"ESPECES")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150000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1350000</v>
      </c>
      <c r="E28" s="9">
        <f>SUMIFS(K6:K18,L6:L18,"BANQUE")</f>
        <v>0</v>
      </c>
      <c r="F28" s="9">
        <f>SUMIFS(F6:F23,H6:H23,"BANQUE")</f>
        <v>298000</v>
      </c>
      <c r="G28" s="9">
        <f>SUMIFS(O6:O23,M6:M23,"BANQUE")</f>
        <v>1115000</v>
      </c>
      <c r="H28" s="9">
        <f>D28+E28-F28-G28</f>
        <v>-63000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298000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0</v>
      </c>
      <c r="F30" s="9">
        <f>F27+F28</f>
        <v>298000</v>
      </c>
      <c r="G30" s="9">
        <f t="shared" ref="G30:H30" si="3">G27+G28</f>
        <v>1115000</v>
      </c>
      <c r="H30" s="9">
        <f t="shared" si="3"/>
        <v>87000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+K33+TONTFEV22!M33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+K34+TONTFEV22!M34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21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IF(E6="ECHEC",0,VLOOKUP($A6,[9]HISTOAVRIL22!$A$7:$AQ$36,13,0))</f>
        <v>75000</v>
      </c>
      <c r="E6" s="8" t="str">
        <f>VLOOKUP($A6,[9]HISTOAVRIL22!$A$7:$AU$38,8,0)</f>
        <v>BANQUE</v>
      </c>
      <c r="F6" s="8">
        <f>VLOOKUP($A6,[9]HISTOAVRIL22!$A$7:$AU$38,36,0)</f>
        <v>0</v>
      </c>
      <c r="G6" s="8">
        <f>VLOOKUP($A6,[9]HISTOAVRIL22!$A$7:$AU$38,39,0)</f>
        <v>0</v>
      </c>
      <c r="H6" s="8">
        <f>IF(G6=0,0,VLOOKUP($A6,[9]HISTOAVRIL22!$A$7:$AU$38,42,0))</f>
        <v>0</v>
      </c>
      <c r="I6" s="8">
        <f>VLOOKUP($A6,[9]HISTOAVRIL22!$A$7:$AU$38,41,0)</f>
        <v>0</v>
      </c>
      <c r="J6" s="8">
        <f>TONTMARS22!F6+TONTMARS22!G6</f>
        <v>0</v>
      </c>
      <c r="K6" s="8">
        <f>VLOOKUP($A6,[9]HISTOAVRIL22!$A$7:$AU$38,17,0)</f>
        <v>0</v>
      </c>
      <c r="L6" s="8" t="str">
        <f>IF(K6&lt;&gt;0,VLOOKUP($A6,[9]HISTOAVRIL22!$A$6:$BA$36,8,0),"ECHEC")</f>
        <v>ECHEC</v>
      </c>
      <c r="M6" s="8">
        <f>IF(P6=0,0,VLOOKUP($A6,[9]HISTOAVRIL22!$A$7:$AU$38,32,0))</f>
        <v>0</v>
      </c>
      <c r="N6" s="8">
        <f>VLOOKUP($A6,[9]HISTOAVRIL22!$A$7:$AU$38,33,0)</f>
        <v>0</v>
      </c>
      <c r="O6" s="8">
        <f t="shared" ref="O6:O21" si="0">IF(P6=0,0,($C$3-P6))</f>
        <v>0</v>
      </c>
      <c r="P6" s="8">
        <f>VLOOKUP($A6,[9]HISTOAVRIL22!$A$7:$AU$38,30,0)</f>
        <v>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IF(E7="ECHEC",0,VLOOKUP($A7,[9]HISTOAVRIL22!$A$7:$AQ$36,13,0))</f>
        <v>75000</v>
      </c>
      <c r="E7" s="8" t="str">
        <f>VLOOKUP($A7,[9]HISTOAVRIL22!$A$7:$AU$38,8,0)</f>
        <v>BANQUE</v>
      </c>
      <c r="F7" s="8">
        <f>VLOOKUP($A7,[9]HISTOAVRIL22!$A$7:$AU$38,36,0)</f>
        <v>0</v>
      </c>
      <c r="G7" s="8">
        <f>VLOOKUP($A7,[9]HISTOAVRIL22!$A$7:$AU$38,39,0)</f>
        <v>0</v>
      </c>
      <c r="H7" s="8">
        <f>IF(G7=0,0,VLOOKUP($A7,[9]HISTOAVRIL22!$A$7:$AU$38,42,0))</f>
        <v>0</v>
      </c>
      <c r="I7" s="8">
        <f>VLOOKUP($A7,[9]HISTOAVRIL22!$A$7:$AU$38,41,0)</f>
        <v>0</v>
      </c>
      <c r="J7" s="8">
        <f>TONTMARS22!F7+TONTMARS22!G7</f>
        <v>0</v>
      </c>
      <c r="K7" s="8">
        <f>VLOOKUP($A7,[9]HISTOAVRIL22!$A$7:$AU$38,17,0)</f>
        <v>0</v>
      </c>
      <c r="L7" s="8" t="str">
        <f>IF(K7&lt;&gt;0,VLOOKUP($A7,[9]HISTOAVRIL22!$A$6:$BA$36,8,0),"ECHEC")</f>
        <v>ECHEC</v>
      </c>
      <c r="M7" s="8">
        <f>IF(P7=0,0,VLOOKUP($A7,[9]HISTOAVRIL22!$A$7:$AU$38,32,0))</f>
        <v>0</v>
      </c>
      <c r="N7" s="8">
        <f>VLOOKUP($A7,[9]HISTOAVRIL22!$A$7:$AU$38,33,0)</f>
        <v>0</v>
      </c>
      <c r="O7" s="8">
        <f t="shared" si="0"/>
        <v>0</v>
      </c>
      <c r="P7" s="8">
        <f>VLOOKUP($A7,[9]HISTOAVRIL22!$A$7:$AU$38,30,0)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IF(E8="ECHEC",0,VLOOKUP($A8,[9]HISTOAVRIL22!$A$7:$AQ$36,13,0))</f>
        <v>75000</v>
      </c>
      <c r="E8" s="8" t="str">
        <f>VLOOKUP($A8,[9]HISTOAVRIL22!$A$7:$AU$38,8,0)</f>
        <v>BANQUE</v>
      </c>
      <c r="F8" s="8">
        <f>VLOOKUP($A8,[9]HISTOAVRIL22!$A$7:$AU$38,36,0)</f>
        <v>0</v>
      </c>
      <c r="G8" s="8">
        <f>VLOOKUP($A8,[9]HISTOAVRIL22!$A$7:$AU$38,39,0)</f>
        <v>0</v>
      </c>
      <c r="H8" s="8">
        <f>IF(G8=0,0,VLOOKUP($A8,[9]HISTOAVRIL22!$A$7:$AU$38,42,0))</f>
        <v>0</v>
      </c>
      <c r="I8" s="8">
        <f>VLOOKUP($A8,[9]HISTOAVRIL22!$A$7:$AU$38,41,0)</f>
        <v>0</v>
      </c>
      <c r="J8" s="8">
        <f>TONTMARS22!F8+TONTMARS22!G8</f>
        <v>51000</v>
      </c>
      <c r="K8" s="8">
        <f>VLOOKUP($A8,[9]HISTOAVRIL22!$A$7:$AU$38,17,0)</f>
        <v>51000</v>
      </c>
      <c r="L8" s="8" t="str">
        <f>IF(K8&lt;&gt;0,VLOOKUP($A8,[9]HISTOAVRIL22!$A$6:$BA$36,8,0),"ECHEC")</f>
        <v>BANQUE</v>
      </c>
      <c r="M8" s="8">
        <f>IF(P8=0,0,VLOOKUP($A8,[9]HISTOAVRIL22!$A$7:$AU$38,32,0))</f>
        <v>0</v>
      </c>
      <c r="N8" s="8">
        <f>VLOOKUP($A8,[9]HISTOAVRIL22!$A$7:$AU$38,33,0)</f>
        <v>0</v>
      </c>
      <c r="O8" s="8">
        <f t="shared" si="0"/>
        <v>0</v>
      </c>
      <c r="P8" s="8">
        <f>VLOOKUP($A8,[9]HISTOAVRIL22!$A$7:$AU$38,30,0)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IF(E9="ECHEC",0,VLOOKUP($A9,[9]HISTOAVRIL22!$A$7:$AQ$36,13,0))</f>
        <v>75000</v>
      </c>
      <c r="E9" s="8" t="str">
        <f>VLOOKUP($A9,[9]HISTOAVRIL22!$A$7:$AU$38,8,0)</f>
        <v>BANQUE</v>
      </c>
      <c r="F9" s="8">
        <f>VLOOKUP($A9,[9]HISTOAVRIL22!$A$7:$AU$38,36,0)</f>
        <v>0</v>
      </c>
      <c r="G9" s="8">
        <f>VLOOKUP($A9,[9]HISTOAVRIL22!$A$7:$AU$38,39,0)</f>
        <v>0</v>
      </c>
      <c r="H9" s="8">
        <f>IF(G9=0,0,VLOOKUP($A9,[9]HISTOAVRIL22!$A$7:$AU$38,42,0))</f>
        <v>0</v>
      </c>
      <c r="I9" s="8">
        <f>VLOOKUP($A9,[9]HISTOAVRIL22!$A$7:$AU$38,41,0)</f>
        <v>0</v>
      </c>
      <c r="J9" s="8">
        <f>TONTMARS22!F9+TONTMARS22!G9</f>
        <v>0</v>
      </c>
      <c r="K9" s="8">
        <f>VLOOKUP($A9,[9]HISTOAVRIL22!$A$7:$AU$38,17,0)</f>
        <v>0</v>
      </c>
      <c r="L9" s="8" t="str">
        <f>IF(K9&lt;&gt;0,VLOOKUP($A9,[9]HISTOAVRIL22!$A$6:$BA$36,8,0),"ECHEC")</f>
        <v>ECHEC</v>
      </c>
      <c r="M9" s="8">
        <f>IF(P9=0,0,VLOOKUP($A9,[9]HISTOAVRIL22!$A$7:$AU$38,32,0))</f>
        <v>0</v>
      </c>
      <c r="N9" s="8">
        <f>VLOOKUP($A9,[9]HISTOAVRIL22!$A$7:$AU$38,33,0)</f>
        <v>0</v>
      </c>
      <c r="O9" s="8">
        <f t="shared" si="0"/>
        <v>0</v>
      </c>
      <c r="P9" s="8">
        <f>VLOOKUP($A9,[9]HISTOAVRIL22!$A$7:$AU$38,30,0)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IF(E10="ECHEC",0,VLOOKUP($A10,[9]HISTOAVRIL22!$A$7:$AQ$36,13,0))</f>
        <v>75000</v>
      </c>
      <c r="E10" s="8" t="str">
        <f>VLOOKUP($A10,[9]HISTOAVRIL22!$A$7:$AU$38,8,0)</f>
        <v>BANQUE</v>
      </c>
      <c r="F10" s="8">
        <f>VLOOKUP($A10,[9]HISTOAVRIL22!$A$7:$AU$38,36,0)</f>
        <v>0</v>
      </c>
      <c r="G10" s="8">
        <f>VLOOKUP($A10,[9]HISTOAVRIL22!$A$7:$AU$38,39,0)</f>
        <v>0</v>
      </c>
      <c r="H10" s="8">
        <f>IF(G10=0,0,VLOOKUP($A10,[9]HISTOAVRIL22!$A$7:$AU$38,42,0))</f>
        <v>0</v>
      </c>
      <c r="I10" s="8">
        <f>VLOOKUP($A10,[9]HISTOAVRIL22!$A$7:$AU$38,41,0)</f>
        <v>0</v>
      </c>
      <c r="J10" s="8">
        <f>TONTMARS22!F10+TONTMARS22!G10</f>
        <v>0</v>
      </c>
      <c r="K10" s="8">
        <f>VLOOKUP($A10,[9]HISTOAVRIL22!$A$7:$AU$38,17,0)</f>
        <v>0</v>
      </c>
      <c r="L10" s="8" t="str">
        <f>IF(K10&lt;&gt;0,VLOOKUP($A10,[9]HISTOAVRIL22!$A$6:$BA$36,8,0),"ECHEC")</f>
        <v>ECHEC</v>
      </c>
      <c r="M10" s="8" t="str">
        <f>IF(P10=0,0,VLOOKUP($A10,[9]HISTOAVRIL22!$A$7:$AU$38,32,0))</f>
        <v>BANQUE</v>
      </c>
      <c r="N10" s="8">
        <f>VLOOKUP($A10,[9]HISTOAVRIL22!$A$7:$AU$38,33,0)</f>
        <v>0</v>
      </c>
      <c r="O10" s="8">
        <f t="shared" si="0"/>
        <v>1110000</v>
      </c>
      <c r="P10" s="8">
        <f>VLOOKUP($A10,[9]HISTOAVRIL22!$A$7:$AU$38,30,0)</f>
        <v>90000</v>
      </c>
      <c r="Q10" s="45">
        <f t="shared" si="1"/>
        <v>15000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IF(E11="ECHEC",0,VLOOKUP($A11,[9]HISTOAVRIL22!$A$7:$AQ$36,13,0))</f>
        <v>75000</v>
      </c>
      <c r="E11" s="8" t="str">
        <f>VLOOKUP($A11,[9]HISTOAVRIL22!$A$7:$AU$38,8,0)</f>
        <v>BANQUE</v>
      </c>
      <c r="F11" s="8">
        <f>VLOOKUP($A11,[9]HISTOAVRIL22!$A$7:$AU$38,36,0)</f>
        <v>0</v>
      </c>
      <c r="G11" s="8">
        <f>VLOOKUP($A11,[9]HISTOAVRIL22!$A$7:$AU$38,39,0)</f>
        <v>0</v>
      </c>
      <c r="H11" s="8">
        <f>IF(G11=0,0,VLOOKUP($A11,[9]HISTOAVRIL22!$A$7:$AU$38,42,0))</f>
        <v>0</v>
      </c>
      <c r="I11" s="8">
        <f>VLOOKUP($A11,[9]HISTOAVRIL22!$A$7:$AU$38,41,0)</f>
        <v>0</v>
      </c>
      <c r="J11" s="8">
        <f>TONTMARS22!F11+TONTMARS22!G11</f>
        <v>0</v>
      </c>
      <c r="K11" s="8">
        <f>VLOOKUP($A11,[9]HISTOAVRIL22!$A$7:$AU$38,17,0)</f>
        <v>0</v>
      </c>
      <c r="L11" s="8" t="str">
        <f>IF(K11&lt;&gt;0,VLOOKUP($A11,[9]HISTOAVRIL22!$A$6:$BA$36,8,0),"ECHEC")</f>
        <v>ECHEC</v>
      </c>
      <c r="M11" s="8">
        <f>IF(P11=0,0,VLOOKUP($A11,[9]HISTOAVRIL22!$A$7:$AU$38,32,0))</f>
        <v>0</v>
      </c>
      <c r="N11" s="8">
        <f>VLOOKUP($A11,[9]HISTOAVRIL22!$A$7:$AU$38,33,0)</f>
        <v>0</v>
      </c>
      <c r="O11" s="8">
        <f t="shared" si="0"/>
        <v>0</v>
      </c>
      <c r="P11" s="8">
        <f>VLOOKUP($A11,[9]HISTOAVRIL22!$A$7:$AU$38,30,0)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IF(E12="ECHEC",0,VLOOKUP($A12,[9]HISTOAVRIL22!$A$7:$AQ$36,13,0))</f>
        <v>75000</v>
      </c>
      <c r="E12" s="8" t="str">
        <f>VLOOKUP($A12,[9]HISTOAVRIL22!$A$7:$AU$38,8,0)</f>
        <v>BANQUE</v>
      </c>
      <c r="F12" s="8">
        <f>VLOOKUP($A12,[9]HISTOAVRIL22!$A$7:$AU$38,36,0)</f>
        <v>0</v>
      </c>
      <c r="G12" s="8">
        <f>VLOOKUP($A12,[9]HISTOAVRIL22!$A$7:$AU$38,39,0)</f>
        <v>0</v>
      </c>
      <c r="H12" s="8">
        <f>IF(G12=0,0,VLOOKUP($A12,[9]HISTOAVRIL22!$A$7:$AU$38,42,0))</f>
        <v>0</v>
      </c>
      <c r="I12" s="8">
        <f>VLOOKUP($A12,[9]HISTOAVRIL22!$A$7:$AU$38,41,0)</f>
        <v>0</v>
      </c>
      <c r="J12" s="8">
        <f>TONTMARS22!F12+TONTMARS22!G12</f>
        <v>102000</v>
      </c>
      <c r="K12" s="8">
        <f>VLOOKUP($A12,[9]HISTOAVRIL22!$A$7:$AU$38,17,0)</f>
        <v>102000</v>
      </c>
      <c r="L12" s="8" t="str">
        <f>IF(K12&lt;&gt;0,VLOOKUP($A12,[9]HISTOAVRIL22!$A$6:$BA$36,8,0),"ECHEC")</f>
        <v>BANQUE</v>
      </c>
      <c r="M12" s="8">
        <f>IF(P12=0,0,VLOOKUP($A12,[9]HISTOAVRIL22!$A$7:$AU$38,32,0))</f>
        <v>0</v>
      </c>
      <c r="N12" s="8">
        <f>VLOOKUP($A12,[9]HISTOAVRIL22!$A$7:$AU$38,33,0)</f>
        <v>0</v>
      </c>
      <c r="O12" s="8">
        <f t="shared" si="0"/>
        <v>0</v>
      </c>
      <c r="P12" s="8">
        <f>VLOOKUP($A12,[9]HISTOAVRIL22!$A$7:$AU$38,30,0)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IF(E13="ECHEC",0,VLOOKUP($A13,[9]HISTOAVRIL22!$A$7:$AQ$36,13,0))</f>
        <v>225000</v>
      </c>
      <c r="E13" s="8" t="str">
        <f>VLOOKUP($A13,[9]HISTOAVRIL22!$A$7:$AU$38,8,0)</f>
        <v>BANQUE</v>
      </c>
      <c r="F13" s="8">
        <f>VLOOKUP($A13,[9]HISTOAVRIL22!$A$7:$AU$38,36,0)</f>
        <v>0</v>
      </c>
      <c r="G13" s="8">
        <f>VLOOKUP($A13,[9]HISTOAVRIL22!$A$7:$AU$38,39,0)</f>
        <v>0</v>
      </c>
      <c r="H13" s="8">
        <f>IF(G13=0,0,VLOOKUP($A13,[9]HISTOAVRIL22!$A$7:$AU$38,42,0))</f>
        <v>0</v>
      </c>
      <c r="I13" s="8">
        <f>VLOOKUP($A13,[9]HISTOAVRIL22!$A$7:$AU$38,41,0)</f>
        <v>0</v>
      </c>
      <c r="J13" s="8">
        <f>TONTMARS22!F13+TONTMARS22!G13</f>
        <v>0</v>
      </c>
      <c r="K13" s="8">
        <f>VLOOKUP($A13,[9]HISTOAVRIL22!$A$7:$AU$38,17,0)</f>
        <v>0</v>
      </c>
      <c r="L13" s="8" t="str">
        <f>IF(K13&lt;&gt;0,VLOOKUP($A13,[9]HISTOAVRIL22!$A$6:$BA$36,8,0),"ECHEC")</f>
        <v>ECHEC</v>
      </c>
      <c r="M13" s="8">
        <f>IF(P13=0,0,VLOOKUP($A13,[9]HISTOAVRIL22!$A$7:$AU$38,32,0))</f>
        <v>0</v>
      </c>
      <c r="N13" s="8">
        <f>VLOOKUP($A13,[9]HISTOAVRIL22!$A$7:$AU$38,33,0)</f>
        <v>0</v>
      </c>
      <c r="O13" s="8">
        <f t="shared" si="0"/>
        <v>0</v>
      </c>
      <c r="P13" s="8">
        <f>VLOOKUP($A13,[9]HISTOAVRIL22!$A$7:$AU$38,30,0)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IF(E14="ECHEC",0,VLOOKUP($A14,[9]HISTOAVRIL22!$A$7:$AQ$36,13,0))</f>
        <v>75000</v>
      </c>
      <c r="E14" s="8" t="str">
        <f>VLOOKUP($A14,[9]HISTOAVRIL22!$A$7:$AU$38,8,0)</f>
        <v>BANQUE</v>
      </c>
      <c r="F14" s="8">
        <f>VLOOKUP($A14,[9]HISTOAVRIL22!$A$7:$AU$38,36,0)</f>
        <v>0</v>
      </c>
      <c r="G14" s="8">
        <f>VLOOKUP($A14,[9]HISTOAVRIL22!$A$7:$AU$38,39,0)</f>
        <v>0</v>
      </c>
      <c r="H14" s="8">
        <f>IF(G14=0,0,VLOOKUP($A14,[9]HISTOAVRIL22!$A$7:$AU$38,42,0))</f>
        <v>0</v>
      </c>
      <c r="I14" s="8">
        <f>VLOOKUP($A14,[9]HISTOAVRIL22!$A$7:$AU$38,41,0)</f>
        <v>0</v>
      </c>
      <c r="J14" s="8">
        <f>TONTMARS22!F14+TONTMARS22!G14</f>
        <v>0</v>
      </c>
      <c r="K14" s="8">
        <f>VLOOKUP($A14,[9]HISTOAVRIL22!$A$7:$AU$38,17,0)</f>
        <v>0</v>
      </c>
      <c r="L14" s="8" t="str">
        <f>IF(K14&lt;&gt;0,VLOOKUP($A14,[9]HISTOAVRIL22!$A$6:$BA$36,8,0),"ECHEC")</f>
        <v>ECHEC</v>
      </c>
      <c r="M14" s="8">
        <f>IF(P14=0,0,VLOOKUP($A14,[9]HISTOAVRIL22!$A$7:$AU$38,32,0))</f>
        <v>0</v>
      </c>
      <c r="N14" s="8">
        <f>VLOOKUP($A14,[9]HISTOAVRIL22!$A$7:$AU$38,33,0)</f>
        <v>0</v>
      </c>
      <c r="O14" s="8">
        <f t="shared" si="0"/>
        <v>0</v>
      </c>
      <c r="P14" s="8">
        <f>VLOOKUP($A14,[9]HISTOAVRIL22!$A$7:$AU$38,30,0)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IF(E15="ECHEC",0,VLOOKUP($A15,[9]HISTOAVRIL22!$A$7:$AQ$36,13,0))</f>
        <v>75000</v>
      </c>
      <c r="E15" s="8" t="str">
        <f>VLOOKUP($A15,[9]HISTOAVRIL22!$A$7:$AU$38,8,0)</f>
        <v>BANQUE</v>
      </c>
      <c r="F15" s="8">
        <f>VLOOKUP($A15,[9]HISTOAVRIL22!$A$7:$AU$38,36,0)</f>
        <v>200000</v>
      </c>
      <c r="G15" s="8">
        <f>VLOOKUP($A15,[9]HISTOAVRIL22!$A$7:$AU$38,39,0)</f>
        <v>2000</v>
      </c>
      <c r="H15" s="8" t="str">
        <f>IF(G15=0,0,VLOOKUP($A15,[9]HISTOAVRIL22!$A$7:$AU$38,42,0))</f>
        <v>BANQUE</v>
      </c>
      <c r="I15" s="8">
        <f>VLOOKUP($A15,[9]HISTOAVRIL22!$A$7:$AU$38,41,0)</f>
        <v>0</v>
      </c>
      <c r="J15" s="8">
        <f>TONTMARS22!F15+TONTMARS22!G15</f>
        <v>51000</v>
      </c>
      <c r="K15" s="8">
        <f>VLOOKUP($A15,[9]HISTOAVRIL22!$A$7:$AU$38,17,0)</f>
        <v>51000</v>
      </c>
      <c r="L15" s="8" t="str">
        <f>IF(K15&lt;&gt;0,VLOOKUP($A15,[9]HISTOAVRIL22!$A$6:$BA$36,8,0),"ECHEC")</f>
        <v>BANQUE</v>
      </c>
      <c r="M15" s="8">
        <f>IF(P15=0,0,VLOOKUP($A15,[9]HISTOAVRIL22!$A$7:$AU$38,32,0))</f>
        <v>0</v>
      </c>
      <c r="N15" s="8">
        <f>VLOOKUP($A15,[9]HISTOAVRIL22!$A$7:$AU$38,33,0)</f>
        <v>0</v>
      </c>
      <c r="O15" s="8">
        <f t="shared" si="0"/>
        <v>0</v>
      </c>
      <c r="P15" s="8">
        <f>VLOOKUP($A15,[9]HISTOAVRIL22!$A$7:$AU$38,30,0)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IF(E16="ECHEC",0,VLOOKUP($A16,[9]HISTOAVRIL22!$A$7:$AQ$36,13,0))</f>
        <v>150000</v>
      </c>
      <c r="E16" s="8" t="str">
        <f>VLOOKUP($A16,[9]HISTOAVRIL22!$A$7:$AU$38,8,0)</f>
        <v>BANQUE</v>
      </c>
      <c r="F16" s="8">
        <f>VLOOKUP($A16,[9]HISTOAVRIL22!$A$7:$AU$38,36,0)</f>
        <v>200000</v>
      </c>
      <c r="G16" s="8">
        <f>VLOOKUP($A16,[9]HISTOAVRIL22!$A$7:$AU$38,39,0)</f>
        <v>2000</v>
      </c>
      <c r="H16" s="8" t="str">
        <f>IF(G16=0,0,VLOOKUP($A16,[9]HISTOAVRIL22!$A$7:$AU$38,42,0))</f>
        <v>BANQUE</v>
      </c>
      <c r="I16" s="8">
        <f>VLOOKUP($A16,[9]HISTOAVRIL22!$A$7:$AU$38,41,0)</f>
        <v>0</v>
      </c>
      <c r="J16" s="8">
        <f>TONTMARS22!F16+TONTMARS22!G16</f>
        <v>0</v>
      </c>
      <c r="K16" s="8">
        <f>VLOOKUP($A16,[9]HISTOAVRIL22!$A$7:$AU$38,17,0)</f>
        <v>0</v>
      </c>
      <c r="L16" s="8" t="str">
        <f>IF(K16&lt;&gt;0,VLOOKUP($A16,[9]HISTOAVRIL22!$A$6:$BA$36,8,0),"ECHEC")</f>
        <v>ECHEC</v>
      </c>
      <c r="M16" s="8">
        <f>IF(P16=0,0,VLOOKUP($A16,[9]HISTOAVRIL22!$A$7:$AU$38,32,0))</f>
        <v>0</v>
      </c>
      <c r="N16" s="8">
        <f>VLOOKUP($A16,[9]HISTOAVRIL22!$A$7:$AU$38,33,0)</f>
        <v>0</v>
      </c>
      <c r="O16" s="8">
        <f t="shared" si="0"/>
        <v>0</v>
      </c>
      <c r="P16" s="8">
        <f>VLOOKUP($A16,[9]HISTOAVRIL22!$A$7:$AU$38,30,0)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IF(E17="ECHEC",0,VLOOKUP($A17,[9]HISTOAVRIL22!$A$7:$AQ$36,13,0))</f>
        <v>75000</v>
      </c>
      <c r="E17" s="8" t="str">
        <f>VLOOKUP($A17,[9]HISTOAVRIL22!$A$7:$AU$38,8,0)</f>
        <v>BANQUE</v>
      </c>
      <c r="F17" s="8">
        <f>VLOOKUP($A17,[9]HISTOAVRIL22!$A$7:$AU$38,36,0)</f>
        <v>0</v>
      </c>
      <c r="G17" s="8">
        <f>VLOOKUP($A17,[9]HISTOAVRIL22!$A$7:$AU$38,39,0)</f>
        <v>0</v>
      </c>
      <c r="H17" s="8">
        <f>IF(G17=0,0,VLOOKUP($A17,[9]HISTOAVRIL22!$A$7:$AU$38,42,0))</f>
        <v>0</v>
      </c>
      <c r="I17" s="8">
        <f>VLOOKUP($A17,[9]HISTOAVRIL22!$A$7:$AU$38,41,0)</f>
        <v>0</v>
      </c>
      <c r="J17" s="8">
        <f>TONTMARS22!F17+TONTMARS22!G17</f>
        <v>51000</v>
      </c>
      <c r="K17" s="8">
        <f>VLOOKUP($A17,[9]HISTOAVRIL22!$A$7:$AU$38,17,0)</f>
        <v>51000</v>
      </c>
      <c r="L17" s="8" t="str">
        <f>IF(K17&lt;&gt;0,VLOOKUP($A17,[9]HISTOAVRIL22!$A$6:$BA$36,8,0),"ECHEC")</f>
        <v>BANQUE</v>
      </c>
      <c r="M17" s="8">
        <f>IF(P17=0,0,VLOOKUP($A17,[9]HISTOAVRIL22!$A$7:$AU$38,32,0))</f>
        <v>0</v>
      </c>
      <c r="N17" s="8">
        <f>VLOOKUP($A17,[9]HISTOAVRIL22!$A$7:$AU$38,33,0)</f>
        <v>0</v>
      </c>
      <c r="O17" s="8">
        <f t="shared" si="0"/>
        <v>0</v>
      </c>
      <c r="P17" s="8">
        <f>VLOOKUP($A17,[9]HISTOAVRIL22!$A$7:$AU$38,30,0)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IF(E18="ECHEC",0,VLOOKUP($A18,[9]HISTOAVRIL22!$A$7:$AQ$36,13,0))</f>
        <v>75000</v>
      </c>
      <c r="E18" s="8" t="str">
        <f>VLOOKUP($A18,[9]HISTOAVRIL22!$A$7:$AU$38,8,0)</f>
        <v>BANQUE</v>
      </c>
      <c r="F18" s="8">
        <f>VLOOKUP($A18,[9]HISTOAVRIL22!$A$7:$AU$38,36,0)</f>
        <v>0</v>
      </c>
      <c r="G18" s="8">
        <f>VLOOKUP($A18,[9]HISTOAVRIL22!$A$7:$AU$38,39,0)</f>
        <v>0</v>
      </c>
      <c r="H18" s="8">
        <f>IF(G18=0,0,VLOOKUP($A18,[9]HISTOAVRIL22!$A$7:$AU$38,42,0))</f>
        <v>0</v>
      </c>
      <c r="I18" s="8">
        <f>VLOOKUP($A18,[9]HISTOAVRIL22!$A$7:$AU$38,41,0)</f>
        <v>0</v>
      </c>
      <c r="J18" s="8">
        <f>TONTMARS22!F18+TONTMARS22!G18</f>
        <v>0</v>
      </c>
      <c r="K18" s="8">
        <f>VLOOKUP($A18,[9]HISTOAVRIL22!$A$7:$AU$38,17,0)</f>
        <v>0</v>
      </c>
      <c r="L18" s="8" t="str">
        <f>IF(K18&lt;&gt;0,VLOOKUP($A18,[9]HISTOAVRIL22!$A$6:$BA$36,8,0),"ECHEC")</f>
        <v>ECHEC</v>
      </c>
      <c r="M18" s="8">
        <f>IF(P18=0,0,VLOOKUP($A18,[9]HISTOAVRIL22!$A$7:$AU$38,32,0))</f>
        <v>0</v>
      </c>
      <c r="N18" s="8">
        <f>VLOOKUP($A18,[9]HISTOAVRIL22!$A$7:$AU$38,33,0)</f>
        <v>0</v>
      </c>
      <c r="O18" s="8">
        <f t="shared" si="0"/>
        <v>0</v>
      </c>
      <c r="P18" s="8">
        <f>VLOOKUP($A18,[9]HISTOAVRIL22!$A$7:$AU$38,30,0)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IF(E19="ECHEC",0,VLOOKUP($A19,[9]HISTOAVRIL22!$A$7:$AQ$36,13,0))</f>
        <v>75000</v>
      </c>
      <c r="E19" s="8" t="str">
        <f>VLOOKUP($A19,[9]HISTOAVRIL22!$A$7:$AU$38,8,0)</f>
        <v>BANQUE</v>
      </c>
      <c r="F19" s="8">
        <f>VLOOKUP($A19,[9]HISTOAVRIL22!$A$7:$AU$38,36,0)</f>
        <v>0</v>
      </c>
      <c r="G19" s="8">
        <f>VLOOKUP($A19,[9]HISTOAVRIL22!$A$7:$AU$38,39,0)</f>
        <v>0</v>
      </c>
      <c r="H19" s="8">
        <f>IF(G19=0,0,VLOOKUP($A19,[9]HISTOAVRIL22!$A$7:$AU$38,42,0))</f>
        <v>0</v>
      </c>
      <c r="I19" s="8">
        <f>VLOOKUP($A19,[9]HISTOAVRIL22!$A$7:$AU$38,41,0)</f>
        <v>0</v>
      </c>
      <c r="J19" s="8">
        <f>TONTMARS22!F19+TONTMARS22!G19</f>
        <v>0</v>
      </c>
      <c r="K19" s="8">
        <f>VLOOKUP($A19,[9]HISTOAVRIL22!$A$7:$AU$38,17,0)</f>
        <v>0</v>
      </c>
      <c r="L19" s="8" t="str">
        <f>IF(K19&lt;&gt;0,VLOOKUP($A19,[9]HISTOAVRIL22!$A$6:$BA$36,8,0),"ECHEC")</f>
        <v>ECHEC</v>
      </c>
      <c r="M19" s="8">
        <f>IF(P19=0,0,VLOOKUP($A19,[9]HISTOAVRIL22!$A$7:$AU$38,32,0))</f>
        <v>0</v>
      </c>
      <c r="N19" s="8">
        <f>VLOOKUP($A19,[9]HISTOAVRIL22!$A$7:$AU$38,33,0)</f>
        <v>0</v>
      </c>
      <c r="O19" s="8">
        <f t="shared" si="0"/>
        <v>0</v>
      </c>
      <c r="P19" s="8">
        <f>VLOOKUP($A19,[9]HISTOAVRIL22!$A$7:$AU$38,30,0)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IF(E20="ECHEC",0,VLOOKUP($A20,[9]HISTOAVRIL22!$A$7:$AQ$36,13,0))</f>
        <v>75000</v>
      </c>
      <c r="E20" s="8" t="str">
        <f>VLOOKUP($A20,[9]HISTOAVRIL22!$A$7:$AU$38,8,0)</f>
        <v>BANQUE</v>
      </c>
      <c r="F20" s="8">
        <f>VLOOKUP($A20,[9]HISTOAVRIL22!$A$7:$AU$38,36,0)</f>
        <v>0</v>
      </c>
      <c r="G20" s="8">
        <f>VLOOKUP($A20,[9]HISTOAVRIL22!$A$7:$AU$38,39,0)</f>
        <v>0</v>
      </c>
      <c r="H20" s="8">
        <f>IF(G20=0,0,VLOOKUP($A20,[9]HISTOAVRIL22!$A$7:$AU$38,42,0))</f>
        <v>0</v>
      </c>
      <c r="I20" s="8">
        <f>VLOOKUP($A20,[9]HISTOAVRIL22!$A$7:$AU$38,41,0)</f>
        <v>0</v>
      </c>
      <c r="J20" s="8">
        <f>TONTMARS22!F20+TONTMARS22!G20</f>
        <v>48500</v>
      </c>
      <c r="K20" s="8">
        <f>VLOOKUP($A20,[9]HISTOAVRIL22!$A$7:$AU$38,17,0)</f>
        <v>48500</v>
      </c>
      <c r="L20" s="8" t="str">
        <f>IF(K20&lt;&gt;0,VLOOKUP($A20,[9]HISTOAVRIL22!$A$6:$BA$36,8,0),"ECHEC")</f>
        <v>BANQUE</v>
      </c>
      <c r="M20" s="8">
        <f>IF(P20=0,0,VLOOKUP($A20,[9]HISTOAVRIL22!$A$7:$AU$38,32,0))</f>
        <v>0</v>
      </c>
      <c r="N20" s="8">
        <f>VLOOKUP($A20,[9]HISTOAVRIL22!$A$7:$AU$38,33,0)</f>
        <v>0</v>
      </c>
      <c r="O20" s="8">
        <f t="shared" si="0"/>
        <v>0</v>
      </c>
      <c r="P20" s="8">
        <f>VLOOKUP($A20,[9]HISTOAVRIL22!$A$7:$AU$38,30,0)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IF(E21="ECHEC",0,VLOOKUP($A21,[9]HISTOAVRIL22!$A$7:$AQ$36,13,0))</f>
        <v>150000</v>
      </c>
      <c r="E21" s="8" t="str">
        <f>VLOOKUP($A21,[9]HISTOAVRIL22!$A$7:$AU$38,8,0)</f>
        <v>BANQUE</v>
      </c>
      <c r="F21" s="8">
        <f>VLOOKUP($A21,[9]HISTOAVRIL22!$A$7:$AU$38,36,0)</f>
        <v>0</v>
      </c>
      <c r="G21" s="8">
        <f>VLOOKUP($A21,[9]HISTOAVRIL22!$A$7:$AU$38,39,0)</f>
        <v>0</v>
      </c>
      <c r="H21" s="8">
        <f>IF(G21=0,0,VLOOKUP($A21,[9]HISTOAVRIL22!$A$7:$AU$38,42,0))</f>
        <v>0</v>
      </c>
      <c r="I21" s="8">
        <f>VLOOKUP($A21,[9]HISTOAVRIL22!$A$7:$AU$38,41,0)</f>
        <v>0</v>
      </c>
      <c r="J21" s="8">
        <f>TONTMARS22!F21+TONTMARS22!G21</f>
        <v>0</v>
      </c>
      <c r="K21" s="8">
        <f>VLOOKUP($A21,[9]HISTOAVRIL22!$A$7:$AU$38,17,0)</f>
        <v>0</v>
      </c>
      <c r="L21" s="8" t="str">
        <f>IF(K21&lt;&gt;0,VLOOKUP($A21,[9]HISTOAVRIL22!$A$6:$BA$36,8,0),"ECHEC")</f>
        <v>ECHEC</v>
      </c>
      <c r="M21" s="8">
        <f>IF(P21=0,0,VLOOKUP($A21,[9]HISTOAVRIL22!$A$7:$AU$38,32,0))</f>
        <v>0</v>
      </c>
      <c r="N21" s="8">
        <f>VLOOKUP($A21,[9]HISTOAVRIL22!$A$7:$AU$38,33,0)</f>
        <v>0</v>
      </c>
      <c r="O21" s="8">
        <f t="shared" si="0"/>
        <v>0</v>
      </c>
      <c r="P21" s="8">
        <f>VLOOKUP($A21,[9]HISTOAVRIL22!$A$7:$AU$38,30,0)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400000</v>
      </c>
      <c r="G24" s="9">
        <f t="shared" si="2"/>
        <v>4000</v>
      </c>
      <c r="H24" s="9">
        <f t="shared" si="2"/>
        <v>0</v>
      </c>
      <c r="I24" s="9">
        <f t="shared" si="2"/>
        <v>0</v>
      </c>
      <c r="J24" s="9">
        <f t="shared" si="2"/>
        <v>303500</v>
      </c>
      <c r="K24" s="9">
        <f t="shared" si="2"/>
        <v>303500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1110000</v>
      </c>
      <c r="P24" s="9">
        <f t="shared" si="2"/>
        <v>90000</v>
      </c>
      <c r="Q24" s="9">
        <f t="shared" si="2"/>
        <v>15000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D30+E30+P24+TONTMARS22!M31</f>
        <v>1893500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SUMIFS(K6:K18,L6:L18,"ESPECES")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SUMIFS(K6:K22,L6:L22,"BANQUE")</f>
        <v>303500</v>
      </c>
      <c r="F28" s="9">
        <f>SUMIFS(F6:F23,H6:H23,"BANQUE")</f>
        <v>400000</v>
      </c>
      <c r="G28" s="9">
        <f>SUMIFS(O6:O23,M6:M23,"BANQUE")</f>
        <v>1110000</v>
      </c>
      <c r="H28" s="9">
        <f>D28+E28-F28-G28</f>
        <v>293500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693500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303500</v>
      </c>
      <c r="F30" s="9">
        <f>F27+F28</f>
        <v>400000</v>
      </c>
      <c r="G30" s="9">
        <f t="shared" ref="G30:H30" si="3">G27+G28</f>
        <v>1110000</v>
      </c>
      <c r="H30" s="9">
        <f t="shared" si="3"/>
        <v>293500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K29-F24+500</f>
        <v>294000</v>
      </c>
      <c r="L31"/>
      <c r="M31" s="9">
        <f>K31</f>
        <v>294000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+K33+TONTMARS22!M33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+K34+TONTMARS22!M34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21" activePane="bottomRight" state="frozen"/>
      <selection activeCell="G6" sqref="G6:G39"/>
      <selection pane="topRight" activeCell="G6" sqref="G6:G39"/>
      <selection pane="bottomLeft" activeCell="G6" sqref="G6:G39"/>
      <selection pane="bottomRight" activeCell="P24" sqref="P24:Q24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IF(E6="ECHEC",0,VLOOKUP($A6,[9]HISTOMAI22!$A$7:$AQ$36,13,0))</f>
        <v>75000</v>
      </c>
      <c r="E6" s="8" t="str">
        <f>VLOOKUP($A6,[9]HISTOMAI22!$A$7:$AU$38,8,0)</f>
        <v>ESPECES</v>
      </c>
      <c r="F6" s="8">
        <f>VLOOKUP($A6,[9]HISTOMAI22!$A$7:$AU$38,36,0)</f>
        <v>0</v>
      </c>
      <c r="G6" s="8">
        <f>VLOOKUP($A6,[9]HISTOMAI22!$A$7:$AU$38,39,0)</f>
        <v>0</v>
      </c>
      <c r="H6" s="8">
        <f>IF(G6=0,0,VLOOKUP($A6,[9]HISTOMAI22!$A$7:$AU$38,42,0))</f>
        <v>0</v>
      </c>
      <c r="I6" s="8">
        <f>VLOOKUP($A6,[9]HISTOMAI22!$A$7:$AU$38,41,0)</f>
        <v>0</v>
      </c>
      <c r="J6" s="8">
        <f>+TONTAVRIL22!F6+TONTAVRIL22!G6</f>
        <v>0</v>
      </c>
      <c r="K6" s="8">
        <f>VLOOKUP($A6,[9]HISTOMAI22!$A$7:$AU$38,17,0)</f>
        <v>0</v>
      </c>
      <c r="L6" s="8" t="str">
        <f>IF(K6&lt;&gt;0,VLOOKUP($A6,[9]HISTOMAI22!$A$6:$BA$36,8,0),"ECHEC")</f>
        <v>ECHEC</v>
      </c>
      <c r="M6" s="8">
        <f>IF(P6=0,0,VLOOKUP($A6,[9]HISTOMAI22!$A$7:$AU$38,32,0))</f>
        <v>0</v>
      </c>
      <c r="N6" s="8">
        <f>VLOOKUP($A6,[9]HISTOMAI22!$A$7:$AU$38,33,0)</f>
        <v>0</v>
      </c>
      <c r="O6" s="8">
        <f t="shared" ref="O6:O21" si="0">IF(P6=0,0,($C$3-P6))</f>
        <v>0</v>
      </c>
      <c r="P6" s="8">
        <f>VLOOKUP($A6,[9]HISTOMAI22!$A$7:$AU$38,30,0)</f>
        <v>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IF(E7="ECHEC",0,VLOOKUP($A7,[9]HISTOMAI22!$A$7:$AQ$36,13,0))</f>
        <v>75000</v>
      </c>
      <c r="E7" s="8" t="str">
        <f>VLOOKUP($A7,[9]HISTOMAI22!$A$7:$AU$38,8,0)</f>
        <v>BANQUE</v>
      </c>
      <c r="F7" s="8">
        <f>VLOOKUP($A7,[9]HISTOMAI22!$A$7:$AU$38,36,0)</f>
        <v>0</v>
      </c>
      <c r="G7" s="8">
        <f>VLOOKUP($A7,[9]HISTOMAI22!$A$7:$AU$38,39,0)</f>
        <v>0</v>
      </c>
      <c r="H7" s="8">
        <f>IF(G7=0,0,VLOOKUP($A7,[9]HISTOMAI22!$A$7:$AU$38,42,0))</f>
        <v>0</v>
      </c>
      <c r="I7" s="8">
        <f>VLOOKUP($A7,[9]HISTOMAI22!$A$7:$AU$38,41,0)</f>
        <v>0</v>
      </c>
      <c r="J7" s="8">
        <f>+TONTAVRIL22!F7+TONTAVRIL22!G7</f>
        <v>0</v>
      </c>
      <c r="K7" s="8">
        <f>VLOOKUP($A7,[9]HISTOMAI22!$A$7:$AU$38,17,0)</f>
        <v>0</v>
      </c>
      <c r="L7" s="8" t="str">
        <f>IF(K7&lt;&gt;0,VLOOKUP($A7,[9]HISTOMAI22!$A$6:$BA$36,8,0),"ECHEC")</f>
        <v>ECHEC</v>
      </c>
      <c r="M7" s="8">
        <f>IF(P7=0,0,VLOOKUP($A7,[9]HISTOMAI22!$A$7:$AU$38,32,0))</f>
        <v>0</v>
      </c>
      <c r="N7" s="8">
        <f>VLOOKUP($A7,[9]HISTOMAI22!$A$7:$AU$38,33,0)</f>
        <v>0</v>
      </c>
      <c r="O7" s="8">
        <f t="shared" si="0"/>
        <v>0</v>
      </c>
      <c r="P7" s="8">
        <f>VLOOKUP($A7,[9]HISTOMAI22!$A$7:$AU$38,30,0)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IF(E8="ECHEC",0,VLOOKUP($A8,[9]HISTOMAI22!$A$7:$AQ$36,13,0))</f>
        <v>75000</v>
      </c>
      <c r="E8" s="8" t="str">
        <f>VLOOKUP($A8,[9]HISTOMAI22!$A$7:$AU$38,8,0)</f>
        <v>BANQUE</v>
      </c>
      <c r="F8" s="8">
        <f>VLOOKUP($A8,[9]HISTOMAI22!$A$7:$AU$38,36,0)</f>
        <v>100000</v>
      </c>
      <c r="G8" s="8">
        <f>VLOOKUP($A8,[9]HISTOMAI22!$A$7:$AU$38,39,0)</f>
        <v>1000</v>
      </c>
      <c r="H8" s="8">
        <f>IF(G8=0,0,VLOOKUP($A8,[9]HISTOMAI22!$A$7:$AU$38,42,0))</f>
        <v>0</v>
      </c>
      <c r="I8" s="8">
        <f>VLOOKUP($A8,[9]HISTOMAI22!$A$7:$AU$38,41,0)</f>
        <v>0</v>
      </c>
      <c r="J8" s="8">
        <f>+TONTAVRIL22!F8+TONTAVRIL22!G8</f>
        <v>0</v>
      </c>
      <c r="K8" s="8">
        <f>VLOOKUP($A8,[9]HISTOMAI22!$A$7:$AU$38,17,0)</f>
        <v>0</v>
      </c>
      <c r="L8" s="8" t="str">
        <f>IF(K8&lt;&gt;0,VLOOKUP($A8,[9]HISTOMAI22!$A$6:$BA$36,8,0),"ECHEC")</f>
        <v>ECHEC</v>
      </c>
      <c r="M8" s="8">
        <f>IF(P8=0,0,VLOOKUP($A8,[9]HISTOMAI22!$A$7:$AU$38,32,0))</f>
        <v>0</v>
      </c>
      <c r="N8" s="8">
        <f>VLOOKUP($A8,[9]HISTOMAI22!$A$7:$AU$38,33,0)</f>
        <v>0</v>
      </c>
      <c r="O8" s="8">
        <f t="shared" si="0"/>
        <v>0</v>
      </c>
      <c r="P8" s="8">
        <f>VLOOKUP($A8,[9]HISTOMAI22!$A$7:$AU$38,30,0)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IF(E9="ECHEC",0,VLOOKUP($A9,[9]HISTOMAI22!$A$7:$AQ$36,13,0))</f>
        <v>75000</v>
      </c>
      <c r="E9" s="8" t="str">
        <f>VLOOKUP($A9,[9]HISTOMAI22!$A$7:$AU$38,8,0)</f>
        <v>BANQUE</v>
      </c>
      <c r="F9" s="8">
        <f>VLOOKUP($A9,[9]HISTOMAI22!$A$7:$AU$38,36,0)</f>
        <v>0</v>
      </c>
      <c r="G9" s="8">
        <f>VLOOKUP($A9,[9]HISTOMAI22!$A$7:$AU$38,39,0)</f>
        <v>0</v>
      </c>
      <c r="H9" s="8">
        <f>IF(G9=0,0,VLOOKUP($A9,[9]HISTOMAI22!$A$7:$AU$38,42,0))</f>
        <v>0</v>
      </c>
      <c r="I9" s="8">
        <f>VLOOKUP($A9,[9]HISTOMAI22!$A$7:$AU$38,41,0)</f>
        <v>0</v>
      </c>
      <c r="J9" s="8">
        <f>+TONTAVRIL22!F9+TONTAVRIL22!G9</f>
        <v>0</v>
      </c>
      <c r="K9" s="8">
        <f>VLOOKUP($A9,[9]HISTOMAI22!$A$7:$AU$38,17,0)</f>
        <v>0</v>
      </c>
      <c r="L9" s="8" t="str">
        <f>IF(K9&lt;&gt;0,VLOOKUP($A9,[9]HISTOMAI22!$A$6:$BA$36,8,0),"ECHEC")</f>
        <v>ECHEC</v>
      </c>
      <c r="M9" s="8">
        <f>IF(P9=0,0,VLOOKUP($A9,[9]HISTOMAI22!$A$7:$AU$38,32,0))</f>
        <v>0</v>
      </c>
      <c r="N9" s="8">
        <f>VLOOKUP($A9,[9]HISTOMAI22!$A$7:$AU$38,33,0)</f>
        <v>0</v>
      </c>
      <c r="O9" s="8">
        <f t="shared" si="0"/>
        <v>0</v>
      </c>
      <c r="P9" s="8">
        <f>VLOOKUP($A9,[9]HISTOMAI22!$A$7:$AU$38,30,0)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IF(E10="ECHEC",0,VLOOKUP($A10,[9]HISTOMAI22!$A$7:$AQ$36,13,0))</f>
        <v>75000</v>
      </c>
      <c r="E10" s="8" t="str">
        <f>VLOOKUP($A10,[9]HISTOMAI22!$A$7:$AU$38,8,0)</f>
        <v>BANQUE</v>
      </c>
      <c r="F10" s="8">
        <f>VLOOKUP($A10,[9]HISTOMAI22!$A$7:$AU$38,36,0)</f>
        <v>0</v>
      </c>
      <c r="G10" s="8">
        <f>VLOOKUP($A10,[9]HISTOMAI22!$A$7:$AU$38,39,0)</f>
        <v>0</v>
      </c>
      <c r="H10" s="8">
        <f>IF(G10=0,0,VLOOKUP($A10,[9]HISTOMAI22!$A$7:$AU$38,42,0))</f>
        <v>0</v>
      </c>
      <c r="I10" s="8">
        <f>VLOOKUP($A10,[9]HISTOMAI22!$A$7:$AU$38,41,0)</f>
        <v>0</v>
      </c>
      <c r="J10" s="8">
        <f>+TONTAVRIL22!F10+TONTAVRIL22!G10</f>
        <v>0</v>
      </c>
      <c r="K10" s="8">
        <f>VLOOKUP($A10,[9]HISTOMAI22!$A$7:$AU$38,17,0)</f>
        <v>0</v>
      </c>
      <c r="L10" s="8" t="str">
        <f>IF(K10&lt;&gt;0,VLOOKUP($A10,[9]HISTOMAI22!$A$6:$BA$36,8,0),"ECHEC")</f>
        <v>ECHEC</v>
      </c>
      <c r="M10" s="8">
        <f>IF(P10=0,0,VLOOKUP($A10,[9]HISTOMAI22!$A$7:$AU$38,32,0))</f>
        <v>0</v>
      </c>
      <c r="N10" s="8">
        <f>VLOOKUP($A10,[9]HISTOMAI22!$A$7:$AU$38,33,0)</f>
        <v>0</v>
      </c>
      <c r="O10" s="8">
        <f t="shared" si="0"/>
        <v>0</v>
      </c>
      <c r="P10" s="8">
        <f>VLOOKUP($A10,[9]HISTOMAI22!$A$7:$AU$38,30,0)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IF(E11="ECHEC",0,VLOOKUP($A11,[9]HISTOMAI22!$A$7:$AQ$36,13,0))</f>
        <v>75000</v>
      </c>
      <c r="E11" s="8" t="str">
        <f>VLOOKUP($A11,[9]HISTOMAI22!$A$7:$AU$38,8,0)</f>
        <v>BANQUE</v>
      </c>
      <c r="F11" s="8">
        <f>VLOOKUP($A11,[9]HISTOMAI22!$A$7:$AU$38,36,0)</f>
        <v>0</v>
      </c>
      <c r="G11" s="8">
        <f>VLOOKUP($A11,[9]HISTOMAI22!$A$7:$AU$38,39,0)</f>
        <v>0</v>
      </c>
      <c r="H11" s="8">
        <f>IF(G11=0,0,VLOOKUP($A11,[9]HISTOMAI22!$A$7:$AU$38,42,0))</f>
        <v>0</v>
      </c>
      <c r="I11" s="8">
        <f>VLOOKUP($A11,[9]HISTOMAI22!$A$7:$AU$38,41,0)</f>
        <v>0</v>
      </c>
      <c r="J11" s="8">
        <f>+TONTAVRIL22!F11+TONTAVRIL22!G11</f>
        <v>0</v>
      </c>
      <c r="K11" s="8">
        <f>VLOOKUP($A11,[9]HISTOMAI22!$A$7:$AU$38,17,0)</f>
        <v>0</v>
      </c>
      <c r="L11" s="8" t="str">
        <f>IF(K11&lt;&gt;0,VLOOKUP($A11,[9]HISTOMAI22!$A$6:$BA$36,8,0),"ECHEC")</f>
        <v>ECHEC</v>
      </c>
      <c r="M11" s="8">
        <f>IF(P11=0,0,VLOOKUP($A11,[9]HISTOMAI22!$A$7:$AU$38,32,0))</f>
        <v>0</v>
      </c>
      <c r="N11" s="8">
        <f>VLOOKUP($A11,[9]HISTOMAI22!$A$7:$AU$38,33,0)</f>
        <v>0</v>
      </c>
      <c r="O11" s="8">
        <f t="shared" si="0"/>
        <v>0</v>
      </c>
      <c r="P11" s="8">
        <f>VLOOKUP($A11,[9]HISTOMAI22!$A$7:$AU$38,30,0)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IF(E12="ECHEC",0,VLOOKUP($A12,[9]HISTOMAI22!$A$7:$AQ$36,13,0))</f>
        <v>75000</v>
      </c>
      <c r="E12" s="8" t="str">
        <f>VLOOKUP($A12,[9]HISTOMAI22!$A$7:$AU$38,8,0)</f>
        <v>BANQUE</v>
      </c>
      <c r="F12" s="8">
        <f>VLOOKUP($A12,[9]HISTOMAI22!$A$7:$AU$38,36,0)</f>
        <v>173000</v>
      </c>
      <c r="G12" s="8">
        <f>VLOOKUP($A12,[9]HISTOMAI22!$A$7:$AU$38,39,0)</f>
        <v>2000</v>
      </c>
      <c r="H12" s="8" t="str">
        <f>IF(G12=0,0,VLOOKUP($A12,[9]HISTOMAI22!$A$7:$AU$38,42,0))</f>
        <v>BANQUE</v>
      </c>
      <c r="I12" s="8">
        <f>VLOOKUP($A12,[9]HISTOMAI22!$A$7:$AU$38,41,0)</f>
        <v>0</v>
      </c>
      <c r="J12" s="8">
        <f>+TONTAVRIL22!F12+TONTAVRIL22!G12</f>
        <v>0</v>
      </c>
      <c r="K12" s="8">
        <f>VLOOKUP($A12,[9]HISTOMAI22!$A$7:$AU$38,17,0)</f>
        <v>0</v>
      </c>
      <c r="L12" s="8" t="str">
        <f>IF(K12&lt;&gt;0,VLOOKUP($A12,[9]HISTOMAI22!$A$6:$BA$36,8,0),"ECHEC")</f>
        <v>ECHEC</v>
      </c>
      <c r="M12" s="8">
        <f>IF(P12=0,0,VLOOKUP($A12,[9]HISTOMAI22!$A$7:$AU$38,32,0))</f>
        <v>0</v>
      </c>
      <c r="N12" s="8">
        <f>VLOOKUP($A12,[9]HISTOMAI22!$A$7:$AU$38,33,0)</f>
        <v>0</v>
      </c>
      <c r="O12" s="8">
        <f t="shared" si="0"/>
        <v>0</v>
      </c>
      <c r="P12" s="8">
        <f>VLOOKUP($A12,[9]HISTOMAI22!$A$7:$AU$38,30,0)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IF(E13="ECHEC",0,VLOOKUP($A13,[9]HISTOMAI22!$A$7:$AQ$36,13,0))</f>
        <v>225000</v>
      </c>
      <c r="E13" s="8" t="str">
        <f>VLOOKUP($A13,[9]HISTOMAI22!$A$7:$AU$38,8,0)</f>
        <v>BANQUE</v>
      </c>
      <c r="F13" s="8">
        <f>VLOOKUP($A13,[9]HISTOMAI22!$A$7:$AU$38,36,0)</f>
        <v>200000</v>
      </c>
      <c r="G13" s="8">
        <f>VLOOKUP($A13,[9]HISTOMAI22!$A$7:$AU$38,39,0)</f>
        <v>2000</v>
      </c>
      <c r="H13" s="8" t="str">
        <f>IF(G13=0,0,VLOOKUP($A13,[9]HISTOMAI22!$A$7:$AU$38,42,0))</f>
        <v>BANQUE</v>
      </c>
      <c r="I13" s="8">
        <f>VLOOKUP($A13,[9]HISTOMAI22!$A$7:$AU$38,41,0)</f>
        <v>0</v>
      </c>
      <c r="J13" s="8">
        <f>+TONTAVRIL22!F13+TONTAVRIL22!G13</f>
        <v>0</v>
      </c>
      <c r="K13" s="8">
        <f>VLOOKUP($A13,[9]HISTOMAI22!$A$7:$AU$38,17,0)</f>
        <v>0</v>
      </c>
      <c r="L13" s="8" t="str">
        <f>IF(K13&lt;&gt;0,VLOOKUP($A13,[9]HISTOMAI22!$A$6:$BA$36,8,0),"ECHEC")</f>
        <v>ECHEC</v>
      </c>
      <c r="M13" s="8" t="str">
        <f>IF(P13=0,0,VLOOKUP($A13,[9]HISTOMAI22!$A$7:$AU$38,32,0))</f>
        <v>BANQUE</v>
      </c>
      <c r="N13" s="8">
        <f>VLOOKUP($A13,[9]HISTOMAI22!$A$7:$AU$38,33,0)</f>
        <v>0</v>
      </c>
      <c r="O13" s="8">
        <f t="shared" si="0"/>
        <v>1125000</v>
      </c>
      <c r="P13" s="8">
        <f>VLOOKUP($A13,[9]HISTOMAI22!$A$7:$AU$38,30,0)</f>
        <v>75000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IF(E14="ECHEC",0,VLOOKUP($A14,[9]HISTOMAI22!$A$7:$AQ$36,13,0))</f>
        <v>75000</v>
      </c>
      <c r="E14" s="8" t="str">
        <f>VLOOKUP($A14,[9]HISTOMAI22!$A$7:$AU$38,8,0)</f>
        <v>BANQUE</v>
      </c>
      <c r="F14" s="8">
        <f>VLOOKUP($A14,[9]HISTOMAI22!$A$7:$AU$38,36,0)</f>
        <v>0</v>
      </c>
      <c r="G14" s="8">
        <f>VLOOKUP($A14,[9]HISTOMAI22!$A$7:$AU$38,39,0)</f>
        <v>0</v>
      </c>
      <c r="H14" s="8">
        <f>IF(G14=0,0,VLOOKUP($A14,[9]HISTOMAI22!$A$7:$AU$38,42,0))</f>
        <v>0</v>
      </c>
      <c r="I14" s="8">
        <f>VLOOKUP($A14,[9]HISTOMAI22!$A$7:$AU$38,41,0)</f>
        <v>0</v>
      </c>
      <c r="J14" s="8">
        <f>+TONTAVRIL22!F14+TONTAVRIL22!G14</f>
        <v>0</v>
      </c>
      <c r="K14" s="8">
        <f>VLOOKUP($A14,[9]HISTOMAI22!$A$7:$AU$38,17,0)</f>
        <v>0</v>
      </c>
      <c r="L14" s="8" t="str">
        <f>IF(K14&lt;&gt;0,VLOOKUP($A14,[9]HISTOMAI22!$A$6:$BA$36,8,0),"ECHEC")</f>
        <v>ECHEC</v>
      </c>
      <c r="M14" s="8">
        <f>IF(P14=0,0,VLOOKUP($A14,[9]HISTOMAI22!$A$7:$AU$38,32,0))</f>
        <v>0</v>
      </c>
      <c r="N14" s="8">
        <f>VLOOKUP($A14,[9]HISTOMAI22!$A$7:$AU$38,33,0)</f>
        <v>0</v>
      </c>
      <c r="O14" s="8">
        <f t="shared" si="0"/>
        <v>0</v>
      </c>
      <c r="P14" s="8">
        <f>VLOOKUP($A14,[9]HISTOMAI22!$A$7:$AU$38,30,0)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IF(E15="ECHEC",0,VLOOKUP($A15,[9]HISTOMAI22!$A$7:$AQ$36,13,0))</f>
        <v>75000</v>
      </c>
      <c r="E15" s="8" t="str">
        <f>VLOOKUP($A15,[9]HISTOMAI22!$A$7:$AU$38,8,0)</f>
        <v>ESPECES</v>
      </c>
      <c r="F15" s="8">
        <f>VLOOKUP($A15,[9]HISTOMAI22!$A$7:$AU$38,36,0)</f>
        <v>200000</v>
      </c>
      <c r="G15" s="8">
        <f>VLOOKUP($A15,[9]HISTOMAI22!$A$7:$AU$38,39,0)</f>
        <v>2000</v>
      </c>
      <c r="H15" s="8" t="str">
        <f>IF(G15=0,0,VLOOKUP($A15,[9]HISTOMAI22!$A$7:$AU$38,42,0))</f>
        <v>BANQUE</v>
      </c>
      <c r="I15" s="8">
        <f>VLOOKUP($A15,[9]HISTOMAI22!$A$7:$AU$38,41,0)</f>
        <v>0</v>
      </c>
      <c r="J15" s="8">
        <f>+TONTAVRIL22!F15+TONTAVRIL22!G15</f>
        <v>202000</v>
      </c>
      <c r="K15" s="8">
        <f>VLOOKUP($A15,[9]HISTOMAI22!$A$7:$AU$38,17,0)</f>
        <v>202000</v>
      </c>
      <c r="L15" s="8" t="str">
        <f>IF(K15&lt;&gt;0,VLOOKUP($A15,[9]HISTOMAI22!$A$6:$BA$36,8,0),"ECHEC")</f>
        <v>ESPECES</v>
      </c>
      <c r="M15" s="8">
        <f>IF(P15=0,0,VLOOKUP($A15,[9]HISTOMAI22!$A$7:$AU$38,32,0))</f>
        <v>0</v>
      </c>
      <c r="N15" s="8">
        <f>VLOOKUP($A15,[9]HISTOMAI22!$A$7:$AU$38,33,0)</f>
        <v>0</v>
      </c>
      <c r="O15" s="8">
        <f t="shared" si="0"/>
        <v>0</v>
      </c>
      <c r="P15" s="8">
        <f>VLOOKUP($A15,[9]HISTOMAI22!$A$7:$AU$38,30,0)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IF(E16="ECHEC",0,VLOOKUP($A16,[9]HISTOMAI22!$A$7:$AQ$36,13,0))</f>
        <v>150000</v>
      </c>
      <c r="E16" s="8" t="str">
        <f>VLOOKUP($A16,[9]HISTOMAI22!$A$7:$AU$38,8,0)</f>
        <v>BANQUE</v>
      </c>
      <c r="F16" s="8">
        <f>VLOOKUP($A16,[9]HISTOMAI22!$A$7:$AU$38,36,0)</f>
        <v>200000</v>
      </c>
      <c r="G16" s="8">
        <f>VLOOKUP($A16,[9]HISTOMAI22!$A$7:$AU$38,39,0)</f>
        <v>2000</v>
      </c>
      <c r="H16" s="8" t="str">
        <f>IF(G16=0,0,VLOOKUP($A16,[9]HISTOMAI22!$A$7:$AU$38,42,0))</f>
        <v>BANQUE</v>
      </c>
      <c r="I16" s="8">
        <f>VLOOKUP($A16,[9]HISTOMAI22!$A$7:$AU$38,41,0)</f>
        <v>0</v>
      </c>
      <c r="J16" s="8">
        <f>+TONTAVRIL22!F16+TONTAVRIL22!G16</f>
        <v>202000</v>
      </c>
      <c r="K16" s="8">
        <f>VLOOKUP($A16,[9]HISTOMAI22!$A$7:$AU$38,17,0)</f>
        <v>202000</v>
      </c>
      <c r="L16" s="8" t="str">
        <f>IF(K16&lt;&gt;0,VLOOKUP($A16,[9]HISTOMAI22!$A$6:$BA$36,8,0),"ECHEC")</f>
        <v>BANQUE</v>
      </c>
      <c r="M16" s="8">
        <f>IF(P16=0,0,VLOOKUP($A16,[9]HISTOMAI22!$A$7:$AU$38,32,0))</f>
        <v>0</v>
      </c>
      <c r="N16" s="8">
        <f>VLOOKUP($A16,[9]HISTOMAI22!$A$7:$AU$38,33,0)</f>
        <v>0</v>
      </c>
      <c r="O16" s="8">
        <f t="shared" si="0"/>
        <v>0</v>
      </c>
      <c r="P16" s="8">
        <f>VLOOKUP($A16,[9]HISTOMAI22!$A$7:$AU$38,30,0)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IF(E17="ECHEC",0,VLOOKUP($A17,[9]HISTOMAI22!$A$7:$AQ$36,13,0))</f>
        <v>75000</v>
      </c>
      <c r="E17" s="8" t="str">
        <f>VLOOKUP($A17,[9]HISTOMAI22!$A$7:$AU$38,8,0)</f>
        <v>BANQUE</v>
      </c>
      <c r="F17" s="8">
        <f>VLOOKUP($A17,[9]HISTOMAI22!$A$7:$AU$38,36,0)</f>
        <v>200000</v>
      </c>
      <c r="G17" s="8">
        <f>VLOOKUP($A17,[9]HISTOMAI22!$A$7:$AU$38,39,0)</f>
        <v>2000</v>
      </c>
      <c r="H17" s="8" t="str">
        <f>IF(G17=0,0,VLOOKUP($A17,[9]HISTOMAI22!$A$7:$AU$38,42,0))</f>
        <v>BANQUE</v>
      </c>
      <c r="I17" s="8">
        <f>VLOOKUP($A17,[9]HISTOMAI22!$A$7:$AU$38,41,0)</f>
        <v>0</v>
      </c>
      <c r="J17" s="8">
        <f>+TONTAVRIL22!F17+TONTAVRIL22!G17</f>
        <v>0</v>
      </c>
      <c r="K17" s="8">
        <f>VLOOKUP($A17,[9]HISTOMAI22!$A$7:$AU$38,17,0)</f>
        <v>0</v>
      </c>
      <c r="L17" s="8" t="str">
        <f>IF(K17&lt;&gt;0,VLOOKUP($A17,[9]HISTOMAI22!$A$6:$BA$36,8,0),"ECHEC")</f>
        <v>ECHEC</v>
      </c>
      <c r="M17" s="8">
        <f>IF(P17=0,0,VLOOKUP($A17,[9]HISTOMAI22!$A$7:$AU$38,32,0))</f>
        <v>0</v>
      </c>
      <c r="N17" s="8">
        <f>VLOOKUP($A17,[9]HISTOMAI22!$A$7:$AU$38,33,0)</f>
        <v>0</v>
      </c>
      <c r="O17" s="8">
        <f t="shared" si="0"/>
        <v>0</v>
      </c>
      <c r="P17" s="8">
        <f>VLOOKUP($A17,[9]HISTOMAI22!$A$7:$AU$38,30,0)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IF(E18="ECHEC",0,VLOOKUP($A18,[9]HISTOMAI22!$A$7:$AQ$36,13,0))</f>
        <v>75000</v>
      </c>
      <c r="E18" s="8" t="str">
        <f>VLOOKUP($A18,[9]HISTOMAI22!$A$7:$AU$38,8,0)</f>
        <v>BANQUE</v>
      </c>
      <c r="F18" s="8">
        <f>VLOOKUP($A18,[9]HISTOMAI22!$A$7:$AU$38,36,0)</f>
        <v>0</v>
      </c>
      <c r="G18" s="8">
        <f>VLOOKUP($A18,[9]HISTOMAI22!$A$7:$AU$38,39,0)</f>
        <v>0</v>
      </c>
      <c r="H18" s="8">
        <f>IF(G18=0,0,VLOOKUP($A18,[9]HISTOMAI22!$A$7:$AU$38,42,0))</f>
        <v>0</v>
      </c>
      <c r="I18" s="8">
        <f>VLOOKUP($A18,[9]HISTOMAI22!$A$7:$AU$38,41,0)</f>
        <v>0</v>
      </c>
      <c r="J18" s="8">
        <f>+TONTAVRIL22!F18+TONTAVRIL22!G18</f>
        <v>0</v>
      </c>
      <c r="K18" s="8">
        <f>VLOOKUP($A18,[9]HISTOMAI22!$A$7:$AU$38,17,0)</f>
        <v>0</v>
      </c>
      <c r="L18" s="8" t="str">
        <f>IF(K18&lt;&gt;0,VLOOKUP($A18,[9]HISTOMAI22!$A$6:$BA$36,8,0),"ECHEC")</f>
        <v>ECHEC</v>
      </c>
      <c r="M18" s="8">
        <f>IF(P18=0,0,VLOOKUP($A18,[9]HISTOMAI22!$A$7:$AU$38,32,0))</f>
        <v>0</v>
      </c>
      <c r="N18" s="8">
        <f>VLOOKUP($A18,[9]HISTOMAI22!$A$7:$AU$38,33,0)</f>
        <v>0</v>
      </c>
      <c r="O18" s="8">
        <f t="shared" si="0"/>
        <v>0</v>
      </c>
      <c r="P18" s="8">
        <f>VLOOKUP($A18,[9]HISTOMAI22!$A$7:$AU$38,30,0)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IF(E19="ECHEC",0,VLOOKUP($A19,[9]HISTOMAI22!$A$7:$AQ$36,13,0))</f>
        <v>75000</v>
      </c>
      <c r="E19" s="8" t="str">
        <f>VLOOKUP($A19,[9]HISTOMAI22!$A$7:$AU$38,8,0)</f>
        <v>ESPECES</v>
      </c>
      <c r="F19" s="8">
        <f>VLOOKUP($A19,[9]HISTOMAI22!$A$7:$AU$38,36,0)</f>
        <v>0</v>
      </c>
      <c r="G19" s="8">
        <f>VLOOKUP($A19,[9]HISTOMAI22!$A$7:$AU$38,39,0)</f>
        <v>0</v>
      </c>
      <c r="H19" s="8">
        <f>IF(G19=0,0,VLOOKUP($A19,[9]HISTOMAI22!$A$7:$AU$38,42,0))</f>
        <v>0</v>
      </c>
      <c r="I19" s="8">
        <f>VLOOKUP($A19,[9]HISTOMAI22!$A$7:$AU$38,41,0)</f>
        <v>0</v>
      </c>
      <c r="J19" s="8">
        <f>+TONTAVRIL22!F19+TONTAVRIL22!G19</f>
        <v>0</v>
      </c>
      <c r="K19" s="8">
        <f>VLOOKUP($A19,[9]HISTOMAI22!$A$7:$AU$38,17,0)</f>
        <v>0</v>
      </c>
      <c r="L19" s="8" t="str">
        <f>IF(K19&lt;&gt;0,VLOOKUP($A19,[9]HISTOMAI22!$A$6:$BA$36,8,0),"ECHEC")</f>
        <v>ECHEC</v>
      </c>
      <c r="M19" s="8">
        <f>IF(P19=0,0,VLOOKUP($A19,[9]HISTOMAI22!$A$7:$AU$38,32,0))</f>
        <v>0</v>
      </c>
      <c r="N19" s="8">
        <f>VLOOKUP($A19,[9]HISTOMAI22!$A$7:$AU$38,33,0)</f>
        <v>0</v>
      </c>
      <c r="O19" s="8">
        <f t="shared" si="0"/>
        <v>0</v>
      </c>
      <c r="P19" s="8">
        <f>VLOOKUP($A19,[9]HISTOMAI22!$A$7:$AU$38,30,0)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IF(E20="ECHEC",0,VLOOKUP($A20,[9]HISTOMAI22!$A$7:$AQ$36,13,0))</f>
        <v>75000</v>
      </c>
      <c r="E20" s="8" t="str">
        <f>VLOOKUP($A20,[9]HISTOMAI22!$A$7:$AU$38,8,0)</f>
        <v>BANQUE</v>
      </c>
      <c r="F20" s="8">
        <f>VLOOKUP($A20,[9]HISTOMAI22!$A$7:$AU$38,36,0)</f>
        <v>0</v>
      </c>
      <c r="G20" s="8">
        <f>VLOOKUP($A20,[9]HISTOMAI22!$A$7:$AU$38,39,0)</f>
        <v>0</v>
      </c>
      <c r="H20" s="8">
        <f>IF(G20=0,0,VLOOKUP($A20,[9]HISTOMAI22!$A$7:$AU$38,42,0))</f>
        <v>0</v>
      </c>
      <c r="I20" s="8">
        <f>VLOOKUP($A20,[9]HISTOMAI22!$A$7:$AU$38,41,0)</f>
        <v>0</v>
      </c>
      <c r="J20" s="8">
        <f>+TONTAVRIL22!F20+TONTAVRIL22!G20</f>
        <v>0</v>
      </c>
      <c r="K20" s="8">
        <f>VLOOKUP($A20,[9]HISTOMAI22!$A$7:$AU$38,17,0)</f>
        <v>0</v>
      </c>
      <c r="L20" s="8" t="str">
        <f>IF(K20&lt;&gt;0,VLOOKUP($A20,[9]HISTOMAI22!$A$6:$BA$36,8,0),"ECHEC")</f>
        <v>ECHEC</v>
      </c>
      <c r="M20" s="8">
        <f>IF(P20=0,0,VLOOKUP($A20,[9]HISTOMAI22!$A$7:$AU$38,32,0))</f>
        <v>0</v>
      </c>
      <c r="N20" s="8">
        <f>VLOOKUP($A20,[9]HISTOMAI22!$A$7:$AU$38,33,0)</f>
        <v>0</v>
      </c>
      <c r="O20" s="8">
        <f t="shared" si="0"/>
        <v>0</v>
      </c>
      <c r="P20" s="8">
        <f>VLOOKUP($A20,[9]HISTOMAI22!$A$7:$AU$38,30,0)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IF(E21="ECHEC",0,VLOOKUP($A21,[9]HISTOMAI22!$A$7:$AQ$36,13,0))</f>
        <v>150000</v>
      </c>
      <c r="E21" s="8" t="str">
        <f>VLOOKUP($A21,[9]HISTOMAI22!$A$7:$AU$38,8,0)</f>
        <v>BANQUE</v>
      </c>
      <c r="F21" s="8">
        <f>VLOOKUP($A21,[9]HISTOMAI22!$A$7:$AU$38,36,0)</f>
        <v>0</v>
      </c>
      <c r="G21" s="8">
        <f>VLOOKUP($A21,[9]HISTOMAI22!$A$7:$AU$38,39,0)</f>
        <v>0</v>
      </c>
      <c r="H21" s="8">
        <f>IF(G21=0,0,VLOOKUP($A21,[9]HISTOMAI22!$A$7:$AU$38,42,0))</f>
        <v>0</v>
      </c>
      <c r="I21" s="8">
        <f>VLOOKUP($A21,[9]HISTOMAI22!$A$7:$AU$38,41,0)</f>
        <v>0</v>
      </c>
      <c r="J21" s="8">
        <f>+TONTAVRIL22!F21+TONTAVRIL22!G21</f>
        <v>0</v>
      </c>
      <c r="K21" s="8">
        <f>VLOOKUP($A21,[9]HISTOMAI22!$A$7:$AU$38,17,0)</f>
        <v>0</v>
      </c>
      <c r="L21" s="8" t="str">
        <f>IF(K21&lt;&gt;0,VLOOKUP($A21,[9]HISTOMAI22!$A$6:$BA$36,8,0),"ECHEC")</f>
        <v>ECHEC</v>
      </c>
      <c r="M21" s="8">
        <f>IF(P21=0,0,VLOOKUP($A21,[9]HISTOMAI22!$A$7:$AU$38,32,0))</f>
        <v>0</v>
      </c>
      <c r="N21" s="8">
        <f>VLOOKUP($A21,[9]HISTOMAI22!$A$7:$AU$38,33,0)</f>
        <v>0</v>
      </c>
      <c r="O21" s="8">
        <f t="shared" si="0"/>
        <v>0</v>
      </c>
      <c r="P21" s="8">
        <f>VLOOKUP($A21,[9]HISTOMAI22!$A$7:$AU$38,30,0)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1073000</v>
      </c>
      <c r="G24" s="9">
        <f t="shared" si="2"/>
        <v>11000</v>
      </c>
      <c r="H24" s="9">
        <f t="shared" si="2"/>
        <v>0</v>
      </c>
      <c r="I24" s="9">
        <f t="shared" si="2"/>
        <v>0</v>
      </c>
      <c r="J24" s="9">
        <f t="shared" si="2"/>
        <v>404000</v>
      </c>
      <c r="K24" s="9">
        <f t="shared" si="2"/>
        <v>404000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1125000</v>
      </c>
      <c r="P24" s="9">
        <f t="shared" si="2"/>
        <v>75000</v>
      </c>
      <c r="Q24" s="9">
        <f t="shared" si="2"/>
        <v>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D30+E30+P24+TONTAVRIL22!M31</f>
        <v>2273000</v>
      </c>
      <c r="L26" s="6"/>
      <c r="M26"/>
      <c r="N26" s="6"/>
      <c r="Q26" s="21">
        <f>SUM(Q6:Q24)</f>
        <v>0</v>
      </c>
    </row>
    <row r="27" spans="1:17" s="2" customFormat="1" ht="18" x14ac:dyDescent="0.25">
      <c r="D27" s="9">
        <f>SUMIFS(D6:D23,E6:E23,"ESPECES")</f>
        <v>225000</v>
      </c>
      <c r="E27" s="9">
        <f>SUMIFS(K6:K22,L6:L22,"ESPECES")</f>
        <v>202000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427000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1275000</v>
      </c>
      <c r="E28" s="9">
        <f>SUMIFS(K6:K22,L6:L22,"BANQUE")</f>
        <v>202000</v>
      </c>
      <c r="F28" s="9">
        <f>SUMIFS(F6:F23,H6:H23,"BANQUE")</f>
        <v>973000</v>
      </c>
      <c r="G28" s="9">
        <f>SUMIFS(O6:O23,M6:M23,"BANQUE")</f>
        <v>1125000</v>
      </c>
      <c r="H28" s="9">
        <f>D28+E28-F28-G28</f>
        <v>-621000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1073000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404000</v>
      </c>
      <c r="F30" s="9">
        <f>F27+F28</f>
        <v>973000</v>
      </c>
      <c r="G30" s="9">
        <f t="shared" ref="G30:H30" si="3">G27+G28</f>
        <v>1125000</v>
      </c>
      <c r="H30" s="9">
        <f t="shared" si="3"/>
        <v>-194000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+K33+TONTAVRIL22!M33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+K34+TONTAVRIL22!M34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24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.85546875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J2" s="3">
        <f>1500000+983000+75000</f>
        <v>2558000</v>
      </c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2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IF(E6="ECHEC",0,VLOOKUP($A6,[9]HISTOJUIN22!$A$7:$AQ$36,13,0))</f>
        <v>75000</v>
      </c>
      <c r="E6" s="8" t="str">
        <f>VLOOKUP($A6,[9]HISTOJUIN22!$A$7:$AU$38,8,0)</f>
        <v>BANQUE</v>
      </c>
      <c r="F6" s="8">
        <f>VLOOKUP($A6,[9]HISTOJUIN22!$A$7:$AU$38,36,0)</f>
        <v>0</v>
      </c>
      <c r="G6" s="8">
        <f>VLOOKUP($A6,[9]HISTOJUIN22!$A$7:$AU$38,39,0)</f>
        <v>0</v>
      </c>
      <c r="H6" s="8">
        <f>IF(G6=0,0,VLOOKUP($A6,[9]HISTOJUIN22!$A$7:$AU$38,42,0))</f>
        <v>0</v>
      </c>
      <c r="I6" s="8">
        <f>VLOOKUP($A6,[9]HISTOJUIN22!$A$7:$AU$38,41,0)</f>
        <v>0</v>
      </c>
      <c r="J6" s="8">
        <f>TONTMAI22!F6+TONTMAI22!G6</f>
        <v>0</v>
      </c>
      <c r="K6" s="8">
        <f>VLOOKUP($A6,[9]HISTOJUIN22!$A$7:$AU$38,17,0)</f>
        <v>0</v>
      </c>
      <c r="L6" s="8" t="str">
        <f>IF(K6&lt;&gt;0,VLOOKUP($A6,[9]HISTOJUIN22!$A$6:$BA$36,8,0),"ECHEC")</f>
        <v>ECHEC</v>
      </c>
      <c r="M6" s="8">
        <f>IF(P6=0,0,VLOOKUP($A6,[9]HISTOJUIN22!$A$7:$AU$38,32,0))</f>
        <v>0</v>
      </c>
      <c r="N6" s="8">
        <f>VLOOKUP($A6,[9]HISTOJUIN22!$A$7:$AU$38,33,0)</f>
        <v>0</v>
      </c>
      <c r="O6" s="8">
        <f t="shared" ref="O6:O21" si="0">IF(P6=0,0,($C$3-P6))</f>
        <v>0</v>
      </c>
      <c r="P6" s="8">
        <f>VLOOKUP($A6,[9]HISTOJUIN22!$A$7:$AU$38,30,0)</f>
        <v>0</v>
      </c>
      <c r="Q6" s="45">
        <f>IF(P6=0,0,(P6-75000))</f>
        <v>0</v>
      </c>
      <c r="R6">
        <v>2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IF(E7="ECHEC",0,VLOOKUP($A7,[9]HISTOJUIN22!$A$7:$AQ$36,13,0))</f>
        <v>75000</v>
      </c>
      <c r="E7" s="8" t="str">
        <f>VLOOKUP($A7,[9]HISTOJUIN22!$A$7:$AU$38,8,0)</f>
        <v>BANQUE</v>
      </c>
      <c r="F7" s="8">
        <f>VLOOKUP($A7,[9]HISTOJUIN22!$A$7:$AU$38,36,0)</f>
        <v>0</v>
      </c>
      <c r="G7" s="8">
        <f>VLOOKUP($A7,[9]HISTOJUIN22!$A$7:$AU$38,39,0)</f>
        <v>0</v>
      </c>
      <c r="H7" s="8">
        <f>IF(G7=0,0,VLOOKUP($A7,[9]HISTOJUIN22!$A$7:$AU$38,42,0))</f>
        <v>0</v>
      </c>
      <c r="I7" s="8">
        <f>VLOOKUP($A7,[9]HISTOJUIN22!$A$7:$AU$38,41,0)</f>
        <v>0</v>
      </c>
      <c r="J7" s="8">
        <f>TONTMAI22!F7+TONTMAI22!G7</f>
        <v>0</v>
      </c>
      <c r="K7" s="8">
        <f>VLOOKUP($A7,[9]HISTOJUIN22!$A$7:$AU$38,17,0)</f>
        <v>0</v>
      </c>
      <c r="L7" s="8" t="str">
        <f>IF(K7&lt;&gt;0,VLOOKUP($A7,[9]HISTOJUIN22!$A$6:$BA$36,8,0),"ECHEC")</f>
        <v>ECHEC</v>
      </c>
      <c r="M7" s="8">
        <f>IF(P7=0,0,VLOOKUP($A7,[9]HISTOJUIN22!$A$7:$AU$38,32,0))</f>
        <v>0</v>
      </c>
      <c r="N7" s="8">
        <f>VLOOKUP($A7,[9]HISTOJUIN22!$A$7:$AU$38,33,0)</f>
        <v>0</v>
      </c>
      <c r="O7" s="8">
        <f t="shared" si="0"/>
        <v>0</v>
      </c>
      <c r="P7" s="8">
        <f>VLOOKUP($A7,[9]HISTOJUIN22!$A$7:$AU$38,30,0)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IF(E8="ECHEC",0,VLOOKUP($A8,[9]HISTOJUIN22!$A$7:$AQ$36,13,0))</f>
        <v>75000</v>
      </c>
      <c r="E8" s="8" t="str">
        <f>VLOOKUP($A8,[9]HISTOJUIN22!$A$7:$AU$38,8,0)</f>
        <v>BANQUE</v>
      </c>
      <c r="F8" s="8">
        <f>VLOOKUP($A8,[9]HISTOJUIN22!$A$7:$AU$38,36,0)</f>
        <v>50000</v>
      </c>
      <c r="G8" s="8">
        <f>VLOOKUP($A8,[9]HISTOJUIN22!$A$7:$AU$38,39,0)</f>
        <v>1000</v>
      </c>
      <c r="H8" s="8" t="str">
        <f>IF(G8=0,0,VLOOKUP($A8,[9]HISTOJUIN22!$A$7:$AU$38,42,0))</f>
        <v>BANQUE</v>
      </c>
      <c r="I8" s="8">
        <f>VLOOKUP($A8,[9]HISTOJUIN22!$A$7:$AU$38,41,0)</f>
        <v>0</v>
      </c>
      <c r="J8" s="8">
        <f>TONTMAI22!F8+TONTMAI22!G8</f>
        <v>101000</v>
      </c>
      <c r="K8" s="8">
        <f>VLOOKUP($A8,[9]HISTOJUIN22!$A$7:$AU$38,17,0)</f>
        <v>101000</v>
      </c>
      <c r="L8" s="8" t="str">
        <f>IF(K8&lt;&gt;0,VLOOKUP($A8,[9]HISTOJUIN22!$A$6:$BA$36,8,0),"ECHEC")</f>
        <v>BANQUE</v>
      </c>
      <c r="M8" s="8">
        <f>IF(P8=0,0,VLOOKUP($A8,[9]HISTOJUIN22!$A$7:$AU$38,32,0))</f>
        <v>0</v>
      </c>
      <c r="N8" s="8">
        <f>VLOOKUP($A8,[9]HISTOJUIN22!$A$7:$AU$38,33,0)</f>
        <v>0</v>
      </c>
      <c r="O8" s="8">
        <f t="shared" si="0"/>
        <v>0</v>
      </c>
      <c r="P8" s="8">
        <f>VLOOKUP($A8,[9]HISTOJUIN22!$A$7:$AU$38,30,0)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IF(E9="ECHEC",0,VLOOKUP($A9,[9]HISTOJUIN22!$A$7:$AQ$36,13,0))</f>
        <v>75000</v>
      </c>
      <c r="E9" s="8" t="str">
        <f>VLOOKUP($A9,[9]HISTOJUIN22!$A$7:$AU$38,8,0)</f>
        <v>BANQUE</v>
      </c>
      <c r="F9" s="8">
        <f>VLOOKUP($A9,[9]HISTOJUIN22!$A$7:$AU$38,36,0)</f>
        <v>50000</v>
      </c>
      <c r="G9" s="8">
        <f>VLOOKUP($A9,[9]HISTOJUIN22!$A$7:$AU$38,39,0)</f>
        <v>1000</v>
      </c>
      <c r="H9" s="8" t="str">
        <f>IF(G9=0,0,VLOOKUP($A9,[9]HISTOJUIN22!$A$7:$AU$38,42,0))</f>
        <v>BANQUE</v>
      </c>
      <c r="I9" s="8">
        <f>VLOOKUP($A9,[9]HISTOJUIN22!$A$7:$AU$38,41,0)</f>
        <v>0</v>
      </c>
      <c r="J9" s="8">
        <f>TONTMAI22!F9+TONTMAI22!G9</f>
        <v>0</v>
      </c>
      <c r="K9" s="8">
        <f>VLOOKUP($A9,[9]HISTOJUIN22!$A$7:$AU$38,17,0)</f>
        <v>0</v>
      </c>
      <c r="L9" s="8" t="str">
        <f>IF(K9&lt;&gt;0,VLOOKUP($A9,[9]HISTOJUIN22!$A$6:$BA$36,8,0),"ECHEC")</f>
        <v>ECHEC</v>
      </c>
      <c r="M9" s="8">
        <f>IF(P9=0,0,VLOOKUP($A9,[9]HISTOJUIN22!$A$7:$AU$38,32,0))</f>
        <v>0</v>
      </c>
      <c r="N9" s="8">
        <f>VLOOKUP($A9,[9]HISTOJUIN22!$A$7:$AU$38,33,0)</f>
        <v>0</v>
      </c>
      <c r="O9" s="8">
        <f t="shared" si="0"/>
        <v>0</v>
      </c>
      <c r="P9" s="8">
        <f>VLOOKUP($A9,[9]HISTOJUIN22!$A$7:$AU$38,30,0)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IF(E10="ECHEC",0,VLOOKUP($A10,[9]HISTOJUIN22!$A$7:$AQ$36,13,0))</f>
        <v>75000</v>
      </c>
      <c r="E10" s="8" t="str">
        <f>VLOOKUP($A10,[9]HISTOJUIN22!$A$7:$AU$38,8,0)</f>
        <v>BANQUE</v>
      </c>
      <c r="F10" s="8">
        <f>VLOOKUP($A10,[9]HISTOJUIN22!$A$7:$AU$38,36,0)</f>
        <v>0</v>
      </c>
      <c r="G10" s="8">
        <f>VLOOKUP($A10,[9]HISTOJUIN22!$A$7:$AU$38,39,0)</f>
        <v>0</v>
      </c>
      <c r="H10" s="8">
        <f>IF(G10=0,0,VLOOKUP($A10,[9]HISTOJUIN22!$A$7:$AU$38,42,0))</f>
        <v>0</v>
      </c>
      <c r="I10" s="8">
        <f>VLOOKUP($A10,[9]HISTOJUIN22!$A$7:$AU$38,41,0)</f>
        <v>0</v>
      </c>
      <c r="J10" s="8">
        <f>TONTMAI22!F10+TONTMAI22!G10</f>
        <v>0</v>
      </c>
      <c r="K10" s="8">
        <f>VLOOKUP($A10,[9]HISTOJUIN22!$A$7:$AU$38,17,0)</f>
        <v>0</v>
      </c>
      <c r="L10" s="8" t="str">
        <f>IF(K10&lt;&gt;0,VLOOKUP($A10,[9]HISTOJUIN22!$A$6:$BA$36,8,0),"ECHEC")</f>
        <v>ECHEC</v>
      </c>
      <c r="M10" s="8">
        <f>IF(P10=0,0,VLOOKUP($A10,[9]HISTOJUIN22!$A$7:$AU$38,32,0))</f>
        <v>0</v>
      </c>
      <c r="N10" s="8">
        <f>VLOOKUP($A10,[9]HISTOJUIN22!$A$7:$AU$38,33,0)</f>
        <v>0</v>
      </c>
      <c r="O10" s="8">
        <f t="shared" si="0"/>
        <v>0</v>
      </c>
      <c r="P10" s="8">
        <f>VLOOKUP($A10,[9]HISTOJUIN22!$A$7:$AU$38,30,0)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IF(E11="ECHEC",0,VLOOKUP($A11,[9]HISTOJUIN22!$A$7:$AQ$36,13,0))</f>
        <v>75000</v>
      </c>
      <c r="E11" s="8" t="str">
        <f>VLOOKUP($A11,[9]HISTOJUIN22!$A$7:$AU$38,8,0)</f>
        <v>BANQUE</v>
      </c>
      <c r="F11" s="8">
        <f>VLOOKUP($A11,[9]HISTOJUIN22!$A$7:$AU$38,36,0)</f>
        <v>0</v>
      </c>
      <c r="G11" s="8">
        <f>VLOOKUP($A11,[9]HISTOJUIN22!$A$7:$AU$38,39,0)</f>
        <v>0</v>
      </c>
      <c r="H11" s="8">
        <f>IF(G11=0,0,VLOOKUP($A11,[9]HISTOJUIN22!$A$7:$AU$38,42,0))</f>
        <v>0</v>
      </c>
      <c r="I11" s="8">
        <f>VLOOKUP($A11,[9]HISTOJUIN22!$A$7:$AU$38,41,0)</f>
        <v>0</v>
      </c>
      <c r="J11" s="8">
        <f>TONTMAI22!F11+TONTMAI22!G11</f>
        <v>0</v>
      </c>
      <c r="K11" s="8">
        <f>VLOOKUP($A11,[9]HISTOJUIN22!$A$7:$AU$38,17,0)</f>
        <v>0</v>
      </c>
      <c r="L11" s="8" t="str">
        <f>IF(K11&lt;&gt;0,VLOOKUP($A11,[9]HISTOJUIN22!$A$6:$BA$36,8,0),"ECHEC")</f>
        <v>ECHEC</v>
      </c>
      <c r="M11" s="8">
        <f>IF(P11=0,0,VLOOKUP($A11,[9]HISTOJUIN22!$A$7:$AU$38,32,0))</f>
        <v>0</v>
      </c>
      <c r="N11" s="8">
        <f>VLOOKUP($A11,[9]HISTOJUIN22!$A$7:$AU$38,33,0)</f>
        <v>0</v>
      </c>
      <c r="O11" s="8">
        <f t="shared" si="0"/>
        <v>0</v>
      </c>
      <c r="P11" s="8">
        <f>VLOOKUP($A11,[9]HISTOJUIN22!$A$7:$AU$38,30,0)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IF(E12="ECHEC",0,VLOOKUP($A12,[9]HISTOJUIN22!$A$7:$AQ$36,13,0))</f>
        <v>75000</v>
      </c>
      <c r="E12" s="8" t="str">
        <f>VLOOKUP($A12,[9]HISTOJUIN22!$A$7:$AU$38,8,0)</f>
        <v>BANQUE</v>
      </c>
      <c r="F12" s="8">
        <f>VLOOKUP($A12,[9]HISTOJUIN22!$A$7:$AU$38,36,0)</f>
        <v>0</v>
      </c>
      <c r="G12" s="8">
        <f>VLOOKUP($A12,[9]HISTOJUIN22!$A$7:$AU$38,39,0)</f>
        <v>0</v>
      </c>
      <c r="H12" s="8">
        <f>IF(G12=0,0,VLOOKUP($A12,[9]HISTOJUIN22!$A$7:$AU$38,42,0))</f>
        <v>0</v>
      </c>
      <c r="I12" s="8">
        <f>VLOOKUP($A12,[9]HISTOJUIN22!$A$7:$AU$38,41,0)</f>
        <v>0</v>
      </c>
      <c r="J12" s="8">
        <f>TONTMAI22!F12+TONTMAI22!G12</f>
        <v>175000</v>
      </c>
      <c r="K12" s="8">
        <f>VLOOKUP($A12,[9]HISTOJUIN22!$A$7:$AU$38,17,0)</f>
        <v>175000</v>
      </c>
      <c r="L12" s="8" t="str">
        <f>IF(K12&lt;&gt;0,VLOOKUP($A12,[9]HISTOJUIN22!$A$6:$BA$36,8,0),"ECHEC")</f>
        <v>BANQUE</v>
      </c>
      <c r="M12" s="8">
        <f>IF(P12=0,0,VLOOKUP($A12,[9]HISTOJUIN22!$A$7:$AU$38,32,0))</f>
        <v>0</v>
      </c>
      <c r="N12" s="8">
        <f>VLOOKUP($A12,[9]HISTOJUIN22!$A$7:$AU$38,33,0)</f>
        <v>0</v>
      </c>
      <c r="O12" s="8">
        <f t="shared" si="0"/>
        <v>0</v>
      </c>
      <c r="P12" s="8">
        <f>VLOOKUP($A12,[9]HISTOJUIN22!$A$7:$AU$38,30,0)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IF(E13="ECHEC",0,VLOOKUP($A13,[9]HISTOJUIN22!$A$7:$AQ$36,13,0))</f>
        <v>225000</v>
      </c>
      <c r="E13" s="8" t="str">
        <f>VLOOKUP($A13,[9]HISTOJUIN22!$A$7:$AU$38,8,0)</f>
        <v>BANQUE</v>
      </c>
      <c r="F13" s="8">
        <f>VLOOKUP($A13,[9]HISTOJUIN22!$A$7:$AU$38,36,0)</f>
        <v>0</v>
      </c>
      <c r="G13" s="8">
        <f>VLOOKUP($A13,[9]HISTOJUIN22!$A$7:$AU$38,39,0)</f>
        <v>0</v>
      </c>
      <c r="H13" s="8">
        <f>IF(G13=0,0,VLOOKUP($A13,[9]HISTOJUIN22!$A$7:$AU$38,42,0))</f>
        <v>0</v>
      </c>
      <c r="I13" s="8">
        <f>VLOOKUP($A13,[9]HISTOJUIN22!$A$7:$AU$38,41,0)</f>
        <v>0</v>
      </c>
      <c r="J13" s="8">
        <f>TONTMAI22!F13+TONTMAI22!G13</f>
        <v>202000</v>
      </c>
      <c r="K13" s="8">
        <f>VLOOKUP($A13,[9]HISTOJUIN22!$A$7:$AU$38,17,0)</f>
        <v>202000</v>
      </c>
      <c r="L13" s="8" t="str">
        <f>IF(K13&lt;&gt;0,VLOOKUP($A13,[9]HISTOJUIN22!$A$6:$BA$36,8,0),"ECHEC")</f>
        <v>BANQUE</v>
      </c>
      <c r="M13" s="8">
        <f>IF(P13=0,0,VLOOKUP($A13,[9]HISTOJUIN22!$A$7:$AU$38,32,0))</f>
        <v>0</v>
      </c>
      <c r="N13" s="8">
        <f>VLOOKUP($A13,[9]HISTOJUIN22!$A$7:$AU$38,33,0)</f>
        <v>0</v>
      </c>
      <c r="O13" s="8">
        <f t="shared" si="0"/>
        <v>0</v>
      </c>
      <c r="P13" s="8">
        <f>VLOOKUP($A13,[9]HISTOJUIN22!$A$7:$AU$38,30,0)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IF(E14="ECHEC",0,VLOOKUP($A14,[9]HISTOJUIN22!$A$7:$AQ$36,13,0))</f>
        <v>75000</v>
      </c>
      <c r="E14" s="8" t="str">
        <f>VLOOKUP($A14,[9]HISTOJUIN22!$A$7:$AU$38,8,0)</f>
        <v>BANQUE</v>
      </c>
      <c r="F14" s="8">
        <f>VLOOKUP($A14,[9]HISTOJUIN22!$A$7:$AU$38,36,0)</f>
        <v>0</v>
      </c>
      <c r="G14" s="8">
        <f>VLOOKUP($A14,[9]HISTOJUIN22!$A$7:$AU$38,39,0)</f>
        <v>0</v>
      </c>
      <c r="H14" s="8">
        <f>IF(G14=0,0,VLOOKUP($A14,[9]HISTOJUIN22!$A$7:$AU$38,42,0))</f>
        <v>0</v>
      </c>
      <c r="I14" s="8">
        <f>VLOOKUP($A14,[9]HISTOJUIN22!$A$7:$AU$38,41,0)</f>
        <v>0</v>
      </c>
      <c r="J14" s="8">
        <f>TONTMAI22!F14+TONTMAI22!G14</f>
        <v>0</v>
      </c>
      <c r="K14" s="8">
        <f>VLOOKUP($A14,[9]HISTOJUIN22!$A$7:$AU$38,17,0)</f>
        <v>0</v>
      </c>
      <c r="L14" s="8" t="str">
        <f>IF(K14&lt;&gt;0,VLOOKUP($A14,[9]HISTOJUIN22!$A$6:$BA$36,8,0),"ECHEC")</f>
        <v>ECHEC</v>
      </c>
      <c r="M14" s="8">
        <f>IF(P14=0,0,VLOOKUP($A14,[9]HISTOJUIN22!$A$7:$AU$38,32,0))</f>
        <v>0</v>
      </c>
      <c r="N14" s="8">
        <f>VLOOKUP($A14,[9]HISTOJUIN22!$A$7:$AU$38,33,0)</f>
        <v>0</v>
      </c>
      <c r="O14" s="8">
        <f t="shared" si="0"/>
        <v>0</v>
      </c>
      <c r="P14" s="8">
        <f>VLOOKUP($A14,[9]HISTOJUIN22!$A$7:$AU$38,30,0)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IF(E15="ECHEC",0,VLOOKUP($A15,[9]HISTOJUIN22!$A$7:$AQ$36,13,0))</f>
        <v>75000</v>
      </c>
      <c r="E15" s="8" t="str">
        <f>VLOOKUP($A15,[9]HISTOJUIN22!$A$7:$AU$38,8,0)</f>
        <v>BANQUE</v>
      </c>
      <c r="F15" s="8">
        <f>VLOOKUP($A15,[9]HISTOJUIN22!$A$7:$AU$38,36,0)</f>
        <v>0</v>
      </c>
      <c r="G15" s="8">
        <f>VLOOKUP($A15,[9]HISTOJUIN22!$A$7:$AU$38,39,0)</f>
        <v>0</v>
      </c>
      <c r="H15" s="8">
        <f>IF(G15=0,0,VLOOKUP($A15,[9]HISTOJUIN22!$A$7:$AU$38,42,0))</f>
        <v>0</v>
      </c>
      <c r="I15" s="8">
        <f>VLOOKUP($A15,[9]HISTOJUIN22!$A$7:$AU$38,41,0)</f>
        <v>0</v>
      </c>
      <c r="J15" s="8">
        <f>TONTMAI22!F15+TONTMAI22!G15</f>
        <v>202000</v>
      </c>
      <c r="K15" s="8">
        <f>VLOOKUP($A15,[9]HISTOJUIN22!$A$7:$AU$38,17,0)</f>
        <v>202000</v>
      </c>
      <c r="L15" s="8" t="str">
        <f>IF(K15&lt;&gt;0,VLOOKUP($A15,[9]HISTOJUIN22!$A$6:$BA$36,8,0),"ECHEC")</f>
        <v>BANQUE</v>
      </c>
      <c r="M15" s="8" t="str">
        <f>IF(P15=0,0,VLOOKUP($A15,[9]HISTOJUIN22!$A$7:$AU$38,32,0))</f>
        <v>BANQUE</v>
      </c>
      <c r="N15" s="8">
        <f>VLOOKUP($A15,[9]HISTOJUIN22!$A$7:$AU$38,33,0)</f>
        <v>0</v>
      </c>
      <c r="O15" s="8">
        <f t="shared" si="0"/>
        <v>1125000</v>
      </c>
      <c r="P15" s="8">
        <f>VLOOKUP($A15,[9]HISTOJUIN22!$A$7:$AU$38,30,0)</f>
        <v>75000</v>
      </c>
      <c r="Q15" s="45">
        <f t="shared" si="1"/>
        <v>0</v>
      </c>
    </row>
    <row r="16" spans="1:18" ht="16.5" customHeight="1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IF(E16="ECHEC",0,VLOOKUP($A16,[9]HISTOJUIN22!$A$7:$AQ$36,13,0))</f>
        <v>150000</v>
      </c>
      <c r="E16" s="8" t="str">
        <f>VLOOKUP($A16,[9]HISTOJUIN22!$A$7:$AU$38,8,0)</f>
        <v>BANQUE</v>
      </c>
      <c r="F16" s="8">
        <f>VLOOKUP($A16,[9]HISTOJUIN22!$A$7:$AU$38,36,0)</f>
        <v>102000</v>
      </c>
      <c r="G16" s="8">
        <f>VLOOKUP($A16,[9]HISTOJUIN22!$A$7:$AU$38,39,0)</f>
        <v>2000</v>
      </c>
      <c r="H16" s="8">
        <f>IF(G16=0,0,VLOOKUP($A16,[9]HISTOJUIN22!$A$7:$AU$38,42,0))</f>
        <v>0</v>
      </c>
      <c r="I16" s="8">
        <f>VLOOKUP($A16,[9]HISTOJUIN22!$A$7:$AU$38,41,0)</f>
        <v>0</v>
      </c>
      <c r="J16" s="8">
        <f>TONTMAI22!F16+TONTMAI22!G16</f>
        <v>202000</v>
      </c>
      <c r="K16" s="8">
        <f>VLOOKUP($A16,[9]HISTOJUIN22!$A$7:$AU$38,17,0)+101000</f>
        <v>202000</v>
      </c>
      <c r="L16" s="8" t="str">
        <f>IF(K16&lt;&gt;0,VLOOKUP($A16,[9]HISTOJUIN22!$A$6:$BA$36,8,0),"ECHEC")</f>
        <v>BANQUE</v>
      </c>
      <c r="M16" s="8">
        <f>IF(P16=0,0,VLOOKUP($A16,[9]HISTOJUIN22!$A$7:$AU$38,32,0))</f>
        <v>0</v>
      </c>
      <c r="N16" s="8">
        <f>VLOOKUP($A16,[9]HISTOJUIN22!$A$7:$AU$38,33,0)</f>
        <v>0</v>
      </c>
      <c r="O16" s="8">
        <f t="shared" si="0"/>
        <v>0</v>
      </c>
      <c r="P16" s="8">
        <f>VLOOKUP($A16,[9]HISTOJUIN22!$A$7:$AU$38,30,0)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IF(E17="ECHEC",0,VLOOKUP($A17,[9]HISTOJUIN22!$A$7:$AQ$36,13,0))</f>
        <v>75000</v>
      </c>
      <c r="E17" s="8" t="str">
        <f>VLOOKUP($A17,[9]HISTOJUIN22!$A$7:$AU$38,8,0)</f>
        <v>BANQUE</v>
      </c>
      <c r="F17" s="8">
        <f>VLOOKUP($A17,[9]HISTOJUIN22!$A$7:$AU$38,36,0)</f>
        <v>50000</v>
      </c>
      <c r="G17" s="8">
        <f>VLOOKUP($A17,[9]HISTOJUIN22!$A$7:$AU$38,39,0)</f>
        <v>1000</v>
      </c>
      <c r="H17" s="8" t="str">
        <f>IF(G17=0,0,VLOOKUP($A17,[9]HISTOJUIN22!$A$7:$AU$38,42,0))</f>
        <v>BANQUE</v>
      </c>
      <c r="I17" s="8">
        <f>VLOOKUP($A17,[9]HISTOJUIN22!$A$7:$AU$38,41,0)</f>
        <v>0</v>
      </c>
      <c r="J17" s="8">
        <f>TONTMAI22!F17+TONTMAI22!G17</f>
        <v>202000</v>
      </c>
      <c r="K17" s="8">
        <f>VLOOKUP($A17,[9]HISTOJUIN22!$A$7:$AU$38,17,0)</f>
        <v>202000</v>
      </c>
      <c r="L17" s="8" t="str">
        <f>IF(K17&lt;&gt;0,VLOOKUP($A17,[9]HISTOJUIN22!$A$6:$BA$36,8,0),"ECHEC")</f>
        <v>BANQUE</v>
      </c>
      <c r="M17" s="8" t="str">
        <f>IF(P17=0,0,VLOOKUP($A17,[9]HISTOJUIN22!$A$7:$AU$38,32,0))</f>
        <v>BANQUE</v>
      </c>
      <c r="N17" s="8">
        <f>VLOOKUP($A17,[9]HISTOJUIN22!$A$7:$AU$38,33,0)</f>
        <v>0</v>
      </c>
      <c r="O17" s="8">
        <f t="shared" si="0"/>
        <v>1125000</v>
      </c>
      <c r="P17" s="8">
        <f>VLOOKUP($A17,[9]HISTOJUIN22!$A$7:$AU$38,30,0)</f>
        <v>75000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IF(E18="ECHEC",0,VLOOKUP($A18,[9]HISTOJUIN22!$A$7:$AQ$36,13,0))</f>
        <v>75000</v>
      </c>
      <c r="E18" s="8" t="str">
        <f>VLOOKUP($A18,[9]HISTOJUIN22!$A$7:$AU$38,8,0)</f>
        <v>BANQUE</v>
      </c>
      <c r="F18" s="8">
        <f>VLOOKUP($A18,[9]HISTOJUIN22!$A$7:$AU$38,36,0)</f>
        <v>0</v>
      </c>
      <c r="G18" s="8">
        <f>VLOOKUP($A18,[9]HISTOJUIN22!$A$7:$AU$38,39,0)</f>
        <v>0</v>
      </c>
      <c r="H18" s="8">
        <f>IF(G18=0,0,VLOOKUP($A18,[9]HISTOJUIN22!$A$7:$AU$38,42,0))</f>
        <v>0</v>
      </c>
      <c r="I18" s="8">
        <f>VLOOKUP($A18,[9]HISTOJUIN22!$A$7:$AU$38,41,0)</f>
        <v>0</v>
      </c>
      <c r="J18" s="8">
        <f>TONTMAI22!F18+TONTMAI22!G18</f>
        <v>0</v>
      </c>
      <c r="K18" s="8">
        <f>VLOOKUP($A18,[9]HISTOJUIN22!$A$7:$AU$38,17,0)</f>
        <v>0</v>
      </c>
      <c r="L18" s="8" t="str">
        <f>IF(K18&lt;&gt;0,VLOOKUP($A18,[9]HISTOJUIN22!$A$6:$BA$36,8,0),"ECHEC")</f>
        <v>ECHEC</v>
      </c>
      <c r="M18" s="8">
        <f>IF(P18=0,0,VLOOKUP($A18,[9]HISTOJUIN22!$A$7:$AU$38,32,0))</f>
        <v>0</v>
      </c>
      <c r="N18" s="8">
        <f>VLOOKUP($A18,[9]HISTOJUIN22!$A$7:$AU$38,33,0)</f>
        <v>0</v>
      </c>
      <c r="O18" s="8">
        <f t="shared" si="0"/>
        <v>0</v>
      </c>
      <c r="P18" s="8">
        <f>VLOOKUP($A18,[9]HISTOJUIN22!$A$7:$AU$38,30,0)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IF(E19="ECHEC",0,VLOOKUP($A19,[9]HISTOJUIN22!$A$7:$AQ$36,13,0))</f>
        <v>75000</v>
      </c>
      <c r="E19" s="8" t="str">
        <f>VLOOKUP($A19,[9]HISTOJUIN22!$A$7:$AU$38,8,0)</f>
        <v>BANQUE</v>
      </c>
      <c r="F19" s="8">
        <f>VLOOKUP($A19,[9]HISTOJUIN22!$A$7:$AU$38,36,0)</f>
        <v>0</v>
      </c>
      <c r="G19" s="8">
        <f>VLOOKUP($A19,[9]HISTOJUIN22!$A$7:$AU$38,39,0)</f>
        <v>0</v>
      </c>
      <c r="H19" s="8">
        <f>IF(G19=0,0,VLOOKUP($A19,[9]HISTOJUIN22!$A$7:$AU$38,42,0))</f>
        <v>0</v>
      </c>
      <c r="I19" s="8">
        <f>VLOOKUP($A19,[9]HISTOJUIN22!$A$7:$AU$38,41,0)</f>
        <v>0</v>
      </c>
      <c r="J19" s="8">
        <f>TONTMAI22!F19+TONTMAI22!G19</f>
        <v>0</v>
      </c>
      <c r="K19" s="8">
        <f>VLOOKUP($A19,[9]HISTOJUIN22!$A$7:$AU$38,17,0)</f>
        <v>0</v>
      </c>
      <c r="L19" s="8" t="str">
        <f>IF(K19&lt;&gt;0,VLOOKUP($A19,[9]HISTOJUIN22!$A$6:$BA$36,8,0),"ECHEC")</f>
        <v>ECHEC</v>
      </c>
      <c r="M19" s="8">
        <f>IF(P19=0,0,VLOOKUP($A19,[9]HISTOJUIN22!$A$7:$AU$38,32,0))</f>
        <v>0</v>
      </c>
      <c r="N19" s="8">
        <f>VLOOKUP($A19,[9]HISTOJUIN22!$A$7:$AU$38,33,0)</f>
        <v>0</v>
      </c>
      <c r="O19" s="8">
        <f t="shared" si="0"/>
        <v>0</v>
      </c>
      <c r="P19" s="8">
        <f>VLOOKUP($A19,[9]HISTOJUIN22!$A$7:$AU$38,30,0)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IF(E20="ECHEC",0,VLOOKUP($A20,[9]HISTOJUIN22!$A$7:$AQ$36,13,0))</f>
        <v>75000</v>
      </c>
      <c r="E20" s="8" t="str">
        <f>VLOOKUP($A20,[9]HISTOJUIN22!$A$7:$AU$38,8,0)</f>
        <v>BANQUE</v>
      </c>
      <c r="F20" s="8">
        <f>VLOOKUP($A20,[9]HISTOJUIN22!$A$7:$AU$38,36,0)</f>
        <v>0</v>
      </c>
      <c r="G20" s="8">
        <f>VLOOKUP($A20,[9]HISTOJUIN22!$A$7:$AU$38,39,0)</f>
        <v>0</v>
      </c>
      <c r="H20" s="8">
        <f>IF(G20=0,0,VLOOKUP($A20,[9]HISTOJUIN22!$A$7:$AU$38,42,0))</f>
        <v>0</v>
      </c>
      <c r="I20" s="8">
        <f>VLOOKUP($A20,[9]HISTOJUIN22!$A$7:$AU$38,41,0)</f>
        <v>0</v>
      </c>
      <c r="J20" s="8">
        <f>TONTMAI22!F20+TONTMAI22!G20</f>
        <v>0</v>
      </c>
      <c r="K20" s="8">
        <f>VLOOKUP($A20,[9]HISTOJUIN22!$A$7:$AU$38,17,0)</f>
        <v>0</v>
      </c>
      <c r="L20" s="8" t="str">
        <f>IF(K20&lt;&gt;0,VLOOKUP($A20,[9]HISTOJUIN22!$A$6:$BA$36,8,0),"ECHEC")</f>
        <v>ECHEC</v>
      </c>
      <c r="M20" s="8">
        <f>IF(P20=0,0,VLOOKUP($A20,[9]HISTOJUIN22!$A$7:$AU$38,32,0))</f>
        <v>0</v>
      </c>
      <c r="N20" s="8">
        <f>VLOOKUP($A20,[9]HISTOJUIN22!$A$7:$AU$38,33,0)</f>
        <v>0</v>
      </c>
      <c r="O20" s="8">
        <f t="shared" si="0"/>
        <v>0</v>
      </c>
      <c r="P20" s="8">
        <f>VLOOKUP($A20,[9]HISTOJUIN22!$A$7:$AU$38,30,0)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IF(E21="ECHEC",0,VLOOKUP($A21,[9]HISTOJUIN22!$A$7:$AQ$36,13,0))</f>
        <v>150000</v>
      </c>
      <c r="E21" s="8" t="str">
        <f>VLOOKUP($A21,[9]HISTOJUIN22!$A$7:$AU$38,8,0)</f>
        <v>BANQUE</v>
      </c>
      <c r="F21" s="8">
        <f>VLOOKUP($A21,[9]HISTOJUIN22!$A$7:$AU$38,36,0)</f>
        <v>0</v>
      </c>
      <c r="G21" s="8">
        <f>VLOOKUP($A21,[9]HISTOJUIN22!$A$7:$AU$38,39,0)</f>
        <v>0</v>
      </c>
      <c r="H21" s="8">
        <f>IF(G21=0,0,VLOOKUP($A21,[9]HISTOJUIN22!$A$7:$AU$38,42,0))</f>
        <v>0</v>
      </c>
      <c r="I21" s="8">
        <f>VLOOKUP($A21,[9]HISTOJUIN22!$A$7:$AU$38,41,0)</f>
        <v>0</v>
      </c>
      <c r="J21" s="8">
        <f>TONTMAI22!F21+TONTMAI22!G21</f>
        <v>0</v>
      </c>
      <c r="K21" s="8">
        <f>VLOOKUP($A21,[9]HISTOJUIN22!$A$7:$AU$38,17,0)</f>
        <v>0</v>
      </c>
      <c r="L21" s="8" t="str">
        <f>IF(K21&lt;&gt;0,VLOOKUP($A21,[9]HISTOJUIN22!$A$6:$BA$36,8,0),"ECHEC")</f>
        <v>ECHEC</v>
      </c>
      <c r="M21" s="8">
        <f>IF(P21=0,0,VLOOKUP($A21,[9]HISTOJUIN22!$A$7:$AU$38,32,0))</f>
        <v>0</v>
      </c>
      <c r="N21" s="8">
        <f>VLOOKUP($A21,[9]HISTOJUIN22!$A$7:$AU$38,33,0)</f>
        <v>0</v>
      </c>
      <c r="O21" s="8">
        <f t="shared" si="0"/>
        <v>0</v>
      </c>
      <c r="P21" s="8">
        <f>VLOOKUP($A21,[9]HISTOJUIN22!$A$7:$AU$38,30,0)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>SUM(F6:F23)</f>
        <v>252000</v>
      </c>
      <c r="G24" s="9">
        <f t="shared" ref="G24:Q24" si="2">SUM(G6:G23)</f>
        <v>5000</v>
      </c>
      <c r="H24" s="9">
        <f t="shared" si="2"/>
        <v>0</v>
      </c>
      <c r="I24" s="9">
        <f t="shared" si="2"/>
        <v>0</v>
      </c>
      <c r="J24" s="9">
        <f t="shared" si="2"/>
        <v>1084000</v>
      </c>
      <c r="K24" s="9">
        <f t="shared" si="2"/>
        <v>1084000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2250000</v>
      </c>
      <c r="P24" s="9">
        <f t="shared" si="2"/>
        <v>150000</v>
      </c>
      <c r="Q24" s="9">
        <f t="shared" si="2"/>
        <v>0</v>
      </c>
    </row>
    <row r="25" spans="1:17" s="2" customFormat="1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D30+E30+P24+TONTMAI22!M31</f>
        <v>2734000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SUMIFS(K6:K22,L6:L22,"ESPECES")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2400000</v>
      </c>
      <c r="L27" s="9">
        <f>D3</f>
        <v>2</v>
      </c>
      <c r="M27" s="9">
        <f>COUNTIF(O6:O18,"&gt;0")</f>
        <v>2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SUMIFS(K6:K22,L6:L22,"BANQUE")</f>
        <v>1084000</v>
      </c>
      <c r="F28" s="9">
        <f>SUMIFS(F6:F23,H6:H23,"BANQUE")</f>
        <v>150000</v>
      </c>
      <c r="G28" s="9">
        <f>SUMIFS(O6:O23,M6:M23,"BANQUE")</f>
        <v>2250000</v>
      </c>
      <c r="H28" s="9">
        <f>D28+E28-F28-G28</f>
        <v>184000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334000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1084000</v>
      </c>
      <c r="F30" s="9">
        <f>F27+F28</f>
        <v>150000</v>
      </c>
      <c r="G30" s="9">
        <f t="shared" ref="G30:H30" si="3">G27+G28</f>
        <v>2250000</v>
      </c>
      <c r="H30" s="9">
        <f t="shared" si="3"/>
        <v>184000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82000</v>
      </c>
      <c r="L31"/>
      <c r="M31" s="9">
        <f>K31</f>
        <v>82000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+K33+TONTMAI22!M33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+K34+TONTMAI22!M34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K18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2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IF(E6="ECHEC",0,VLOOKUP($A6,[9]HISTOJUIL22!$A$7:$AQ$36,13,0))</f>
        <v>75000</v>
      </c>
      <c r="E6" s="8" t="str">
        <f>VLOOKUP($A6,[9]HISTOJUIL22!$A$7:$AU$38,8,0)</f>
        <v>BANQUE</v>
      </c>
      <c r="F6" s="8">
        <f>VLOOKUP($A6,[9]HISTOJUIL22!$A$7:$AU$38,36,0)</f>
        <v>0</v>
      </c>
      <c r="G6" s="8">
        <f>VLOOKUP($A6,[9]HISTOJUIL22!$A$7:$AU$38,39,0)</f>
        <v>0</v>
      </c>
      <c r="H6" s="8">
        <f>IF(G6=0,0,VLOOKUP($A6,[9]HISTOJUIL22!$A$7:$AU$38,42,0))</f>
        <v>0</v>
      </c>
      <c r="I6" s="8">
        <f>VLOOKUP($A6,[9]HISTOJUIL22!$A$7:$AU$38,41,0)</f>
        <v>0</v>
      </c>
      <c r="J6" s="8">
        <f>TONTJUIN22!F6+TONTJUIN22!G6</f>
        <v>0</v>
      </c>
      <c r="K6" s="8">
        <f>VLOOKUP($A6,[9]HISTOJUIL22!$A$7:$AU$38,17,0)</f>
        <v>0</v>
      </c>
      <c r="L6" s="8" t="str">
        <f>IF(K6&lt;&gt;0,VLOOKUP($A6,[9]HISTOJUIL22!$A$6:$BA$36,8,0),"ECHEC")</f>
        <v>ECHEC</v>
      </c>
      <c r="M6" s="8">
        <f>IF(P6=0,0,VLOOKUP($A6,[9]HISTOJUIL22!$A$7:$AU$38,32,0))</f>
        <v>0</v>
      </c>
      <c r="N6" s="8">
        <f>VLOOKUP($A6,[9]HISTOJUIL22!$A$7:$AU$38,33,0)</f>
        <v>0</v>
      </c>
      <c r="O6" s="8">
        <f t="shared" ref="O6:O21" si="0">IF(P6=0,0,($C$3-P6))</f>
        <v>0</v>
      </c>
      <c r="P6" s="8">
        <f>VLOOKUP($A6,[9]HISTOJUIL22!$A$7:$AU$38,30,0)</f>
        <v>0</v>
      </c>
      <c r="Q6" s="45">
        <f>IF(P6=0,0,(P6-75000))</f>
        <v>0</v>
      </c>
      <c r="R6">
        <v>2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IF(E7="ECHEC",0,VLOOKUP($A7,[9]HISTOJUIL22!$A$7:$AQ$36,13,0))</f>
        <v>75000</v>
      </c>
      <c r="E7" s="8" t="str">
        <f>VLOOKUP($A7,[9]HISTOJUIL22!$A$7:$AU$38,8,0)</f>
        <v>BANQUE</v>
      </c>
      <c r="F7" s="8">
        <f>VLOOKUP($A7,[9]HISTOJUIL22!$A$7:$AU$38,36,0)</f>
        <v>50000</v>
      </c>
      <c r="G7" s="8">
        <f>VLOOKUP($A7,[9]HISTOJUIL22!$A$7:$AU$38,39,0)</f>
        <v>1000</v>
      </c>
      <c r="H7" s="8" t="str">
        <f>IF(G7=0,0,VLOOKUP($A7,[9]HISTOJUIL22!$A$7:$AU$38,42,0))</f>
        <v>BANQUE</v>
      </c>
      <c r="I7" s="8">
        <f>VLOOKUP($A7,[9]HISTOJUIL22!$A$7:$AU$38,41,0)</f>
        <v>0</v>
      </c>
      <c r="J7" s="8">
        <f>TONTJUIN22!F7+TONTJUIN22!G7</f>
        <v>0</v>
      </c>
      <c r="K7" s="8">
        <f>VLOOKUP($A7,[9]HISTOJUIL22!$A$7:$AU$38,17,0)</f>
        <v>0</v>
      </c>
      <c r="L7" s="8" t="str">
        <f>IF(K7&lt;&gt;0,VLOOKUP($A7,[9]HISTOJUIL22!$A$6:$BA$36,8,0),"ECHEC")</f>
        <v>ECHEC</v>
      </c>
      <c r="M7" s="8">
        <f>IF(P7=0,0,VLOOKUP($A7,[9]HISTOJUIL22!$A$7:$AU$38,32,0))</f>
        <v>0</v>
      </c>
      <c r="N7" s="8">
        <f>VLOOKUP($A7,[9]HISTOJUIL22!$A$7:$AU$38,33,0)</f>
        <v>0</v>
      </c>
      <c r="O7" s="8">
        <f t="shared" si="0"/>
        <v>0</v>
      </c>
      <c r="P7" s="8">
        <f>VLOOKUP($A7,[9]HISTOJUIL22!$A$7:$AU$38,30,0)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IF(E8="ECHEC",0,VLOOKUP($A8,[9]HISTOJUIL22!$A$7:$AQ$36,13,0))</f>
        <v>75000</v>
      </c>
      <c r="E8" s="8" t="str">
        <f>VLOOKUP($A8,[9]HISTOJUIL22!$A$7:$AU$38,8,0)</f>
        <v>BANQUE</v>
      </c>
      <c r="F8" s="8">
        <f>VLOOKUP($A8,[9]HISTOJUIL22!$A$7:$AU$38,36,0)</f>
        <v>50000</v>
      </c>
      <c r="G8" s="8">
        <f>VLOOKUP($A8,[9]HISTOJUIL22!$A$7:$AU$38,39,0)</f>
        <v>1000</v>
      </c>
      <c r="H8" s="8" t="str">
        <f>IF(G8=0,0,VLOOKUP($A8,[9]HISTOJUIL22!$A$7:$AU$38,42,0))</f>
        <v>BANQUE</v>
      </c>
      <c r="I8" s="8">
        <f>VLOOKUP($A8,[9]HISTOJUIL22!$A$7:$AU$38,41,0)</f>
        <v>0</v>
      </c>
      <c r="J8" s="8">
        <f>TONTJUIN22!F8+TONTJUIN22!G8</f>
        <v>51000</v>
      </c>
      <c r="K8" s="8">
        <f>VLOOKUP($A8,[9]HISTOJUIL22!$A$7:$AU$38,17,0)</f>
        <v>51000</v>
      </c>
      <c r="L8" s="8" t="str">
        <f>IF(K8&lt;&gt;0,VLOOKUP($A8,[9]HISTOJUIL22!$A$6:$BA$36,8,0),"ECHEC")</f>
        <v>BANQUE</v>
      </c>
      <c r="M8" s="8">
        <f>IF(P8=0,0,VLOOKUP($A8,[9]HISTOJUIL22!$A$7:$AU$38,32,0))</f>
        <v>0</v>
      </c>
      <c r="N8" s="8">
        <f>VLOOKUP($A8,[9]HISTOJUIL22!$A$7:$AU$38,33,0)</f>
        <v>0</v>
      </c>
      <c r="O8" s="8">
        <f t="shared" si="0"/>
        <v>0</v>
      </c>
      <c r="P8" s="8">
        <f>VLOOKUP($A8,[9]HISTOJUIL22!$A$7:$AU$38,30,0)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IF(E9="ECHEC",0,VLOOKUP($A9,[9]HISTOJUIL22!$A$7:$AQ$36,13,0))</f>
        <v>75000</v>
      </c>
      <c r="E9" s="8" t="str">
        <f>VLOOKUP($A9,[9]HISTOJUIL22!$A$7:$AU$38,8,0)</f>
        <v>ESPECES</v>
      </c>
      <c r="F9" s="8">
        <f>VLOOKUP($A9,[9]HISTOJUIL22!$A$7:$AU$38,36,0)</f>
        <v>75000</v>
      </c>
      <c r="G9" s="8">
        <f>VLOOKUP($A9,[9]HISTOJUIL22!$A$7:$AU$38,39,0)</f>
        <v>1000</v>
      </c>
      <c r="H9" s="8" t="str">
        <f>IF(G9=0,0,VLOOKUP($A9,[9]HISTOJUIL22!$A$7:$AU$38,42,0))</f>
        <v>BANQUE</v>
      </c>
      <c r="I9" s="8">
        <f>VLOOKUP($A9,[9]HISTOJUIL22!$A$7:$AU$38,41,0)</f>
        <v>0</v>
      </c>
      <c r="J9" s="8">
        <f>TONTJUIN22!F9+TONTJUIN22!G9</f>
        <v>51000</v>
      </c>
      <c r="K9" s="8">
        <f>VLOOKUP($A9,[9]HISTOJUIL22!$A$7:$AU$38,17,0)</f>
        <v>51000</v>
      </c>
      <c r="L9" s="8" t="str">
        <f>IF(K9&lt;&gt;0,VLOOKUP($A9,[9]HISTOJUIL22!$A$6:$BA$36,8,0),"ECHEC")</f>
        <v>ESPECES</v>
      </c>
      <c r="M9" s="8" t="str">
        <f>IF(P9=0,0,VLOOKUP($A9,[9]HISTOJUIL22!$A$7:$AU$38,32,0))</f>
        <v>BANQUE</v>
      </c>
      <c r="N9" s="8">
        <f>VLOOKUP($A9,[9]HISTOJUIL22!$A$7:$AU$38,33,0)</f>
        <v>0</v>
      </c>
      <c r="O9" s="8">
        <f t="shared" si="0"/>
        <v>1115000</v>
      </c>
      <c r="P9" s="8">
        <f>VLOOKUP($A9,[9]HISTOJUIL22!$A$7:$AU$38,30,0)</f>
        <v>85000</v>
      </c>
      <c r="Q9" s="45">
        <f t="shared" si="1"/>
        <v>10000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IF(E10="ECHEC",0,VLOOKUP($A10,[9]HISTOJUIL22!$A$7:$AQ$36,13,0))</f>
        <v>75000</v>
      </c>
      <c r="E10" s="8" t="str">
        <f>VLOOKUP($A10,[9]HISTOJUIL22!$A$7:$AU$38,8,0)</f>
        <v>BANQUE</v>
      </c>
      <c r="F10" s="8">
        <f>VLOOKUP($A10,[9]HISTOJUIL22!$A$7:$AU$38,36,0)</f>
        <v>0</v>
      </c>
      <c r="G10" s="8">
        <f>VLOOKUP($A10,[9]HISTOJUIL22!$A$7:$AU$38,39,0)</f>
        <v>0</v>
      </c>
      <c r="H10" s="8">
        <f>IF(G10=0,0,VLOOKUP($A10,[9]HISTOJUIL22!$A$7:$AU$38,42,0))</f>
        <v>0</v>
      </c>
      <c r="I10" s="8">
        <f>VLOOKUP($A10,[9]HISTOJUIL22!$A$7:$AU$38,41,0)</f>
        <v>0</v>
      </c>
      <c r="J10" s="8">
        <f>TONTJUIN22!F10+TONTJUIN22!G10</f>
        <v>0</v>
      </c>
      <c r="K10" s="8">
        <f>VLOOKUP($A10,[9]HISTOJUIL22!$A$7:$AU$38,17,0)</f>
        <v>0</v>
      </c>
      <c r="L10" s="8" t="str">
        <f>IF(K10&lt;&gt;0,VLOOKUP($A10,[9]HISTOJUIL22!$A$6:$BA$36,8,0),"ECHEC")</f>
        <v>ECHEC</v>
      </c>
      <c r="M10" s="8">
        <f>IF(P10=0,0,VLOOKUP($A10,[9]HISTOJUIL22!$A$7:$AU$38,32,0))</f>
        <v>0</v>
      </c>
      <c r="N10" s="8">
        <f>VLOOKUP($A10,[9]HISTOJUIL22!$A$7:$AU$38,33,0)</f>
        <v>0</v>
      </c>
      <c r="O10" s="8">
        <f t="shared" si="0"/>
        <v>0</v>
      </c>
      <c r="P10" s="8">
        <f>VLOOKUP($A10,[9]HISTOJUIL22!$A$7:$AU$38,30,0)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IF(E11="ECHEC",0,VLOOKUP($A11,[9]HISTOJUIL22!$A$7:$AQ$36,13,0))</f>
        <v>75000</v>
      </c>
      <c r="E11" s="8" t="str">
        <f>VLOOKUP($A11,[9]HISTOJUIL22!$A$7:$AU$38,8,0)</f>
        <v>BANQUE</v>
      </c>
      <c r="F11" s="8">
        <f>VLOOKUP($A11,[9]HISTOJUIL22!$A$7:$AU$38,36,0)</f>
        <v>0</v>
      </c>
      <c r="G11" s="8">
        <f>VLOOKUP($A11,[9]HISTOJUIL22!$A$7:$AU$38,39,0)</f>
        <v>0</v>
      </c>
      <c r="H11" s="8">
        <f>IF(G11=0,0,VLOOKUP($A11,[9]HISTOJUIL22!$A$7:$AU$38,42,0))</f>
        <v>0</v>
      </c>
      <c r="I11" s="8">
        <f>VLOOKUP($A11,[9]HISTOJUIL22!$A$7:$AU$38,41,0)</f>
        <v>0</v>
      </c>
      <c r="J11" s="8">
        <f>TONTJUIN22!F11+TONTJUIN22!G11</f>
        <v>0</v>
      </c>
      <c r="K11" s="8">
        <f>VLOOKUP($A11,[9]HISTOJUIL22!$A$7:$AU$38,17,0)</f>
        <v>0</v>
      </c>
      <c r="L11" s="8" t="str">
        <f>IF(K11&lt;&gt;0,VLOOKUP($A11,[9]HISTOJUIL22!$A$6:$BA$36,8,0),"ECHEC")</f>
        <v>ECHEC</v>
      </c>
      <c r="M11" s="8">
        <f>IF(P11=0,0,VLOOKUP($A11,[9]HISTOJUIL22!$A$7:$AU$38,32,0))</f>
        <v>0</v>
      </c>
      <c r="N11" s="8">
        <f>VLOOKUP($A11,[9]HISTOJUIL22!$A$7:$AU$38,33,0)</f>
        <v>0</v>
      </c>
      <c r="O11" s="8">
        <f t="shared" si="0"/>
        <v>0</v>
      </c>
      <c r="P11" s="8">
        <f>VLOOKUP($A11,[9]HISTOJUIL22!$A$7:$AU$38,30,0)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IF(E12="ECHEC",0,VLOOKUP($A12,[9]HISTOJUIL22!$A$7:$AQ$36,13,0))</f>
        <v>75000</v>
      </c>
      <c r="E12" s="8" t="str">
        <f>VLOOKUP($A12,[9]HISTOJUIL22!$A$7:$AU$38,8,0)</f>
        <v>BANQUE</v>
      </c>
      <c r="F12" s="8">
        <f>VLOOKUP($A12,[9]HISTOJUIL22!$A$7:$AU$38,36,0)</f>
        <v>0</v>
      </c>
      <c r="G12" s="8">
        <f>VLOOKUP($A12,[9]HISTOJUIL22!$A$7:$AU$38,39,0)</f>
        <v>0</v>
      </c>
      <c r="H12" s="8">
        <f>IF(G12=0,0,VLOOKUP($A12,[9]HISTOJUIL22!$A$7:$AU$38,42,0))</f>
        <v>0</v>
      </c>
      <c r="I12" s="8">
        <f>VLOOKUP($A12,[9]HISTOJUIL22!$A$7:$AU$38,41,0)</f>
        <v>0</v>
      </c>
      <c r="J12" s="8">
        <f>TONTJUIN22!F12+TONTJUIN22!G12</f>
        <v>0</v>
      </c>
      <c r="K12" s="8">
        <f>VLOOKUP($A12,[9]HISTOJUIL22!$A$7:$AU$38,17,0)</f>
        <v>0</v>
      </c>
      <c r="L12" s="8" t="str">
        <f>IF(K12&lt;&gt;0,VLOOKUP($A12,[9]HISTOJUIL22!$A$6:$BA$36,8,0),"ECHEC")</f>
        <v>ECHEC</v>
      </c>
      <c r="M12" s="8">
        <f>IF(P12=0,0,VLOOKUP($A12,[9]HISTOJUIL22!$A$7:$AU$38,32,0))</f>
        <v>0</v>
      </c>
      <c r="N12" s="8">
        <f>VLOOKUP($A12,[9]HISTOJUIL22!$A$7:$AU$38,33,0)</f>
        <v>0</v>
      </c>
      <c r="O12" s="8">
        <f t="shared" si="0"/>
        <v>0</v>
      </c>
      <c r="P12" s="8">
        <f>VLOOKUP($A12,[9]HISTOJUIL22!$A$7:$AU$38,30,0)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IF(E13="ECHEC",0,VLOOKUP($A13,[9]HISTOJUIL22!$A$7:$AQ$36,13,0))</f>
        <v>225000</v>
      </c>
      <c r="E13" s="8" t="str">
        <f>VLOOKUP($A13,[9]HISTOJUIL22!$A$7:$AU$38,8,0)</f>
        <v>BANQUE</v>
      </c>
      <c r="F13" s="8">
        <f>VLOOKUP($A13,[9]HISTOJUIL22!$A$7:$AU$38,36,0)</f>
        <v>0</v>
      </c>
      <c r="G13" s="8">
        <f>VLOOKUP($A13,[9]HISTOJUIL22!$A$7:$AU$38,39,0)</f>
        <v>0</v>
      </c>
      <c r="H13" s="8">
        <f>IF(G13=0,0,VLOOKUP($A13,[9]HISTOJUIL22!$A$7:$AU$38,42,0))</f>
        <v>0</v>
      </c>
      <c r="I13" s="8">
        <f>VLOOKUP($A13,[9]HISTOJUIL22!$A$7:$AU$38,41,0)</f>
        <v>0</v>
      </c>
      <c r="J13" s="8">
        <f>TONTJUIN22!F13+TONTJUIN22!G13</f>
        <v>0</v>
      </c>
      <c r="K13" s="8">
        <f>VLOOKUP($A13,[9]HISTOJUIL22!$A$7:$AU$38,17,0)</f>
        <v>0</v>
      </c>
      <c r="L13" s="8" t="str">
        <f>IF(K13&lt;&gt;0,VLOOKUP($A13,[9]HISTOJUIL22!$A$6:$BA$36,8,0),"ECHEC")</f>
        <v>ECHEC</v>
      </c>
      <c r="M13" s="8">
        <f>IF(P13=0,0,VLOOKUP($A13,[9]HISTOJUIL22!$A$7:$AU$38,32,0))</f>
        <v>0</v>
      </c>
      <c r="N13" s="8">
        <f>VLOOKUP($A13,[9]HISTOJUIL22!$A$7:$AU$38,33,0)</f>
        <v>0</v>
      </c>
      <c r="O13" s="8">
        <f t="shared" si="0"/>
        <v>0</v>
      </c>
      <c r="P13" s="8">
        <f>VLOOKUP($A13,[9]HISTOJUIL22!$A$7:$AU$38,30,0)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IF(E14="ECHEC",0,VLOOKUP($A14,[9]HISTOJUIL22!$A$7:$AQ$36,13,0))</f>
        <v>75000</v>
      </c>
      <c r="E14" s="8" t="str">
        <f>VLOOKUP($A14,[9]HISTOJUIL22!$A$7:$AU$38,8,0)</f>
        <v>BANQUE</v>
      </c>
      <c r="F14" s="8">
        <f>VLOOKUP($A14,[9]HISTOJUIL22!$A$7:$AU$38,36,0)</f>
        <v>0</v>
      </c>
      <c r="G14" s="8">
        <f>VLOOKUP($A14,[9]HISTOJUIL22!$A$7:$AU$38,39,0)</f>
        <v>0</v>
      </c>
      <c r="H14" s="8">
        <f>IF(G14=0,0,VLOOKUP($A14,[9]HISTOJUIL22!$A$7:$AU$38,42,0))</f>
        <v>0</v>
      </c>
      <c r="I14" s="8">
        <f>VLOOKUP($A14,[9]HISTOJUIL22!$A$7:$AU$38,41,0)</f>
        <v>0</v>
      </c>
      <c r="J14" s="8">
        <f>TONTJUIN22!F14+TONTJUIN22!G14</f>
        <v>0</v>
      </c>
      <c r="K14" s="8">
        <f>VLOOKUP($A14,[9]HISTOJUIL22!$A$7:$AU$38,17,0)</f>
        <v>0</v>
      </c>
      <c r="L14" s="8" t="str">
        <f>IF(K14&lt;&gt;0,VLOOKUP($A14,[9]HISTOJUIL22!$A$6:$BA$36,8,0),"ECHEC")</f>
        <v>ECHEC</v>
      </c>
      <c r="M14" s="8">
        <f>IF(P14=0,0,VLOOKUP($A14,[9]HISTOJUIL22!$A$7:$AU$38,32,0))</f>
        <v>0</v>
      </c>
      <c r="N14" s="8">
        <f>VLOOKUP($A14,[9]HISTOJUIL22!$A$7:$AU$38,33,0)</f>
        <v>0</v>
      </c>
      <c r="O14" s="8">
        <f t="shared" si="0"/>
        <v>0</v>
      </c>
      <c r="P14" s="8">
        <f>VLOOKUP($A14,[9]HISTOJUIL22!$A$7:$AU$38,30,0)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IF(E15="ECHEC",0,VLOOKUP($A15,[9]HISTOJUIL22!$A$7:$AQ$36,13,0))</f>
        <v>75000</v>
      </c>
      <c r="E15" s="8" t="str">
        <f>VLOOKUP($A15,[9]HISTOJUIL22!$A$7:$AU$38,8,0)</f>
        <v>BANQUE</v>
      </c>
      <c r="F15" s="8">
        <f>VLOOKUP($A15,[9]HISTOJUIL22!$A$7:$AU$38,36,0)</f>
        <v>0</v>
      </c>
      <c r="G15" s="8">
        <f>VLOOKUP($A15,[9]HISTOJUIL22!$A$7:$AU$38,39,0)</f>
        <v>0</v>
      </c>
      <c r="H15" s="8">
        <f>IF(G15=0,0,VLOOKUP($A15,[9]HISTOJUIL22!$A$7:$AU$38,42,0))</f>
        <v>0</v>
      </c>
      <c r="I15" s="8">
        <f>VLOOKUP($A15,[9]HISTOJUIL22!$A$7:$AU$38,41,0)</f>
        <v>0</v>
      </c>
      <c r="J15" s="8">
        <f>TONTJUIN22!F15+TONTJUIN22!G15</f>
        <v>0</v>
      </c>
      <c r="K15" s="8">
        <f>VLOOKUP($A15,[9]HISTOJUIL22!$A$7:$AU$38,17,0)</f>
        <v>0</v>
      </c>
      <c r="L15" s="8" t="str">
        <f>IF(K15&lt;&gt;0,VLOOKUP($A15,[9]HISTOJUIL22!$A$6:$BA$36,8,0),"ECHEC")</f>
        <v>ECHEC</v>
      </c>
      <c r="M15" s="8">
        <f>IF(P15=0,0,VLOOKUP($A15,[9]HISTOJUIL22!$A$7:$AU$38,32,0))</f>
        <v>0</v>
      </c>
      <c r="N15" s="8">
        <f>VLOOKUP($A15,[9]HISTOJUIL22!$A$7:$AU$38,33,0)</f>
        <v>0</v>
      </c>
      <c r="O15" s="8">
        <f t="shared" si="0"/>
        <v>0</v>
      </c>
      <c r="P15" s="8">
        <f>VLOOKUP($A15,[9]HISTOJUIL22!$A$7:$AU$38,30,0)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IF(E16="ECHEC",0,VLOOKUP($A16,[9]HISTOJUIL22!$A$7:$AQ$36,13,0))</f>
        <v>150000</v>
      </c>
      <c r="E16" s="8" t="str">
        <f>VLOOKUP($A16,[9]HISTOJUIL22!$A$7:$AU$38,8,0)</f>
        <v>BANQUE</v>
      </c>
      <c r="F16" s="8">
        <f>VLOOKUP($A16,[9]HISTOJUIL22!$A$7:$AU$38,36,0)</f>
        <v>0</v>
      </c>
      <c r="G16" s="8">
        <f>VLOOKUP($A16,[9]HISTOJUIL22!$A$7:$AU$38,39,0)</f>
        <v>0</v>
      </c>
      <c r="H16" s="8">
        <f>IF(G16=0,0,VLOOKUP($A16,[9]HISTOJUIL22!$A$7:$AU$38,42,0))</f>
        <v>0</v>
      </c>
      <c r="I16" s="8">
        <f>VLOOKUP($A16,[9]HISTOJUIL22!$A$7:$AU$38,41,0)</f>
        <v>0</v>
      </c>
      <c r="J16" s="8">
        <f>TONTJUIN22!F16+TONTJUIN22!G16</f>
        <v>104000</v>
      </c>
      <c r="K16" s="8">
        <f>VLOOKUP($A16,[9]HISTOJUIL22!$A$7:$AU$38,17,0)</f>
        <v>104000</v>
      </c>
      <c r="L16" s="8" t="str">
        <f>IF(K16&lt;&gt;0,VLOOKUP($A16,[9]HISTOJUIL22!$A$6:$BA$36,8,0),"ECHEC")</f>
        <v>BANQUE</v>
      </c>
      <c r="M16" s="8" t="str">
        <f>IF(P16=0,0,VLOOKUP($A16,[9]HISTOJUIL22!$A$7:$AU$38,32,0))</f>
        <v>BANQUE</v>
      </c>
      <c r="N16" s="8">
        <f>VLOOKUP($A16,[9]HISTOJUIL22!$A$7:$AU$38,33,0)</f>
        <v>0</v>
      </c>
      <c r="O16" s="8">
        <f t="shared" si="0"/>
        <v>1110000</v>
      </c>
      <c r="P16" s="8">
        <f>VLOOKUP($A16,[9]HISTOJUIL22!$A$7:$AU$38,30,0)</f>
        <v>90000</v>
      </c>
      <c r="Q16" s="45">
        <f t="shared" si="1"/>
        <v>15000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IF(E17="ECHEC",0,VLOOKUP($A17,[9]HISTOJUIL22!$A$7:$AQ$36,13,0))</f>
        <v>75000</v>
      </c>
      <c r="E17" s="8" t="str">
        <f>VLOOKUP($A17,[9]HISTOJUIL22!$A$7:$AU$38,8,0)</f>
        <v>BANQUE</v>
      </c>
      <c r="F17" s="8">
        <f>VLOOKUP($A17,[9]HISTOJUIL22!$A$7:$AU$38,36,0)</f>
        <v>75000</v>
      </c>
      <c r="G17" s="8">
        <f>VLOOKUP($A17,[9]HISTOJUIL22!$A$7:$AU$38,39,0)</f>
        <v>1000</v>
      </c>
      <c r="H17" s="8" t="str">
        <f>IF(G17=0,0,VLOOKUP($A17,[9]HISTOJUIL22!$A$7:$AU$38,42,0))</f>
        <v>ESPECES</v>
      </c>
      <c r="I17" s="8">
        <f>VLOOKUP($A17,[9]HISTOJUIL22!$A$7:$AU$38,41,0)</f>
        <v>0</v>
      </c>
      <c r="J17" s="8">
        <f>TONTJUIN22!F17+TONTJUIN22!G17</f>
        <v>51000</v>
      </c>
      <c r="K17" s="8">
        <f>VLOOKUP($A17,[9]HISTOJUIL22!$A$7:$AU$38,17,0)</f>
        <v>51000</v>
      </c>
      <c r="L17" s="8" t="str">
        <f>IF(K17&lt;&gt;0,VLOOKUP($A17,[9]HISTOJUIL22!$A$6:$BA$36,8,0),"ECHEC")</f>
        <v>BANQUE</v>
      </c>
      <c r="M17" s="8">
        <f>IF(P17=0,0,VLOOKUP($A17,[9]HISTOJUIL22!$A$7:$AU$38,32,0))</f>
        <v>0</v>
      </c>
      <c r="N17" s="8">
        <f>VLOOKUP($A17,[9]HISTOJUIL22!$A$7:$AU$38,33,0)</f>
        <v>0</v>
      </c>
      <c r="O17" s="8">
        <f t="shared" si="0"/>
        <v>0</v>
      </c>
      <c r="P17" s="8">
        <f>VLOOKUP($A17,[9]HISTOJUIL22!$A$7:$AU$38,30,0)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IF(E18="ECHEC",0,VLOOKUP($A18,[9]HISTOJUIL22!$A$7:$AQ$36,13,0))</f>
        <v>75000</v>
      </c>
      <c r="E18" s="8" t="str">
        <f>VLOOKUP($A18,[9]HISTOJUIL22!$A$7:$AU$38,8,0)</f>
        <v>BANQUE</v>
      </c>
      <c r="F18" s="8">
        <f>VLOOKUP($A18,[9]HISTOJUIL22!$A$7:$AU$38,36,0)</f>
        <v>0</v>
      </c>
      <c r="G18" s="8">
        <f>VLOOKUP($A18,[9]HISTOJUIL22!$A$7:$AU$38,39,0)</f>
        <v>0</v>
      </c>
      <c r="H18" s="8">
        <f>IF(G18=0,0,VLOOKUP($A18,[9]HISTOJUIL22!$A$7:$AU$38,42,0))</f>
        <v>0</v>
      </c>
      <c r="I18" s="8">
        <f>VLOOKUP($A18,[9]HISTOJUIL22!$A$7:$AU$38,41,0)</f>
        <v>0</v>
      </c>
      <c r="J18" s="8">
        <f>TONTJUIN22!F18+TONTJUIN22!G18</f>
        <v>0</v>
      </c>
      <c r="K18" s="8">
        <f>VLOOKUP($A18,[9]HISTOJUIL22!$A$7:$AU$38,17,0)</f>
        <v>0</v>
      </c>
      <c r="L18" s="8" t="str">
        <f>IF(K18&lt;&gt;0,VLOOKUP($A18,[9]HISTOJUIL22!$A$6:$BA$36,8,0),"ECHEC")</f>
        <v>ECHEC</v>
      </c>
      <c r="M18" s="8">
        <f>IF(P18=0,0,VLOOKUP($A18,[9]HISTOJUIL22!$A$7:$AU$38,32,0))</f>
        <v>0</v>
      </c>
      <c r="N18" s="8">
        <f>VLOOKUP($A18,[9]HISTOJUIL22!$A$7:$AU$38,33,0)</f>
        <v>0</v>
      </c>
      <c r="O18" s="8">
        <f t="shared" si="0"/>
        <v>0</v>
      </c>
      <c r="P18" s="8">
        <f>VLOOKUP($A18,[9]HISTOJUIL22!$A$7:$AU$38,30,0)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IF(E19="ECHEC",0,VLOOKUP($A19,[9]HISTOJUIL22!$A$7:$AQ$36,13,0))</f>
        <v>75000</v>
      </c>
      <c r="E19" s="8" t="str">
        <f>VLOOKUP($A19,[9]HISTOJUIL22!$A$7:$AU$38,8,0)</f>
        <v>ESPECES</v>
      </c>
      <c r="F19" s="8">
        <f>VLOOKUP($A19,[9]HISTOJUIL22!$A$7:$AU$38,36,0)</f>
        <v>0</v>
      </c>
      <c r="G19" s="8">
        <f>VLOOKUP($A19,[9]HISTOJUIL22!$A$7:$AU$38,39,0)</f>
        <v>0</v>
      </c>
      <c r="H19" s="8">
        <f>IF(G19=0,0,VLOOKUP($A19,[9]HISTOJUIL22!$A$7:$AU$38,42,0))</f>
        <v>0</v>
      </c>
      <c r="I19" s="8">
        <f>VLOOKUP($A19,[9]HISTOJUIL22!$A$7:$AU$38,41,0)</f>
        <v>0</v>
      </c>
      <c r="J19" s="8">
        <f>TONTJUIN22!F19+TONTJUIN22!G19</f>
        <v>0</v>
      </c>
      <c r="K19" s="8">
        <f>VLOOKUP($A19,[9]HISTOJUIL22!$A$7:$AU$38,17,0)</f>
        <v>0</v>
      </c>
      <c r="L19" s="8" t="str">
        <f>IF(K19&lt;&gt;0,VLOOKUP($A19,[9]HISTOJUIL22!$A$6:$BA$36,8,0),"ECHEC")</f>
        <v>ECHEC</v>
      </c>
      <c r="M19" s="8">
        <f>IF(P19=0,0,VLOOKUP($A19,[9]HISTOJUIL22!$A$7:$AU$38,32,0))</f>
        <v>0</v>
      </c>
      <c r="N19" s="8">
        <f>VLOOKUP($A19,[9]HISTOJUIL22!$A$7:$AU$38,33,0)</f>
        <v>0</v>
      </c>
      <c r="O19" s="8">
        <f t="shared" si="0"/>
        <v>0</v>
      </c>
      <c r="P19" s="8">
        <f>VLOOKUP($A19,[9]HISTOJUIL22!$A$7:$AU$38,30,0)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IF(E20="ECHEC",0,VLOOKUP($A20,[9]HISTOJUIL22!$A$7:$AQ$36,13,0))</f>
        <v>75000</v>
      </c>
      <c r="E20" s="8" t="str">
        <f>VLOOKUP($A20,[9]HISTOJUIL22!$A$7:$AU$38,8,0)</f>
        <v>BANQUE</v>
      </c>
      <c r="F20" s="8">
        <f>VLOOKUP($A20,[9]HISTOJUIL22!$A$7:$AU$38,36,0)</f>
        <v>0</v>
      </c>
      <c r="G20" s="8">
        <f>VLOOKUP($A20,[9]HISTOJUIL22!$A$7:$AU$38,39,0)</f>
        <v>0</v>
      </c>
      <c r="H20" s="8">
        <f>IF(G20=0,0,VLOOKUP($A20,[9]HISTOJUIL22!$A$7:$AU$38,42,0))</f>
        <v>0</v>
      </c>
      <c r="I20" s="8">
        <f>VLOOKUP($A20,[9]HISTOJUIL22!$A$7:$AU$38,41,0)</f>
        <v>0</v>
      </c>
      <c r="J20" s="8">
        <f>TONTJUIN22!F20+TONTJUIN22!G20</f>
        <v>0</v>
      </c>
      <c r="K20" s="8">
        <f>VLOOKUP($A20,[9]HISTOJUIL22!$A$7:$AU$38,17,0)</f>
        <v>0</v>
      </c>
      <c r="L20" s="8" t="str">
        <f>IF(K20&lt;&gt;0,VLOOKUP($A20,[9]HISTOJUIL22!$A$6:$BA$36,8,0),"ECHEC")</f>
        <v>ECHEC</v>
      </c>
      <c r="M20" s="8">
        <f>IF(P20=0,0,VLOOKUP($A20,[9]HISTOJUIL22!$A$7:$AU$38,32,0))</f>
        <v>0</v>
      </c>
      <c r="N20" s="8">
        <f>VLOOKUP($A20,[9]HISTOJUIL22!$A$7:$AU$38,33,0)</f>
        <v>0</v>
      </c>
      <c r="O20" s="8">
        <f t="shared" si="0"/>
        <v>0</v>
      </c>
      <c r="P20" s="8">
        <f>VLOOKUP($A20,[9]HISTOJUIL22!$A$7:$AU$38,30,0)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IF(E21="ECHEC",0,VLOOKUP($A21,[9]HISTOJUIL22!$A$7:$AQ$36,13,0))</f>
        <v>150000</v>
      </c>
      <c r="E21" s="8" t="str">
        <f>VLOOKUP($A21,[9]HISTOJUIL22!$A$7:$AU$38,8,0)</f>
        <v>ESPECES</v>
      </c>
      <c r="F21" s="8">
        <f>VLOOKUP($A21,[9]HISTOJUIL22!$A$7:$AU$38,36,0)</f>
        <v>0</v>
      </c>
      <c r="G21" s="8">
        <f>VLOOKUP($A21,[9]HISTOJUIL22!$A$7:$AU$38,39,0)</f>
        <v>0</v>
      </c>
      <c r="H21" s="8">
        <f>IF(G21=0,0,VLOOKUP($A21,[9]HISTOJUIL22!$A$7:$AU$38,42,0))</f>
        <v>0</v>
      </c>
      <c r="I21" s="8">
        <f>VLOOKUP($A21,[9]HISTOJUIL22!$A$7:$AU$38,41,0)</f>
        <v>0</v>
      </c>
      <c r="J21" s="8">
        <f>TONTJUIN22!F21+TONTJUIN22!G21</f>
        <v>0</v>
      </c>
      <c r="K21" s="8">
        <f>VLOOKUP($A21,[9]HISTOJUIL22!$A$7:$AU$38,17,0)</f>
        <v>0</v>
      </c>
      <c r="L21" s="8" t="str">
        <f>IF(K21&lt;&gt;0,VLOOKUP($A21,[9]HISTOJUIL22!$A$6:$BA$36,8,0),"ECHEC")</f>
        <v>ECHEC</v>
      </c>
      <c r="M21" s="8">
        <f>IF(P21=0,0,VLOOKUP($A21,[9]HISTOJUIL22!$A$7:$AU$38,32,0))</f>
        <v>0</v>
      </c>
      <c r="N21" s="8">
        <f>VLOOKUP($A21,[9]HISTOJUIL22!$A$7:$AU$38,33,0)</f>
        <v>0</v>
      </c>
      <c r="O21" s="8">
        <f t="shared" si="0"/>
        <v>0</v>
      </c>
      <c r="P21" s="8">
        <f>VLOOKUP($A21,[9]HISTOJUIL22!$A$7:$AU$38,30,0)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250000</v>
      </c>
      <c r="G24" s="9">
        <f t="shared" si="2"/>
        <v>4000</v>
      </c>
      <c r="H24" s="9">
        <f t="shared" si="2"/>
        <v>0</v>
      </c>
      <c r="I24" s="9">
        <f t="shared" si="2"/>
        <v>0</v>
      </c>
      <c r="J24" s="9">
        <f t="shared" si="2"/>
        <v>257000</v>
      </c>
      <c r="K24" s="9">
        <f t="shared" si="2"/>
        <v>257000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2225000</v>
      </c>
      <c r="P24" s="9">
        <f t="shared" si="2"/>
        <v>175000</v>
      </c>
      <c r="Q24" s="9">
        <f t="shared" si="2"/>
        <v>25000</v>
      </c>
    </row>
    <row r="25" spans="1:17" s="2" customFormat="1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D30+E30+P24+TONTJUIN22!M31+1125000</f>
        <v>3139000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300000</v>
      </c>
      <c r="E27" s="9">
        <f>SUMIFS(K6:K22,L6:L22,"ESPECES")</f>
        <v>51000</v>
      </c>
      <c r="F27" s="9">
        <f>SUMIFS(F6:F23,H6:H23,"ESPECES")</f>
        <v>75000</v>
      </c>
      <c r="G27" s="9">
        <f>SUMIFS(O6:O23,M6:M23,"ESPECES")</f>
        <v>0</v>
      </c>
      <c r="H27" s="9">
        <f>D27+E27-F27-G27</f>
        <v>276000</v>
      </c>
      <c r="I27" s="9"/>
      <c r="J27" s="9" t="s">
        <v>60</v>
      </c>
      <c r="K27" s="9">
        <f>C3*COUNTIF(O6:O23,"&gt;0")</f>
        <v>2400000</v>
      </c>
      <c r="L27" s="9">
        <f>D3</f>
        <v>2</v>
      </c>
      <c r="M27" s="9">
        <f>COUNTIF(O6:O18,"&gt;0")</f>
        <v>2</v>
      </c>
      <c r="N27" s="9"/>
      <c r="Q27" s="17"/>
    </row>
    <row r="28" spans="1:17" s="2" customFormat="1" ht="18" x14ac:dyDescent="0.25">
      <c r="D28" s="9">
        <f>SUMIFS(D6:D23,E6:E23,"BANQUE")</f>
        <v>1200000</v>
      </c>
      <c r="E28" s="9">
        <f>SUMIFS(K6:K22,L6:L22,"BANQUE")</f>
        <v>206000</v>
      </c>
      <c r="F28" s="9">
        <f>SUMIFS(F6:F23,H6:H23,"BANQUE")</f>
        <v>175000</v>
      </c>
      <c r="G28" s="9">
        <f>SUMIFS(O6:O23,M6:M23,"BANQUE")</f>
        <v>2225000</v>
      </c>
      <c r="H28" s="9">
        <f>D28+E28-F28-G28</f>
        <v>-994000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739000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257000</v>
      </c>
      <c r="F30" s="9">
        <f>F27+F28</f>
        <v>250000</v>
      </c>
      <c r="G30" s="9">
        <f t="shared" ref="G30:H30" si="3">G27+G28</f>
        <v>2225000</v>
      </c>
      <c r="H30" s="9">
        <f t="shared" si="3"/>
        <v>-718000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489000</v>
      </c>
      <c r="L31"/>
      <c r="M31" s="9">
        <f>K31</f>
        <v>489000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+K33+TONTJUIN22!M33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+K34+TONTJUIN22!M34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H30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IF(E6="ECHEC",0,VLOOKUP($A6,[9]HISTOAOUT22!$A$7:$AQ$36,13,0))</f>
        <v>75000</v>
      </c>
      <c r="E6" s="8" t="str">
        <f>VLOOKUP($A6,[9]HISTOAOUT22!$A$7:$AU$38,8,0)</f>
        <v>BANQUE</v>
      </c>
      <c r="F6" s="8">
        <f>VLOOKUP($A6,[9]HISTOAOUT22!$A$7:$AU$38,36,0)</f>
        <v>0</v>
      </c>
      <c r="G6" s="8">
        <f>VLOOKUP($A6,[9]HISTOAOUT22!$A$7:$AU$38,39,0)</f>
        <v>0</v>
      </c>
      <c r="H6" s="8">
        <f>IF(G6=0,0,VLOOKUP($A6,[9]HISTOAOUT22!$A$7:$AU$38,42,0))</f>
        <v>0</v>
      </c>
      <c r="I6" s="8">
        <f>VLOOKUP($A6,[9]HISTOAOUT22!$A$7:$AU$38,41,0)</f>
        <v>0</v>
      </c>
      <c r="J6" s="8">
        <f>TONTJUIL22!F6+TONTJUIL22!G6</f>
        <v>0</v>
      </c>
      <c r="K6" s="8">
        <f>VLOOKUP($A6,[9]HISTOAOUT22!$A$7:$AU$38,17,0)</f>
        <v>0</v>
      </c>
      <c r="L6" s="8" t="str">
        <f>IF(K6&lt;&gt;0,VLOOKUP($A6,[9]HISTOAOUT22!$A$6:$BA$36,8,0),"ECHEC")</f>
        <v>ECHEC</v>
      </c>
      <c r="M6" s="8" t="str">
        <f>IF(P6=0,0,VLOOKUP($A6,[9]HISTOAOUT22!$A$7:$AU$38,32,0))</f>
        <v>BANQUE</v>
      </c>
      <c r="N6" s="8">
        <f>VLOOKUP($A6,[9]HISTOAOUT22!$A$7:$AU$38,33,0)</f>
        <v>0</v>
      </c>
      <c r="O6" s="8">
        <f t="shared" ref="O6:O21" si="0">IF(P6=0,0,($C$3-P6))</f>
        <v>1125000</v>
      </c>
      <c r="P6" s="8">
        <f>VLOOKUP($A6,[9]HISTOAOUT22!$A$7:$AU$38,30,0)</f>
        <v>75000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IF(E7="ECHEC",0,VLOOKUP($A7,[9]HISTOAOUT22!$A$7:$AQ$36,13,0))</f>
        <v>75000</v>
      </c>
      <c r="E7" s="8" t="str">
        <f>VLOOKUP($A7,[9]HISTOAOUT22!$A$7:$AU$38,8,0)</f>
        <v>BANQUE</v>
      </c>
      <c r="F7" s="8">
        <f>VLOOKUP($A7,[9]HISTOAOUT22!$A$7:$AU$38,36,0)</f>
        <v>50000</v>
      </c>
      <c r="G7" s="8">
        <f>VLOOKUP($A7,[9]HISTOAOUT22!$A$7:$AU$38,39,0)</f>
        <v>1000</v>
      </c>
      <c r="H7" s="8" t="str">
        <f>IF(G7=0,0,VLOOKUP($A7,[9]HISTOAOUT22!$A$7:$AU$38,42,0))</f>
        <v>BANQUE</v>
      </c>
      <c r="I7" s="8">
        <f>VLOOKUP($A7,[9]HISTOAOUT22!$A$7:$AU$38,41,0)</f>
        <v>0</v>
      </c>
      <c r="J7" s="8">
        <f>TONTJUIL22!F7+TONTJUIL22!G7</f>
        <v>51000</v>
      </c>
      <c r="K7" s="8">
        <f>VLOOKUP($A7,[9]HISTOAOUT22!$A$7:$AU$38,17,0)</f>
        <v>51000</v>
      </c>
      <c r="L7" s="8" t="str">
        <f>IF(K7&lt;&gt;0,VLOOKUP($A7,[9]HISTOAOUT22!$A$6:$BA$36,8,0),"ECHEC")</f>
        <v>BANQUE</v>
      </c>
      <c r="M7" s="8">
        <f>IF(P7=0,0,VLOOKUP($A7,[9]HISTOAOUT22!$A$7:$AU$38,32,0))</f>
        <v>0</v>
      </c>
      <c r="N7" s="8">
        <f>VLOOKUP($A7,[9]HISTOAOUT22!$A$7:$AU$38,33,0)</f>
        <v>0</v>
      </c>
      <c r="O7" s="8">
        <f t="shared" si="0"/>
        <v>0</v>
      </c>
      <c r="P7" s="8">
        <f>VLOOKUP($A7,[9]HISTOAOUT22!$A$7:$AU$38,30,0)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IF(E8="ECHEC",0,VLOOKUP($A8,[9]HISTOAOUT22!$A$7:$AQ$36,13,0))</f>
        <v>75000</v>
      </c>
      <c r="E8" s="8" t="str">
        <f>VLOOKUP($A8,[9]HISTOAOUT22!$A$7:$AU$38,8,0)</f>
        <v>BANQUE</v>
      </c>
      <c r="F8" s="8">
        <f>VLOOKUP($A8,[9]HISTOAOUT22!$A$7:$AU$38,36,0)</f>
        <v>100000</v>
      </c>
      <c r="G8" s="8">
        <f>VLOOKUP($A8,[9]HISTOAOUT22!$A$7:$AU$38,39,0)</f>
        <v>1000</v>
      </c>
      <c r="H8" s="8" t="str">
        <f>IF(G8=0,0,VLOOKUP($A8,[9]HISTOAOUT22!$A$7:$AU$38,42,0))</f>
        <v>BANQUE</v>
      </c>
      <c r="I8" s="8">
        <f>VLOOKUP($A8,[9]HISTOAOUT22!$A$7:$AU$38,41,0)</f>
        <v>0</v>
      </c>
      <c r="J8" s="8">
        <f>TONTJUIL22!F8+TONTJUIL22!G8</f>
        <v>51000</v>
      </c>
      <c r="K8" s="8">
        <f>VLOOKUP($A8,[9]HISTOAOUT22!$A$7:$AU$38,17,0)</f>
        <v>51000</v>
      </c>
      <c r="L8" s="8" t="str">
        <f>IF(K8&lt;&gt;0,VLOOKUP($A8,[9]HISTOAOUT22!$A$6:$BA$36,8,0),"ECHEC")</f>
        <v>BANQUE</v>
      </c>
      <c r="M8" s="8">
        <f>IF(P8=0,0,VLOOKUP($A8,[9]HISTOAOUT22!$A$7:$AU$38,32,0))</f>
        <v>0</v>
      </c>
      <c r="N8" s="8">
        <f>VLOOKUP($A8,[9]HISTOAOUT22!$A$7:$AU$38,33,0)</f>
        <v>0</v>
      </c>
      <c r="O8" s="8">
        <f t="shared" si="0"/>
        <v>0</v>
      </c>
      <c r="P8" s="8">
        <f>VLOOKUP($A8,[9]HISTOAOUT22!$A$7:$AU$38,30,0)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IF(E9="ECHEC",0,VLOOKUP($A9,[9]HISTOAOUT22!$A$7:$AQ$36,13,0))</f>
        <v>75000</v>
      </c>
      <c r="E9" s="8" t="str">
        <f>VLOOKUP($A9,[9]HISTOAOUT22!$A$7:$AU$38,8,0)</f>
        <v>BANQUE</v>
      </c>
      <c r="F9" s="8">
        <f>VLOOKUP($A9,[9]HISTOAOUT22!$A$7:$AU$38,36,0)</f>
        <v>75000</v>
      </c>
      <c r="G9" s="8">
        <f>VLOOKUP($A9,[9]HISTOAOUT22!$A$7:$AU$38,39,0)</f>
        <v>1000</v>
      </c>
      <c r="H9" s="8" t="str">
        <f>IF(G9=0,0,VLOOKUP($A9,[9]HISTOAOUT22!$A$7:$AU$38,42,0))</f>
        <v>BANQUE</v>
      </c>
      <c r="I9" s="8">
        <f>VLOOKUP($A9,[9]HISTOAOUT22!$A$7:$AU$38,41,0)</f>
        <v>0</v>
      </c>
      <c r="J9" s="8">
        <f>TONTJUIL22!F9+TONTJUIL22!G9</f>
        <v>76000</v>
      </c>
      <c r="K9" s="8">
        <f>VLOOKUP($A9,[9]HISTOAOUT22!$A$7:$AU$38,17,0)</f>
        <v>76000</v>
      </c>
      <c r="L9" s="8" t="str">
        <f>IF(K9&lt;&gt;0,VLOOKUP($A9,[9]HISTOAOUT22!$A$6:$BA$36,8,0),"ECHEC")</f>
        <v>BANQUE</v>
      </c>
      <c r="M9" s="8">
        <f>IF(P9=0,0,VLOOKUP($A9,[9]HISTOAOUT22!$A$7:$AU$38,32,0))</f>
        <v>0</v>
      </c>
      <c r="N9" s="8">
        <f>VLOOKUP($A9,[9]HISTOAOUT22!$A$7:$AU$38,33,0)</f>
        <v>0</v>
      </c>
      <c r="O9" s="8">
        <f t="shared" si="0"/>
        <v>0</v>
      </c>
      <c r="P9" s="8">
        <f>VLOOKUP($A9,[9]HISTOAOUT22!$A$7:$AU$38,30,0)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IF(E10="ECHEC",0,VLOOKUP($A10,[9]HISTOAOUT22!$A$7:$AQ$36,13,0))</f>
        <v>75000</v>
      </c>
      <c r="E10" s="8" t="str">
        <f>VLOOKUP($A10,[9]HISTOAOUT22!$A$7:$AU$38,8,0)</f>
        <v>BANQUE</v>
      </c>
      <c r="F10" s="8">
        <f>VLOOKUP($A10,[9]HISTOAOUT22!$A$7:$AU$38,36,0)</f>
        <v>0</v>
      </c>
      <c r="G10" s="8">
        <f>VLOOKUP($A10,[9]HISTOAOUT22!$A$7:$AU$38,39,0)</f>
        <v>0</v>
      </c>
      <c r="H10" s="8">
        <f>IF(G10=0,0,VLOOKUP($A10,[9]HISTOAOUT22!$A$7:$AU$38,42,0))</f>
        <v>0</v>
      </c>
      <c r="I10" s="8">
        <f>VLOOKUP($A10,[9]HISTOAOUT22!$A$7:$AU$38,41,0)</f>
        <v>0</v>
      </c>
      <c r="J10" s="8">
        <f>TONTJUIL22!F10+TONTJUIL22!G10</f>
        <v>0</v>
      </c>
      <c r="K10" s="8">
        <f>VLOOKUP($A10,[9]HISTOAOUT22!$A$7:$AU$38,17,0)</f>
        <v>0</v>
      </c>
      <c r="L10" s="8" t="str">
        <f>IF(K10&lt;&gt;0,VLOOKUP($A10,[9]HISTOAOUT22!$A$6:$BA$36,8,0),"ECHEC")</f>
        <v>ECHEC</v>
      </c>
      <c r="M10" s="8">
        <f>IF(P10=0,0,VLOOKUP($A10,[9]HISTOAOUT22!$A$7:$AU$38,32,0))</f>
        <v>0</v>
      </c>
      <c r="N10" s="8">
        <f>VLOOKUP($A10,[9]HISTOAOUT22!$A$7:$AU$38,33,0)</f>
        <v>0</v>
      </c>
      <c r="O10" s="8">
        <f t="shared" si="0"/>
        <v>0</v>
      </c>
      <c r="P10" s="8">
        <f>VLOOKUP($A10,[9]HISTOAOUT22!$A$7:$AU$38,30,0)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IF(E11="ECHEC",0,VLOOKUP($A11,[9]HISTOAOUT22!$A$7:$AQ$36,13,0))</f>
        <v>75000</v>
      </c>
      <c r="E11" s="8" t="str">
        <f>VLOOKUP($A11,[9]HISTOAOUT22!$A$7:$AU$38,8,0)</f>
        <v>BANQUE</v>
      </c>
      <c r="F11" s="8">
        <f>VLOOKUP($A11,[9]HISTOAOUT22!$A$7:$AU$38,36,0)</f>
        <v>0</v>
      </c>
      <c r="G11" s="8">
        <f>VLOOKUP($A11,[9]HISTOAOUT22!$A$7:$AU$38,39,0)</f>
        <v>0</v>
      </c>
      <c r="H11" s="8">
        <f>IF(G11=0,0,VLOOKUP($A11,[9]HISTOAOUT22!$A$7:$AU$38,42,0))</f>
        <v>0</v>
      </c>
      <c r="I11" s="8">
        <f>VLOOKUP($A11,[9]HISTOAOUT22!$A$7:$AU$38,41,0)</f>
        <v>0</v>
      </c>
      <c r="J11" s="8">
        <f>TONTJUIL22!F11+TONTJUIL22!G11</f>
        <v>0</v>
      </c>
      <c r="K11" s="8">
        <f>VLOOKUP($A11,[9]HISTOAOUT22!$A$7:$AU$38,17,0)</f>
        <v>0</v>
      </c>
      <c r="L11" s="8" t="str">
        <f>IF(K11&lt;&gt;0,VLOOKUP($A11,[9]HISTOAOUT22!$A$6:$BA$36,8,0),"ECHEC")</f>
        <v>ECHEC</v>
      </c>
      <c r="M11" s="8">
        <f>IF(P11=0,0,VLOOKUP($A11,[9]HISTOAOUT22!$A$7:$AU$38,32,0))</f>
        <v>0</v>
      </c>
      <c r="N11" s="8">
        <f>VLOOKUP($A11,[9]HISTOAOUT22!$A$7:$AU$38,33,0)</f>
        <v>0</v>
      </c>
      <c r="O11" s="8">
        <f t="shared" si="0"/>
        <v>0</v>
      </c>
      <c r="P11" s="8">
        <f>VLOOKUP($A11,[9]HISTOAOUT22!$A$7:$AU$38,30,0)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IF(E12="ECHEC",0,VLOOKUP($A12,[9]HISTOAOUT22!$A$7:$AQ$36,13,0))</f>
        <v>75000</v>
      </c>
      <c r="E12" s="8" t="str">
        <f>VLOOKUP($A12,[9]HISTOAOUT22!$A$7:$AU$38,8,0)</f>
        <v>BANQUE</v>
      </c>
      <c r="F12" s="8">
        <f>VLOOKUP($A12,[9]HISTOAOUT22!$A$7:$AU$38,36,0)</f>
        <v>400000</v>
      </c>
      <c r="G12" s="8">
        <f>VLOOKUP($A12,[9]HISTOAOUT22!$A$7:$AU$38,39,0)</f>
        <v>4000</v>
      </c>
      <c r="H12" s="8" t="str">
        <f>IF(G12=0,0,VLOOKUP($A12,[9]HISTOAOUT22!$A$7:$AU$38,42,0))</f>
        <v>BANQUE</v>
      </c>
      <c r="I12" s="8">
        <f>VLOOKUP($A12,[9]HISTOAOUT22!$A$7:$AU$38,41,0)</f>
        <v>0</v>
      </c>
      <c r="J12" s="8">
        <f>TONTJUIL22!F12+TONTJUIL22!G12</f>
        <v>0</v>
      </c>
      <c r="K12" s="8">
        <f>VLOOKUP($A12,[9]HISTOAOUT22!$A$7:$AU$38,17,0)</f>
        <v>0</v>
      </c>
      <c r="L12" s="8" t="str">
        <f>IF(K12&lt;&gt;0,VLOOKUP($A12,[9]HISTOAOUT22!$A$6:$BA$36,8,0),"ECHEC")</f>
        <v>ECHEC</v>
      </c>
      <c r="M12" s="8">
        <f>IF(P12=0,0,VLOOKUP($A12,[9]HISTOAOUT22!$A$7:$AU$38,32,0))</f>
        <v>0</v>
      </c>
      <c r="N12" s="8">
        <f>VLOOKUP($A12,[9]HISTOAOUT22!$A$7:$AU$38,33,0)</f>
        <v>0</v>
      </c>
      <c r="O12" s="8">
        <f t="shared" si="0"/>
        <v>0</v>
      </c>
      <c r="P12" s="8">
        <f>VLOOKUP($A12,[9]HISTOAOUT22!$A$7:$AU$38,30,0)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IF(E13="ECHEC",0,VLOOKUP($A13,[9]HISTOAOUT22!$A$7:$AQ$36,13,0))</f>
        <v>225000</v>
      </c>
      <c r="E13" s="8" t="str">
        <f>VLOOKUP($A13,[9]HISTOAOUT22!$A$7:$AU$38,8,0)</f>
        <v>BANQUE</v>
      </c>
      <c r="F13" s="8">
        <f>VLOOKUP($A13,[9]HISTOAOUT22!$A$7:$AU$38,36,0)</f>
        <v>200000</v>
      </c>
      <c r="G13" s="8">
        <f>VLOOKUP($A13,[9]HISTOAOUT22!$A$7:$AU$38,39,0)</f>
        <v>2000</v>
      </c>
      <c r="H13" s="8" t="str">
        <f>IF(G13=0,0,VLOOKUP($A13,[9]HISTOAOUT22!$A$7:$AU$38,42,0))</f>
        <v>BANQUE</v>
      </c>
      <c r="I13" s="8">
        <f>VLOOKUP($A13,[9]HISTOAOUT22!$A$7:$AU$38,41,0)</f>
        <v>0</v>
      </c>
      <c r="J13" s="8">
        <f>TONTJUIL22!F13+TONTJUIL22!G13</f>
        <v>0</v>
      </c>
      <c r="K13" s="8">
        <f>VLOOKUP($A13,[9]HISTOAOUT22!$A$7:$AU$38,17,0)</f>
        <v>0</v>
      </c>
      <c r="L13" s="8" t="str">
        <f>IF(K13&lt;&gt;0,VLOOKUP($A13,[9]HISTOAOUT22!$A$6:$BA$36,8,0),"ECHEC")</f>
        <v>ECHEC</v>
      </c>
      <c r="M13" s="8">
        <f>IF(P13=0,0,VLOOKUP($A13,[9]HISTOAOUT22!$A$7:$AU$38,32,0))</f>
        <v>0</v>
      </c>
      <c r="N13" s="8">
        <f>VLOOKUP($A13,[9]HISTOAOUT22!$A$7:$AU$38,33,0)</f>
        <v>0</v>
      </c>
      <c r="O13" s="8">
        <f t="shared" si="0"/>
        <v>0</v>
      </c>
      <c r="P13" s="8">
        <f>VLOOKUP($A13,[9]HISTOAOUT22!$A$7:$AU$38,30,0)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IF(E14="ECHEC",0,VLOOKUP($A14,[9]HISTOAOUT22!$A$7:$AQ$36,13,0))</f>
        <v>75000</v>
      </c>
      <c r="E14" s="8" t="str">
        <f>VLOOKUP($A14,[9]HISTOAOUT22!$A$7:$AU$38,8,0)</f>
        <v>BANQUE</v>
      </c>
      <c r="F14" s="8">
        <f>VLOOKUP($A14,[9]HISTOAOUT22!$A$7:$AU$38,36,0)</f>
        <v>0</v>
      </c>
      <c r="G14" s="8">
        <f>VLOOKUP($A14,[9]HISTOAOUT22!$A$7:$AU$38,39,0)</f>
        <v>0</v>
      </c>
      <c r="H14" s="8">
        <f>IF(G14=0,0,VLOOKUP($A14,[9]HISTOAOUT22!$A$7:$AU$38,42,0))</f>
        <v>0</v>
      </c>
      <c r="I14" s="8">
        <f>VLOOKUP($A14,[9]HISTOAOUT22!$A$7:$AU$38,41,0)</f>
        <v>0</v>
      </c>
      <c r="J14" s="8">
        <f>TONTJUIL22!F14+TONTJUIL22!G14</f>
        <v>0</v>
      </c>
      <c r="K14" s="8">
        <f>VLOOKUP($A14,[9]HISTOAOUT22!$A$7:$AU$38,17,0)</f>
        <v>0</v>
      </c>
      <c r="L14" s="8" t="str">
        <f>IF(K14&lt;&gt;0,VLOOKUP($A14,[9]HISTOAOUT22!$A$6:$BA$36,8,0),"ECHEC")</f>
        <v>ECHEC</v>
      </c>
      <c r="M14" s="8">
        <f>IF(P14=0,0,VLOOKUP($A14,[9]HISTOAOUT22!$A$7:$AU$38,32,0))</f>
        <v>0</v>
      </c>
      <c r="N14" s="8">
        <f>VLOOKUP($A14,[9]HISTOAOUT22!$A$7:$AU$38,33,0)</f>
        <v>0</v>
      </c>
      <c r="O14" s="8">
        <f t="shared" si="0"/>
        <v>0</v>
      </c>
      <c r="P14" s="8">
        <f>VLOOKUP($A14,[9]HISTOAOUT22!$A$7:$AU$38,30,0)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IF(E15="ECHEC",0,VLOOKUP($A15,[9]HISTOAOUT22!$A$7:$AQ$36,13,0))</f>
        <v>75000</v>
      </c>
      <c r="E15" s="8" t="str">
        <f>VLOOKUP($A15,[9]HISTOAOUT22!$A$7:$AU$38,8,0)</f>
        <v>BANQUE</v>
      </c>
      <c r="F15" s="8">
        <f>VLOOKUP($A15,[9]HISTOAOUT22!$A$7:$AU$38,36,0)</f>
        <v>0</v>
      </c>
      <c r="G15" s="8">
        <f>VLOOKUP($A15,[9]HISTOAOUT22!$A$7:$AU$38,39,0)</f>
        <v>0</v>
      </c>
      <c r="H15" s="8">
        <f>IF(G15=0,0,VLOOKUP($A15,[9]HISTOAOUT22!$A$7:$AU$38,42,0))</f>
        <v>0</v>
      </c>
      <c r="I15" s="8">
        <f>VLOOKUP($A15,[9]HISTOAOUT22!$A$7:$AU$38,41,0)</f>
        <v>0</v>
      </c>
      <c r="J15" s="8">
        <f>TONTJUIL22!F15+TONTJUIL22!G15</f>
        <v>0</v>
      </c>
      <c r="K15" s="8">
        <f>VLOOKUP($A15,[9]HISTOAOUT22!$A$7:$AU$38,17,0)</f>
        <v>0</v>
      </c>
      <c r="L15" s="8" t="str">
        <f>IF(K15&lt;&gt;0,VLOOKUP($A15,[9]HISTOAOUT22!$A$6:$BA$36,8,0),"ECHEC")</f>
        <v>ECHEC</v>
      </c>
      <c r="M15" s="8">
        <f>IF(P15=0,0,VLOOKUP($A15,[9]HISTOAOUT22!$A$7:$AU$38,32,0))</f>
        <v>0</v>
      </c>
      <c r="N15" s="8">
        <f>VLOOKUP($A15,[9]HISTOAOUT22!$A$7:$AU$38,33,0)</f>
        <v>0</v>
      </c>
      <c r="O15" s="8">
        <f t="shared" si="0"/>
        <v>0</v>
      </c>
      <c r="P15" s="8">
        <f>VLOOKUP($A15,[9]HISTOAOUT22!$A$7:$AU$38,30,0)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IF(E16="ECHEC",0,VLOOKUP($A16,[9]HISTOAOUT22!$A$7:$AQ$36,13,0))</f>
        <v>150000</v>
      </c>
      <c r="E16" s="8" t="str">
        <f>VLOOKUP($A16,[9]HISTOAOUT22!$A$7:$AU$38,8,0)</f>
        <v>BANQUE</v>
      </c>
      <c r="F16" s="8">
        <f>VLOOKUP($A16,[9]HISTOAOUT22!$A$7:$AU$38,36,0)</f>
        <v>0</v>
      </c>
      <c r="G16" s="8">
        <f>VLOOKUP($A16,[9]HISTOAOUT22!$A$7:$AU$38,39,0)</f>
        <v>0</v>
      </c>
      <c r="H16" s="8">
        <f>IF(G16=0,0,VLOOKUP($A16,[9]HISTOAOUT22!$A$7:$AU$38,42,0))</f>
        <v>0</v>
      </c>
      <c r="I16" s="8">
        <f>VLOOKUP($A16,[9]HISTOAOUT22!$A$7:$AU$38,41,0)</f>
        <v>0</v>
      </c>
      <c r="J16" s="8">
        <f>TONTJUIL22!F16+TONTJUIL22!G16</f>
        <v>0</v>
      </c>
      <c r="K16" s="8">
        <f>VLOOKUP($A16,[9]HISTOAOUT22!$A$7:$AU$38,17,0)</f>
        <v>0</v>
      </c>
      <c r="L16" s="8" t="str">
        <f>IF(K16&lt;&gt;0,VLOOKUP($A16,[9]HISTOAOUT22!$A$6:$BA$36,8,0),"ECHEC")</f>
        <v>ECHEC</v>
      </c>
      <c r="M16" s="8">
        <f>IF(P16=0,0,VLOOKUP($A16,[9]HISTOAOUT22!$A$7:$AU$38,32,0))</f>
        <v>0</v>
      </c>
      <c r="N16" s="8">
        <f>VLOOKUP($A16,[9]HISTOAOUT22!$A$7:$AU$38,33,0)</f>
        <v>0</v>
      </c>
      <c r="O16" s="8">
        <f t="shared" si="0"/>
        <v>0</v>
      </c>
      <c r="P16" s="8">
        <f>VLOOKUP($A16,[9]HISTOAOUT22!$A$7:$AU$38,30,0)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IF(E17="ECHEC",0,VLOOKUP($A17,[9]HISTOAOUT22!$A$7:$AQ$36,13,0))</f>
        <v>75000</v>
      </c>
      <c r="E17" s="8" t="str">
        <f>VLOOKUP($A17,[9]HISTOAOUT22!$A$7:$AU$38,8,0)</f>
        <v>BANQUE</v>
      </c>
      <c r="F17" s="8">
        <f>VLOOKUP($A17,[9]HISTOAOUT22!$A$7:$AU$38,36,0)</f>
        <v>200000</v>
      </c>
      <c r="G17" s="8">
        <f>VLOOKUP($A17,[9]HISTOAOUT22!$A$7:$AU$38,39,0)</f>
        <v>2000</v>
      </c>
      <c r="H17" s="8" t="str">
        <f>IF(G17=0,0,VLOOKUP($A17,[9]HISTOAOUT22!$A$7:$AU$38,42,0))</f>
        <v>BANQUE</v>
      </c>
      <c r="I17" s="8">
        <f>VLOOKUP($A17,[9]HISTOAOUT22!$A$7:$AU$38,41,0)</f>
        <v>0</v>
      </c>
      <c r="J17" s="8">
        <f>TONTJUIL22!F17+TONTJUIL22!G17</f>
        <v>76000</v>
      </c>
      <c r="K17" s="8">
        <f>VLOOKUP($A17,[9]HISTOAOUT22!$A$7:$AU$38,17,0)</f>
        <v>76000</v>
      </c>
      <c r="L17" s="8" t="str">
        <f>IF(K17&lt;&gt;0,VLOOKUP($A17,[9]HISTOAOUT22!$A$6:$BA$36,8,0),"ECHEC")</f>
        <v>BANQUE</v>
      </c>
      <c r="M17" s="8">
        <f>IF(P17=0,0,VLOOKUP($A17,[9]HISTOAOUT22!$A$7:$AU$38,32,0))</f>
        <v>0</v>
      </c>
      <c r="N17" s="8">
        <f>VLOOKUP($A17,[9]HISTOAOUT22!$A$7:$AU$38,33,0)</f>
        <v>0</v>
      </c>
      <c r="O17" s="8">
        <f t="shared" si="0"/>
        <v>0</v>
      </c>
      <c r="P17" s="8">
        <f>VLOOKUP($A17,[9]HISTOAOUT22!$A$7:$AU$38,30,0)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IF(E18="ECHEC",0,VLOOKUP($A18,[9]HISTOAOUT22!$A$7:$AQ$36,13,0))</f>
        <v>75000</v>
      </c>
      <c r="E18" s="8" t="str">
        <f>VLOOKUP($A18,[9]HISTOAOUT22!$A$7:$AU$38,8,0)</f>
        <v>BANQUE</v>
      </c>
      <c r="F18" s="8">
        <f>VLOOKUP($A18,[9]HISTOAOUT22!$A$7:$AU$38,36,0)</f>
        <v>0</v>
      </c>
      <c r="G18" s="8">
        <f>VLOOKUP($A18,[9]HISTOAOUT22!$A$7:$AU$38,39,0)</f>
        <v>0</v>
      </c>
      <c r="H18" s="8">
        <f>IF(G18=0,0,VLOOKUP($A18,[9]HISTOAOUT22!$A$7:$AU$38,42,0))</f>
        <v>0</v>
      </c>
      <c r="I18" s="8">
        <f>VLOOKUP($A18,[9]HISTOAOUT22!$A$7:$AU$38,41,0)</f>
        <v>0</v>
      </c>
      <c r="J18" s="8">
        <f>TONTJUIL22!F18+TONTJUIL22!G18</f>
        <v>0</v>
      </c>
      <c r="K18" s="8">
        <f>VLOOKUP($A18,[9]HISTOAOUT22!$A$7:$AU$38,17,0)</f>
        <v>0</v>
      </c>
      <c r="L18" s="8" t="str">
        <f>IF(K18&lt;&gt;0,VLOOKUP($A18,[9]HISTOAOUT22!$A$6:$BA$36,8,0),"ECHEC")</f>
        <v>ECHEC</v>
      </c>
      <c r="M18" s="8">
        <f>IF(P18=0,0,VLOOKUP($A18,[9]HISTOAOUT22!$A$7:$AU$38,32,0))</f>
        <v>0</v>
      </c>
      <c r="N18" s="8">
        <f>VLOOKUP($A18,[9]HISTOAOUT22!$A$7:$AU$38,33,0)</f>
        <v>0</v>
      </c>
      <c r="O18" s="8">
        <f t="shared" si="0"/>
        <v>0</v>
      </c>
      <c r="P18" s="8">
        <f>VLOOKUP($A18,[9]HISTOAOUT22!$A$7:$AU$38,30,0)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IF(E19="ECHEC",0,VLOOKUP($A19,[9]HISTOAOUT22!$A$7:$AQ$36,13,0))</f>
        <v>75000</v>
      </c>
      <c r="E19" s="8" t="str">
        <f>VLOOKUP($A19,[9]HISTOAOUT22!$A$7:$AU$38,8,0)</f>
        <v>BANQUE</v>
      </c>
      <c r="F19" s="8">
        <f>VLOOKUP($A19,[9]HISTOAOUT22!$A$7:$AU$38,36,0)</f>
        <v>0</v>
      </c>
      <c r="G19" s="8">
        <f>VLOOKUP($A19,[9]HISTOAOUT22!$A$7:$AU$38,39,0)</f>
        <v>0</v>
      </c>
      <c r="H19" s="8">
        <f>IF(G19=0,0,VLOOKUP($A19,[9]HISTOAOUT22!$A$7:$AU$38,42,0))</f>
        <v>0</v>
      </c>
      <c r="I19" s="8">
        <f>VLOOKUP($A19,[9]HISTOAOUT22!$A$7:$AU$38,41,0)</f>
        <v>0</v>
      </c>
      <c r="J19" s="8">
        <f>TONTJUIL22!F19+TONTJUIL22!G19</f>
        <v>0</v>
      </c>
      <c r="K19" s="8">
        <f>VLOOKUP($A19,[9]HISTOAOUT22!$A$7:$AU$38,17,0)</f>
        <v>0</v>
      </c>
      <c r="L19" s="8" t="str">
        <f>IF(K19&lt;&gt;0,VLOOKUP($A19,[9]HISTOAOUT22!$A$6:$BA$36,8,0),"ECHEC")</f>
        <v>ECHEC</v>
      </c>
      <c r="M19" s="8">
        <f>IF(P19=0,0,VLOOKUP($A19,[9]HISTOAOUT22!$A$7:$AU$38,32,0))</f>
        <v>0</v>
      </c>
      <c r="N19" s="8">
        <f>VLOOKUP($A19,[9]HISTOAOUT22!$A$7:$AU$38,33,0)</f>
        <v>0</v>
      </c>
      <c r="O19" s="8">
        <f t="shared" si="0"/>
        <v>0</v>
      </c>
      <c r="P19" s="8">
        <f>VLOOKUP($A19,[9]HISTOAOUT22!$A$7:$AU$38,30,0)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IF(E20="ECHEC",0,VLOOKUP($A20,[9]HISTOAOUT22!$A$7:$AQ$36,13,0))</f>
        <v>75000</v>
      </c>
      <c r="E20" s="8" t="str">
        <f>VLOOKUP($A20,[9]HISTOAOUT22!$A$7:$AU$38,8,0)</f>
        <v>BANQUE</v>
      </c>
      <c r="F20" s="8">
        <f>VLOOKUP($A20,[9]HISTOAOUT22!$A$7:$AU$38,36,0)</f>
        <v>0</v>
      </c>
      <c r="G20" s="8">
        <f>VLOOKUP($A20,[9]HISTOAOUT22!$A$7:$AU$38,39,0)</f>
        <v>0</v>
      </c>
      <c r="H20" s="8">
        <f>IF(G20=0,0,VLOOKUP($A20,[9]HISTOAOUT22!$A$7:$AU$38,42,0))</f>
        <v>0</v>
      </c>
      <c r="I20" s="8">
        <f>VLOOKUP($A20,[9]HISTOAOUT22!$A$7:$AU$38,41,0)</f>
        <v>0</v>
      </c>
      <c r="J20" s="8">
        <f>TONTJUIL22!F20+TONTJUIL22!G20</f>
        <v>0</v>
      </c>
      <c r="K20" s="8">
        <f>VLOOKUP($A20,[9]HISTOAOUT22!$A$7:$AU$38,17,0)</f>
        <v>0</v>
      </c>
      <c r="L20" s="8" t="str">
        <f>IF(K20&lt;&gt;0,VLOOKUP($A20,[9]HISTOAOUT22!$A$6:$BA$36,8,0),"ECHEC")</f>
        <v>ECHEC</v>
      </c>
      <c r="M20" s="8">
        <f>IF(P20=0,0,VLOOKUP($A20,[9]HISTOAOUT22!$A$7:$AU$38,32,0))</f>
        <v>0</v>
      </c>
      <c r="N20" s="8">
        <f>VLOOKUP($A20,[9]HISTOAOUT22!$A$7:$AU$38,33,0)</f>
        <v>0</v>
      </c>
      <c r="O20" s="8">
        <f t="shared" si="0"/>
        <v>0</v>
      </c>
      <c r="P20" s="8">
        <f>VLOOKUP($A20,[9]HISTOAOUT22!$A$7:$AU$38,30,0)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IF(E21="ECHEC",0,VLOOKUP($A21,[9]HISTOAOUT22!$A$7:$AQ$36,13,0))</f>
        <v>150000</v>
      </c>
      <c r="E21" s="8" t="str">
        <f>VLOOKUP($A21,[9]HISTOAOUT22!$A$7:$AU$38,8,0)</f>
        <v>BANQUE</v>
      </c>
      <c r="F21" s="8">
        <f>VLOOKUP($A21,[9]HISTOAOUT22!$A$7:$AU$38,36,0)</f>
        <v>0</v>
      </c>
      <c r="G21" s="8">
        <f>VLOOKUP($A21,[9]HISTOAOUT22!$A$7:$AU$38,39,0)</f>
        <v>0</v>
      </c>
      <c r="H21" s="8">
        <f>IF(G21=0,0,VLOOKUP($A21,[9]HISTOAOUT22!$A$7:$AU$38,42,0))</f>
        <v>0</v>
      </c>
      <c r="I21" s="8">
        <f>VLOOKUP($A21,[9]HISTOAOUT22!$A$7:$AU$38,41,0)</f>
        <v>0</v>
      </c>
      <c r="J21" s="8">
        <f>TONTJUIL22!F21+TONTJUIL22!G21</f>
        <v>0</v>
      </c>
      <c r="K21" s="8">
        <f>VLOOKUP($A21,[9]HISTOAOUT22!$A$7:$AU$38,17,0)</f>
        <v>0</v>
      </c>
      <c r="L21" s="8" t="str">
        <f>IF(K21&lt;&gt;0,VLOOKUP($A21,[9]HISTOAOUT22!$A$6:$BA$36,8,0),"ECHEC")</f>
        <v>ECHEC</v>
      </c>
      <c r="M21" s="8">
        <f>IF(P21=0,0,VLOOKUP($A21,[9]HISTOAOUT22!$A$7:$AU$38,32,0))</f>
        <v>0</v>
      </c>
      <c r="N21" s="8">
        <f>VLOOKUP($A21,[9]HISTOAOUT22!$A$7:$AU$38,33,0)</f>
        <v>0</v>
      </c>
      <c r="O21" s="8">
        <f t="shared" si="0"/>
        <v>0</v>
      </c>
      <c r="P21" s="8">
        <f>VLOOKUP($A21,[9]HISTOAOUT22!$A$7:$AU$38,30,0)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1025000</v>
      </c>
      <c r="G24" s="9">
        <f t="shared" si="2"/>
        <v>11000</v>
      </c>
      <c r="H24" s="9">
        <f t="shared" si="2"/>
        <v>0</v>
      </c>
      <c r="I24" s="9">
        <f t="shared" si="2"/>
        <v>0</v>
      </c>
      <c r="J24" s="9">
        <f t="shared" si="2"/>
        <v>254000</v>
      </c>
      <c r="K24" s="9">
        <f t="shared" si="2"/>
        <v>254000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1125000</v>
      </c>
      <c r="P24" s="9">
        <f t="shared" si="2"/>
        <v>75000</v>
      </c>
      <c r="Q24" s="9">
        <f t="shared" si="2"/>
        <v>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D30+E30+P24+TONTJUIL22!M31</f>
        <v>2318000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SUMIFS(K6:K22,L6:L22,"ESPECES")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SUMIFS(K6:K22,L6:L22,"BANQUE")</f>
        <v>254000</v>
      </c>
      <c r="F28" s="9">
        <f>SUMIFS(F6:F23,H6:H23,"BANQUE")</f>
        <v>1025000</v>
      </c>
      <c r="G28" s="9">
        <f>SUMIFS(O6:O23,M6:M23,"BANQUE")</f>
        <v>1125000</v>
      </c>
      <c r="H28" s="9">
        <f>D28+E28-F28-G28</f>
        <v>-396000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1118000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254000</v>
      </c>
      <c r="F30" s="9">
        <f>F27+F28</f>
        <v>1025000</v>
      </c>
      <c r="G30" s="9">
        <f t="shared" ref="G30:H30" si="3">G27+G28</f>
        <v>1125000</v>
      </c>
      <c r="H30" s="9">
        <f t="shared" si="3"/>
        <v>-396000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93000</v>
      </c>
      <c r="L31"/>
      <c r="M31" s="9">
        <f>K31</f>
        <v>93000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+K33+TONTJUIL22!M33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+K34+TONTJUIL22!M34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I27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2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IF(E6="ECHEC",0,VLOOKUP($A6,[9]HISTOSEPT22!$A$7:$AQ$36,13,0))</f>
        <v>75000</v>
      </c>
      <c r="E6" s="8" t="str">
        <f>VLOOKUP($A6,[9]HISTOSEPT22!$A$7:$AU$38,8,0)</f>
        <v>BANQUE</v>
      </c>
      <c r="F6" s="8">
        <f>VLOOKUP($A6,[9]HISTOSEPT22!$A$7:$AU$38,36,0)</f>
        <v>0</v>
      </c>
      <c r="G6" s="8">
        <f>VLOOKUP($A6,[9]HISTOSEPT22!$A$7:$AU$38,39,0)</f>
        <v>0</v>
      </c>
      <c r="H6" s="8">
        <f>IF(G6=0,0,VLOOKUP($A6,[9]HISTOSEPT22!$A$7:$AU$38,42,0))</f>
        <v>0</v>
      </c>
      <c r="I6" s="8">
        <f>VLOOKUP($A6,[9]HISTOSEPT22!$A$7:$AU$38,41,0)</f>
        <v>0</v>
      </c>
      <c r="J6" s="8">
        <f>TONTAOUT22!F6+TONTAOUT22!G6</f>
        <v>0</v>
      </c>
      <c r="K6" s="8">
        <f>VLOOKUP($A6,[9]HISTOSEPT22!$A$7:$AU$38,17,0)</f>
        <v>0</v>
      </c>
      <c r="L6" s="8" t="str">
        <f>IF(K6&lt;&gt;0,VLOOKUP($A6,[9]HISTOSEPT22!$A$6:$BA$36,8,0),"ECHEC")</f>
        <v>ECHEC</v>
      </c>
      <c r="M6" s="8">
        <f>IF(P6=0,0,VLOOKUP($A6,[9]HISTOSEPT22!$A$7:$AU$38,32,0))</f>
        <v>0</v>
      </c>
      <c r="N6" s="8">
        <f>VLOOKUP($A6,[9]HISTOSEPT22!$A$7:$AU$38,33,0)</f>
        <v>0</v>
      </c>
      <c r="O6" s="8">
        <f t="shared" ref="O6:O21" si="0">IF(P6=0,0,($C$3-P6))</f>
        <v>0</v>
      </c>
      <c r="P6" s="8">
        <f>VLOOKUP($A6,[9]HISTOSEPT22!$A$7:$AU$38,30,0)</f>
        <v>0</v>
      </c>
      <c r="Q6" s="45">
        <f>IF(P6=0,0,(P6-75000))</f>
        <v>0</v>
      </c>
      <c r="R6">
        <v>2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IF(E7="ECHEC",0,VLOOKUP($A7,[9]HISTOSEPT22!$A$7:$AQ$36,13,0))</f>
        <v>75000</v>
      </c>
      <c r="E7" s="8" t="str">
        <f>VLOOKUP($A7,[9]HISTOSEPT22!$A$7:$AU$38,8,0)</f>
        <v>ESPECES</v>
      </c>
      <c r="F7" s="8">
        <f>VLOOKUP($A7,[9]HISTOSEPT22!$A$7:$AU$38,36,0)</f>
        <v>100000</v>
      </c>
      <c r="G7" s="8">
        <f>VLOOKUP($A7,[9]HISTOSEPT22!$A$7:$AU$38,39,0)</f>
        <v>14000</v>
      </c>
      <c r="H7" s="8" t="str">
        <f>IF(G7=0,0,VLOOKUP($A7,[9]HISTOSEPT22!$A$7:$AU$38,42,0))</f>
        <v>BANQUE</v>
      </c>
      <c r="I7" s="8">
        <f>VLOOKUP($A7,[9]HISTOSEPT22!$A$7:$AU$38,41,0)</f>
        <v>0</v>
      </c>
      <c r="J7" s="8">
        <f>TONTAOUT22!F7+TONTAOUT22!G7</f>
        <v>51000</v>
      </c>
      <c r="K7" s="8">
        <f>VLOOKUP($A7,[9]HISTOSEPT22!$A$7:$AU$38,17,0)</f>
        <v>51000</v>
      </c>
      <c r="L7" s="8" t="str">
        <f>IF(K7&lt;&gt;0,VLOOKUP($A7,[9]HISTOSEPT22!$A$6:$BA$36,8,0),"ECHEC")</f>
        <v>ESPECES</v>
      </c>
      <c r="M7" s="8">
        <f>IF(P7=0,0,VLOOKUP($A7,[9]HISTOSEPT22!$A$7:$AU$38,32,0))</f>
        <v>0</v>
      </c>
      <c r="N7" s="8">
        <f>VLOOKUP($A7,[9]HISTOSEPT22!$A$7:$AU$38,33,0)</f>
        <v>0</v>
      </c>
      <c r="O7" s="8">
        <f t="shared" si="0"/>
        <v>0</v>
      </c>
      <c r="P7" s="8">
        <f>VLOOKUP($A7,[9]HISTOSEPT22!$A$7:$AU$38,30,0)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IF(E8="ECHEC",0,VLOOKUP($A8,[9]HISTOSEPT22!$A$7:$AQ$36,13,0))</f>
        <v>75000</v>
      </c>
      <c r="E8" s="8" t="str">
        <f>VLOOKUP($A8,[9]HISTOSEPT22!$A$7:$AU$38,8,0)</f>
        <v>BANQUE</v>
      </c>
      <c r="F8" s="8">
        <f>VLOOKUP($A8,[9]HISTOSEPT22!$A$7:$AU$38,36,0)</f>
        <v>0</v>
      </c>
      <c r="G8" s="8">
        <f>VLOOKUP($A8,[9]HISTOSEPT22!$A$7:$AU$38,39,0)</f>
        <v>0</v>
      </c>
      <c r="H8" s="8">
        <f>IF(G8=0,0,VLOOKUP($A8,[9]HISTOSEPT22!$A$7:$AU$38,42,0))</f>
        <v>0</v>
      </c>
      <c r="I8" s="8">
        <f>VLOOKUP($A8,[9]HISTOSEPT22!$A$7:$AU$38,41,0)</f>
        <v>0</v>
      </c>
      <c r="J8" s="8">
        <f>TONTAOUT22!F8+TONTAOUT22!G8</f>
        <v>101000</v>
      </c>
      <c r="K8" s="8">
        <f>VLOOKUP($A8,[9]HISTOSEPT22!$A$7:$AU$38,17,0)</f>
        <v>101000</v>
      </c>
      <c r="L8" s="8" t="str">
        <f>IF(K8&lt;&gt;0,VLOOKUP($A8,[9]HISTOSEPT22!$A$6:$BA$36,8,0),"ECHEC")</f>
        <v>BANQUE</v>
      </c>
      <c r="M8" s="8">
        <f>IF(P8=0,0,VLOOKUP($A8,[9]HISTOSEPT22!$A$7:$AU$38,32,0))</f>
        <v>0</v>
      </c>
      <c r="N8" s="8">
        <f>VLOOKUP($A8,[9]HISTOSEPT22!$A$7:$AU$38,33,0)</f>
        <v>0</v>
      </c>
      <c r="O8" s="8">
        <f t="shared" si="0"/>
        <v>0</v>
      </c>
      <c r="P8" s="8">
        <f>VLOOKUP($A8,[9]HISTOSEPT22!$A$7:$AU$38,30,0)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IF(E9="ECHEC",0,VLOOKUP($A9,[9]HISTOSEPT22!$A$7:$AQ$36,13,0))</f>
        <v>75000</v>
      </c>
      <c r="E9" s="8" t="str">
        <f>VLOOKUP($A9,[9]HISTOSEPT22!$A$7:$AU$38,8,0)</f>
        <v>BANQUE</v>
      </c>
      <c r="F9" s="8">
        <f>VLOOKUP($A9,[9]HISTOSEPT22!$A$7:$AU$38,36,0)</f>
        <v>0</v>
      </c>
      <c r="G9" s="8">
        <f>VLOOKUP($A9,[9]HISTOSEPT22!$A$7:$AU$38,39,0)</f>
        <v>0</v>
      </c>
      <c r="H9" s="8">
        <f>IF(G9=0,0,VLOOKUP($A9,[9]HISTOSEPT22!$A$7:$AU$38,42,0))</f>
        <v>0</v>
      </c>
      <c r="I9" s="8">
        <f>VLOOKUP($A9,[9]HISTOSEPT22!$A$7:$AU$38,41,0)</f>
        <v>0</v>
      </c>
      <c r="J9" s="8">
        <f>TONTAOUT22!F9+TONTAOUT22!G9</f>
        <v>76000</v>
      </c>
      <c r="K9" s="8">
        <f>VLOOKUP($A9,[9]HISTOSEPT22!$A$7:$AU$38,17,0)</f>
        <v>76000</v>
      </c>
      <c r="L9" s="8" t="str">
        <f>IF(K9&lt;&gt;0,VLOOKUP($A9,[9]HISTOSEPT22!$A$6:$BA$36,8,0),"ECHEC")</f>
        <v>BANQUE</v>
      </c>
      <c r="M9" s="8">
        <f>IF(P9=0,0,VLOOKUP($A9,[9]HISTOSEPT22!$A$7:$AU$38,32,0))</f>
        <v>0</v>
      </c>
      <c r="N9" s="8">
        <f>VLOOKUP($A9,[9]HISTOSEPT22!$A$7:$AU$38,33,0)</f>
        <v>0</v>
      </c>
      <c r="O9" s="8">
        <f t="shared" si="0"/>
        <v>0</v>
      </c>
      <c r="P9" s="8">
        <f>VLOOKUP($A9,[9]HISTOSEPT22!$A$7:$AU$38,30,0)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IF(E10="ECHEC",0,VLOOKUP($A10,[9]HISTOSEPT22!$A$7:$AQ$36,13,0))</f>
        <v>75000</v>
      </c>
      <c r="E10" s="8" t="str">
        <f>VLOOKUP($A10,[9]HISTOSEPT22!$A$7:$AU$38,8,0)</f>
        <v>BANQUE</v>
      </c>
      <c r="F10" s="8">
        <f>VLOOKUP($A10,[9]HISTOSEPT22!$A$7:$AU$38,36,0)</f>
        <v>0</v>
      </c>
      <c r="G10" s="8">
        <f>VLOOKUP($A10,[9]HISTOSEPT22!$A$7:$AU$38,39,0)</f>
        <v>0</v>
      </c>
      <c r="H10" s="8">
        <f>IF(G10=0,0,VLOOKUP($A10,[9]HISTOSEPT22!$A$7:$AU$38,42,0))</f>
        <v>0</v>
      </c>
      <c r="I10" s="8">
        <f>VLOOKUP($A10,[9]HISTOSEPT22!$A$7:$AU$38,41,0)</f>
        <v>0</v>
      </c>
      <c r="J10" s="8">
        <f>TONTAOUT22!F10+TONTAOUT22!G10</f>
        <v>0</v>
      </c>
      <c r="K10" s="8">
        <f>VLOOKUP($A10,[9]HISTOSEPT22!$A$7:$AU$38,17,0)</f>
        <v>0</v>
      </c>
      <c r="L10" s="8" t="str">
        <f>IF(K10&lt;&gt;0,VLOOKUP($A10,[9]HISTOSEPT22!$A$6:$BA$36,8,0),"ECHEC")</f>
        <v>ECHEC</v>
      </c>
      <c r="M10" s="8">
        <f>IF(P10=0,0,VLOOKUP($A10,[9]HISTOSEPT22!$A$7:$AU$38,32,0))</f>
        <v>0</v>
      </c>
      <c r="N10" s="8">
        <f>VLOOKUP($A10,[9]HISTOSEPT22!$A$7:$AU$38,33,0)</f>
        <v>0</v>
      </c>
      <c r="O10" s="8">
        <f t="shared" si="0"/>
        <v>0</v>
      </c>
      <c r="P10" s="8">
        <f>VLOOKUP($A10,[9]HISTOSEPT22!$A$7:$AU$38,30,0)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IF(E11="ECHEC",0,VLOOKUP($A11,[9]HISTOSEPT22!$A$7:$AQ$36,13,0))</f>
        <v>75000</v>
      </c>
      <c r="E11" s="8" t="str">
        <f>VLOOKUP($A11,[9]HISTOSEPT22!$A$7:$AU$38,8,0)</f>
        <v>BANQUE</v>
      </c>
      <c r="F11" s="8">
        <f>VLOOKUP($A11,[9]HISTOSEPT22!$A$7:$AU$38,36,0)</f>
        <v>0</v>
      </c>
      <c r="G11" s="8">
        <f>VLOOKUP($A11,[9]HISTOSEPT22!$A$7:$AU$38,39,0)</f>
        <v>0</v>
      </c>
      <c r="H11" s="8">
        <f>IF(G11=0,0,VLOOKUP($A11,[9]HISTOSEPT22!$A$7:$AU$38,42,0))</f>
        <v>0</v>
      </c>
      <c r="I11" s="8">
        <f>VLOOKUP($A11,[9]HISTOSEPT22!$A$7:$AU$38,41,0)</f>
        <v>0</v>
      </c>
      <c r="J11" s="8">
        <f>TONTAOUT22!F11+TONTAOUT22!G11</f>
        <v>0</v>
      </c>
      <c r="K11" s="8">
        <f>VLOOKUP($A11,[9]HISTOSEPT22!$A$7:$AU$38,17,0)</f>
        <v>0</v>
      </c>
      <c r="L11" s="8" t="str">
        <f>IF(K11&lt;&gt;0,VLOOKUP($A11,[9]HISTOSEPT22!$A$6:$BA$36,8,0),"ECHEC")</f>
        <v>ECHEC</v>
      </c>
      <c r="M11" s="8">
        <f>IF(P11=0,0,VLOOKUP($A11,[9]HISTOSEPT22!$A$7:$AU$38,32,0))</f>
        <v>0</v>
      </c>
      <c r="N11" s="8">
        <f>VLOOKUP($A11,[9]HISTOSEPT22!$A$7:$AU$38,33,0)</f>
        <v>0</v>
      </c>
      <c r="O11" s="8">
        <f t="shared" si="0"/>
        <v>0</v>
      </c>
      <c r="P11" s="8">
        <f>VLOOKUP($A11,[9]HISTOSEPT22!$A$7:$AU$38,30,0)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IF(E12="ECHEC",0,VLOOKUP($A12,[9]HISTOSEPT22!$A$7:$AQ$36,13,0))</f>
        <v>75000</v>
      </c>
      <c r="E12" s="8" t="str">
        <f>VLOOKUP($A12,[9]HISTOSEPT22!$A$7:$AU$38,8,0)</f>
        <v>BANQUE</v>
      </c>
      <c r="F12" s="8">
        <f>VLOOKUP($A12,[9]HISTOSEPT22!$A$7:$AU$38,36,0)</f>
        <v>0</v>
      </c>
      <c r="G12" s="8">
        <f>VLOOKUP($A12,[9]HISTOSEPT22!$A$7:$AU$38,39,0)</f>
        <v>0</v>
      </c>
      <c r="H12" s="8">
        <f>IF(G12=0,0,VLOOKUP($A12,[9]HISTOSEPT22!$A$7:$AU$38,42,0))</f>
        <v>0</v>
      </c>
      <c r="I12" s="8">
        <f>VLOOKUP($A12,[9]HISTOSEPT22!$A$7:$AU$38,41,0)</f>
        <v>0</v>
      </c>
      <c r="J12" s="8">
        <f>TONTAOUT22!F12+TONTAOUT22!G12</f>
        <v>404000</v>
      </c>
      <c r="K12" s="8">
        <f>VLOOKUP($A12,[9]HISTOSEPT22!$A$7:$AU$38,17,0)</f>
        <v>404000</v>
      </c>
      <c r="L12" s="8" t="str">
        <f>IF(K12&lt;&gt;0,VLOOKUP($A12,[9]HISTOSEPT22!$A$6:$BA$36,8,0),"ECHEC")</f>
        <v>BANQUE</v>
      </c>
      <c r="M12" s="8">
        <f>IF(P12=0,0,VLOOKUP($A12,[9]HISTOSEPT22!$A$7:$AU$38,32,0))</f>
        <v>0</v>
      </c>
      <c r="N12" s="8">
        <f>VLOOKUP($A12,[9]HISTOSEPT22!$A$7:$AU$38,33,0)</f>
        <v>0</v>
      </c>
      <c r="O12" s="8">
        <f t="shared" si="0"/>
        <v>0</v>
      </c>
      <c r="P12" s="8">
        <f>VLOOKUP($A12,[9]HISTOSEPT22!$A$7:$AU$38,30,0)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IF(E13="ECHEC",0,VLOOKUP($A13,[9]HISTOSEPT22!$A$7:$AQ$36,13,0))</f>
        <v>225000</v>
      </c>
      <c r="E13" s="8" t="str">
        <f>VLOOKUP($A13,[9]HISTOSEPT22!$A$7:$AU$38,8,0)</f>
        <v>BANQUE</v>
      </c>
      <c r="F13" s="8">
        <f>VLOOKUP($A13,[9]HISTOSEPT22!$A$7:$AU$38,36,0)</f>
        <v>0</v>
      </c>
      <c r="G13" s="8">
        <f>VLOOKUP($A13,[9]HISTOSEPT22!$A$7:$AU$38,39,0)</f>
        <v>0</v>
      </c>
      <c r="H13" s="8">
        <f>IF(G13=0,0,VLOOKUP($A13,[9]HISTOSEPT22!$A$7:$AU$38,42,0))</f>
        <v>0</v>
      </c>
      <c r="I13" s="8">
        <f>VLOOKUP($A13,[9]HISTOSEPT22!$A$7:$AU$38,41,0)</f>
        <v>0</v>
      </c>
      <c r="J13" s="8">
        <f>TONTAOUT22!F13+TONTAOUT22!G13</f>
        <v>202000</v>
      </c>
      <c r="K13" s="8">
        <f>VLOOKUP($A13,[9]HISTOSEPT22!$A$7:$AU$38,17,0)</f>
        <v>202000</v>
      </c>
      <c r="L13" s="8" t="str">
        <f>IF(K13&lt;&gt;0,VLOOKUP($A13,[9]HISTOSEPT22!$A$6:$BA$36,8,0),"ECHEC")</f>
        <v>BANQUE</v>
      </c>
      <c r="M13" s="8" t="str">
        <f>IF(P13=0,0,VLOOKUP($A13,[9]HISTOSEPT22!$A$7:$AU$38,32,0))</f>
        <v>BANQUE</v>
      </c>
      <c r="N13" s="8">
        <f>VLOOKUP($A13,[9]HISTOSEPT22!$A$7:$AU$38,33,0)</f>
        <v>0</v>
      </c>
      <c r="O13" s="8">
        <f t="shared" si="0"/>
        <v>1125000</v>
      </c>
      <c r="P13" s="8">
        <f>VLOOKUP($A13,[9]HISTOSEPT22!$A$7:$AU$38,30,0)</f>
        <v>75000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IF(E14="ECHEC",0,VLOOKUP($A14,[9]HISTOSEPT22!$A$7:$AQ$36,13,0))</f>
        <v>75000</v>
      </c>
      <c r="E14" s="8" t="str">
        <f>VLOOKUP($A14,[9]HISTOSEPT22!$A$7:$AU$38,8,0)</f>
        <v>BANQUE</v>
      </c>
      <c r="F14" s="8">
        <f>VLOOKUP($A14,[9]HISTOSEPT22!$A$7:$AU$38,36,0)</f>
        <v>0</v>
      </c>
      <c r="G14" s="8">
        <f>VLOOKUP($A14,[9]HISTOSEPT22!$A$7:$AU$38,39,0)</f>
        <v>0</v>
      </c>
      <c r="H14" s="8">
        <f>IF(G14=0,0,VLOOKUP($A14,[9]HISTOSEPT22!$A$7:$AU$38,42,0))</f>
        <v>0</v>
      </c>
      <c r="I14" s="8">
        <f>VLOOKUP($A14,[9]HISTOSEPT22!$A$7:$AU$38,41,0)</f>
        <v>0</v>
      </c>
      <c r="J14" s="8">
        <f>TONTAOUT22!F14+TONTAOUT22!G14</f>
        <v>0</v>
      </c>
      <c r="K14" s="8">
        <f>VLOOKUP($A14,[9]HISTOSEPT22!$A$7:$AU$38,17,0)</f>
        <v>0</v>
      </c>
      <c r="L14" s="8" t="str">
        <f>IF(K14&lt;&gt;0,VLOOKUP($A14,[9]HISTOSEPT22!$A$6:$BA$36,8,0),"ECHEC")</f>
        <v>ECHEC</v>
      </c>
      <c r="M14" s="8">
        <f>IF(P14=0,0,VLOOKUP($A14,[9]HISTOSEPT22!$A$7:$AU$38,32,0))</f>
        <v>0</v>
      </c>
      <c r="N14" s="8">
        <f>VLOOKUP($A14,[9]HISTOSEPT22!$A$7:$AU$38,33,0)</f>
        <v>0</v>
      </c>
      <c r="O14" s="8">
        <f t="shared" si="0"/>
        <v>0</v>
      </c>
      <c r="P14" s="8">
        <f>VLOOKUP($A14,[9]HISTOSEPT22!$A$7:$AU$38,30,0)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IF(E15="ECHEC",0,VLOOKUP($A15,[9]HISTOSEPT22!$A$7:$AQ$36,13,0))</f>
        <v>75000</v>
      </c>
      <c r="E15" s="8" t="str">
        <f>VLOOKUP($A15,[9]HISTOSEPT22!$A$7:$AU$38,8,0)</f>
        <v>BANQUE</v>
      </c>
      <c r="F15" s="8">
        <f>VLOOKUP($A15,[9]HISTOSEPT22!$A$7:$AU$38,36,0)</f>
        <v>0</v>
      </c>
      <c r="G15" s="8">
        <f>VLOOKUP($A15,[9]HISTOSEPT22!$A$7:$AU$38,39,0)</f>
        <v>0</v>
      </c>
      <c r="H15" s="8">
        <f>IF(G15=0,0,VLOOKUP($A15,[9]HISTOSEPT22!$A$7:$AU$38,42,0))</f>
        <v>0</v>
      </c>
      <c r="I15" s="8">
        <f>VLOOKUP($A15,[9]HISTOSEPT22!$A$7:$AU$38,41,0)</f>
        <v>0</v>
      </c>
      <c r="J15" s="8">
        <f>TONTAOUT22!F15+TONTAOUT22!G15</f>
        <v>0</v>
      </c>
      <c r="K15" s="8">
        <f>VLOOKUP($A15,[9]HISTOSEPT22!$A$7:$AU$38,17,0)</f>
        <v>0</v>
      </c>
      <c r="L15" s="8" t="str">
        <f>IF(K15&lt;&gt;0,VLOOKUP($A15,[9]HISTOSEPT22!$A$6:$BA$36,8,0),"ECHEC")</f>
        <v>ECHEC</v>
      </c>
      <c r="M15" s="8">
        <f>IF(P15=0,0,VLOOKUP($A15,[9]HISTOSEPT22!$A$7:$AU$38,32,0))</f>
        <v>0</v>
      </c>
      <c r="N15" s="8">
        <f>VLOOKUP($A15,[9]HISTOSEPT22!$A$7:$AU$38,33,0)</f>
        <v>0</v>
      </c>
      <c r="O15" s="8">
        <f t="shared" si="0"/>
        <v>0</v>
      </c>
      <c r="P15" s="8">
        <f>VLOOKUP($A15,[9]HISTOSEPT22!$A$7:$AU$38,30,0)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IF(E16="ECHEC",0,VLOOKUP($A16,[9]HISTOSEPT22!$A$7:$AQ$36,13,0))</f>
        <v>150000</v>
      </c>
      <c r="E16" s="8" t="str">
        <f>VLOOKUP($A16,[9]HISTOSEPT22!$A$7:$AU$38,8,0)</f>
        <v>BANQUE</v>
      </c>
      <c r="F16" s="8">
        <f>VLOOKUP($A16,[9]HISTOSEPT22!$A$7:$AU$38,36,0)</f>
        <v>77000</v>
      </c>
      <c r="G16" s="8">
        <f>VLOOKUP($A16,[9]HISTOSEPT22!$A$7:$AU$38,39,0)</f>
        <v>7000</v>
      </c>
      <c r="H16" s="8" t="str">
        <f>IF(G16=0,0,VLOOKUP($A16,[9]HISTOSEPT22!$A$7:$AU$38,42,0))</f>
        <v>BANQUE</v>
      </c>
      <c r="I16" s="8">
        <f>VLOOKUP($A16,[9]HISTOSEPT22!$A$7:$AU$38,41,0)</f>
        <v>0</v>
      </c>
      <c r="J16" s="8">
        <f>TONTAOUT22!F16+TONTAOUT22!G16</f>
        <v>0</v>
      </c>
      <c r="K16" s="8">
        <f>VLOOKUP($A16,[9]HISTOSEPT22!$A$7:$AU$38,17,0)</f>
        <v>0</v>
      </c>
      <c r="L16" s="8" t="str">
        <f>IF(K16&lt;&gt;0,VLOOKUP($A16,[9]HISTOSEPT22!$A$6:$BA$36,8,0),"ECHEC")</f>
        <v>ECHEC</v>
      </c>
      <c r="M16" s="8">
        <f>IF(P16=0,0,VLOOKUP($A16,[9]HISTOSEPT22!$A$7:$AU$38,32,0))</f>
        <v>0</v>
      </c>
      <c r="N16" s="8">
        <f>VLOOKUP($A16,[9]HISTOSEPT22!$A$7:$AU$38,33,0)</f>
        <v>0</v>
      </c>
      <c r="O16" s="8">
        <f t="shared" si="0"/>
        <v>0</v>
      </c>
      <c r="P16" s="8">
        <f>VLOOKUP($A16,[9]HISTOSEPT22!$A$7:$AU$38,30,0)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IF(E17="ECHEC",0,VLOOKUP($A17,[9]HISTOSEPT22!$A$7:$AQ$36,13,0))</f>
        <v>75000</v>
      </c>
      <c r="E17" s="8" t="str">
        <f>VLOOKUP($A17,[9]HISTOSEPT22!$A$7:$AU$38,8,0)</f>
        <v>ESPECES</v>
      </c>
      <c r="F17" s="8">
        <f>VLOOKUP($A17,[9]HISTOSEPT22!$A$7:$AU$38,36,0)</f>
        <v>202000</v>
      </c>
      <c r="G17" s="8">
        <f>VLOOKUP($A17,[9]HISTOSEPT22!$A$7:$AU$38,39,0)</f>
        <v>4000</v>
      </c>
      <c r="H17" s="8">
        <f>IF(G17=0,0,VLOOKUP($A17,[9]HISTOSEPT22!$A$7:$AU$38,42,0))</f>
        <v>0</v>
      </c>
      <c r="I17" s="8">
        <f>VLOOKUP($A17,[9]HISTOSEPT22!$A$7:$AU$38,41,0)</f>
        <v>0</v>
      </c>
      <c r="J17" s="8">
        <f>TONTAOUT22!F17+TONTAOUT22!G17</f>
        <v>202000</v>
      </c>
      <c r="K17" s="8">
        <f>VLOOKUP($A17,[9]HISTOSEPT22!$A$7:$AU$38,17,0)</f>
        <v>202000</v>
      </c>
      <c r="L17" s="8" t="str">
        <f>IF(K17&lt;&gt;0,VLOOKUP($A17,[9]HISTOSEPT22!$A$6:$BA$36,8,0),"ECHEC")</f>
        <v>ESPECES</v>
      </c>
      <c r="M17" s="8">
        <f>IF(P17=0,0,VLOOKUP($A17,[9]HISTOSEPT22!$A$7:$AU$38,32,0))</f>
        <v>0</v>
      </c>
      <c r="N17" s="8">
        <f>VLOOKUP($A17,[9]HISTOSEPT22!$A$7:$AU$38,33,0)</f>
        <v>0</v>
      </c>
      <c r="O17" s="8">
        <f t="shared" si="0"/>
        <v>0</v>
      </c>
      <c r="P17" s="8">
        <f>VLOOKUP($A17,[9]HISTOSEPT22!$A$7:$AU$38,30,0)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IF(E18="ECHEC",0,VLOOKUP($A18,[9]HISTOSEPT22!$A$7:$AQ$36,13,0))</f>
        <v>75000</v>
      </c>
      <c r="E18" s="8" t="str">
        <f>VLOOKUP($A18,[9]HISTOSEPT22!$A$7:$AU$38,8,0)</f>
        <v>BANQUE</v>
      </c>
      <c r="F18" s="8">
        <f>VLOOKUP($A18,[9]HISTOSEPT22!$A$7:$AU$38,36,0)</f>
        <v>0</v>
      </c>
      <c r="G18" s="8">
        <f>VLOOKUP($A18,[9]HISTOSEPT22!$A$7:$AU$38,39,0)</f>
        <v>0</v>
      </c>
      <c r="H18" s="8">
        <f>IF(G18=0,0,VLOOKUP($A18,[9]HISTOSEPT22!$A$7:$AU$38,42,0))</f>
        <v>0</v>
      </c>
      <c r="I18" s="8">
        <f>VLOOKUP($A18,[9]HISTOSEPT22!$A$7:$AU$38,41,0)</f>
        <v>0</v>
      </c>
      <c r="J18" s="8">
        <f>TONTAOUT22!F18+TONTAOUT22!G18</f>
        <v>0</v>
      </c>
      <c r="K18" s="8">
        <f>VLOOKUP($A18,[9]HISTOSEPT22!$A$7:$AU$38,17,0)</f>
        <v>0</v>
      </c>
      <c r="L18" s="8" t="str">
        <f>IF(K18&lt;&gt;0,VLOOKUP($A18,[9]HISTOSEPT22!$A$6:$BA$36,8,0),"ECHEC")</f>
        <v>ECHEC</v>
      </c>
      <c r="M18" s="8">
        <f>IF(P18=0,0,VLOOKUP($A18,[9]HISTOSEPT22!$A$7:$AU$38,32,0))</f>
        <v>0</v>
      </c>
      <c r="N18" s="8">
        <f>VLOOKUP($A18,[9]HISTOSEPT22!$A$7:$AU$38,33,0)</f>
        <v>0</v>
      </c>
      <c r="O18" s="8">
        <f t="shared" si="0"/>
        <v>0</v>
      </c>
      <c r="P18" s="8">
        <f>VLOOKUP($A18,[9]HISTOSEPT22!$A$7:$AU$38,30,0)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IF(E19="ECHEC",0,VLOOKUP($A19,[9]HISTOSEPT22!$A$7:$AQ$36,13,0))</f>
        <v>75000</v>
      </c>
      <c r="E19" s="8" t="str">
        <f>VLOOKUP($A19,[9]HISTOSEPT22!$A$7:$AU$38,8,0)</f>
        <v>BANQUE</v>
      </c>
      <c r="F19" s="8">
        <f>VLOOKUP($A19,[9]HISTOSEPT22!$A$7:$AU$38,36,0)</f>
        <v>0</v>
      </c>
      <c r="G19" s="8">
        <f>VLOOKUP($A19,[9]HISTOSEPT22!$A$7:$AU$38,39,0)</f>
        <v>0</v>
      </c>
      <c r="H19" s="8">
        <f>IF(G19=0,0,VLOOKUP($A19,[9]HISTOSEPT22!$A$7:$AU$38,42,0))</f>
        <v>0</v>
      </c>
      <c r="I19" s="8">
        <f>VLOOKUP($A19,[9]HISTOSEPT22!$A$7:$AU$38,41,0)</f>
        <v>0</v>
      </c>
      <c r="J19" s="8">
        <f>TONTAOUT22!F19+TONTAOUT22!G19</f>
        <v>0</v>
      </c>
      <c r="K19" s="8">
        <f>VLOOKUP($A19,[9]HISTOSEPT22!$A$7:$AU$38,17,0)</f>
        <v>0</v>
      </c>
      <c r="L19" s="8" t="str">
        <f>IF(K19&lt;&gt;0,VLOOKUP($A19,[9]HISTOSEPT22!$A$6:$BA$36,8,0),"ECHEC")</f>
        <v>ECHEC</v>
      </c>
      <c r="M19" s="8" t="str">
        <f>IF(P19=0,0,VLOOKUP($A19,[9]HISTOSEPT22!$A$7:$AU$38,32,0))</f>
        <v>BANQUE</v>
      </c>
      <c r="N19" s="8">
        <f>VLOOKUP($A19,[9]HISTOSEPT22!$A$7:$AU$38,33,0)</f>
        <v>0</v>
      </c>
      <c r="O19" s="8">
        <f t="shared" si="0"/>
        <v>1125000</v>
      </c>
      <c r="P19" s="8">
        <f>VLOOKUP($A19,[9]HISTOSEPT22!$A$7:$AU$38,30,0)</f>
        <v>75000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IF(E20="ECHEC",0,VLOOKUP($A20,[9]HISTOSEPT22!$A$7:$AQ$36,13,0))</f>
        <v>75000</v>
      </c>
      <c r="E20" s="8" t="str">
        <f>VLOOKUP($A20,[9]HISTOSEPT22!$A$7:$AU$38,8,0)</f>
        <v>BANQUE</v>
      </c>
      <c r="F20" s="8">
        <f>VLOOKUP($A20,[9]HISTOSEPT22!$A$7:$AU$38,36,0)</f>
        <v>0</v>
      </c>
      <c r="G20" s="8">
        <f>VLOOKUP($A20,[9]HISTOSEPT22!$A$7:$AU$38,39,0)</f>
        <v>0</v>
      </c>
      <c r="H20" s="8">
        <f>IF(G20=0,0,VLOOKUP($A20,[9]HISTOSEPT22!$A$7:$AU$38,42,0))</f>
        <v>0</v>
      </c>
      <c r="I20" s="8">
        <f>VLOOKUP($A20,[9]HISTOSEPT22!$A$7:$AU$38,41,0)</f>
        <v>0</v>
      </c>
      <c r="J20" s="8">
        <f>TONTAOUT22!F20+TONTAOUT22!G20</f>
        <v>0</v>
      </c>
      <c r="K20" s="8">
        <f>VLOOKUP($A20,[9]HISTOSEPT22!$A$7:$AU$38,17,0)</f>
        <v>0</v>
      </c>
      <c r="L20" s="8" t="str">
        <f>IF(K20&lt;&gt;0,VLOOKUP($A20,[9]HISTOSEPT22!$A$6:$BA$36,8,0),"ECHEC")</f>
        <v>ECHEC</v>
      </c>
      <c r="M20" s="8">
        <f>IF(P20=0,0,VLOOKUP($A20,[9]HISTOSEPT22!$A$7:$AU$38,32,0))</f>
        <v>0</v>
      </c>
      <c r="N20" s="8">
        <f>VLOOKUP($A20,[9]HISTOSEPT22!$A$7:$AU$38,33,0)</f>
        <v>0</v>
      </c>
      <c r="O20" s="8">
        <f t="shared" si="0"/>
        <v>0</v>
      </c>
      <c r="P20" s="8">
        <f>VLOOKUP($A20,[9]HISTOSEPT22!$A$7:$AU$38,30,0)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IF(E21="ECHEC",0,VLOOKUP($A21,[9]HISTOSEPT22!$A$7:$AQ$36,13,0))</f>
        <v>150000</v>
      </c>
      <c r="E21" s="8" t="str">
        <f>VLOOKUP($A21,[9]HISTOSEPT22!$A$7:$AU$38,8,0)</f>
        <v>BANQUE</v>
      </c>
      <c r="F21" s="8">
        <f>VLOOKUP($A21,[9]HISTOSEPT22!$A$7:$AU$38,36,0)</f>
        <v>0</v>
      </c>
      <c r="G21" s="8">
        <f>VLOOKUP($A21,[9]HISTOSEPT22!$A$7:$AU$38,39,0)</f>
        <v>0</v>
      </c>
      <c r="H21" s="8">
        <f>IF(G21=0,0,VLOOKUP($A21,[9]HISTOSEPT22!$A$7:$AU$38,42,0))</f>
        <v>0</v>
      </c>
      <c r="I21" s="8">
        <f>VLOOKUP($A21,[9]HISTOSEPT22!$A$7:$AU$38,41,0)</f>
        <v>0</v>
      </c>
      <c r="J21" s="8">
        <f>TONTAOUT22!F21+TONTAOUT22!G21</f>
        <v>0</v>
      </c>
      <c r="K21" s="8">
        <f>VLOOKUP($A21,[9]HISTOSEPT22!$A$7:$AU$38,17,0)</f>
        <v>0</v>
      </c>
      <c r="L21" s="8" t="str">
        <f>IF(K21&lt;&gt;0,VLOOKUP($A21,[9]HISTOSEPT22!$A$6:$BA$36,8,0),"ECHEC")</f>
        <v>ECHEC</v>
      </c>
      <c r="M21" s="8">
        <f>IF(P21=0,0,VLOOKUP($A21,[9]HISTOSEPT22!$A$7:$AU$38,32,0))</f>
        <v>0</v>
      </c>
      <c r="N21" s="8">
        <f>VLOOKUP($A21,[9]HISTOSEPT22!$A$7:$AU$38,33,0)</f>
        <v>0</v>
      </c>
      <c r="O21" s="8">
        <f t="shared" si="0"/>
        <v>0</v>
      </c>
      <c r="P21" s="8">
        <f>VLOOKUP($A21,[9]HISTOSEPT22!$A$7:$AU$38,30,0)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379000</v>
      </c>
      <c r="G24" s="9">
        <f t="shared" si="2"/>
        <v>25000</v>
      </c>
      <c r="H24" s="9">
        <f t="shared" si="2"/>
        <v>0</v>
      </c>
      <c r="I24" s="9">
        <f t="shared" si="2"/>
        <v>0</v>
      </c>
      <c r="J24" s="9">
        <f t="shared" si="2"/>
        <v>1036000</v>
      </c>
      <c r="K24" s="9">
        <f t="shared" si="2"/>
        <v>1036000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2250000</v>
      </c>
      <c r="P24" s="9">
        <f t="shared" si="2"/>
        <v>150000</v>
      </c>
      <c r="Q24" s="9">
        <f t="shared" si="2"/>
        <v>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D30+E30+P24+TONTAOUT22!M31</f>
        <v>2779000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150000</v>
      </c>
      <c r="E27" s="9">
        <f>SUMIFS(K6:K22,L6:L22,"ESPECES")</f>
        <v>253000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403000</v>
      </c>
      <c r="I27" s="9"/>
      <c r="J27" s="9" t="s">
        <v>60</v>
      </c>
      <c r="K27" s="9">
        <f>C3*COUNTIF(O6:O23,"&gt;0")</f>
        <v>2400000</v>
      </c>
      <c r="L27" s="9">
        <f>D3</f>
        <v>2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1350000</v>
      </c>
      <c r="E28" s="9">
        <f>SUMIFS(K6:K22,L6:L22,"BANQUE")</f>
        <v>783000</v>
      </c>
      <c r="F28" s="9">
        <f>SUMIFS(F6:F23,H6:H23,"BANQUE")</f>
        <v>177000</v>
      </c>
      <c r="G28" s="9">
        <f>SUMIFS(O6:O23,M6:M23,"BANQUE")</f>
        <v>2250000</v>
      </c>
      <c r="H28" s="9">
        <f>D28+E28-F28-G28</f>
        <v>-294000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379000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1036000</v>
      </c>
      <c r="F30" s="9">
        <f>F27+F28</f>
        <v>177000</v>
      </c>
      <c r="G30" s="9">
        <f t="shared" ref="G30:H30" si="3">G27+G28</f>
        <v>2250000</v>
      </c>
      <c r="H30" s="9">
        <f t="shared" si="3"/>
        <v>109000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+K33+TONTAOUT22!M33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+K34+TONTAOUT22!M34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xSplit="3" ySplit="5" topLeftCell="I27" activePane="bottomRight" state="frozen"/>
      <selection activeCell="G6" sqref="G6:G39"/>
      <selection pane="topRight" activeCell="G6" sqref="G6:G39"/>
      <selection pane="bottomLeft" activeCell="G6" sqref="G6:G39"/>
      <selection pane="bottomRight" activeCell="Q26" sqref="Q2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8" x14ac:dyDescent="0.25">
      <c r="A1" s="1" t="s">
        <v>0</v>
      </c>
      <c r="B1" s="1" t="s">
        <v>1</v>
      </c>
      <c r="D1" s="1"/>
      <c r="E1" s="1"/>
      <c r="L1" s="1"/>
      <c r="M1" s="1"/>
    </row>
    <row r="2" spans="1:18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8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18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8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8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IF(E6="ECHEC",0,VLOOKUP($A6,[9]HISTOOCT22!$A$7:$AQ$36,13,0))</f>
        <v>75000</v>
      </c>
      <c r="E6" s="8" t="str">
        <f>VLOOKUP($A6,[9]HISTOOCT22!$A$7:$AU$38,8,0)</f>
        <v>BANQUE</v>
      </c>
      <c r="F6" s="8">
        <f>VLOOKUP($A6,[9]HISTOOCT22!$A$7:$AU$38,36,0)</f>
        <v>0</v>
      </c>
      <c r="G6" s="8">
        <f>VLOOKUP($A6,[9]HISTOOCT22!$A$7:$AU$38,39,0)</f>
        <v>0</v>
      </c>
      <c r="H6" s="8">
        <f>IF(G6=0,0,VLOOKUP($A6,[9]HISTOOCT22!$A$7:$AU$38,42,0))</f>
        <v>0</v>
      </c>
      <c r="I6" s="8">
        <f>VLOOKUP($A6,[9]HISTOOCT22!$A$7:$AU$38,41,0)</f>
        <v>0</v>
      </c>
      <c r="J6" s="8">
        <f>TONTSEPT22!F6+TONTSEPT22!G6</f>
        <v>0</v>
      </c>
      <c r="K6" s="8">
        <f>VLOOKUP($A6,[9]HISTOOCT22!$A$7:$AU$38,17,0)</f>
        <v>0</v>
      </c>
      <c r="L6" s="8" t="str">
        <f>IF(K6&lt;&gt;0,VLOOKUP($A6,[9]HISTOOCT22!$A$6:$BA$36,8,0),"ECHEC")</f>
        <v>ECHEC</v>
      </c>
      <c r="M6" s="8">
        <f>IF(P6=0,0,VLOOKUP($A6,[9]HISTOOCT22!$A$7:$AU$38,32,0))</f>
        <v>0</v>
      </c>
      <c r="N6" s="8">
        <f>VLOOKUP($A6,[9]HISTOOCT22!$A$7:$AU$38,33,0)</f>
        <v>0</v>
      </c>
      <c r="O6" s="8">
        <f t="shared" ref="O6:O21" si="0">IF(P6=0,0,($C$3-P6))</f>
        <v>0</v>
      </c>
      <c r="P6" s="8">
        <f>VLOOKUP($A6,[9]HISTOOCT22!$A$7:$AU$38,30,0)</f>
        <v>0</v>
      </c>
      <c r="Q6" s="45">
        <f>IF(P6=0,0,(P6-75000))</f>
        <v>0</v>
      </c>
      <c r="R6">
        <v>1</v>
      </c>
    </row>
    <row r="7" spans="1:18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IF(E7="ECHEC",0,VLOOKUP($A7,[9]HISTOOCT22!$A$7:$AQ$36,13,0))</f>
        <v>75000</v>
      </c>
      <c r="E7" s="8" t="str">
        <f>VLOOKUP($A7,[9]HISTOOCT22!$A$7:$AU$38,8,0)</f>
        <v>BANQUE</v>
      </c>
      <c r="F7" s="8">
        <f>VLOOKUP($A7,[9]HISTOOCT22!$A$7:$AU$38,36,0)</f>
        <v>100000</v>
      </c>
      <c r="G7" s="8">
        <f>VLOOKUP($A7,[9]HISTOOCT22!$A$7:$AU$38,39,0)</f>
        <v>1500</v>
      </c>
      <c r="H7" s="8" t="str">
        <f>IF(G7=0,0,VLOOKUP($A7,[9]HISTOOCT22!$A$7:$AU$38,42,0))</f>
        <v>BANQUE</v>
      </c>
      <c r="I7" s="8">
        <f>VLOOKUP($A7,[9]HISTOOCT22!$A$7:$AU$38,41,0)</f>
        <v>0</v>
      </c>
      <c r="J7" s="8">
        <f>TONTSEPT22!F7+TONTSEPT22!G7</f>
        <v>114000</v>
      </c>
      <c r="K7" s="8">
        <f>VLOOKUP($A7,[9]HISTOOCT22!$A$7:$AU$38,17,0)</f>
        <v>114000</v>
      </c>
      <c r="L7" s="8" t="str">
        <f>IF(K7&lt;&gt;0,VLOOKUP($A7,[9]HISTOOCT22!$A$6:$BA$36,8,0),"ECHEC")</f>
        <v>BANQUE</v>
      </c>
      <c r="M7" s="8">
        <f>IF(P7=0,0,VLOOKUP($A7,[9]HISTOOCT22!$A$7:$AU$38,32,0))</f>
        <v>0</v>
      </c>
      <c r="N7" s="8">
        <f>VLOOKUP($A7,[9]HISTOOCT22!$A$7:$AU$38,33,0)</f>
        <v>0</v>
      </c>
      <c r="O7" s="8">
        <f t="shared" si="0"/>
        <v>0</v>
      </c>
      <c r="P7" s="8">
        <f>VLOOKUP($A7,[9]HISTOOCT22!$A$7:$AU$38,30,0)</f>
        <v>0</v>
      </c>
      <c r="Q7" s="45">
        <f t="shared" ref="Q7:Q23" si="1">IF(P7=0,0,(P7-75000))</f>
        <v>0</v>
      </c>
    </row>
    <row r="8" spans="1:18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IF(E8="ECHEC",0,VLOOKUP($A8,[9]HISTOOCT22!$A$7:$AQ$36,13,0))</f>
        <v>75000</v>
      </c>
      <c r="E8" s="8" t="str">
        <f>VLOOKUP($A8,[9]HISTOOCT22!$A$7:$AU$38,8,0)</f>
        <v>BANQUE</v>
      </c>
      <c r="F8" s="8">
        <f>VLOOKUP($A8,[9]HISTOOCT22!$A$7:$AU$38,36,0)</f>
        <v>0</v>
      </c>
      <c r="G8" s="8">
        <f>VLOOKUP($A8,[9]HISTOOCT22!$A$7:$AU$38,39,0)</f>
        <v>0</v>
      </c>
      <c r="H8" s="8">
        <f>IF(G8=0,0,VLOOKUP($A8,[9]HISTOOCT22!$A$7:$AU$38,42,0))</f>
        <v>0</v>
      </c>
      <c r="I8" s="8">
        <f>VLOOKUP($A8,[9]HISTOOCT22!$A$7:$AU$38,41,0)</f>
        <v>0</v>
      </c>
      <c r="J8" s="8">
        <f>TONTSEPT22!F8+TONTSEPT22!G8</f>
        <v>0</v>
      </c>
      <c r="K8" s="8">
        <f>VLOOKUP($A8,[9]HISTOOCT22!$A$7:$AU$38,17,0)</f>
        <v>0</v>
      </c>
      <c r="L8" s="8" t="str">
        <f>IF(K8&lt;&gt;0,VLOOKUP($A8,[9]HISTOOCT22!$A$6:$BA$36,8,0),"ECHEC")</f>
        <v>ECHEC</v>
      </c>
      <c r="M8" s="8">
        <f>IF(P8=0,0,VLOOKUP($A8,[9]HISTOOCT22!$A$7:$AU$38,32,0))</f>
        <v>0</v>
      </c>
      <c r="N8" s="8">
        <f>VLOOKUP($A8,[9]HISTOOCT22!$A$7:$AU$38,33,0)</f>
        <v>0</v>
      </c>
      <c r="O8" s="8">
        <f t="shared" si="0"/>
        <v>0</v>
      </c>
      <c r="P8" s="8">
        <f>VLOOKUP($A8,[9]HISTOOCT22!$A$7:$AU$38,30,0)</f>
        <v>0</v>
      </c>
      <c r="Q8" s="45">
        <f t="shared" si="1"/>
        <v>0</v>
      </c>
    </row>
    <row r="9" spans="1:18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IF(E9="ECHEC",0,VLOOKUP($A9,[9]HISTOOCT22!$A$7:$AQ$36,13,0))</f>
        <v>75000</v>
      </c>
      <c r="E9" s="8" t="str">
        <f>VLOOKUP($A9,[9]HISTOOCT22!$A$7:$AU$38,8,0)</f>
        <v>BANQUE</v>
      </c>
      <c r="F9" s="8">
        <f>VLOOKUP($A9,[9]HISTOOCT22!$A$7:$AU$38,36,0)</f>
        <v>0</v>
      </c>
      <c r="G9" s="8">
        <f>VLOOKUP($A9,[9]HISTOOCT22!$A$7:$AU$38,39,0)</f>
        <v>0</v>
      </c>
      <c r="H9" s="8">
        <f>IF(G9=0,0,VLOOKUP($A9,[9]HISTOOCT22!$A$7:$AU$38,42,0))</f>
        <v>0</v>
      </c>
      <c r="I9" s="8">
        <f>VLOOKUP($A9,[9]HISTOOCT22!$A$7:$AU$38,41,0)</f>
        <v>0</v>
      </c>
      <c r="J9" s="8">
        <f>TONTSEPT22!F9+TONTSEPT22!G9</f>
        <v>0</v>
      </c>
      <c r="K9" s="8">
        <f>VLOOKUP($A9,[9]HISTOOCT22!$A$7:$AU$38,17,0)</f>
        <v>0</v>
      </c>
      <c r="L9" s="8" t="str">
        <f>IF(K9&lt;&gt;0,VLOOKUP($A9,[9]HISTOOCT22!$A$6:$BA$36,8,0),"ECHEC")</f>
        <v>ECHEC</v>
      </c>
      <c r="M9" s="8">
        <f>IF(P9=0,0,VLOOKUP($A9,[9]HISTOOCT22!$A$7:$AU$38,32,0))</f>
        <v>0</v>
      </c>
      <c r="N9" s="8">
        <f>VLOOKUP($A9,[9]HISTOOCT22!$A$7:$AU$38,33,0)</f>
        <v>0</v>
      </c>
      <c r="O9" s="8">
        <f t="shared" si="0"/>
        <v>0</v>
      </c>
      <c r="P9" s="8">
        <f>VLOOKUP($A9,[9]HISTOOCT22!$A$7:$AU$38,30,0)</f>
        <v>0</v>
      </c>
      <c r="Q9" s="45">
        <f t="shared" si="1"/>
        <v>0</v>
      </c>
    </row>
    <row r="10" spans="1:18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IF(E10="ECHEC",0,VLOOKUP($A10,[9]HISTOOCT22!$A$7:$AQ$36,13,0))</f>
        <v>75000</v>
      </c>
      <c r="E10" s="8" t="str">
        <f>VLOOKUP($A10,[9]HISTOOCT22!$A$7:$AU$38,8,0)</f>
        <v>BANQUE</v>
      </c>
      <c r="F10" s="8">
        <f>VLOOKUP($A10,[9]HISTOOCT22!$A$7:$AU$38,36,0)</f>
        <v>0</v>
      </c>
      <c r="G10" s="8">
        <f>VLOOKUP($A10,[9]HISTOOCT22!$A$7:$AU$38,39,0)</f>
        <v>0</v>
      </c>
      <c r="H10" s="8">
        <f>IF(G10=0,0,VLOOKUP($A10,[9]HISTOOCT22!$A$7:$AU$38,42,0))</f>
        <v>0</v>
      </c>
      <c r="I10" s="8">
        <f>VLOOKUP($A10,[9]HISTOOCT22!$A$7:$AU$38,41,0)</f>
        <v>0</v>
      </c>
      <c r="J10" s="8">
        <f>TONTSEPT22!F10+TONTSEPT22!G10</f>
        <v>0</v>
      </c>
      <c r="K10" s="8">
        <f>VLOOKUP($A10,[9]HISTOOCT22!$A$7:$AU$38,17,0)</f>
        <v>0</v>
      </c>
      <c r="L10" s="8" t="str">
        <f>IF(K10&lt;&gt;0,VLOOKUP($A10,[9]HISTOOCT22!$A$6:$BA$36,8,0),"ECHEC")</f>
        <v>ECHEC</v>
      </c>
      <c r="M10" s="8">
        <f>IF(P10=0,0,VLOOKUP($A10,[9]HISTOOCT22!$A$7:$AU$38,32,0))</f>
        <v>0</v>
      </c>
      <c r="N10" s="8">
        <f>VLOOKUP($A10,[9]HISTOOCT22!$A$7:$AU$38,33,0)</f>
        <v>0</v>
      </c>
      <c r="O10" s="8">
        <f t="shared" si="0"/>
        <v>0</v>
      </c>
      <c r="P10" s="8">
        <f>VLOOKUP($A10,[9]HISTOOCT22!$A$7:$AU$38,30,0)</f>
        <v>0</v>
      </c>
      <c r="Q10" s="45">
        <f t="shared" si="1"/>
        <v>0</v>
      </c>
    </row>
    <row r="11" spans="1:18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IF(E11="ECHEC",0,VLOOKUP($A11,[9]HISTOOCT22!$A$7:$AQ$36,13,0))</f>
        <v>75000</v>
      </c>
      <c r="E11" s="8" t="str">
        <f>VLOOKUP($A11,[9]HISTOOCT22!$A$7:$AU$38,8,0)</f>
        <v>BANQUE</v>
      </c>
      <c r="F11" s="8">
        <f>VLOOKUP($A11,[9]HISTOOCT22!$A$7:$AU$38,36,0)</f>
        <v>0</v>
      </c>
      <c r="G11" s="8">
        <f>VLOOKUP($A11,[9]HISTOOCT22!$A$7:$AU$38,39,0)</f>
        <v>0</v>
      </c>
      <c r="H11" s="8">
        <f>IF(G11=0,0,VLOOKUP($A11,[9]HISTOOCT22!$A$7:$AU$38,42,0))</f>
        <v>0</v>
      </c>
      <c r="I11" s="8">
        <f>VLOOKUP($A11,[9]HISTOOCT22!$A$7:$AU$38,41,0)</f>
        <v>0</v>
      </c>
      <c r="J11" s="8">
        <f>TONTSEPT22!F11+TONTSEPT22!G11</f>
        <v>0</v>
      </c>
      <c r="K11" s="8">
        <f>VLOOKUP($A11,[9]HISTOOCT22!$A$7:$AU$38,17,0)</f>
        <v>0</v>
      </c>
      <c r="L11" s="8" t="str">
        <f>IF(K11&lt;&gt;0,VLOOKUP($A11,[9]HISTOOCT22!$A$6:$BA$36,8,0),"ECHEC")</f>
        <v>ECHEC</v>
      </c>
      <c r="M11" s="8">
        <f>IF(P11=0,0,VLOOKUP($A11,[9]HISTOOCT22!$A$7:$AU$38,32,0))</f>
        <v>0</v>
      </c>
      <c r="N11" s="8">
        <f>VLOOKUP($A11,[9]HISTOOCT22!$A$7:$AU$38,33,0)</f>
        <v>0</v>
      </c>
      <c r="O11" s="8">
        <f t="shared" si="0"/>
        <v>0</v>
      </c>
      <c r="P11" s="8">
        <f>VLOOKUP($A11,[9]HISTOOCT22!$A$7:$AU$38,30,0)</f>
        <v>0</v>
      </c>
      <c r="Q11" s="45">
        <f t="shared" si="1"/>
        <v>0</v>
      </c>
    </row>
    <row r="12" spans="1:18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IF(E12="ECHEC",0,VLOOKUP($A12,[9]HISTOOCT22!$A$7:$AQ$36,13,0))</f>
        <v>75000</v>
      </c>
      <c r="E12" s="8" t="str">
        <f>VLOOKUP($A12,[9]HISTOOCT22!$A$7:$AU$38,8,0)</f>
        <v>BANQUE</v>
      </c>
      <c r="F12" s="8">
        <f>VLOOKUP($A12,[9]HISTOOCT22!$A$7:$AU$38,36,0)</f>
        <v>200000</v>
      </c>
      <c r="G12" s="8">
        <f>VLOOKUP($A12,[9]HISTOOCT22!$A$7:$AU$38,39,0)</f>
        <v>2000</v>
      </c>
      <c r="H12" s="8" t="str">
        <f>IF(G12=0,0,VLOOKUP($A12,[9]HISTOOCT22!$A$7:$AU$38,42,0))</f>
        <v>BANQUE</v>
      </c>
      <c r="I12" s="8">
        <f>VLOOKUP($A12,[9]HISTOOCT22!$A$7:$AU$38,41,0)</f>
        <v>0</v>
      </c>
      <c r="J12" s="8">
        <f>TONTSEPT22!F12+TONTSEPT22!G12</f>
        <v>0</v>
      </c>
      <c r="K12" s="8">
        <f>VLOOKUP($A12,[9]HISTOOCT22!$A$7:$AU$38,17,0)</f>
        <v>0</v>
      </c>
      <c r="L12" s="8" t="str">
        <f>IF(K12&lt;&gt;0,VLOOKUP($A12,[9]HISTOOCT22!$A$6:$BA$36,8,0),"ECHEC")</f>
        <v>ECHEC</v>
      </c>
      <c r="M12" s="8">
        <f>IF(P12=0,0,VLOOKUP($A12,[9]HISTOOCT22!$A$7:$AU$38,32,0))</f>
        <v>0</v>
      </c>
      <c r="N12" s="8">
        <f>VLOOKUP($A12,[9]HISTOOCT22!$A$7:$AU$38,33,0)</f>
        <v>0</v>
      </c>
      <c r="O12" s="8">
        <f t="shared" si="0"/>
        <v>0</v>
      </c>
      <c r="P12" s="8">
        <f>VLOOKUP($A12,[9]HISTOOCT22!$A$7:$AU$38,30,0)</f>
        <v>0</v>
      </c>
      <c r="Q12" s="45">
        <f t="shared" si="1"/>
        <v>0</v>
      </c>
    </row>
    <row r="13" spans="1:18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IF(E13="ECHEC",0,VLOOKUP($A13,[9]HISTOOCT22!$A$7:$AQ$36,13,0))</f>
        <v>225000</v>
      </c>
      <c r="E13" s="8" t="str">
        <f>VLOOKUP($A13,[9]HISTOOCT22!$A$7:$AU$38,8,0)</f>
        <v>BANQUE</v>
      </c>
      <c r="F13" s="8">
        <f>VLOOKUP($A13,[9]HISTOOCT22!$A$7:$AU$38,36,0)</f>
        <v>179000</v>
      </c>
      <c r="G13" s="8">
        <f>VLOOKUP($A13,[9]HISTOOCT22!$A$7:$AU$38,39,0)</f>
        <v>1500</v>
      </c>
      <c r="H13" s="8" t="str">
        <f>IF(G13=0,0,VLOOKUP($A13,[9]HISTOOCT22!$A$7:$AU$38,42,0))</f>
        <v>BANQUE</v>
      </c>
      <c r="I13" s="8">
        <f>VLOOKUP($A13,[9]HISTOOCT22!$A$7:$AU$38,41,0)</f>
        <v>0</v>
      </c>
      <c r="J13" s="8">
        <f>TONTSEPT22!F13+TONTSEPT22!G13</f>
        <v>0</v>
      </c>
      <c r="K13" s="8">
        <f>VLOOKUP($A13,[9]HISTOOCT22!$A$7:$AU$38,17,0)</f>
        <v>0</v>
      </c>
      <c r="L13" s="8" t="str">
        <f>IF(K13&lt;&gt;0,VLOOKUP($A13,[9]HISTOOCT22!$A$6:$BA$36,8,0),"ECHEC")</f>
        <v>ECHEC</v>
      </c>
      <c r="M13" s="8">
        <f>IF(P13=0,0,VLOOKUP($A13,[9]HISTOOCT22!$A$7:$AU$38,32,0))</f>
        <v>0</v>
      </c>
      <c r="N13" s="8">
        <f>VLOOKUP($A13,[9]HISTOOCT22!$A$7:$AU$38,33,0)</f>
        <v>0</v>
      </c>
      <c r="O13" s="8">
        <f t="shared" si="0"/>
        <v>0</v>
      </c>
      <c r="P13" s="8">
        <f>VLOOKUP($A13,[9]HISTOOCT22!$A$7:$AU$38,30,0)</f>
        <v>0</v>
      </c>
      <c r="Q13" s="45">
        <f t="shared" si="1"/>
        <v>0</v>
      </c>
    </row>
    <row r="14" spans="1:18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IF(E14="ECHEC",0,VLOOKUP($A14,[9]HISTOOCT22!$A$7:$AQ$36,13,0))</f>
        <v>75000</v>
      </c>
      <c r="E14" s="8" t="str">
        <f>VLOOKUP($A14,[9]HISTOOCT22!$A$7:$AU$38,8,0)</f>
        <v>BANQUE</v>
      </c>
      <c r="F14" s="8">
        <f>VLOOKUP($A14,[9]HISTOOCT22!$A$7:$AU$38,36,0)</f>
        <v>0</v>
      </c>
      <c r="G14" s="8">
        <f>VLOOKUP($A14,[9]HISTOOCT22!$A$7:$AU$38,39,0)</f>
        <v>0</v>
      </c>
      <c r="H14" s="8">
        <f>IF(G14=0,0,VLOOKUP($A14,[9]HISTOOCT22!$A$7:$AU$38,42,0))</f>
        <v>0</v>
      </c>
      <c r="I14" s="8">
        <f>VLOOKUP($A14,[9]HISTOOCT22!$A$7:$AU$38,41,0)</f>
        <v>0</v>
      </c>
      <c r="J14" s="8">
        <f>TONTSEPT22!F14+TONTSEPT22!G14</f>
        <v>0</v>
      </c>
      <c r="K14" s="8">
        <f>VLOOKUP($A14,[9]HISTOOCT22!$A$7:$AU$38,17,0)</f>
        <v>0</v>
      </c>
      <c r="L14" s="8" t="str">
        <f>IF(K14&lt;&gt;0,VLOOKUP($A14,[9]HISTOOCT22!$A$6:$BA$36,8,0),"ECHEC")</f>
        <v>ECHEC</v>
      </c>
      <c r="M14" s="8">
        <f>IF(P14=0,0,VLOOKUP($A14,[9]HISTOOCT22!$A$7:$AU$38,32,0))</f>
        <v>0</v>
      </c>
      <c r="N14" s="8">
        <f>VLOOKUP($A14,[9]HISTOOCT22!$A$7:$AU$38,33,0)</f>
        <v>0</v>
      </c>
      <c r="O14" s="8">
        <f t="shared" si="0"/>
        <v>0</v>
      </c>
      <c r="P14" s="8">
        <f>VLOOKUP($A14,[9]HISTOOCT22!$A$7:$AU$38,30,0)</f>
        <v>0</v>
      </c>
      <c r="Q14" s="45">
        <f t="shared" si="1"/>
        <v>0</v>
      </c>
    </row>
    <row r="15" spans="1:18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IF(E15="ECHEC",0,VLOOKUP($A15,[9]HISTOOCT22!$A$7:$AQ$36,13,0))</f>
        <v>75000</v>
      </c>
      <c r="E15" s="8" t="str">
        <f>VLOOKUP($A15,[9]HISTOOCT22!$A$7:$AU$38,8,0)</f>
        <v>BANQUE</v>
      </c>
      <c r="F15" s="8">
        <f>VLOOKUP($A15,[9]HISTOOCT22!$A$7:$AU$38,36,0)</f>
        <v>0</v>
      </c>
      <c r="G15" s="8">
        <f>VLOOKUP($A15,[9]HISTOOCT22!$A$7:$AU$38,39,0)</f>
        <v>0</v>
      </c>
      <c r="H15" s="8">
        <f>IF(G15=0,0,VLOOKUP($A15,[9]HISTOOCT22!$A$7:$AU$38,42,0))</f>
        <v>0</v>
      </c>
      <c r="I15" s="8">
        <f>VLOOKUP($A15,[9]HISTOOCT22!$A$7:$AU$38,41,0)</f>
        <v>0</v>
      </c>
      <c r="J15" s="8">
        <f>TONTSEPT22!F15+TONTSEPT22!G15</f>
        <v>0</v>
      </c>
      <c r="K15" s="8">
        <f>VLOOKUP($A15,[9]HISTOOCT22!$A$7:$AU$38,17,0)</f>
        <v>0</v>
      </c>
      <c r="L15" s="8" t="str">
        <f>IF(K15&lt;&gt;0,VLOOKUP($A15,[9]HISTOOCT22!$A$6:$BA$36,8,0),"ECHEC")</f>
        <v>ECHEC</v>
      </c>
      <c r="M15" s="8">
        <f>IF(P15=0,0,VLOOKUP($A15,[9]HISTOOCT22!$A$7:$AU$38,32,0))</f>
        <v>0</v>
      </c>
      <c r="N15" s="8">
        <f>VLOOKUP($A15,[9]HISTOOCT22!$A$7:$AU$38,33,0)</f>
        <v>0</v>
      </c>
      <c r="O15" s="8">
        <f t="shared" si="0"/>
        <v>0</v>
      </c>
      <c r="P15" s="8">
        <f>VLOOKUP($A15,[9]HISTOOCT22!$A$7:$AU$38,30,0)</f>
        <v>0</v>
      </c>
      <c r="Q15" s="45">
        <f t="shared" si="1"/>
        <v>0</v>
      </c>
    </row>
    <row r="16" spans="1:18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IF(E16="ECHEC",0,VLOOKUP($A16,[9]HISTOOCT22!$A$7:$AQ$36,13,0))</f>
        <v>150000</v>
      </c>
      <c r="E16" s="8" t="str">
        <f>VLOOKUP($A16,[9]HISTOOCT22!$A$7:$AU$38,8,0)</f>
        <v>BANQUE</v>
      </c>
      <c r="F16" s="8">
        <f>VLOOKUP($A16,[9]HISTOOCT22!$A$7:$AU$38,36,0)</f>
        <v>100000</v>
      </c>
      <c r="G16" s="8">
        <f>VLOOKUP($A16,[9]HISTOOCT22!$A$7:$AU$38,39,0)</f>
        <v>1000</v>
      </c>
      <c r="H16" s="8" t="str">
        <f>IF(G16=0,0,VLOOKUP($A16,[9]HISTOOCT22!$A$7:$AU$38,42,0))</f>
        <v>BANQUE</v>
      </c>
      <c r="I16" s="8">
        <f>VLOOKUP($A16,[9]HISTOOCT22!$A$7:$AU$38,41,0)</f>
        <v>0</v>
      </c>
      <c r="J16" s="8">
        <f>TONTSEPT22!F16+TONTSEPT22!G16</f>
        <v>84000</v>
      </c>
      <c r="K16" s="8">
        <f>VLOOKUP($A16,[9]HISTOOCT22!$A$7:$AU$38,17,0)</f>
        <v>84000</v>
      </c>
      <c r="L16" s="8" t="str">
        <f>IF(K16&lt;&gt;0,VLOOKUP($A16,[9]HISTOOCT22!$A$6:$BA$36,8,0),"ECHEC")</f>
        <v>BANQUE</v>
      </c>
      <c r="M16" s="8">
        <f>IF(P16=0,0,VLOOKUP($A16,[9]HISTOOCT22!$A$7:$AU$38,32,0))</f>
        <v>0</v>
      </c>
      <c r="N16" s="8">
        <f>VLOOKUP($A16,[9]HISTOOCT22!$A$7:$AU$38,33,0)</f>
        <v>0</v>
      </c>
      <c r="O16" s="8">
        <f t="shared" si="0"/>
        <v>0</v>
      </c>
      <c r="P16" s="8">
        <f>VLOOKUP($A16,[9]HISTOOCT22!$A$7:$AU$38,30,0)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IF(E17="ECHEC",0,VLOOKUP($A17,[9]HISTOOCT22!$A$7:$AQ$36,13,0))</f>
        <v>75000</v>
      </c>
      <c r="E17" s="8" t="str">
        <f>VLOOKUP($A17,[9]HISTOOCT22!$A$7:$AU$38,8,0)</f>
        <v>BANQUE</v>
      </c>
      <c r="F17" s="8">
        <f>VLOOKUP($A17,[9]HISTOOCT22!$A$7:$AU$38,36,0)</f>
        <v>200000</v>
      </c>
      <c r="G17" s="8">
        <f>VLOOKUP($A17,[9]HISTOOCT22!$A$7:$AU$38,39,0)</f>
        <v>2000</v>
      </c>
      <c r="H17" s="8" t="str">
        <f>IF(G17=0,0,VLOOKUP($A17,[9]HISTOOCT22!$A$7:$AU$38,42,0))</f>
        <v>BANQUE</v>
      </c>
      <c r="I17" s="8">
        <f>VLOOKUP($A17,[9]HISTOOCT22!$A$7:$AU$38,41,0)</f>
        <v>0</v>
      </c>
      <c r="J17" s="8">
        <f>TONTSEPT22!F17+TONTSEPT22!G17</f>
        <v>206000</v>
      </c>
      <c r="K17" s="8">
        <f>VLOOKUP($A17,[9]HISTOOCT22!$A$7:$AU$38,17,0)</f>
        <v>206000</v>
      </c>
      <c r="L17" s="8" t="str">
        <f>IF(K17&lt;&gt;0,VLOOKUP($A17,[9]HISTOOCT22!$A$6:$BA$36,8,0),"ECHEC")</f>
        <v>BANQUE</v>
      </c>
      <c r="M17" s="8">
        <f>IF(P17=0,0,VLOOKUP($A17,[9]HISTOOCT22!$A$7:$AU$38,32,0))</f>
        <v>0</v>
      </c>
      <c r="N17" s="8">
        <f>VLOOKUP($A17,[9]HISTOOCT22!$A$7:$AU$38,33,0)</f>
        <v>0</v>
      </c>
      <c r="O17" s="8">
        <f t="shared" si="0"/>
        <v>0</v>
      </c>
      <c r="P17" s="8">
        <f>VLOOKUP($A17,[9]HISTOOCT22!$A$7:$AU$38,30,0)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IF(E18="ECHEC",0,VLOOKUP($A18,[9]HISTOOCT22!$A$7:$AQ$36,13,0))</f>
        <v>75000</v>
      </c>
      <c r="E18" s="8" t="str">
        <f>VLOOKUP($A18,[9]HISTOOCT22!$A$7:$AU$38,8,0)</f>
        <v>BANQUE</v>
      </c>
      <c r="F18" s="8">
        <f>VLOOKUP($A18,[9]HISTOOCT22!$A$7:$AU$38,36,0)</f>
        <v>0</v>
      </c>
      <c r="G18" s="8">
        <f>VLOOKUP($A18,[9]HISTOOCT22!$A$7:$AU$38,39,0)</f>
        <v>0</v>
      </c>
      <c r="H18" s="8">
        <f>IF(G18=0,0,VLOOKUP($A18,[9]HISTOOCT22!$A$7:$AU$38,42,0))</f>
        <v>0</v>
      </c>
      <c r="I18" s="8">
        <f>VLOOKUP($A18,[9]HISTOOCT22!$A$7:$AU$38,41,0)</f>
        <v>0</v>
      </c>
      <c r="J18" s="8">
        <f>TONTSEPT22!F18+TONTSEPT22!G18</f>
        <v>0</v>
      </c>
      <c r="K18" s="8">
        <f>VLOOKUP($A18,[9]HISTOOCT22!$A$7:$AU$38,17,0)</f>
        <v>0</v>
      </c>
      <c r="L18" s="8" t="str">
        <f>IF(K18&lt;&gt;0,VLOOKUP($A18,[9]HISTOOCT22!$A$6:$BA$36,8,0),"ECHEC")</f>
        <v>ECHEC</v>
      </c>
      <c r="M18" s="8" t="str">
        <f>IF(P18=0,0,VLOOKUP($A18,[9]HISTOOCT22!$A$7:$AU$38,32,0))</f>
        <v>BANQUE</v>
      </c>
      <c r="N18" s="8">
        <f>VLOOKUP($A18,[9]HISTOOCT22!$A$7:$AU$38,33,0)</f>
        <v>0</v>
      </c>
      <c r="O18" s="8">
        <f t="shared" si="0"/>
        <v>1125000</v>
      </c>
      <c r="P18" s="8">
        <f>VLOOKUP($A18,[9]HISTOOCT22!$A$7:$AU$38,30,0)</f>
        <v>75000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IF(E19="ECHEC",0,VLOOKUP($A19,[9]HISTOOCT22!$A$7:$AQ$36,13,0))</f>
        <v>75000</v>
      </c>
      <c r="E19" s="8" t="str">
        <f>VLOOKUP($A19,[9]HISTOOCT22!$A$7:$AU$38,8,0)</f>
        <v>BANQUE</v>
      </c>
      <c r="F19" s="8">
        <f>VLOOKUP($A19,[9]HISTOOCT22!$A$7:$AU$38,36,0)</f>
        <v>0</v>
      </c>
      <c r="G19" s="8">
        <f>VLOOKUP($A19,[9]HISTOOCT22!$A$7:$AU$38,39,0)</f>
        <v>0</v>
      </c>
      <c r="H19" s="8">
        <f>IF(G19=0,0,VLOOKUP($A19,[9]HISTOOCT22!$A$7:$AU$38,42,0))</f>
        <v>0</v>
      </c>
      <c r="I19" s="8">
        <f>VLOOKUP($A19,[9]HISTOOCT22!$A$7:$AU$38,41,0)</f>
        <v>0</v>
      </c>
      <c r="J19" s="8">
        <f>TONTSEPT22!F19+TONTSEPT22!G19</f>
        <v>0</v>
      </c>
      <c r="K19" s="8">
        <f>VLOOKUP($A19,[9]HISTOOCT22!$A$7:$AU$38,17,0)</f>
        <v>0</v>
      </c>
      <c r="L19" s="8" t="str">
        <f>IF(K19&lt;&gt;0,VLOOKUP($A19,[9]HISTOOCT22!$A$6:$BA$36,8,0),"ECHEC")</f>
        <v>ECHEC</v>
      </c>
      <c r="M19" s="8">
        <f>IF(P19=0,0,VLOOKUP($A19,[9]HISTOOCT22!$A$7:$AU$38,32,0))</f>
        <v>0</v>
      </c>
      <c r="N19" s="8">
        <f>VLOOKUP($A19,[9]HISTOOCT22!$A$7:$AU$38,33,0)</f>
        <v>0</v>
      </c>
      <c r="O19" s="8">
        <f t="shared" si="0"/>
        <v>0</v>
      </c>
      <c r="P19" s="8">
        <f>VLOOKUP($A19,[9]HISTOOCT22!$A$7:$AU$38,30,0)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IF(E20="ECHEC",0,VLOOKUP($A20,[9]HISTOOCT22!$A$7:$AQ$36,13,0))</f>
        <v>75000</v>
      </c>
      <c r="E20" s="8" t="str">
        <f>VLOOKUP($A20,[9]HISTOOCT22!$A$7:$AU$38,8,0)</f>
        <v>BANQUE</v>
      </c>
      <c r="F20" s="8">
        <f>VLOOKUP($A20,[9]HISTOOCT22!$A$7:$AU$38,36,0)</f>
        <v>0</v>
      </c>
      <c r="G20" s="8">
        <f>VLOOKUP($A20,[9]HISTOOCT22!$A$7:$AU$38,39,0)</f>
        <v>0</v>
      </c>
      <c r="H20" s="8">
        <f>IF(G20=0,0,VLOOKUP($A20,[9]HISTOOCT22!$A$7:$AU$38,42,0))</f>
        <v>0</v>
      </c>
      <c r="I20" s="8">
        <f>VLOOKUP($A20,[9]HISTOOCT22!$A$7:$AU$38,41,0)</f>
        <v>0</v>
      </c>
      <c r="J20" s="8">
        <f>TONTSEPT22!F20+TONTSEPT22!G20</f>
        <v>0</v>
      </c>
      <c r="K20" s="8">
        <f>VLOOKUP($A20,[9]HISTOOCT22!$A$7:$AU$38,17,0)</f>
        <v>0</v>
      </c>
      <c r="L20" s="8" t="str">
        <f>IF(K20&lt;&gt;0,VLOOKUP($A20,[9]HISTOOCT22!$A$6:$BA$36,8,0),"ECHEC")</f>
        <v>ECHEC</v>
      </c>
      <c r="M20" s="8">
        <f>IF(P20=0,0,VLOOKUP($A20,[9]HISTOOCT22!$A$7:$AU$38,32,0))</f>
        <v>0</v>
      </c>
      <c r="N20" s="8">
        <f>VLOOKUP($A20,[9]HISTOOCT22!$A$7:$AU$38,33,0)</f>
        <v>0</v>
      </c>
      <c r="O20" s="8">
        <f t="shared" si="0"/>
        <v>0</v>
      </c>
      <c r="P20" s="8">
        <f>VLOOKUP($A20,[9]HISTOOCT22!$A$7:$AU$38,30,0)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IF(E21="ECHEC",0,VLOOKUP($A21,[9]HISTOOCT22!$A$7:$AQ$36,13,0))</f>
        <v>150000</v>
      </c>
      <c r="E21" s="8" t="str">
        <f>VLOOKUP($A21,[9]HISTOOCT22!$A$7:$AU$38,8,0)</f>
        <v>BANQUE</v>
      </c>
      <c r="F21" s="8">
        <f>VLOOKUP($A21,[9]HISTOOCT22!$A$7:$AU$38,36,0)</f>
        <v>0</v>
      </c>
      <c r="G21" s="8">
        <f>VLOOKUP($A21,[9]HISTOOCT22!$A$7:$AU$38,39,0)</f>
        <v>0</v>
      </c>
      <c r="H21" s="8">
        <f>IF(G21=0,0,VLOOKUP($A21,[9]HISTOOCT22!$A$7:$AU$38,42,0))</f>
        <v>0</v>
      </c>
      <c r="I21" s="8">
        <f>VLOOKUP($A21,[9]HISTOOCT22!$A$7:$AU$38,41,0)</f>
        <v>0</v>
      </c>
      <c r="J21" s="8">
        <f>TONTSEPT22!F21+TONTSEPT22!G21</f>
        <v>0</v>
      </c>
      <c r="K21" s="8">
        <f>VLOOKUP($A21,[9]HISTOOCT22!$A$7:$AU$38,17,0)</f>
        <v>0</v>
      </c>
      <c r="L21" s="8" t="str">
        <f>IF(K21&lt;&gt;0,VLOOKUP($A21,[9]HISTOOCT22!$A$6:$BA$36,8,0),"ECHEC")</f>
        <v>ECHEC</v>
      </c>
      <c r="M21" s="8">
        <f>IF(P21=0,0,VLOOKUP($A21,[9]HISTOOCT22!$A$7:$AU$38,32,0))</f>
        <v>0</v>
      </c>
      <c r="N21" s="8">
        <f>VLOOKUP($A21,[9]HISTOOCT22!$A$7:$AU$38,33,0)</f>
        <v>0</v>
      </c>
      <c r="O21" s="8">
        <f t="shared" si="0"/>
        <v>0</v>
      </c>
      <c r="P21" s="8">
        <f>VLOOKUP($A21,[9]HISTOOCT22!$A$7:$AU$38,30,0)</f>
        <v>0</v>
      </c>
      <c r="Q21" s="45">
        <f t="shared" si="1"/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>
        <f t="shared" si="1"/>
        <v>0</v>
      </c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779000</v>
      </c>
      <c r="G24" s="9">
        <f t="shared" si="2"/>
        <v>8000</v>
      </c>
      <c r="H24" s="9">
        <f t="shared" si="2"/>
        <v>0</v>
      </c>
      <c r="I24" s="9">
        <f t="shared" si="2"/>
        <v>0</v>
      </c>
      <c r="J24" s="9">
        <f t="shared" si="2"/>
        <v>404000</v>
      </c>
      <c r="K24" s="9">
        <f t="shared" si="2"/>
        <v>404000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1125000</v>
      </c>
      <c r="P24" s="9">
        <f t="shared" si="2"/>
        <v>75000</v>
      </c>
      <c r="Q24" s="9">
        <f t="shared" si="2"/>
        <v>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D30+E30+P24+TONTSEPT22!M31</f>
        <v>1979000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SUMIFS(K6:K22,L6:L22,"ESPECES")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SUMIFS(K6:K22,L6:L22,"BANQUE")</f>
        <v>404000</v>
      </c>
      <c r="F28" s="9">
        <f>SUMIFS(F6:F23,H6:H23,"BANQUE")</f>
        <v>779000</v>
      </c>
      <c r="G28" s="9">
        <f>SUMIFS(O6:O23,M6:M23,"BANQUE")</f>
        <v>1125000</v>
      </c>
      <c r="H28" s="9">
        <f>D28+E28-F28-G28</f>
        <v>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779000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404000</v>
      </c>
      <c r="F30" s="9">
        <f>F27+F28</f>
        <v>779000</v>
      </c>
      <c r="G30" s="9">
        <f t="shared" ref="G30:H30" si="3">G27+G28</f>
        <v>1125000</v>
      </c>
      <c r="H30" s="9">
        <f t="shared" si="3"/>
        <v>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+K33+TONTSEPT22!M33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+K34+TONTSEPT22!M34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pane xSplit="3" ySplit="5" topLeftCell="E21" activePane="bottomRight" state="frozen"/>
      <selection activeCell="G6" sqref="G6:G39"/>
      <selection pane="topRight" activeCell="G6" sqref="G6:G39"/>
      <selection pane="bottomLeft" activeCell="G6" sqref="G6:G39"/>
      <selection pane="bottomRight" activeCell="K27" sqref="K2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7" width="12.42578125" bestFit="1" customWidth="1"/>
  </cols>
  <sheetData>
    <row r="1" spans="1:17" x14ac:dyDescent="0.25">
      <c r="A1" s="1" t="s">
        <v>0</v>
      </c>
      <c r="B1" s="1" t="s">
        <v>1</v>
      </c>
      <c r="D1" s="1"/>
      <c r="E1" s="1"/>
      <c r="L1" s="1"/>
      <c r="M1" s="1"/>
    </row>
    <row r="2" spans="1:17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17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2</v>
      </c>
      <c r="E3" s="1"/>
      <c r="L3" s="1"/>
      <c r="M3" s="1"/>
    </row>
    <row r="4" spans="1:17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17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</row>
    <row r="6" spans="1:17" x14ac:dyDescent="0.25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IF(E6="ECHEC",0,VLOOKUP($A6,[9]HISTONOV22!$A$7:$AQ$36,13,0))</f>
        <v>75000</v>
      </c>
      <c r="E6" s="8" t="str">
        <f>VLOOKUP($A6,[9]HISTONOV22!$A$7:$AU$38,8,0)</f>
        <v>BANQUE</v>
      </c>
      <c r="F6" s="8">
        <f>VLOOKUP($A6,[9]HISTONOV22!$A$7:$AU$38,36,0)</f>
        <v>0</v>
      </c>
      <c r="G6" s="8">
        <f>VLOOKUP($A6,[9]HISTONOV22!$A$7:$AU$38,39,0)</f>
        <v>0</v>
      </c>
      <c r="H6" s="8">
        <f>IF(G6=0,0,VLOOKUP($A6,[9]HISTONOV22!$A$7:$AU$38,42,0))</f>
        <v>0</v>
      </c>
      <c r="I6" s="8">
        <f>VLOOKUP($A6,[9]HISTONOV22!$A$7:$AU$38,41,0)</f>
        <v>0</v>
      </c>
      <c r="J6" s="8">
        <f>TONTOCT22!F6+TONTOCT22!G6</f>
        <v>0</v>
      </c>
      <c r="K6" s="8">
        <f>VLOOKUP($A6,[9]HISTONOV22!$A$7:$AU$38,17,0)</f>
        <v>0</v>
      </c>
      <c r="L6" s="8" t="str">
        <f>IF(K6&lt;&gt;0,VLOOKUP($A6,[9]HISTONOV22!$A$6:$BA$36,8,0),"ECHEC")</f>
        <v>ECHEC</v>
      </c>
      <c r="M6" s="8">
        <f>IF(P6=0,0,VLOOKUP($A6,[9]HISTONOV22!$A$7:$AU$38,32,0))</f>
        <v>0</v>
      </c>
      <c r="N6" s="8">
        <f>VLOOKUP($A6,[9]HISTONOV22!$A$7:$AU$38,33,0)</f>
        <v>0</v>
      </c>
      <c r="O6" s="8">
        <f t="shared" ref="O6:O20" si="0">IF(P6=0,0,($C$3-P6))</f>
        <v>0</v>
      </c>
      <c r="P6" s="8">
        <f>VLOOKUP($A6,[9]HISTONOV22!$A$7:$AU$38,30,0)</f>
        <v>0</v>
      </c>
      <c r="Q6" s="45">
        <f>IF(P6=0,0,(P6-75000))</f>
        <v>0</v>
      </c>
    </row>
    <row r="7" spans="1:17" x14ac:dyDescent="0.25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IF(E7="ECHEC",0,VLOOKUP($A7,[9]HISTONOV22!$A$7:$AQ$36,13,0))</f>
        <v>75000</v>
      </c>
      <c r="E7" s="8" t="str">
        <f>VLOOKUP($A7,[9]HISTONOV22!$A$7:$AU$38,8,0)</f>
        <v>BANQUE</v>
      </c>
      <c r="F7" s="8">
        <f>VLOOKUP($A7,[9]HISTONOV22!$A$7:$AU$38,36,0)</f>
        <v>0</v>
      </c>
      <c r="G7" s="8">
        <f>VLOOKUP($A7,[9]HISTONOV22!$A$7:$AU$38,39,0)</f>
        <v>0</v>
      </c>
      <c r="H7" s="8">
        <f>IF(G7=0,0,VLOOKUP($A7,[9]HISTONOV22!$A$7:$AU$38,42,0))</f>
        <v>0</v>
      </c>
      <c r="I7" s="8">
        <f>VLOOKUP($A7,[9]HISTONOV22!$A$7:$AU$38,41,0)</f>
        <v>0</v>
      </c>
      <c r="J7" s="8">
        <f>TONTOCT22!F7+TONTOCT22!G7</f>
        <v>101500</v>
      </c>
      <c r="K7" s="8">
        <f>VLOOKUP($A7,[9]HISTONOV22!$A$7:$AU$38,17,0)</f>
        <v>101500</v>
      </c>
      <c r="L7" s="8" t="str">
        <f>IF(K7&lt;&gt;0,VLOOKUP($A7,[9]HISTONOV22!$A$6:$BA$36,8,0),"ECHEC")</f>
        <v>BANQUE</v>
      </c>
      <c r="M7" s="8">
        <f>IF(P7=0,0,VLOOKUP($A7,[9]HISTONOV22!$A$7:$AU$38,32,0))</f>
        <v>0</v>
      </c>
      <c r="N7" s="8">
        <f>VLOOKUP($A7,[9]HISTONOV22!$A$7:$AU$38,33,0)</f>
        <v>0</v>
      </c>
      <c r="O7" s="8">
        <f t="shared" si="0"/>
        <v>0</v>
      </c>
      <c r="P7" s="8">
        <f>VLOOKUP($A7,[9]HISTONOV22!$A$7:$AU$38,30,0)</f>
        <v>0</v>
      </c>
      <c r="Q7" s="45">
        <f t="shared" ref="Q7:Q22" si="1">IF(P7=0,0,(P7-75000))</f>
        <v>0</v>
      </c>
    </row>
    <row r="8" spans="1:17" x14ac:dyDescent="0.25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IF(E8="ECHEC",0,VLOOKUP($A8,[9]HISTONOV22!$A$7:$AQ$36,13,0))</f>
        <v>75000</v>
      </c>
      <c r="E8" s="8" t="str">
        <f>VLOOKUP($A8,[9]HISTONOV22!$A$7:$AU$38,8,0)</f>
        <v>BANQUE</v>
      </c>
      <c r="F8" s="8">
        <f>VLOOKUP($A8,[9]HISTONOV22!$A$7:$AU$38,36,0)</f>
        <v>0</v>
      </c>
      <c r="G8" s="8">
        <f>VLOOKUP($A8,[9]HISTONOV22!$A$7:$AU$38,39,0)</f>
        <v>0</v>
      </c>
      <c r="H8" s="8">
        <f>IF(G8=0,0,VLOOKUP($A8,[9]HISTONOV22!$A$7:$AU$38,42,0))</f>
        <v>0</v>
      </c>
      <c r="I8" s="8">
        <f>VLOOKUP($A8,[9]HISTONOV22!$A$7:$AU$38,41,0)</f>
        <v>0</v>
      </c>
      <c r="J8" s="8">
        <f>TONTOCT22!F8+TONTOCT22!G8</f>
        <v>0</v>
      </c>
      <c r="K8" s="8">
        <f>VLOOKUP($A8,[9]HISTONOV22!$A$7:$AU$38,17,0)</f>
        <v>0</v>
      </c>
      <c r="L8" s="8" t="str">
        <f>IF(K8&lt;&gt;0,VLOOKUP($A8,[9]HISTONOV22!$A$6:$BA$36,8,0),"ECHEC")</f>
        <v>ECHEC</v>
      </c>
      <c r="M8" s="8">
        <f>IF(P8=0,0,VLOOKUP($A8,[9]HISTONOV22!$A$7:$AU$38,32,0))</f>
        <v>0</v>
      </c>
      <c r="N8" s="8">
        <f>VLOOKUP($A8,[9]HISTONOV22!$A$7:$AU$38,33,0)</f>
        <v>0</v>
      </c>
      <c r="O8" s="8">
        <f t="shared" si="0"/>
        <v>0</v>
      </c>
      <c r="P8" s="8">
        <f>VLOOKUP($A8,[9]HISTONOV22!$A$7:$AU$38,30,0)</f>
        <v>0</v>
      </c>
      <c r="Q8" s="45">
        <f t="shared" si="1"/>
        <v>0</v>
      </c>
    </row>
    <row r="9" spans="1:17" x14ac:dyDescent="0.25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IF(E9="ECHEC",0,VLOOKUP($A9,[9]HISTONOV22!$A$7:$AQ$36,13,0))</f>
        <v>75000</v>
      </c>
      <c r="E9" s="8" t="str">
        <f>VLOOKUP($A9,[9]HISTONOV22!$A$7:$AU$38,8,0)</f>
        <v>BANQUE</v>
      </c>
      <c r="F9" s="8">
        <f>VLOOKUP($A9,[9]HISTONOV22!$A$7:$AU$38,36,0)</f>
        <v>0</v>
      </c>
      <c r="G9" s="8">
        <f>VLOOKUP($A9,[9]HISTONOV22!$A$7:$AU$38,39,0)</f>
        <v>0</v>
      </c>
      <c r="H9" s="8">
        <f>IF(G9=0,0,VLOOKUP($A9,[9]HISTONOV22!$A$7:$AU$38,42,0))</f>
        <v>0</v>
      </c>
      <c r="I9" s="8">
        <f>VLOOKUP($A9,[9]HISTONOV22!$A$7:$AU$38,41,0)</f>
        <v>0</v>
      </c>
      <c r="J9" s="8">
        <f>TONTOCT22!F9+TONTOCT22!G9</f>
        <v>0</v>
      </c>
      <c r="K9" s="8">
        <f>VLOOKUP($A9,[9]HISTONOV22!$A$7:$AU$38,17,0)</f>
        <v>0</v>
      </c>
      <c r="L9" s="8" t="str">
        <f>IF(K9&lt;&gt;0,VLOOKUP($A9,[9]HISTONOV22!$A$6:$BA$36,8,0),"ECHEC")</f>
        <v>ECHEC</v>
      </c>
      <c r="M9" s="8">
        <f>IF(P9=0,0,VLOOKUP($A9,[9]HISTONOV22!$A$7:$AU$38,32,0))</f>
        <v>0</v>
      </c>
      <c r="N9" s="8">
        <f>VLOOKUP($A9,[9]HISTONOV22!$A$7:$AU$38,33,0)</f>
        <v>0</v>
      </c>
      <c r="O9" s="8">
        <f t="shared" si="0"/>
        <v>0</v>
      </c>
      <c r="P9" s="8">
        <f>VLOOKUP($A9,[9]HISTONOV22!$A$7:$AU$38,30,0)</f>
        <v>0</v>
      </c>
      <c r="Q9" s="45">
        <f t="shared" si="1"/>
        <v>0</v>
      </c>
    </row>
    <row r="10" spans="1:17" x14ac:dyDescent="0.25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IF(E10="ECHEC",0,VLOOKUP($A10,[9]HISTONOV22!$A$7:$AQ$36,13,0))</f>
        <v>75000</v>
      </c>
      <c r="E10" s="8" t="str">
        <f>VLOOKUP($A10,[9]HISTONOV22!$A$7:$AU$38,8,0)</f>
        <v>BANQUE</v>
      </c>
      <c r="F10" s="8">
        <f>VLOOKUP($A10,[9]HISTONOV22!$A$7:$AU$38,36,0)</f>
        <v>0</v>
      </c>
      <c r="G10" s="8">
        <f>VLOOKUP($A10,[9]HISTONOV22!$A$7:$AU$38,39,0)</f>
        <v>0</v>
      </c>
      <c r="H10" s="8">
        <f>IF(G10=0,0,VLOOKUP($A10,[9]HISTONOV22!$A$7:$AU$38,42,0))</f>
        <v>0</v>
      </c>
      <c r="I10" s="8">
        <f>VLOOKUP($A10,[9]HISTONOV22!$A$7:$AU$38,41,0)</f>
        <v>0</v>
      </c>
      <c r="J10" s="8">
        <f>TONTOCT22!F10+TONTOCT22!G10</f>
        <v>0</v>
      </c>
      <c r="K10" s="8">
        <f>VLOOKUP($A10,[9]HISTONOV22!$A$7:$AU$38,17,0)</f>
        <v>0</v>
      </c>
      <c r="L10" s="8" t="str">
        <f>IF(K10&lt;&gt;0,VLOOKUP($A10,[9]HISTONOV22!$A$6:$BA$36,8,0),"ECHEC")</f>
        <v>ECHEC</v>
      </c>
      <c r="M10" s="8">
        <f>IF(P10=0,0,VLOOKUP($A10,[9]HISTONOV22!$A$7:$AU$38,32,0))</f>
        <v>0</v>
      </c>
      <c r="N10" s="8">
        <f>VLOOKUP($A10,[9]HISTONOV22!$A$7:$AU$38,33,0)</f>
        <v>0</v>
      </c>
      <c r="O10" s="8">
        <f t="shared" si="0"/>
        <v>0</v>
      </c>
      <c r="P10" s="8">
        <f>VLOOKUP($A10,[9]HISTONOV22!$A$7:$AU$38,30,0)</f>
        <v>0</v>
      </c>
      <c r="Q10" s="45">
        <f t="shared" si="1"/>
        <v>0</v>
      </c>
    </row>
    <row r="11" spans="1:17" x14ac:dyDescent="0.25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IF(E11="ECHEC",0,VLOOKUP($A11,[9]HISTONOV22!$A$7:$AQ$36,13,0))</f>
        <v>75000</v>
      </c>
      <c r="E11" s="8" t="str">
        <f>VLOOKUP($A11,[9]HISTONOV22!$A$7:$AU$38,8,0)</f>
        <v>BANQUE</v>
      </c>
      <c r="F11" s="8">
        <f>VLOOKUP($A11,[9]HISTONOV22!$A$7:$AU$38,36,0)</f>
        <v>0</v>
      </c>
      <c r="G11" s="8">
        <f>VLOOKUP($A11,[9]HISTONOV22!$A$7:$AU$38,39,0)</f>
        <v>0</v>
      </c>
      <c r="H11" s="8">
        <f>IF(G11=0,0,VLOOKUP($A11,[9]HISTONOV22!$A$7:$AU$38,42,0))</f>
        <v>0</v>
      </c>
      <c r="I11" s="8">
        <f>VLOOKUP($A11,[9]HISTONOV22!$A$7:$AU$38,41,0)</f>
        <v>0</v>
      </c>
      <c r="J11" s="8">
        <f>TONTOCT22!F11+TONTOCT22!G11</f>
        <v>0</v>
      </c>
      <c r="K11" s="8">
        <f>VLOOKUP($A11,[9]HISTONOV22!$A$7:$AU$38,17,0)</f>
        <v>0</v>
      </c>
      <c r="L11" s="8" t="str">
        <f>IF(K11&lt;&gt;0,VLOOKUP($A11,[9]HISTONOV22!$A$6:$BA$36,8,0),"ECHEC")</f>
        <v>ECHEC</v>
      </c>
      <c r="M11" s="8">
        <f>IF(P11=0,0,VLOOKUP($A11,[9]HISTONOV22!$A$7:$AU$38,32,0))</f>
        <v>0</v>
      </c>
      <c r="N11" s="8">
        <f>VLOOKUP($A11,[9]HISTONOV22!$A$7:$AU$38,33,0)</f>
        <v>0</v>
      </c>
      <c r="O11" s="8">
        <f t="shared" si="0"/>
        <v>0</v>
      </c>
      <c r="P11" s="8">
        <f>VLOOKUP($A11,[9]HISTONOV22!$A$7:$AU$38,30,0)</f>
        <v>0</v>
      </c>
      <c r="Q11" s="45">
        <f t="shared" si="1"/>
        <v>0</v>
      </c>
    </row>
    <row r="12" spans="1:17" x14ac:dyDescent="0.25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IF(E12="ECHEC",0,VLOOKUP($A12,[9]HISTONOV22!$A$7:$AQ$36,13,0))</f>
        <v>75000</v>
      </c>
      <c r="E12" s="8" t="str">
        <f>VLOOKUP($A12,[9]HISTONOV22!$A$7:$AU$38,8,0)</f>
        <v>BANQUE</v>
      </c>
      <c r="F12" s="8">
        <f>VLOOKUP($A12,[9]HISTONOV22!$A$7:$AU$38,36,0)</f>
        <v>0</v>
      </c>
      <c r="G12" s="8">
        <f>VLOOKUP($A12,[9]HISTONOV22!$A$7:$AU$38,39,0)</f>
        <v>0</v>
      </c>
      <c r="H12" s="8">
        <f>IF(G12=0,0,VLOOKUP($A12,[9]HISTONOV22!$A$7:$AU$38,42,0))</f>
        <v>0</v>
      </c>
      <c r="I12" s="8">
        <f>VLOOKUP($A12,[9]HISTONOV22!$A$7:$AU$38,41,0)</f>
        <v>0</v>
      </c>
      <c r="J12" s="8">
        <f>TONTOCT22!F12+TONTOCT22!G12</f>
        <v>202000</v>
      </c>
      <c r="K12" s="8">
        <f>VLOOKUP($A12,[9]HISTONOV22!$A$7:$AU$38,17,0)</f>
        <v>202000</v>
      </c>
      <c r="L12" s="8" t="str">
        <f>IF(K12&lt;&gt;0,VLOOKUP($A12,[9]HISTONOV22!$A$6:$BA$36,8,0),"ECHEC")</f>
        <v>BANQUE</v>
      </c>
      <c r="M12" s="8">
        <f>IF(P12=0,0,VLOOKUP($A12,[9]HISTONOV22!$A$7:$AU$38,32,0))</f>
        <v>0</v>
      </c>
      <c r="N12" s="8">
        <f>VLOOKUP($A12,[9]HISTONOV22!$A$7:$AU$38,33,0)</f>
        <v>0</v>
      </c>
      <c r="O12" s="8">
        <f t="shared" si="0"/>
        <v>0</v>
      </c>
      <c r="P12" s="8">
        <f>VLOOKUP($A12,[9]HISTONOV22!$A$7:$AU$38,30,0)</f>
        <v>0</v>
      </c>
      <c r="Q12" s="45">
        <f t="shared" si="1"/>
        <v>0</v>
      </c>
    </row>
    <row r="13" spans="1:17" x14ac:dyDescent="0.25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IF(E13="ECHEC",0,VLOOKUP($A13,[9]HISTONOV22!$A$7:$AQ$36,13,0))</f>
        <v>225000</v>
      </c>
      <c r="E13" s="8" t="str">
        <f>VLOOKUP($A13,[9]HISTONOV22!$A$7:$AU$38,8,0)</f>
        <v>BANQUE</v>
      </c>
      <c r="F13" s="8">
        <f>VLOOKUP($A13,[9]HISTONOV22!$A$7:$AU$38,36,0)</f>
        <v>0</v>
      </c>
      <c r="G13" s="8">
        <f>VLOOKUP($A13,[9]HISTONOV22!$A$7:$AU$38,39,0)</f>
        <v>0</v>
      </c>
      <c r="H13" s="8">
        <f>IF(G13=0,0,VLOOKUP($A13,[9]HISTONOV22!$A$7:$AU$38,42,0))</f>
        <v>0</v>
      </c>
      <c r="I13" s="8">
        <f>VLOOKUP($A13,[9]HISTONOV22!$A$7:$AU$38,41,0)</f>
        <v>0</v>
      </c>
      <c r="J13" s="8">
        <f>TONTOCT22!F13+TONTOCT22!G13</f>
        <v>180500</v>
      </c>
      <c r="K13" s="8">
        <f>VLOOKUP($A13,[9]HISTONOV22!$A$7:$AU$38,17,0)</f>
        <v>180500</v>
      </c>
      <c r="L13" s="8" t="str">
        <f>IF(K13&lt;&gt;0,VLOOKUP($A13,[9]HISTONOV22!$A$6:$BA$36,8,0),"ECHEC")</f>
        <v>BANQUE</v>
      </c>
      <c r="M13" s="8">
        <f>IF(P13=0,0,VLOOKUP($A13,[9]HISTONOV22!$A$7:$AU$38,32,0))</f>
        <v>0</v>
      </c>
      <c r="N13" s="8">
        <f>VLOOKUP($A13,[9]HISTONOV22!$A$7:$AU$38,33,0)</f>
        <v>0</v>
      </c>
      <c r="O13" s="8">
        <f t="shared" si="0"/>
        <v>0</v>
      </c>
      <c r="P13" s="8">
        <f>VLOOKUP($A13,[9]HISTONOV22!$A$7:$AU$38,30,0)</f>
        <v>0</v>
      </c>
      <c r="Q13" s="45">
        <f t="shared" si="1"/>
        <v>0</v>
      </c>
    </row>
    <row r="14" spans="1:17" x14ac:dyDescent="0.25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IF(E14="ECHEC",0,VLOOKUP($A14,[9]HISTONOV22!$A$7:$AQ$36,13,0))</f>
        <v>75000</v>
      </c>
      <c r="E14" s="8" t="str">
        <f>VLOOKUP($A14,[9]HISTONOV22!$A$7:$AU$38,8,0)</f>
        <v>BANQUE</v>
      </c>
      <c r="F14" s="8">
        <f>VLOOKUP($A14,[9]HISTONOV22!$A$7:$AU$38,36,0)</f>
        <v>0</v>
      </c>
      <c r="G14" s="8">
        <f>VLOOKUP($A14,[9]HISTONOV22!$A$7:$AU$38,39,0)</f>
        <v>0</v>
      </c>
      <c r="H14" s="8">
        <f>IF(G14=0,0,VLOOKUP($A14,[9]HISTONOV22!$A$7:$AU$38,42,0))</f>
        <v>0</v>
      </c>
      <c r="I14" s="8">
        <f>VLOOKUP($A14,[9]HISTONOV22!$A$7:$AU$38,41,0)</f>
        <v>0</v>
      </c>
      <c r="J14" s="8">
        <f>TONTOCT22!F14+TONTOCT22!G14</f>
        <v>0</v>
      </c>
      <c r="K14" s="8">
        <f>VLOOKUP($A14,[9]HISTONOV22!$A$7:$AU$38,17,0)</f>
        <v>0</v>
      </c>
      <c r="L14" s="8" t="str">
        <f>IF(K14&lt;&gt;0,VLOOKUP($A14,[9]HISTONOV22!$A$6:$BA$36,8,0),"ECHEC")</f>
        <v>ECHEC</v>
      </c>
      <c r="M14" s="8">
        <f>IF(P14=0,0,VLOOKUP($A14,[9]HISTONOV22!$A$7:$AU$38,32,0))</f>
        <v>0</v>
      </c>
      <c r="N14" s="8">
        <f>VLOOKUP($A14,[9]HISTONOV22!$A$7:$AU$38,33,0)</f>
        <v>0</v>
      </c>
      <c r="O14" s="8">
        <f t="shared" si="0"/>
        <v>0</v>
      </c>
      <c r="P14" s="8">
        <f>VLOOKUP($A14,[9]HISTONOV22!$A$7:$AU$38,30,0)</f>
        <v>0</v>
      </c>
      <c r="Q14" s="45">
        <f t="shared" si="1"/>
        <v>0</v>
      </c>
    </row>
    <row r="15" spans="1:17" x14ac:dyDescent="0.25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IF(E15="ECHEC",0,VLOOKUP($A15,[9]HISTONOV22!$A$7:$AQ$36,13,0))</f>
        <v>75000</v>
      </c>
      <c r="E15" s="8" t="str">
        <f>VLOOKUP($A15,[9]HISTONOV22!$A$7:$AU$38,8,0)</f>
        <v>BANQUE</v>
      </c>
      <c r="F15" s="8">
        <f>VLOOKUP($A15,[9]HISTONOV22!$A$7:$AU$38,36,0)</f>
        <v>0</v>
      </c>
      <c r="G15" s="8">
        <f>VLOOKUP($A15,[9]HISTONOV22!$A$7:$AU$38,39,0)</f>
        <v>0</v>
      </c>
      <c r="H15" s="8">
        <f>IF(G15=0,0,VLOOKUP($A15,[9]HISTONOV22!$A$7:$AU$38,42,0))</f>
        <v>0</v>
      </c>
      <c r="I15" s="8">
        <f>VLOOKUP($A15,[9]HISTONOV22!$A$7:$AU$38,41,0)</f>
        <v>0</v>
      </c>
      <c r="J15" s="8">
        <f>TONTOCT22!F15+TONTOCT22!G15</f>
        <v>0</v>
      </c>
      <c r="K15" s="8">
        <f>VLOOKUP($A15,[9]HISTONOV22!$A$7:$AU$38,17,0)</f>
        <v>0</v>
      </c>
      <c r="L15" s="8" t="str">
        <f>IF(K15&lt;&gt;0,VLOOKUP($A15,[9]HISTONOV22!$A$6:$BA$36,8,0),"ECHEC")</f>
        <v>ECHEC</v>
      </c>
      <c r="M15" s="8">
        <f>IF(P15=0,0,VLOOKUP($A15,[9]HISTONOV22!$A$7:$AU$38,32,0))</f>
        <v>0</v>
      </c>
      <c r="N15" s="8">
        <f>VLOOKUP($A15,[9]HISTONOV22!$A$7:$AU$38,33,0)</f>
        <v>0</v>
      </c>
      <c r="O15" s="8">
        <f t="shared" si="0"/>
        <v>0</v>
      </c>
      <c r="P15" s="8">
        <f>VLOOKUP($A15,[9]HISTONOV22!$A$7:$AU$38,30,0)</f>
        <v>0</v>
      </c>
      <c r="Q15" s="45">
        <f t="shared" si="1"/>
        <v>0</v>
      </c>
    </row>
    <row r="16" spans="1:17" x14ac:dyDescent="0.25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IF(E16="ECHEC",0,VLOOKUP($A16,[9]HISTONOV22!$A$7:$AQ$36,13,0))</f>
        <v>150000</v>
      </c>
      <c r="E16" s="8" t="str">
        <f>VLOOKUP($A16,[9]HISTONOV22!$A$7:$AU$38,8,0)</f>
        <v>BANQUE</v>
      </c>
      <c r="F16" s="8">
        <f>VLOOKUP($A16,[9]HISTONOV22!$A$7:$AU$38,36,0)</f>
        <v>0</v>
      </c>
      <c r="G16" s="8">
        <f>VLOOKUP($A16,[9]HISTONOV22!$A$7:$AU$38,39,0)</f>
        <v>0</v>
      </c>
      <c r="H16" s="8">
        <f>IF(G16=0,0,VLOOKUP($A16,[9]HISTONOV22!$A$7:$AU$38,42,0))</f>
        <v>0</v>
      </c>
      <c r="I16" s="8">
        <f>VLOOKUP($A16,[9]HISTONOV22!$A$7:$AU$38,41,0)</f>
        <v>0</v>
      </c>
      <c r="J16" s="8">
        <f>TONTOCT22!F16+TONTOCT22!G16</f>
        <v>101000</v>
      </c>
      <c r="K16" s="8">
        <f>VLOOKUP($A16,[9]HISTONOV22!$A$7:$AU$38,17,0)</f>
        <v>101000</v>
      </c>
      <c r="L16" s="8" t="str">
        <f>IF(K16&lt;&gt;0,VLOOKUP($A16,[9]HISTONOV22!$A$6:$BA$36,8,0),"ECHEC")</f>
        <v>BANQUE</v>
      </c>
      <c r="M16" s="8">
        <f>IF(P16=0,0,VLOOKUP($A16,[9]HISTONOV22!$A$7:$AU$38,32,0))</f>
        <v>0</v>
      </c>
      <c r="N16" s="8">
        <f>VLOOKUP($A16,[9]HISTONOV22!$A$7:$AU$38,33,0)</f>
        <v>0</v>
      </c>
      <c r="O16" s="8">
        <f t="shared" si="0"/>
        <v>0</v>
      </c>
      <c r="P16" s="8">
        <f>VLOOKUP($A16,[9]HISTONOV22!$A$7:$AU$38,30,0)</f>
        <v>0</v>
      </c>
      <c r="Q16" s="45">
        <f t="shared" si="1"/>
        <v>0</v>
      </c>
    </row>
    <row r="17" spans="1:17" x14ac:dyDescent="0.25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IF(E17="ECHEC",0,VLOOKUP($A17,[9]HISTONOV22!$A$7:$AQ$36,13,0))</f>
        <v>75000</v>
      </c>
      <c r="E17" s="8" t="str">
        <f>VLOOKUP($A17,[9]HISTONOV22!$A$7:$AU$38,8,0)</f>
        <v>BANQUE</v>
      </c>
      <c r="F17" s="8">
        <f>VLOOKUP($A17,[9]HISTONOV22!$A$7:$AU$38,36,0)</f>
        <v>37000</v>
      </c>
      <c r="G17" s="8">
        <f>VLOOKUP($A17,[9]HISTONOV22!$A$7:$AU$38,39,0)</f>
        <v>1500</v>
      </c>
      <c r="H17" s="8" t="str">
        <f>IF(G17=0,0,VLOOKUP($A17,[9]HISTONOV22!$A$7:$AU$38,42,0))</f>
        <v>BANQUE</v>
      </c>
      <c r="I17" s="8">
        <f>VLOOKUP($A17,[9]HISTONOV22!$A$7:$AU$38,41,0)</f>
        <v>0</v>
      </c>
      <c r="J17" s="8">
        <f>TONTOCT22!F17+TONTOCT22!G17</f>
        <v>202000</v>
      </c>
      <c r="K17" s="8">
        <f>VLOOKUP($A17,[9]HISTONOV22!$A$7:$AU$38,17,0)</f>
        <v>202000</v>
      </c>
      <c r="L17" s="8" t="str">
        <f>IF(K17&lt;&gt;0,VLOOKUP($A17,[9]HISTONOV22!$A$6:$BA$36,8,0),"ECHEC")</f>
        <v>BANQUE</v>
      </c>
      <c r="M17" s="8">
        <f>IF(P17=0,0,VLOOKUP($A17,[9]HISTONOV22!$A$7:$AU$38,32,0))</f>
        <v>0</v>
      </c>
      <c r="N17" s="8">
        <f>VLOOKUP($A17,[9]HISTONOV22!$A$7:$AU$38,33,0)</f>
        <v>0</v>
      </c>
      <c r="O17" s="8">
        <f t="shared" si="0"/>
        <v>0</v>
      </c>
      <c r="P17" s="8">
        <f>VLOOKUP($A17,[9]HISTONOV22!$A$7:$AU$38,30,0)</f>
        <v>0</v>
      </c>
      <c r="Q17" s="45">
        <f t="shared" si="1"/>
        <v>0</v>
      </c>
    </row>
    <row r="18" spans="1:17" x14ac:dyDescent="0.25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IF(E18="ECHEC",0,VLOOKUP($A18,[9]HISTONOV22!$A$7:$AQ$36,13,0))</f>
        <v>75000</v>
      </c>
      <c r="E18" s="8" t="str">
        <f>VLOOKUP($A18,[9]HISTONOV22!$A$7:$AU$38,8,0)</f>
        <v>BANQUE</v>
      </c>
      <c r="F18" s="8">
        <f>VLOOKUP($A18,[9]HISTONOV22!$A$7:$AU$38,36,0)</f>
        <v>0</v>
      </c>
      <c r="G18" s="8">
        <f>VLOOKUP($A18,[9]HISTONOV22!$A$7:$AU$38,39,0)</f>
        <v>0</v>
      </c>
      <c r="H18" s="8">
        <f>IF(G18=0,0,VLOOKUP($A18,[9]HISTONOV22!$A$7:$AU$38,42,0))</f>
        <v>0</v>
      </c>
      <c r="I18" s="8">
        <f>VLOOKUP($A18,[9]HISTONOV22!$A$7:$AU$38,41,0)</f>
        <v>0</v>
      </c>
      <c r="J18" s="8">
        <f>TONTOCT22!F18+TONTOCT22!G18</f>
        <v>0</v>
      </c>
      <c r="K18" s="8">
        <f>VLOOKUP($A18,[9]HISTONOV22!$A$7:$AU$38,17,0)</f>
        <v>0</v>
      </c>
      <c r="L18" s="8" t="str">
        <f>IF(K18&lt;&gt;0,VLOOKUP($A18,[9]HISTONOV22!$A$6:$BA$36,8,0),"ECHEC")</f>
        <v>ECHEC</v>
      </c>
      <c r="M18" s="8">
        <f>IF(P18=0,0,VLOOKUP($A18,[9]HISTONOV22!$A$7:$AU$38,32,0))</f>
        <v>0</v>
      </c>
      <c r="N18" s="8">
        <f>VLOOKUP($A18,[9]HISTONOV22!$A$7:$AU$38,33,0)</f>
        <v>0</v>
      </c>
      <c r="O18" s="8">
        <f t="shared" si="0"/>
        <v>0</v>
      </c>
      <c r="P18" s="8">
        <f>VLOOKUP($A18,[9]HISTONOV22!$A$7:$AU$38,30,0)</f>
        <v>0</v>
      </c>
      <c r="Q18" s="45">
        <f t="shared" si="1"/>
        <v>0</v>
      </c>
    </row>
    <row r="19" spans="1:17" x14ac:dyDescent="0.25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IF(E19="ECHEC",0,VLOOKUP($A19,[9]HISTONOV22!$A$7:$AQ$36,13,0))</f>
        <v>75000</v>
      </c>
      <c r="E19" s="8" t="str">
        <f>VLOOKUP($A19,[9]HISTONOV22!$A$7:$AU$38,8,0)</f>
        <v>BANQUE</v>
      </c>
      <c r="F19" s="8">
        <f>VLOOKUP($A19,[9]HISTONOV22!$A$7:$AU$38,36,0)</f>
        <v>0</v>
      </c>
      <c r="G19" s="8">
        <f>VLOOKUP($A19,[9]HISTONOV22!$A$7:$AU$38,39,0)</f>
        <v>0</v>
      </c>
      <c r="H19" s="8">
        <f>IF(G19=0,0,VLOOKUP($A19,[9]HISTONOV22!$A$7:$AU$38,42,0))</f>
        <v>0</v>
      </c>
      <c r="I19" s="8">
        <f>VLOOKUP($A19,[9]HISTONOV22!$A$7:$AU$38,41,0)</f>
        <v>0</v>
      </c>
      <c r="J19" s="8">
        <f>TONTOCT22!F19+TONTOCT22!G19</f>
        <v>0</v>
      </c>
      <c r="K19" s="8">
        <f>VLOOKUP($A19,[9]HISTONOV22!$A$7:$AU$38,17,0)</f>
        <v>0</v>
      </c>
      <c r="L19" s="8" t="str">
        <f>IF(K19&lt;&gt;0,VLOOKUP($A19,[9]HISTONOV22!$A$6:$BA$36,8,0),"ECHEC")</f>
        <v>ECHEC</v>
      </c>
      <c r="M19" s="8">
        <f>IF(P19=0,0,VLOOKUP($A19,[9]HISTONOV22!$A$7:$AU$38,32,0))</f>
        <v>0</v>
      </c>
      <c r="N19" s="8">
        <f>VLOOKUP($A19,[9]HISTONOV22!$A$7:$AU$38,33,0)</f>
        <v>0</v>
      </c>
      <c r="O19" s="8">
        <f t="shared" si="0"/>
        <v>0</v>
      </c>
      <c r="P19" s="8">
        <f>VLOOKUP($A19,[9]HISTONOV22!$A$7:$AU$38,30,0)</f>
        <v>0</v>
      </c>
      <c r="Q19" s="45">
        <f t="shared" si="1"/>
        <v>0</v>
      </c>
    </row>
    <row r="20" spans="1:17" x14ac:dyDescent="0.25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IF(E20="ECHEC",0,VLOOKUP($A20,[9]HISTONOV22!$A$7:$AQ$36,13,0))</f>
        <v>75000</v>
      </c>
      <c r="E20" s="8" t="str">
        <f>VLOOKUP($A20,[9]HISTONOV22!$A$7:$AU$38,8,0)</f>
        <v>BANQUE</v>
      </c>
      <c r="F20" s="8">
        <f>VLOOKUP($A20,[9]HISTONOV22!$A$7:$AU$38,36,0)</f>
        <v>0</v>
      </c>
      <c r="G20" s="8">
        <f>VLOOKUP($A20,[9]HISTONOV22!$A$7:$AU$38,39,0)</f>
        <v>0</v>
      </c>
      <c r="H20" s="8">
        <f>IF(G20=0,0,VLOOKUP($A20,[9]HISTONOV22!$A$7:$AU$38,42,0))</f>
        <v>0</v>
      </c>
      <c r="I20" s="8">
        <f>VLOOKUP($A20,[9]HISTONOV22!$A$7:$AU$38,41,0)</f>
        <v>0</v>
      </c>
      <c r="J20" s="8">
        <f>TONTOCT22!F20+TONTOCT22!G20</f>
        <v>0</v>
      </c>
      <c r="K20" s="8">
        <f>VLOOKUP($A20,[9]HISTONOV22!$A$7:$AU$38,17,0)</f>
        <v>0</v>
      </c>
      <c r="L20" s="8" t="str">
        <f>IF(K20&lt;&gt;0,VLOOKUP($A20,[9]HISTONOV22!$A$6:$BA$36,8,0),"ECHEC")</f>
        <v>ECHEC</v>
      </c>
      <c r="M20" s="8">
        <f>IF(P20=0,0,VLOOKUP($A20,[9]HISTONOV22!$A$7:$AU$38,32,0))</f>
        <v>0</v>
      </c>
      <c r="N20" s="8">
        <f>VLOOKUP($A20,[9]HISTONOV22!$A$7:$AU$38,33,0)</f>
        <v>0</v>
      </c>
      <c r="O20" s="8">
        <f t="shared" si="0"/>
        <v>0</v>
      </c>
      <c r="P20" s="8">
        <f>VLOOKUP($A20,[9]HISTONOV22!$A$7:$AU$38,30,0)</f>
        <v>0</v>
      </c>
      <c r="Q20" s="45">
        <f t="shared" si="1"/>
        <v>0</v>
      </c>
    </row>
    <row r="21" spans="1:17" x14ac:dyDescent="0.25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IF(E21="ECHEC",0,VLOOKUP($A21,[9]HISTONOV22!$A$7:$AQ$36,13,0))</f>
        <v>150000</v>
      </c>
      <c r="E21" s="8" t="str">
        <f>VLOOKUP($A21,[9]HISTONOV22!$A$7:$AU$38,8,0)</f>
        <v>BANQUE</v>
      </c>
      <c r="F21" s="8">
        <f>VLOOKUP($A21,[9]HISTONOV22!$A$7:$AU$38,36,0)</f>
        <v>0</v>
      </c>
      <c r="G21" s="8">
        <f>VLOOKUP($A21,[9]HISTONOV22!$A$7:$AU$38,39,0)</f>
        <v>0</v>
      </c>
      <c r="H21" s="8">
        <f>IF(G21=0,0,VLOOKUP($A21,[9]HISTONOV22!$A$7:$AU$38,42,0))</f>
        <v>0</v>
      </c>
      <c r="I21" s="8">
        <f>VLOOKUP($A21,[9]HISTONOV22!$A$7:$AU$38,41,0)</f>
        <v>0</v>
      </c>
      <c r="J21" s="8">
        <f>TONTOCT22!F21+TONTOCT22!G21</f>
        <v>0</v>
      </c>
      <c r="K21" s="8">
        <f>VLOOKUP($A21,[9]HISTONOV22!$A$7:$AU$38,17,0)</f>
        <v>0</v>
      </c>
      <c r="L21" s="8" t="str">
        <f>IF(K21&lt;&gt;0,VLOOKUP($A21,[9]HISTONOV22!$A$6:$BA$36,8,0),"ECHEC")</f>
        <v>ECHEC</v>
      </c>
      <c r="M21" s="8" t="str">
        <f>IF(P21=0,0,VLOOKUP($A21,[9]HISTONOV22!$A$7:$AU$38,32,0))</f>
        <v>BANQUE</v>
      </c>
      <c r="N21" s="8">
        <f>VLOOKUP($A21,[9]HISTONOV22!$A$7:$AU$38,33,0)</f>
        <v>0</v>
      </c>
      <c r="O21" s="8">
        <f>IF(P21=0,0,($C$3-P21))+1200000</f>
        <v>2250000</v>
      </c>
      <c r="P21" s="8">
        <f>VLOOKUP($A21,[9]HISTONOV22!$A$7:$AU$38,30,0)</f>
        <v>150000</v>
      </c>
      <c r="Q21" s="45">
        <f>IF(P21=0,0,(P21-150000))</f>
        <v>0</v>
      </c>
    </row>
    <row r="22" spans="1:17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>
        <f t="shared" si="1"/>
        <v>0</v>
      </c>
    </row>
    <row r="23" spans="1:17" ht="18" x14ac:dyDescent="0.25">
      <c r="A23" s="1" t="s">
        <v>73</v>
      </c>
      <c r="B23" s="9">
        <f>SUM(B6:B22)</f>
        <v>20</v>
      </c>
      <c r="G23" s="32"/>
      <c r="Q23" s="45"/>
    </row>
    <row r="24" spans="1:17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Q24" si="2">SUM(F6:F23)</f>
        <v>37000</v>
      </c>
      <c r="G24" s="9">
        <f t="shared" si="2"/>
        <v>1500</v>
      </c>
      <c r="H24" s="9">
        <f t="shared" si="2"/>
        <v>0</v>
      </c>
      <c r="I24" s="9">
        <f t="shared" si="2"/>
        <v>0</v>
      </c>
      <c r="J24" s="9">
        <f t="shared" si="2"/>
        <v>787000</v>
      </c>
      <c r="K24" s="9">
        <f t="shared" si="2"/>
        <v>787000</v>
      </c>
      <c r="L24" s="9">
        <f t="shared" si="2"/>
        <v>0</v>
      </c>
      <c r="M24" s="9">
        <f t="shared" si="2"/>
        <v>0</v>
      </c>
      <c r="N24" s="9">
        <f t="shared" si="2"/>
        <v>0</v>
      </c>
      <c r="O24" s="9">
        <f t="shared" si="2"/>
        <v>2250000</v>
      </c>
      <c r="P24" s="9">
        <f t="shared" si="2"/>
        <v>150000</v>
      </c>
      <c r="Q24" s="9">
        <f t="shared" si="2"/>
        <v>0</v>
      </c>
    </row>
    <row r="25" spans="1:17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</row>
    <row r="26" spans="1:17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D30+E30+P24+TONTOCT22!M31</f>
        <v>2437000</v>
      </c>
      <c r="L26" s="6"/>
      <c r="M26"/>
      <c r="N26" s="6"/>
      <c r="Q26" s="21"/>
    </row>
    <row r="27" spans="1:17" s="2" customFormat="1" ht="18" x14ac:dyDescent="0.25">
      <c r="D27" s="9">
        <f>SUMIFS(D6:D23,E6:E23,"ESPECES")</f>
        <v>0</v>
      </c>
      <c r="E27" s="9">
        <f>SUMIFS(K6:K22,L6:L22,"ESPECES")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C3*COUNTIF(O6:O23,"&gt;0")+1200000</f>
        <v>2400000</v>
      </c>
      <c r="L27" s="9">
        <f>D3</f>
        <v>2</v>
      </c>
      <c r="M27" s="9">
        <f>COUNTIF(O6:O18,"&gt;0")</f>
        <v>0</v>
      </c>
      <c r="N27" s="9"/>
      <c r="Q27" s="17"/>
    </row>
    <row r="28" spans="1:17" s="2" customFormat="1" ht="18" x14ac:dyDescent="0.25">
      <c r="D28" s="9">
        <f>SUMIFS(D6:D23,E6:E23,"BANQUE")</f>
        <v>1500000</v>
      </c>
      <c r="E28" s="9">
        <f>SUMIFS(K6:K22,L6:L22,"BANQUE")</f>
        <v>787000</v>
      </c>
      <c r="F28" s="9">
        <f>SUMIFS(F6:F23,H6:H23,"BANQUE")</f>
        <v>37000</v>
      </c>
      <c r="G28" s="9">
        <f>SUMIFS(O6:O23,M6:M23,"BANQUE")</f>
        <v>2250000</v>
      </c>
      <c r="H28" s="9">
        <f>D28+E28-F28-G28</f>
        <v>0</v>
      </c>
      <c r="I28" s="9"/>
      <c r="K28" s="9"/>
      <c r="L28" s="9"/>
      <c r="M28" s="9"/>
      <c r="N28" s="9"/>
      <c r="Q28" s="17"/>
    </row>
    <row r="29" spans="1:17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37000</v>
      </c>
      <c r="L29" s="9"/>
      <c r="M29" s="9"/>
      <c r="N29" s="9"/>
      <c r="Q29" s="17"/>
    </row>
    <row r="30" spans="1:17" s="2" customFormat="1" ht="18" x14ac:dyDescent="0.25">
      <c r="D30" s="9">
        <f>D27+D28</f>
        <v>1500000</v>
      </c>
      <c r="E30" s="9">
        <f>E27+E28</f>
        <v>787000</v>
      </c>
      <c r="F30" s="9">
        <f>F27+F28</f>
        <v>37000</v>
      </c>
      <c r="G30" s="9">
        <f t="shared" ref="G30:H30" si="3">G27+G28</f>
        <v>2250000</v>
      </c>
      <c r="H30" s="9">
        <f t="shared" si="3"/>
        <v>0</v>
      </c>
      <c r="I30" s="9"/>
      <c r="K30" s="9"/>
      <c r="L30" s="9"/>
      <c r="M30" s="9"/>
      <c r="N30" s="9"/>
      <c r="Q30"/>
    </row>
    <row r="31" spans="1:17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0</v>
      </c>
      <c r="L31"/>
      <c r="M31" s="9">
        <f>K31</f>
        <v>0</v>
      </c>
      <c r="N31" s="9" t="s">
        <v>57</v>
      </c>
      <c r="Q31"/>
    </row>
    <row r="32" spans="1:17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4" ht="18" x14ac:dyDescent="0.25">
      <c r="J33" s="9" t="s">
        <v>81</v>
      </c>
      <c r="K33" s="9">
        <f>COUNTIFS(E6:E22,"ECHEC")*75000</f>
        <v>0</v>
      </c>
      <c r="M33" s="9">
        <f>+K33+TONTOCT22!M33</f>
        <v>0</v>
      </c>
      <c r="N33" s="9" t="s">
        <v>57</v>
      </c>
    </row>
    <row r="34" spans="10:14" ht="18" x14ac:dyDescent="0.25">
      <c r="J34" s="9" t="s">
        <v>82</v>
      </c>
      <c r="K34" s="9">
        <f>J24-E30</f>
        <v>0</v>
      </c>
      <c r="M34" s="9">
        <f>+K34+TONTOCT22!M34</f>
        <v>0</v>
      </c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workbookViewId="0">
      <pane xSplit="3" ySplit="5" topLeftCell="M6" activePane="bottomRight" state="frozen"/>
      <selection activeCell="G6" sqref="G6:G39"/>
      <selection pane="topRight" activeCell="G6" sqref="G6:G39"/>
      <selection pane="bottomLeft" activeCell="G6" sqref="G6:G39"/>
      <selection pane="bottomRight" activeCell="U7" sqref="U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3" width="13" customWidth="1"/>
    <col min="14" max="14" width="15.5703125" style="3" customWidth="1"/>
    <col min="15" max="16" width="18.140625" style="2" customWidth="1"/>
    <col min="17" max="19" width="12.42578125" bestFit="1" customWidth="1"/>
  </cols>
  <sheetData>
    <row r="1" spans="1:21" x14ac:dyDescent="0.25">
      <c r="A1" s="1" t="s">
        <v>0</v>
      </c>
      <c r="B1" s="1" t="s">
        <v>1</v>
      </c>
      <c r="D1" s="1"/>
      <c r="E1" s="1"/>
      <c r="L1" s="1"/>
      <c r="M1" s="1"/>
    </row>
    <row r="2" spans="1:21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</row>
    <row r="3" spans="1:21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21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  <c r="Q4"/>
    </row>
    <row r="5" spans="1:21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  <c r="R5" s="6" t="s">
        <v>88</v>
      </c>
    </row>
    <row r="6" spans="1:21" ht="18.75" x14ac:dyDescent="0.3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IF(E6="ECHEC",0,VLOOKUP($A6,[9]HISTODEC22!$A$7:$AQ$36,13,0))</f>
        <v>75000</v>
      </c>
      <c r="E6" s="8" t="str">
        <f>VLOOKUP($A6,[9]HISTODEC22!$A$7:$AU$38,8,0)</f>
        <v>BANQUE</v>
      </c>
      <c r="F6" s="8">
        <f>VLOOKUP($A6,[9]HISTODEC22!$A$7:$AU$38,36,0)</f>
        <v>0</v>
      </c>
      <c r="G6" s="8">
        <f>VLOOKUP($A6,[9]HISTODEC22!$A$7:$AU$38,39,0)</f>
        <v>0</v>
      </c>
      <c r="H6" s="8">
        <f>IF(G6=0,0,VLOOKUP($A6,[9]HISTODEC22!$A$7:$AU$38,42,0))</f>
        <v>0</v>
      </c>
      <c r="I6" s="8">
        <f>VLOOKUP($A6,[9]HISTODEC22!$A$7:$AU$38,41,0)</f>
        <v>0</v>
      </c>
      <c r="J6" s="8">
        <f>TONTNOV22!F6+TONTNOV22!G6</f>
        <v>0</v>
      </c>
      <c r="K6" s="8">
        <f>VLOOKUP($A6,[9]HISTODEC22!$A$7:$AU$38,17,0)</f>
        <v>0</v>
      </c>
      <c r="L6" s="8" t="str">
        <f>IF(K6&lt;&gt;0,VLOOKUP($A6,[9]HISTODEC22!$A$6:$BA$36,8,0),"ECHEC")</f>
        <v>ECHEC</v>
      </c>
      <c r="M6" s="8">
        <f>IF(P6=0,0,VLOOKUP($A6,[9]HISTODEC22!$A$7:$AU$38,32,0))</f>
        <v>0</v>
      </c>
      <c r="N6" s="8">
        <f>VLOOKUP($A6,[9]HISTODEC22!$A$7:$AU$38,33,0)</f>
        <v>0</v>
      </c>
      <c r="O6" s="8">
        <f t="shared" ref="O6:O21" si="0">IF(P6=0,0,($C$3-P6))</f>
        <v>0</v>
      </c>
      <c r="P6" s="8">
        <f>VLOOKUP($A6,[9]HISTODEC22!$A$7:$AU$38,30,0)</f>
        <v>0</v>
      </c>
      <c r="Q6" s="45">
        <f>IF(P6=0,0,(P6-75000))</f>
        <v>0</v>
      </c>
      <c r="R6" s="47">
        <f>$O$37/20*B6</f>
        <v>20675</v>
      </c>
      <c r="S6" s="47">
        <v>20000</v>
      </c>
    </row>
    <row r="7" spans="1:21" ht="18.75" x14ac:dyDescent="0.3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IF(E7="ECHEC",0,VLOOKUP($A7,[9]HISTODEC22!$A$7:$AQ$36,13,0))</f>
        <v>75000</v>
      </c>
      <c r="E7" s="8" t="str">
        <f>VLOOKUP($A7,[9]HISTODEC22!$A$7:$AU$38,8,0)</f>
        <v>BANQUE</v>
      </c>
      <c r="F7" s="8">
        <f>VLOOKUP($A7,[9]HISTODEC22!$A$7:$AU$38,36,0)</f>
        <v>0</v>
      </c>
      <c r="G7" s="8">
        <f>VLOOKUP($A7,[9]HISTODEC22!$A$7:$AU$38,39,0)</f>
        <v>0</v>
      </c>
      <c r="H7" s="8">
        <f>IF(G7=0,0,VLOOKUP($A7,[9]HISTODEC22!$A$7:$AU$38,42,0))</f>
        <v>0</v>
      </c>
      <c r="I7" s="8">
        <f>VLOOKUP($A7,[9]HISTODEC22!$A$7:$AU$38,41,0)</f>
        <v>0</v>
      </c>
      <c r="J7" s="8">
        <f>TONTNOV22!F7+TONTNOV22!G7</f>
        <v>0</v>
      </c>
      <c r="K7" s="8">
        <f>VLOOKUP($A7,[9]HISTODEC22!$A$7:$AU$38,17,0)</f>
        <v>0</v>
      </c>
      <c r="L7" s="8" t="str">
        <f>IF(K7&lt;&gt;0,VLOOKUP($A7,[9]HISTODEC22!$A$6:$BA$36,8,0),"ECHEC")</f>
        <v>ECHEC</v>
      </c>
      <c r="M7" s="8">
        <f>IF(P7=0,0,VLOOKUP($A7,[9]HISTODEC22!$A$7:$AU$38,32,0))</f>
        <v>0</v>
      </c>
      <c r="N7" s="8">
        <f>VLOOKUP($A7,[9]HISTODEC22!$A$7:$AU$38,33,0)</f>
        <v>0</v>
      </c>
      <c r="O7" s="8">
        <f t="shared" si="0"/>
        <v>0</v>
      </c>
      <c r="P7" s="8">
        <f>VLOOKUP($A7,[9]HISTODEC22!$A$7:$AU$38,30,0)</f>
        <v>0</v>
      </c>
      <c r="Q7" s="45">
        <f t="shared" ref="Q7:Q21" si="1">IF(P7=0,0,(P7-75000))</f>
        <v>0</v>
      </c>
      <c r="R7" s="47">
        <f t="shared" ref="R7:R21" si="2">$O$37/20*B7</f>
        <v>20675</v>
      </c>
      <c r="S7" s="47">
        <v>20000</v>
      </c>
      <c r="T7" s="2">
        <f>[10]MVTREPARTITION2022!$S$8</f>
        <v>-807174.7496912271</v>
      </c>
      <c r="U7" s="2">
        <f>S7+T7</f>
        <v>-787174.7496912271</v>
      </c>
    </row>
    <row r="8" spans="1:21" ht="18.75" x14ac:dyDescent="0.3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IF(E8="ECHEC",0,VLOOKUP($A8,[9]HISTODEC22!$A$7:$AQ$36,13,0))</f>
        <v>75000</v>
      </c>
      <c r="E8" s="8" t="str">
        <f>VLOOKUP($A8,[9]HISTODEC22!$A$7:$AU$38,8,0)</f>
        <v>BANQUE</v>
      </c>
      <c r="F8" s="8">
        <f>VLOOKUP($A8,[9]HISTODEC22!$A$7:$AU$38,36,0)</f>
        <v>0</v>
      </c>
      <c r="G8" s="8">
        <f>VLOOKUP($A8,[9]HISTODEC22!$A$7:$AU$38,39,0)</f>
        <v>0</v>
      </c>
      <c r="H8" s="8">
        <f>IF(G8=0,0,VLOOKUP($A8,[9]HISTODEC22!$A$7:$AU$38,42,0))</f>
        <v>0</v>
      </c>
      <c r="I8" s="8">
        <f>VLOOKUP($A8,[9]HISTODEC22!$A$7:$AU$38,41,0)</f>
        <v>0</v>
      </c>
      <c r="J8" s="8">
        <f>TONTNOV22!F8+TONTNOV22!G8</f>
        <v>0</v>
      </c>
      <c r="K8" s="8">
        <f>VLOOKUP($A8,[9]HISTODEC22!$A$7:$AU$38,17,0)</f>
        <v>0</v>
      </c>
      <c r="L8" s="8" t="str">
        <f>IF(K8&lt;&gt;0,VLOOKUP($A8,[9]HISTODEC22!$A$6:$BA$36,8,0),"ECHEC")</f>
        <v>ECHEC</v>
      </c>
      <c r="M8" s="8">
        <f>IF(P8=0,0,VLOOKUP($A8,[9]HISTODEC22!$A$7:$AU$38,32,0))</f>
        <v>0</v>
      </c>
      <c r="N8" s="8">
        <f>VLOOKUP($A8,[9]HISTODEC22!$A$7:$AU$38,33,0)</f>
        <v>0</v>
      </c>
      <c r="O8" s="8">
        <f t="shared" si="0"/>
        <v>0</v>
      </c>
      <c r="P8" s="8">
        <f>VLOOKUP($A8,[9]HISTODEC22!$A$7:$AU$38,30,0)</f>
        <v>0</v>
      </c>
      <c r="Q8" s="45">
        <f t="shared" si="1"/>
        <v>0</v>
      </c>
      <c r="R8" s="47">
        <f t="shared" si="2"/>
        <v>20675</v>
      </c>
      <c r="S8" s="47">
        <v>20000</v>
      </c>
    </row>
    <row r="9" spans="1:21" ht="18.75" x14ac:dyDescent="0.3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IF(E9="ECHEC",0,VLOOKUP($A9,[9]HISTODEC22!$A$7:$AQ$36,13,0))</f>
        <v>75000</v>
      </c>
      <c r="E9" s="8" t="str">
        <f>VLOOKUP($A9,[9]HISTODEC22!$A$7:$AU$38,8,0)</f>
        <v>BANQUE</v>
      </c>
      <c r="F9" s="8">
        <f>VLOOKUP($A9,[9]HISTODEC22!$A$7:$AU$38,36,0)</f>
        <v>0</v>
      </c>
      <c r="G9" s="8">
        <f>VLOOKUP($A9,[9]HISTODEC22!$A$7:$AU$38,39,0)</f>
        <v>0</v>
      </c>
      <c r="H9" s="8">
        <f>IF(G9=0,0,VLOOKUP($A9,[9]HISTODEC22!$A$7:$AU$38,42,0))</f>
        <v>0</v>
      </c>
      <c r="I9" s="8">
        <f>VLOOKUP($A9,[9]HISTODEC22!$A$7:$AU$38,41,0)</f>
        <v>0</v>
      </c>
      <c r="J9" s="8">
        <f>TONTNOV22!F9+TONTNOV22!G9</f>
        <v>0</v>
      </c>
      <c r="K9" s="8">
        <f>VLOOKUP($A9,[9]HISTODEC22!$A$7:$AU$38,17,0)</f>
        <v>0</v>
      </c>
      <c r="L9" s="8" t="str">
        <f>IF(K9&lt;&gt;0,VLOOKUP($A9,[9]HISTODEC22!$A$6:$BA$36,8,0),"ECHEC")</f>
        <v>ECHEC</v>
      </c>
      <c r="M9" s="8">
        <f>IF(P9=0,0,VLOOKUP($A9,[9]HISTODEC22!$A$7:$AU$38,32,0))</f>
        <v>0</v>
      </c>
      <c r="N9" s="8">
        <f>VLOOKUP($A9,[9]HISTODEC22!$A$7:$AU$38,33,0)</f>
        <v>0</v>
      </c>
      <c r="O9" s="8">
        <f t="shared" si="0"/>
        <v>0</v>
      </c>
      <c r="P9" s="8">
        <f>VLOOKUP($A9,[9]HISTODEC22!$A$7:$AU$38,30,0)</f>
        <v>0</v>
      </c>
      <c r="Q9" s="45">
        <f t="shared" si="1"/>
        <v>0</v>
      </c>
      <c r="R9" s="47">
        <f t="shared" si="2"/>
        <v>20675</v>
      </c>
      <c r="S9" s="47">
        <v>20000</v>
      </c>
    </row>
    <row r="10" spans="1:21" ht="18.75" x14ac:dyDescent="0.3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IF(E10="ECHEC",0,VLOOKUP($A10,[9]HISTODEC22!$A$7:$AQ$36,13,0))</f>
        <v>75000</v>
      </c>
      <c r="E10" s="8" t="str">
        <f>VLOOKUP($A10,[9]HISTODEC22!$A$7:$AU$38,8,0)</f>
        <v>BANQUE</v>
      </c>
      <c r="F10" s="8">
        <f>VLOOKUP($A10,[9]HISTODEC22!$A$7:$AU$38,36,0)</f>
        <v>0</v>
      </c>
      <c r="G10" s="8">
        <f>VLOOKUP($A10,[9]HISTODEC22!$A$7:$AU$38,39,0)</f>
        <v>0</v>
      </c>
      <c r="H10" s="8">
        <f>IF(G10=0,0,VLOOKUP($A10,[9]HISTODEC22!$A$7:$AU$38,42,0))</f>
        <v>0</v>
      </c>
      <c r="I10" s="8">
        <f>VLOOKUP($A10,[9]HISTODEC22!$A$7:$AU$38,41,0)</f>
        <v>0</v>
      </c>
      <c r="J10" s="8">
        <f>TONTNOV22!F10+TONTNOV22!G10</f>
        <v>0</v>
      </c>
      <c r="K10" s="8">
        <f>VLOOKUP($A10,[9]HISTODEC22!$A$7:$AU$38,17,0)</f>
        <v>0</v>
      </c>
      <c r="L10" s="8" t="str">
        <f>IF(K10&lt;&gt;0,VLOOKUP($A10,[9]HISTODEC22!$A$6:$BA$36,8,0),"ECHEC")</f>
        <v>ECHEC</v>
      </c>
      <c r="M10" s="8">
        <f>IF(P10=0,0,VLOOKUP($A10,[9]HISTODEC22!$A$7:$AU$38,32,0))</f>
        <v>0</v>
      </c>
      <c r="N10" s="8">
        <f>VLOOKUP($A10,[9]HISTODEC22!$A$7:$AU$38,33,0)</f>
        <v>0</v>
      </c>
      <c r="O10" s="8">
        <f t="shared" si="0"/>
        <v>0</v>
      </c>
      <c r="P10" s="8">
        <f>VLOOKUP($A10,[9]HISTODEC22!$A$7:$AU$38,30,0)</f>
        <v>0</v>
      </c>
      <c r="Q10" s="45">
        <f t="shared" si="1"/>
        <v>0</v>
      </c>
      <c r="R10" s="47">
        <f t="shared" si="2"/>
        <v>20675</v>
      </c>
      <c r="S10" s="47">
        <v>20000</v>
      </c>
    </row>
    <row r="11" spans="1:21" ht="18.75" x14ac:dyDescent="0.3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IF(E11="ECHEC",0,VLOOKUP($A11,[9]HISTODEC22!$A$7:$AQ$36,13,0))</f>
        <v>75000</v>
      </c>
      <c r="E11" s="8" t="str">
        <f>VLOOKUP($A11,[9]HISTODEC22!$A$7:$AU$38,8,0)</f>
        <v>BANQUE</v>
      </c>
      <c r="F11" s="8">
        <f>VLOOKUP($A11,[9]HISTODEC22!$A$7:$AU$38,36,0)</f>
        <v>0</v>
      </c>
      <c r="G11" s="8">
        <f>VLOOKUP($A11,[9]HISTODEC22!$A$7:$AU$38,39,0)</f>
        <v>0</v>
      </c>
      <c r="H11" s="8">
        <f>IF(G11=0,0,VLOOKUP($A11,[9]HISTODEC22!$A$7:$AU$38,42,0))</f>
        <v>0</v>
      </c>
      <c r="I11" s="8">
        <f>VLOOKUP($A11,[9]HISTODEC22!$A$7:$AU$38,41,0)</f>
        <v>0</v>
      </c>
      <c r="J11" s="8">
        <f>TONTNOV22!F11+TONTNOV22!G11</f>
        <v>0</v>
      </c>
      <c r="K11" s="8">
        <f>VLOOKUP($A11,[9]HISTODEC22!$A$7:$AU$38,17,0)</f>
        <v>0</v>
      </c>
      <c r="L11" s="8" t="str">
        <f>IF(K11&lt;&gt;0,VLOOKUP($A11,[9]HISTODEC22!$A$6:$BA$36,8,0),"ECHEC")</f>
        <v>ECHEC</v>
      </c>
      <c r="M11" s="8" t="str">
        <f>IF(P11=0,0,VLOOKUP($A11,[9]HISTODEC22!$A$7:$AU$38,32,0))</f>
        <v>BANQUE</v>
      </c>
      <c r="N11" s="8">
        <f>VLOOKUP($A11,[9]HISTODEC22!$A$7:$AU$38,33,0)</f>
        <v>0</v>
      </c>
      <c r="O11" s="8">
        <f t="shared" si="0"/>
        <v>1125000</v>
      </c>
      <c r="P11" s="8">
        <f>VLOOKUP($A11,[9]HISTODEC22!$A$7:$AU$38,30,0)</f>
        <v>75000</v>
      </c>
      <c r="Q11" s="45">
        <f t="shared" si="1"/>
        <v>0</v>
      </c>
      <c r="R11" s="47">
        <f t="shared" si="2"/>
        <v>20675</v>
      </c>
      <c r="S11" s="47">
        <v>20000</v>
      </c>
    </row>
    <row r="12" spans="1:21" ht="18.75" x14ac:dyDescent="0.3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IF(E12="ECHEC",0,VLOOKUP($A12,[9]HISTODEC22!$A$7:$AQ$36,13,0))</f>
        <v>75000</v>
      </c>
      <c r="E12" s="8" t="str">
        <f>VLOOKUP($A12,[9]HISTODEC22!$A$7:$AU$38,8,0)</f>
        <v>BANQUE</v>
      </c>
      <c r="F12" s="8">
        <f>VLOOKUP($A12,[9]HISTODEC22!$A$7:$AU$38,36,0)</f>
        <v>0</v>
      </c>
      <c r="G12" s="8">
        <f>VLOOKUP($A12,[9]HISTODEC22!$A$7:$AU$38,39,0)</f>
        <v>0</v>
      </c>
      <c r="H12" s="8">
        <f>IF(G12=0,0,VLOOKUP($A12,[9]HISTODEC22!$A$7:$AU$38,42,0))</f>
        <v>0</v>
      </c>
      <c r="I12" s="8">
        <f>VLOOKUP($A12,[9]HISTODEC22!$A$7:$AU$38,41,0)</f>
        <v>0</v>
      </c>
      <c r="J12" s="8">
        <f>TONTNOV22!F12+TONTNOV22!G12</f>
        <v>0</v>
      </c>
      <c r="K12" s="8">
        <f>VLOOKUP($A12,[9]HISTODEC22!$A$7:$AU$38,17,0)</f>
        <v>0</v>
      </c>
      <c r="L12" s="8" t="str">
        <f>IF(K12&lt;&gt;0,VLOOKUP($A12,[9]HISTODEC22!$A$6:$BA$36,8,0),"ECHEC")</f>
        <v>ECHEC</v>
      </c>
      <c r="M12" s="8">
        <f>IF(P12=0,0,VLOOKUP($A12,[9]HISTODEC22!$A$7:$AU$38,32,0))</f>
        <v>0</v>
      </c>
      <c r="N12" s="8">
        <f>VLOOKUP($A12,[9]HISTODEC22!$A$7:$AU$38,33,0)</f>
        <v>0</v>
      </c>
      <c r="O12" s="8">
        <f t="shared" si="0"/>
        <v>0</v>
      </c>
      <c r="P12" s="8">
        <f>VLOOKUP($A12,[9]HISTODEC22!$A$7:$AU$38,30,0)</f>
        <v>0</v>
      </c>
      <c r="Q12" s="45">
        <f t="shared" si="1"/>
        <v>0</v>
      </c>
      <c r="R12" s="47">
        <f t="shared" si="2"/>
        <v>20675</v>
      </c>
      <c r="S12" s="47">
        <v>20000</v>
      </c>
    </row>
    <row r="13" spans="1:21" ht="18.75" x14ac:dyDescent="0.3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IF(E13="ECHEC",0,VLOOKUP($A13,[9]HISTODEC22!$A$7:$AQ$36,13,0))</f>
        <v>225000</v>
      </c>
      <c r="E13" s="8" t="str">
        <f>VLOOKUP($A13,[9]HISTODEC22!$A$7:$AU$38,8,0)</f>
        <v>BANQUE</v>
      </c>
      <c r="F13" s="8">
        <f>VLOOKUP($A13,[9]HISTODEC22!$A$7:$AU$38,36,0)</f>
        <v>0</v>
      </c>
      <c r="G13" s="8">
        <f>VLOOKUP($A13,[9]HISTODEC22!$A$7:$AU$38,39,0)</f>
        <v>0</v>
      </c>
      <c r="H13" s="8">
        <f>IF(G13=0,0,VLOOKUP($A13,[9]HISTODEC22!$A$7:$AU$38,42,0))</f>
        <v>0</v>
      </c>
      <c r="I13" s="8">
        <f>VLOOKUP($A13,[9]HISTODEC22!$A$7:$AU$38,41,0)</f>
        <v>0</v>
      </c>
      <c r="J13" s="8">
        <f>TONTNOV22!F13+TONTNOV22!G13</f>
        <v>0</v>
      </c>
      <c r="K13" s="8">
        <f>VLOOKUP($A13,[9]HISTODEC22!$A$7:$AU$38,17,0)</f>
        <v>0</v>
      </c>
      <c r="L13" s="8" t="str">
        <f>IF(K13&lt;&gt;0,VLOOKUP($A13,[9]HISTODEC22!$A$6:$BA$36,8,0),"ECHEC")</f>
        <v>ECHEC</v>
      </c>
      <c r="M13" s="8">
        <f>IF(P13=0,0,VLOOKUP($A13,[9]HISTODEC22!$A$7:$AU$38,32,0))</f>
        <v>0</v>
      </c>
      <c r="N13" s="8">
        <f>VLOOKUP($A13,[9]HISTODEC22!$A$7:$AU$38,33,0)</f>
        <v>0</v>
      </c>
      <c r="O13" s="8">
        <f t="shared" si="0"/>
        <v>0</v>
      </c>
      <c r="P13" s="8">
        <f>VLOOKUP($A13,[9]HISTODEC22!$A$7:$AU$38,30,0)</f>
        <v>0</v>
      </c>
      <c r="Q13" s="45">
        <f t="shared" si="1"/>
        <v>0</v>
      </c>
      <c r="R13" s="47">
        <f t="shared" si="2"/>
        <v>62025</v>
      </c>
      <c r="S13" s="47">
        <v>60000</v>
      </c>
    </row>
    <row r="14" spans="1:21" ht="18.75" x14ac:dyDescent="0.3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IF(E14="ECHEC",0,VLOOKUP($A14,[9]HISTODEC22!$A$7:$AQ$36,13,0))</f>
        <v>75000</v>
      </c>
      <c r="E14" s="8" t="str">
        <f>VLOOKUP($A14,[9]HISTODEC22!$A$7:$AU$38,8,0)</f>
        <v>BANQUE</v>
      </c>
      <c r="F14" s="8">
        <f>VLOOKUP($A14,[9]HISTODEC22!$A$7:$AU$38,36,0)</f>
        <v>0</v>
      </c>
      <c r="G14" s="8">
        <f>VLOOKUP($A14,[9]HISTODEC22!$A$7:$AU$38,39,0)</f>
        <v>0</v>
      </c>
      <c r="H14" s="8">
        <f>IF(G14=0,0,VLOOKUP($A14,[9]HISTODEC22!$A$7:$AU$38,42,0))</f>
        <v>0</v>
      </c>
      <c r="I14" s="8">
        <f>VLOOKUP($A14,[9]HISTODEC22!$A$7:$AU$38,41,0)</f>
        <v>0</v>
      </c>
      <c r="J14" s="8">
        <f>TONTNOV22!F14+TONTNOV22!G14</f>
        <v>0</v>
      </c>
      <c r="K14" s="8">
        <f>VLOOKUP($A14,[9]HISTODEC22!$A$7:$AU$38,17,0)</f>
        <v>0</v>
      </c>
      <c r="L14" s="8" t="str">
        <f>IF(K14&lt;&gt;0,VLOOKUP($A14,[9]HISTODEC22!$A$6:$BA$36,8,0),"ECHEC")</f>
        <v>ECHEC</v>
      </c>
      <c r="M14" s="8">
        <f>IF(P14=0,0,VLOOKUP($A14,[9]HISTODEC22!$A$7:$AU$38,32,0))</f>
        <v>0</v>
      </c>
      <c r="N14" s="8">
        <f>VLOOKUP($A14,[9]HISTODEC22!$A$7:$AU$38,33,0)</f>
        <v>0</v>
      </c>
      <c r="O14" s="8">
        <f t="shared" si="0"/>
        <v>0</v>
      </c>
      <c r="P14" s="8">
        <f>VLOOKUP($A14,[9]HISTODEC22!$A$7:$AU$38,30,0)</f>
        <v>0</v>
      </c>
      <c r="Q14" s="45">
        <f t="shared" si="1"/>
        <v>0</v>
      </c>
      <c r="R14" s="47">
        <f t="shared" si="2"/>
        <v>20675</v>
      </c>
      <c r="S14" s="47">
        <v>20000</v>
      </c>
    </row>
    <row r="15" spans="1:21" ht="18.75" x14ac:dyDescent="0.3">
      <c r="A15" s="1" t="s">
        <v>72</v>
      </c>
      <c r="B15" s="8">
        <f>IF(D15=0,0,VLOOKUP($A15,[9]HISTOJANV22!$A$7:$BA$36,12,0))</f>
        <v>1</v>
      </c>
      <c r="C15" s="1" t="str">
        <f>VLOOKUP(A15,[6]LISTADHERENT!A$5:H$60,3,0)</f>
        <v>NGONDIEP CLAUDE</v>
      </c>
      <c r="D15" s="8">
        <f>IF(E15="ECHEC",0,VLOOKUP($A15,[9]HISTODEC22!$A$7:$AQ$36,13,0))</f>
        <v>75000</v>
      </c>
      <c r="E15" s="8" t="str">
        <f>VLOOKUP($A15,[9]HISTODEC22!$A$7:$AU$38,8,0)</f>
        <v>BANQUE</v>
      </c>
      <c r="F15" s="8">
        <f>VLOOKUP($A15,[9]HISTODEC22!$A$7:$AU$38,36,0)</f>
        <v>0</v>
      </c>
      <c r="G15" s="8">
        <f>VLOOKUP($A15,[9]HISTODEC22!$A$7:$AU$38,39,0)</f>
        <v>0</v>
      </c>
      <c r="H15" s="8">
        <f>IF(G15=0,0,VLOOKUP($A15,[9]HISTODEC22!$A$7:$AU$38,42,0))</f>
        <v>0</v>
      </c>
      <c r="I15" s="8">
        <f>VLOOKUP($A15,[9]HISTODEC22!$A$7:$AU$38,41,0)</f>
        <v>0</v>
      </c>
      <c r="J15" s="8">
        <f>TONTNOV22!F15+TONTNOV22!G15</f>
        <v>0</v>
      </c>
      <c r="K15" s="8">
        <f>VLOOKUP($A15,[9]HISTODEC22!$A$7:$AU$38,17,0)</f>
        <v>0</v>
      </c>
      <c r="L15" s="8" t="str">
        <f>IF(K15&lt;&gt;0,VLOOKUP($A15,[9]HISTODEC22!$A$6:$BA$36,8,0),"ECHEC")</f>
        <v>ECHEC</v>
      </c>
      <c r="M15" s="8">
        <f>IF(P15=0,0,VLOOKUP($A15,[9]HISTODEC22!$A$7:$AU$38,32,0))</f>
        <v>0</v>
      </c>
      <c r="N15" s="8">
        <f>VLOOKUP($A15,[9]HISTODEC22!$A$7:$AU$38,33,0)</f>
        <v>0</v>
      </c>
      <c r="O15" s="8">
        <f t="shared" si="0"/>
        <v>0</v>
      </c>
      <c r="P15" s="8">
        <f>VLOOKUP($A15,[9]HISTODEC22!$A$7:$AU$38,30,0)</f>
        <v>0</v>
      </c>
      <c r="Q15" s="45">
        <f t="shared" si="1"/>
        <v>0</v>
      </c>
      <c r="R15" s="47">
        <f t="shared" si="2"/>
        <v>20675</v>
      </c>
      <c r="S15" s="47">
        <v>20000</v>
      </c>
    </row>
    <row r="16" spans="1:21" ht="18.75" x14ac:dyDescent="0.3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IF(E16="ECHEC",0,VLOOKUP($A16,[9]HISTODEC22!$A$7:$AQ$36,13,0))</f>
        <v>150000</v>
      </c>
      <c r="E16" s="8" t="str">
        <f>VLOOKUP($A16,[9]HISTODEC22!$A$7:$AU$38,8,0)</f>
        <v>BANQUE</v>
      </c>
      <c r="F16" s="8">
        <f>VLOOKUP($A16,[9]HISTODEC22!$A$7:$AU$38,36,0)</f>
        <v>0</v>
      </c>
      <c r="G16" s="8">
        <f>VLOOKUP($A16,[9]HISTODEC22!$A$7:$AU$38,39,0)</f>
        <v>0</v>
      </c>
      <c r="H16" s="8">
        <f>IF(G16=0,0,VLOOKUP($A16,[9]HISTODEC22!$A$7:$AU$38,42,0))</f>
        <v>0</v>
      </c>
      <c r="I16" s="8">
        <f>VLOOKUP($A16,[9]HISTODEC22!$A$7:$AU$38,41,0)</f>
        <v>0</v>
      </c>
      <c r="J16" s="8">
        <f>TONTNOV22!F16+TONTNOV22!G16</f>
        <v>0</v>
      </c>
      <c r="K16" s="8">
        <f>VLOOKUP($A16,[9]HISTODEC22!$A$7:$AU$38,17,0)</f>
        <v>0</v>
      </c>
      <c r="L16" s="8" t="str">
        <f>IF(K16&lt;&gt;0,VLOOKUP($A16,[9]HISTODEC22!$A$6:$BA$36,8,0),"ECHEC")</f>
        <v>ECHEC</v>
      </c>
      <c r="M16" s="8">
        <f>IF(P16=0,0,VLOOKUP($A16,[9]HISTODEC22!$A$7:$AU$38,32,0))</f>
        <v>0</v>
      </c>
      <c r="N16" s="8">
        <f>VLOOKUP($A16,[9]HISTODEC22!$A$7:$AU$38,33,0)</f>
        <v>0</v>
      </c>
      <c r="O16" s="8">
        <f t="shared" si="0"/>
        <v>0</v>
      </c>
      <c r="P16" s="8">
        <f>VLOOKUP($A16,[9]HISTODEC22!$A$7:$AU$38,30,0)</f>
        <v>0</v>
      </c>
      <c r="Q16" s="45">
        <f t="shared" si="1"/>
        <v>0</v>
      </c>
      <c r="R16" s="47">
        <f t="shared" si="2"/>
        <v>41350</v>
      </c>
      <c r="S16" s="47">
        <v>40000</v>
      </c>
    </row>
    <row r="17" spans="1:19" ht="18.75" x14ac:dyDescent="0.3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IF(E17="ECHEC",0,VLOOKUP($A17,[9]HISTODEC22!$A$7:$AQ$36,13,0))</f>
        <v>75000</v>
      </c>
      <c r="E17" s="8" t="str">
        <f>VLOOKUP($A17,[9]HISTODEC22!$A$7:$AU$38,8,0)</f>
        <v>BANQUE</v>
      </c>
      <c r="F17" s="8">
        <f>VLOOKUP($A17,[9]HISTODEC22!$A$7:$AU$38,36,0)</f>
        <v>0</v>
      </c>
      <c r="G17" s="8">
        <f>VLOOKUP($A17,[9]HISTODEC22!$A$7:$AU$38,39,0)</f>
        <v>0</v>
      </c>
      <c r="H17" s="8">
        <f>IF(G17=0,0,VLOOKUP($A17,[9]HISTODEC22!$A$7:$AU$38,42,0))</f>
        <v>0</v>
      </c>
      <c r="I17" s="8">
        <f>VLOOKUP($A17,[9]HISTODEC22!$A$7:$AU$38,41,0)</f>
        <v>0</v>
      </c>
      <c r="J17" s="8">
        <f>TONTNOV22!F17+TONTNOV22!G17</f>
        <v>38500</v>
      </c>
      <c r="K17" s="8">
        <f>VLOOKUP($A17,[9]HISTODEC22!$A$7:$AU$38,17,0)</f>
        <v>38500</v>
      </c>
      <c r="L17" s="8" t="str">
        <f>IF(K17&lt;&gt;0,VLOOKUP($A17,[9]HISTODEC22!$A$6:$BA$36,8,0),"ECHEC")</f>
        <v>BANQUE</v>
      </c>
      <c r="M17" s="8">
        <f>IF(P17=0,0,VLOOKUP($A17,[9]HISTODEC22!$A$7:$AU$38,32,0))</f>
        <v>0</v>
      </c>
      <c r="N17" s="8">
        <f>VLOOKUP($A17,[9]HISTODEC22!$A$7:$AU$38,33,0)</f>
        <v>0</v>
      </c>
      <c r="O17" s="8">
        <f t="shared" si="0"/>
        <v>0</v>
      </c>
      <c r="P17" s="8">
        <f>VLOOKUP($A17,[9]HISTODEC22!$A$7:$AU$38,30,0)</f>
        <v>0</v>
      </c>
      <c r="Q17" s="45">
        <f t="shared" si="1"/>
        <v>0</v>
      </c>
      <c r="R17" s="47">
        <f t="shared" si="2"/>
        <v>20675</v>
      </c>
      <c r="S17" s="47">
        <v>20000</v>
      </c>
    </row>
    <row r="18" spans="1:19" ht="18.75" x14ac:dyDescent="0.3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IF(E18="ECHEC",0,VLOOKUP($A18,[9]HISTODEC22!$A$7:$AQ$36,13,0))</f>
        <v>75000</v>
      </c>
      <c r="E18" s="8" t="str">
        <f>VLOOKUP($A18,[9]HISTODEC22!$A$7:$AU$38,8,0)</f>
        <v>BANQUE</v>
      </c>
      <c r="F18" s="8">
        <f>VLOOKUP($A18,[9]HISTODEC22!$A$7:$AU$38,36,0)</f>
        <v>0</v>
      </c>
      <c r="G18" s="8">
        <f>VLOOKUP($A18,[9]HISTODEC22!$A$7:$AU$38,39,0)</f>
        <v>0</v>
      </c>
      <c r="H18" s="8">
        <f>IF(G18=0,0,VLOOKUP($A18,[9]HISTODEC22!$A$7:$AU$38,42,0))</f>
        <v>0</v>
      </c>
      <c r="I18" s="8">
        <f>VLOOKUP($A18,[9]HISTODEC22!$A$7:$AU$38,41,0)</f>
        <v>0</v>
      </c>
      <c r="J18" s="8">
        <f>TONTNOV22!F18+TONTNOV22!G18</f>
        <v>0</v>
      </c>
      <c r="K18" s="8">
        <f>VLOOKUP($A18,[9]HISTODEC22!$A$7:$AU$38,17,0)</f>
        <v>0</v>
      </c>
      <c r="L18" s="8" t="str">
        <f>IF(K18&lt;&gt;0,VLOOKUP($A18,[9]HISTODEC22!$A$6:$BA$36,8,0),"ECHEC")</f>
        <v>ECHEC</v>
      </c>
      <c r="M18" s="8">
        <f>IF(P18=0,0,VLOOKUP($A18,[9]HISTODEC22!$A$7:$AU$38,32,0))</f>
        <v>0</v>
      </c>
      <c r="N18" s="8">
        <f>VLOOKUP($A18,[9]HISTODEC22!$A$7:$AU$38,33,0)</f>
        <v>0</v>
      </c>
      <c r="O18" s="8">
        <f t="shared" si="0"/>
        <v>0</v>
      </c>
      <c r="P18" s="8">
        <f>VLOOKUP($A18,[9]HISTODEC22!$A$7:$AU$38,30,0)</f>
        <v>0</v>
      </c>
      <c r="Q18" s="45">
        <f t="shared" si="1"/>
        <v>0</v>
      </c>
      <c r="R18" s="47">
        <f t="shared" si="2"/>
        <v>20675</v>
      </c>
      <c r="S18" s="47">
        <v>20000</v>
      </c>
    </row>
    <row r="19" spans="1:19" ht="18.75" x14ac:dyDescent="0.3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IF(E19="ECHEC",0,VLOOKUP($A19,[9]HISTODEC22!$A$7:$AQ$36,13,0))</f>
        <v>75000</v>
      </c>
      <c r="E19" s="8" t="str">
        <f>VLOOKUP($A19,[9]HISTODEC22!$A$7:$AU$38,8,0)</f>
        <v>BANQUE</v>
      </c>
      <c r="F19" s="8">
        <f>VLOOKUP($A19,[9]HISTODEC22!$A$7:$AU$38,36,0)</f>
        <v>0</v>
      </c>
      <c r="G19" s="8">
        <f>VLOOKUP($A19,[9]HISTODEC22!$A$7:$AU$38,39,0)</f>
        <v>0</v>
      </c>
      <c r="H19" s="8">
        <f>IF(G19=0,0,VLOOKUP($A19,[9]HISTODEC22!$A$7:$AU$38,42,0))</f>
        <v>0</v>
      </c>
      <c r="I19" s="8">
        <f>VLOOKUP($A19,[9]HISTODEC22!$A$7:$AU$38,41,0)</f>
        <v>0</v>
      </c>
      <c r="J19" s="8">
        <f>TONTNOV22!F19+TONTNOV22!G19</f>
        <v>0</v>
      </c>
      <c r="K19" s="8">
        <f>VLOOKUP($A19,[9]HISTODEC22!$A$7:$AU$38,17,0)</f>
        <v>0</v>
      </c>
      <c r="L19" s="8" t="str">
        <f>IF(K19&lt;&gt;0,VLOOKUP($A19,[9]HISTODEC22!$A$6:$BA$36,8,0),"ECHEC")</f>
        <v>ECHEC</v>
      </c>
      <c r="M19" s="8">
        <f>IF(P19=0,0,VLOOKUP($A19,[9]HISTODEC22!$A$7:$AU$38,32,0))</f>
        <v>0</v>
      </c>
      <c r="N19" s="8">
        <f>VLOOKUP($A19,[9]HISTODEC22!$A$7:$AU$38,33,0)</f>
        <v>0</v>
      </c>
      <c r="O19" s="8">
        <f t="shared" si="0"/>
        <v>0</v>
      </c>
      <c r="P19" s="8">
        <f>VLOOKUP($A19,[9]HISTODEC22!$A$7:$AU$38,30,0)</f>
        <v>0</v>
      </c>
      <c r="Q19" s="45">
        <f t="shared" si="1"/>
        <v>0</v>
      </c>
      <c r="R19" s="47">
        <f t="shared" si="2"/>
        <v>20675</v>
      </c>
      <c r="S19" s="47">
        <v>20000</v>
      </c>
    </row>
    <row r="20" spans="1:19" ht="18.75" x14ac:dyDescent="0.3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IF(E20="ECHEC",0,VLOOKUP($A20,[9]HISTODEC22!$A$7:$AQ$36,13,0))</f>
        <v>75000</v>
      </c>
      <c r="E20" s="8" t="str">
        <f>VLOOKUP($A20,[9]HISTODEC22!$A$7:$AU$38,8,0)</f>
        <v>BANQUE</v>
      </c>
      <c r="F20" s="8">
        <f>VLOOKUP($A20,[9]HISTODEC22!$A$7:$AU$38,36,0)</f>
        <v>0</v>
      </c>
      <c r="G20" s="8">
        <f>VLOOKUP($A20,[9]HISTODEC22!$A$7:$AU$38,39,0)</f>
        <v>0</v>
      </c>
      <c r="H20" s="8">
        <f>IF(G20=0,0,VLOOKUP($A20,[9]HISTODEC22!$A$7:$AU$38,42,0))</f>
        <v>0</v>
      </c>
      <c r="I20" s="8">
        <f>VLOOKUP($A20,[9]HISTODEC22!$A$7:$AU$38,41,0)</f>
        <v>0</v>
      </c>
      <c r="J20" s="8">
        <f>TONTNOV22!F20+TONTNOV22!G20</f>
        <v>0</v>
      </c>
      <c r="K20" s="8">
        <f>VLOOKUP($A20,[9]HISTODEC22!$A$7:$AU$38,17,0)</f>
        <v>0</v>
      </c>
      <c r="L20" s="8" t="str">
        <f>IF(K20&lt;&gt;0,VLOOKUP($A20,[9]HISTODEC22!$A$6:$BA$36,8,0),"ECHEC")</f>
        <v>ECHEC</v>
      </c>
      <c r="M20" s="8">
        <f>IF(P20=0,0,VLOOKUP($A20,[9]HISTODEC22!$A$7:$AU$38,32,0))</f>
        <v>0</v>
      </c>
      <c r="N20" s="8">
        <f>VLOOKUP($A20,[9]HISTODEC22!$A$7:$AU$38,33,0)</f>
        <v>0</v>
      </c>
      <c r="O20" s="8">
        <f t="shared" si="0"/>
        <v>0</v>
      </c>
      <c r="P20" s="8">
        <f>VLOOKUP($A20,[9]HISTODEC22!$A$7:$AU$38,30,0)</f>
        <v>0</v>
      </c>
      <c r="Q20" s="45">
        <f t="shared" si="1"/>
        <v>0</v>
      </c>
      <c r="R20" s="47">
        <f t="shared" si="2"/>
        <v>20675</v>
      </c>
      <c r="S20" s="47">
        <v>20000</v>
      </c>
    </row>
    <row r="21" spans="1:19" ht="18.75" x14ac:dyDescent="0.3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IF(E21="ECHEC",0,VLOOKUP($A21,[9]HISTODEC22!$A$7:$AQ$36,13,0))</f>
        <v>150000</v>
      </c>
      <c r="E21" s="8" t="str">
        <f>VLOOKUP($A21,[9]HISTODEC22!$A$7:$AU$38,8,0)</f>
        <v>BANQUE</v>
      </c>
      <c r="F21" s="8">
        <f>VLOOKUP($A21,[9]HISTODEC22!$A$7:$AU$38,36,0)</f>
        <v>0</v>
      </c>
      <c r="G21" s="8">
        <f>VLOOKUP($A21,[9]HISTODEC22!$A$7:$AU$38,39,0)</f>
        <v>0</v>
      </c>
      <c r="H21" s="8">
        <f>IF(G21=0,0,VLOOKUP($A21,[9]HISTODEC22!$A$7:$AU$38,42,0))</f>
        <v>0</v>
      </c>
      <c r="I21" s="8">
        <f>VLOOKUP($A21,[9]HISTODEC22!$A$7:$AU$38,41,0)</f>
        <v>0</v>
      </c>
      <c r="J21" s="8">
        <f>TONTNOV22!F21+TONTNOV22!G21</f>
        <v>0</v>
      </c>
      <c r="K21" s="8">
        <f>VLOOKUP($A21,[9]HISTODEC22!$A$7:$AU$38,17,0)</f>
        <v>0</v>
      </c>
      <c r="L21" s="8" t="str">
        <f>IF(K21&lt;&gt;0,VLOOKUP($A21,[9]HISTODEC22!$A$6:$BA$36,8,0),"ECHEC")</f>
        <v>ECHEC</v>
      </c>
      <c r="M21" s="8">
        <f>IF(P21=0,0,VLOOKUP($A21,[9]HISTODEC22!$A$7:$AU$38,32,0))</f>
        <v>0</v>
      </c>
      <c r="N21" s="8">
        <f>VLOOKUP($A21,[9]HISTODEC22!$A$7:$AU$38,33,0)</f>
        <v>0</v>
      </c>
      <c r="O21" s="8">
        <f t="shared" si="0"/>
        <v>0</v>
      </c>
      <c r="P21" s="8">
        <f>VLOOKUP($A21,[9]HISTODEC22!$A$7:$AU$38,30,0)</f>
        <v>0</v>
      </c>
      <c r="Q21" s="45">
        <f t="shared" si="1"/>
        <v>0</v>
      </c>
      <c r="R21" s="47">
        <f t="shared" si="2"/>
        <v>41350</v>
      </c>
      <c r="S21" s="47">
        <v>40000</v>
      </c>
    </row>
    <row r="22" spans="1:19" ht="18.75" x14ac:dyDescent="0.3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45"/>
      <c r="R22" s="47"/>
    </row>
    <row r="23" spans="1:19" ht="18.75" x14ac:dyDescent="0.3">
      <c r="A23" s="1" t="s">
        <v>73</v>
      </c>
      <c r="B23" s="9">
        <f>SUM(B6:B22)</f>
        <v>20</v>
      </c>
      <c r="G23" s="32"/>
      <c r="Q23" s="45"/>
      <c r="R23" s="47"/>
    </row>
    <row r="24" spans="1:19" ht="18" x14ac:dyDescent="0.25">
      <c r="A24" s="1" t="s">
        <v>74</v>
      </c>
      <c r="B24" s="43">
        <f>COUNT(D6:D18)</f>
        <v>13</v>
      </c>
      <c r="C24" s="9"/>
      <c r="D24" s="9">
        <f>SUM(D6:D23)</f>
        <v>1500000</v>
      </c>
      <c r="E24" s="9"/>
      <c r="F24" s="9">
        <f t="shared" ref="F24:S24" si="3">SUM(F6:F23)</f>
        <v>0</v>
      </c>
      <c r="G24" s="9">
        <f t="shared" si="3"/>
        <v>0</v>
      </c>
      <c r="H24" s="9">
        <f t="shared" si="3"/>
        <v>0</v>
      </c>
      <c r="I24" s="9">
        <f t="shared" si="3"/>
        <v>0</v>
      </c>
      <c r="J24" s="9">
        <f t="shared" si="3"/>
        <v>38500</v>
      </c>
      <c r="K24" s="9">
        <f t="shared" si="3"/>
        <v>38500</v>
      </c>
      <c r="L24" s="9">
        <f t="shared" si="3"/>
        <v>0</v>
      </c>
      <c r="M24" s="9">
        <f t="shared" si="3"/>
        <v>0</v>
      </c>
      <c r="N24" s="9">
        <f t="shared" si="3"/>
        <v>0</v>
      </c>
      <c r="O24" s="9">
        <f t="shared" si="3"/>
        <v>1125000</v>
      </c>
      <c r="P24" s="9">
        <f t="shared" si="3"/>
        <v>75000</v>
      </c>
      <c r="Q24" s="9">
        <f t="shared" si="3"/>
        <v>0</v>
      </c>
      <c r="R24" s="9">
        <f t="shared" si="3"/>
        <v>413500</v>
      </c>
      <c r="S24" s="9">
        <f t="shared" si="3"/>
        <v>400000</v>
      </c>
    </row>
    <row r="25" spans="1:19" s="2" customFormat="1" ht="30" x14ac:dyDescent="0.3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Q25"/>
      <c r="R25" s="47"/>
    </row>
    <row r="26" spans="1:19" s="2" customFormat="1" ht="30.75" x14ac:dyDescent="0.3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84</v>
      </c>
      <c r="K26" s="9">
        <f>D30+E30+P24+TONTNOV22!M31</f>
        <v>1613500</v>
      </c>
      <c r="L26" s="6"/>
      <c r="M26"/>
      <c r="N26" s="6"/>
      <c r="Q26" s="48" t="s">
        <v>90</v>
      </c>
      <c r="R26" s="51">
        <f>R24-S24</f>
        <v>13500</v>
      </c>
    </row>
    <row r="27" spans="1:19" s="2" customFormat="1" ht="18.75" x14ac:dyDescent="0.3">
      <c r="D27" s="9">
        <f>SUMIFS(D6:D23,E6:E23,"ESPECES")</f>
        <v>0</v>
      </c>
      <c r="E27" s="9">
        <f>SUMIFS(K6:K22,L6:L22,"ESPECES")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1200000</v>
      </c>
      <c r="L27" s="9">
        <f>D3</f>
        <v>1</v>
      </c>
      <c r="M27" s="9">
        <f>COUNTIF(O6:O18,"&gt;0")</f>
        <v>1</v>
      </c>
      <c r="N27" s="9"/>
      <c r="Q27" s="17"/>
      <c r="R27" s="47"/>
    </row>
    <row r="28" spans="1:19" s="2" customFormat="1" ht="23.25" x14ac:dyDescent="0.35">
      <c r="D28" s="9">
        <f>SUMIFS(D6:D23,E6:E23,"BANQUE")</f>
        <v>1500000</v>
      </c>
      <c r="E28" s="9">
        <f>SUMIFS(K6:K22,L6:L22,"BANQUE")</f>
        <v>38500</v>
      </c>
      <c r="F28" s="9">
        <f>SUMIFS(F6:F23,H6:H23,"BANQUE")</f>
        <v>0</v>
      </c>
      <c r="G28" s="9">
        <f>SUMIFS(O6:O23,M6:M23,"BANQUE")</f>
        <v>1125000</v>
      </c>
      <c r="H28" s="9">
        <f>D28+E28-F28-G28</f>
        <v>413500</v>
      </c>
      <c r="I28" s="9"/>
      <c r="K28" s="9"/>
      <c r="L28" s="9"/>
      <c r="M28" s="9"/>
      <c r="N28" s="9"/>
      <c r="Q28" s="48"/>
      <c r="R28" s="51"/>
    </row>
    <row r="29" spans="1:19" s="2" customFormat="1" ht="18.75" x14ac:dyDescent="0.3">
      <c r="D29" s="9"/>
      <c r="E29" s="9"/>
      <c r="F29" s="9"/>
      <c r="G29" s="9"/>
      <c r="I29" s="9"/>
      <c r="J29" s="9" t="s">
        <v>33</v>
      </c>
      <c r="K29" s="9">
        <f>K26-K27</f>
        <v>413500</v>
      </c>
      <c r="L29" s="9"/>
      <c r="M29" s="9"/>
      <c r="N29" s="9"/>
      <c r="Q29" s="17"/>
      <c r="R29" s="47"/>
    </row>
    <row r="30" spans="1:19" s="2" customFormat="1" ht="18.75" x14ac:dyDescent="0.3">
      <c r="D30" s="9">
        <f>D27+D28</f>
        <v>1500000</v>
      </c>
      <c r="E30" s="9">
        <f>E27+E28</f>
        <v>38500</v>
      </c>
      <c r="F30" s="9">
        <f>F27+F28</f>
        <v>0</v>
      </c>
      <c r="G30" s="9">
        <f t="shared" ref="G30:H30" si="4">G27+G28</f>
        <v>1125000</v>
      </c>
      <c r="H30" s="9">
        <f t="shared" si="4"/>
        <v>413500</v>
      </c>
      <c r="I30" s="9"/>
      <c r="K30" s="9"/>
      <c r="L30" s="9"/>
      <c r="M30" s="9"/>
      <c r="N30" s="9"/>
      <c r="Q30"/>
      <c r="R30" s="47"/>
    </row>
    <row r="31" spans="1:19" s="2" customFormat="1" ht="18.75" x14ac:dyDescent="0.3">
      <c r="D31" s="9"/>
      <c r="E31"/>
      <c r="F31"/>
      <c r="G31" s="3"/>
      <c r="H31" s="3"/>
      <c r="I31" s="3"/>
      <c r="J31" s="9" t="s">
        <v>56</v>
      </c>
      <c r="K31" s="9">
        <f>K29-F24</f>
        <v>413500</v>
      </c>
      <c r="L31"/>
      <c r="M31" s="9">
        <f>K31</f>
        <v>413500</v>
      </c>
      <c r="N31" s="9" t="s">
        <v>57</v>
      </c>
      <c r="Q31"/>
      <c r="R31" s="47"/>
    </row>
    <row r="32" spans="1:19" s="2" customFormat="1" x14ac:dyDescent="0.25">
      <c r="D32" s="6"/>
      <c r="E32"/>
      <c r="F32"/>
      <c r="G32" s="3"/>
      <c r="H32" s="3"/>
      <c r="I32" s="3"/>
      <c r="L32"/>
      <c r="M32" s="3"/>
      <c r="N32" s="3"/>
      <c r="Q32"/>
    </row>
    <row r="33" spans="10:16" ht="18" x14ac:dyDescent="0.25">
      <c r="J33" s="9" t="s">
        <v>81</v>
      </c>
      <c r="K33" s="9">
        <f>COUNTIFS(E6:E22,"ECHEC")*75000</f>
        <v>0</v>
      </c>
      <c r="M33" s="9">
        <f>+K33+TONTNOV22!M33</f>
        <v>0</v>
      </c>
      <c r="N33" s="9" t="s">
        <v>57</v>
      </c>
    </row>
    <row r="34" spans="10:16" ht="18" x14ac:dyDescent="0.25">
      <c r="J34" s="9" t="s">
        <v>82</v>
      </c>
      <c r="K34" s="9">
        <f>J24-E30</f>
        <v>0</v>
      </c>
      <c r="M34" s="9">
        <f>+K34+TONTNOV22!M34</f>
        <v>0</v>
      </c>
      <c r="N34" s="9" t="s">
        <v>57</v>
      </c>
    </row>
    <row r="37" spans="10:16" ht="18.75" x14ac:dyDescent="0.3">
      <c r="M37" s="49" t="s">
        <v>89</v>
      </c>
      <c r="N37" s="50"/>
      <c r="O37" s="48">
        <f>M31</f>
        <v>413500</v>
      </c>
      <c r="P37" s="2">
        <f>TONTRESUME22!Q24</f>
        <v>300000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pane xSplit="3" ySplit="5" topLeftCell="K24" activePane="bottomRight" state="frozen"/>
      <selection activeCell="G6" sqref="G6:G39"/>
      <selection pane="topRight" activeCell="G6" sqref="G6:G39"/>
      <selection pane="bottomLeft" activeCell="G6" sqref="G6:G39"/>
      <selection pane="bottomRight" activeCell="A13" sqref="A13:XFD1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7.85546875" style="2" bestFit="1" customWidth="1"/>
    <col min="12" max="13" width="13" customWidth="1"/>
    <col min="14" max="14" width="15.5703125" style="3" customWidth="1"/>
    <col min="15" max="17" width="18.140625" style="2" customWidth="1"/>
    <col min="18" max="18" width="14.42578125" customWidth="1"/>
  </cols>
  <sheetData>
    <row r="1" spans="1:24" x14ac:dyDescent="0.25">
      <c r="A1" s="1" t="s">
        <v>0</v>
      </c>
      <c r="B1" s="1" t="s">
        <v>1</v>
      </c>
      <c r="D1" s="1"/>
      <c r="E1" s="1"/>
      <c r="L1" s="1"/>
      <c r="M1" s="1"/>
    </row>
    <row r="2" spans="1:24" x14ac:dyDescent="0.25">
      <c r="A2" s="1" t="s">
        <v>2</v>
      </c>
      <c r="B2" s="1">
        <v>2022</v>
      </c>
      <c r="C2" s="1" t="s">
        <v>58</v>
      </c>
      <c r="D2" s="1" t="s">
        <v>61</v>
      </c>
      <c r="E2" s="1"/>
      <c r="L2" s="1"/>
      <c r="M2" s="1"/>
      <c r="S2">
        <v>658883871</v>
      </c>
    </row>
    <row r="3" spans="1:24" x14ac:dyDescent="0.25">
      <c r="A3" s="1" t="s">
        <v>59</v>
      </c>
      <c r="B3" s="4">
        <v>75000</v>
      </c>
      <c r="C3" s="4">
        <f>B3*16</f>
        <v>1200000</v>
      </c>
      <c r="D3" s="1">
        <f>ROUNDDOWN(K26/C3,0)</f>
        <v>1</v>
      </c>
      <c r="E3" s="1"/>
      <c r="L3" s="1"/>
      <c r="M3" s="1"/>
    </row>
    <row r="4" spans="1:24" s="37" customFormat="1" ht="18" x14ac:dyDescent="0.25">
      <c r="B4" s="38"/>
      <c r="C4" s="54">
        <v>44574</v>
      </c>
      <c r="D4" s="55"/>
      <c r="E4" s="55"/>
      <c r="F4" s="55"/>
      <c r="G4" s="55"/>
      <c r="H4" s="55"/>
      <c r="I4" s="55"/>
      <c r="J4" s="55"/>
      <c r="L4" s="39"/>
      <c r="M4" s="39"/>
      <c r="N4" s="39"/>
      <c r="O4" s="39"/>
    </row>
    <row r="5" spans="1:24" ht="57.75" x14ac:dyDescent="0.25">
      <c r="A5" s="1" t="s">
        <v>4</v>
      </c>
      <c r="B5" s="1" t="s">
        <v>75</v>
      </c>
      <c r="C5" s="1" t="s">
        <v>5</v>
      </c>
      <c r="D5" s="6" t="s">
        <v>6</v>
      </c>
      <c r="E5" s="7" t="s">
        <v>76</v>
      </c>
      <c r="F5" s="4" t="s">
        <v>25</v>
      </c>
      <c r="G5" s="6" t="s">
        <v>18</v>
      </c>
      <c r="H5" s="6" t="s">
        <v>26</v>
      </c>
      <c r="I5" s="18" t="s">
        <v>34</v>
      </c>
      <c r="J5" s="6" t="s">
        <v>77</v>
      </c>
      <c r="K5" s="6" t="s">
        <v>22</v>
      </c>
      <c r="L5" s="6" t="s">
        <v>19</v>
      </c>
      <c r="M5" s="6" t="s">
        <v>78</v>
      </c>
      <c r="N5" s="6" t="s">
        <v>34</v>
      </c>
      <c r="O5" s="6" t="s">
        <v>79</v>
      </c>
      <c r="P5" s="6" t="s">
        <v>24</v>
      </c>
      <c r="Q5" s="6" t="s">
        <v>85</v>
      </c>
      <c r="R5" s="6" t="s">
        <v>83</v>
      </c>
      <c r="U5" s="6" t="s">
        <v>88</v>
      </c>
    </row>
    <row r="6" spans="1:24" ht="18.75" x14ac:dyDescent="0.3">
      <c r="A6" s="1" t="s">
        <v>36</v>
      </c>
      <c r="B6" s="8">
        <f>IF(D6=0,0,VLOOKUP($A6,[9]HISTOJANV22!$A$7:$BA$36,12,0))</f>
        <v>1</v>
      </c>
      <c r="C6" s="1" t="str">
        <f>VLOOKUP(A6,[6]LISTADHERENT!A$5:H$60,3,0)</f>
        <v>BOUTCHOUANG WILLIAM</v>
      </c>
      <c r="D6" s="8">
        <f>TONTJANV22!D6+TONTFEV22!D6+TONTMARS22!D6+TONTAVRIL22!D6+TONTMAI22!D6+TONTJUIN22!D6+TONTJUIL22!D6+TONTAOUT22!D6+TONTSEPT22!D6+TONTOCT22!D6+TONTNOV22!D6+TONTDEC22!D6</f>
        <v>900000</v>
      </c>
      <c r="E6" s="8"/>
      <c r="F6" s="8">
        <f>TONTJANV22!F6+TONTFEV22!F6+TONTMARS22!F6+TONTAVRIL22!F6+TONTMAI22!F6+TONTJUIN22!F6+TONTJUIL22!F6+TONTAOUT22!F6+TONTSEPT22!F6+TONTOCT22!F6+TONTNOV22!F6+TONTDEC22!F6</f>
        <v>0</v>
      </c>
      <c r="G6" s="8">
        <f>TONTJANV22!G6+TONTFEV22!G6+TONTMARS22!G6+TONTAVRIL22!G6+TONTMAI22!G6+TONTJUIN22!G6+TONTJUIL22!G6+TONTAOUT22!G6+TONTSEPT22!G6+TONTOCT22!G6+TONTNOV22!G6+TONTDEC22!G6</f>
        <v>0</v>
      </c>
      <c r="H6" s="8"/>
      <c r="I6" s="8"/>
      <c r="J6" s="8">
        <f>TONTJANV22!J6+TONTFEV22!J6+TONTMARS22!J6+TONTAVRIL22!J6+TONTMAI22!J6+TONTJUIN22!J6+TONTJUIL22!J6+TONTAOUT22!J6+TONTSEPT22!J6+TONTOCT22!J6+TONTNOV22!J6+TONTDEC22!J6</f>
        <v>0</v>
      </c>
      <c r="K6" s="8">
        <f>TONTJANV22!K6+TONTFEV22!K6+TONTMARS22!K6+TONTAVRIL22!K6+TONTMAI22!K6+TONTJUIN22!K6+TONTJUIL22!K6+TONTAOUT22!K6+TONTSEPT22!K6+TONTOCT22!K6+TONTNOV22!K6+TONTDEC22!K6</f>
        <v>0</v>
      </c>
      <c r="L6" s="8"/>
      <c r="M6" s="8"/>
      <c r="N6" s="8">
        <f>TONTJANV22!N6+TONTFEV22!N6+TONTMARS22!N6+TONTAVRIL22!N6+TONTMAI22!N6+TONTJUIN22!N6+TONTJUIL22!N6+TONTAOUT22!N6+TONTSEPT22!N6+TONTOCT22!N6+TONTNOV22!N6+TONTDEC22!N6</f>
        <v>0</v>
      </c>
      <c r="O6" s="8">
        <f>TONTJANV22!O6+TONTFEV22!O6+TONTMARS22!O6+TONTAVRIL22!O6+TONTMAI22!O6+TONTJUIN22!O6+TONTJUIL22!O6+TONTAOUT22!O6+TONTSEPT22!O6+TONTOCT22!O6+TONTNOV22!O6+TONTDEC22!O6</f>
        <v>1125000</v>
      </c>
      <c r="P6" s="8">
        <f>TONTJANV22!P6+TONTFEV22!P6+TONTMARS22!P6+TONTAVRIL22!P6+TONTMAI22!P6+TONTJUIN22!P6+TONTJUIL22!P6+TONTAOUT22!P6+TONTSEPT22!P6+TONTOCT22!P6+TONTNOV22!P6+TONTDEC22!P6</f>
        <v>75000</v>
      </c>
      <c r="Q6" s="8">
        <f>TONTOCT21!T6+TONTNOV21!T6+TONTDEC21!T6+TONTJANV22!Q6+TONTFEV22!Q6+TONTMARS22!Q6+TONTAVRIL22!Q6+TONTMAI22!Q6+TONTJUIN22!Q6+TONTJUIL22!Q6+TONTAOUT22!Q6+TONTSEPT22!Q6+TONTOCT22!Q6+TONTNOV22!Q6+TONTDEC22!Q6</f>
        <v>0</v>
      </c>
      <c r="R6" s="44">
        <v>44774</v>
      </c>
      <c r="U6" s="47">
        <f>$Q$30</f>
        <v>0</v>
      </c>
      <c r="V6" s="36">
        <v>44470</v>
      </c>
      <c r="W6" s="2">
        <f>+TONTOCT21!T24</f>
        <v>105000</v>
      </c>
      <c r="X6">
        <f>TONTOCT21!U6+TONTNOV21!U6+TONTDEC21!U6+TONTJANV22!R6+TONTFEV22!R6+TONTMARS22!R6+TONTAVRIL22!R6+TONTMAI22!R6+TONTJUIN22!R6+TONTJUIL22!R6+TONTAOUT22!R6+TONTSEPT22!R6+TONTOCT22!R6+TONTNOV22!R6+TONTDEC22!R6</f>
        <v>20693</v>
      </c>
    </row>
    <row r="7" spans="1:24" ht="18.75" x14ac:dyDescent="0.3">
      <c r="A7" s="1" t="s">
        <v>37</v>
      </c>
      <c r="B7" s="8">
        <f>IF(D7=0,0,VLOOKUP($A7,[9]HISTOJANV22!$A$7:$BA$36,12,0))</f>
        <v>1</v>
      </c>
      <c r="C7" s="1" t="str">
        <f>VLOOKUP(A7,[6]LISTADHERENT!A$5:H$60,3,0)</f>
        <v xml:space="preserve">DJOMO JEAN PAUL </v>
      </c>
      <c r="D7" s="8">
        <f>TONTJANV22!D7+TONTFEV22!D7+TONTMARS22!D7+TONTAVRIL22!D7+TONTMAI22!D7+TONTJUIN22!D7+TONTJUIL22!D7+TONTAOUT22!D7+TONTSEPT22!D7+TONTOCT22!D7+TONTNOV22!D7+TONTDEC22!D7</f>
        <v>900000</v>
      </c>
      <c r="E7" s="8"/>
      <c r="F7" s="8">
        <f>TONTJANV22!F7+TONTFEV22!F7+TONTMARS22!F7+TONTAVRIL22!F7+TONTMAI22!F7+TONTJUIN22!F7+TONTJUIL22!F7+TONTAOUT22!F7+TONTSEPT22!F7+TONTOCT22!F7+TONTNOV22!F7+TONTDEC22!F7</f>
        <v>400000</v>
      </c>
      <c r="G7" s="8">
        <f>TONTJANV22!G7+TONTFEV22!G7+TONTMARS22!G7+TONTAVRIL22!G7+TONTMAI22!G7+TONTJUIN22!G7+TONTJUIL22!G7+TONTAOUT22!G7+TONTSEPT22!G7+TONTOCT22!G7+TONTNOV22!G7+TONTDEC22!G7</f>
        <v>19500</v>
      </c>
      <c r="H7" s="8"/>
      <c r="I7" s="8"/>
      <c r="J7" s="8">
        <f>TONTJANV22!J7+TONTFEV22!J7+TONTMARS22!J7+TONTAVRIL22!J7+TONTMAI22!J7+TONTJUIN22!J7+TONTJUIL22!J7+TONTAOUT22!J7+TONTSEPT22!J7+TONTOCT22!J7+TONTNOV22!J7+TONTDEC22!J7</f>
        <v>419500</v>
      </c>
      <c r="K7" s="8">
        <f>TONTJANV22!K7+TONTFEV22!K7+TONTMARS22!K7+TONTAVRIL22!K7+TONTMAI22!K7+TONTJUIN22!K7+TONTJUIL22!K7+TONTAOUT22!K7+TONTSEPT22!K7+TONTOCT22!K7+TONTNOV22!K7+TONTDEC22!K7</f>
        <v>419500</v>
      </c>
      <c r="L7" s="8"/>
      <c r="M7" s="8"/>
      <c r="N7" s="8">
        <f>TONTJANV22!N7+TONTFEV22!N7+TONTMARS22!N7+TONTAVRIL22!N7+TONTMAI22!N7+TONTJUIN22!N7+TONTJUIL22!N7+TONTAOUT22!N7+TONTSEPT22!N7+TONTOCT22!N7+TONTNOV22!N7+TONTDEC22!N7</f>
        <v>0</v>
      </c>
      <c r="O7" s="8">
        <f>TONTJANV22!O7+TONTFEV22!O7+TONTMARS22!O7+TONTAVRIL22!O7+TONTMAI22!O7+TONTJUIN22!O7+TONTJUIL22!O7+TONTAOUT22!O7+TONTSEPT22!O7+TONTOCT22!O7+TONTNOV22!O7+TONTDEC22!O7</f>
        <v>1105000</v>
      </c>
      <c r="P7" s="8">
        <f>TONTJANV22!P7+TONTFEV22!P7+TONTMARS22!P7+TONTAVRIL22!P7+TONTMAI22!P7+TONTJUIN22!P7+TONTJUIL22!P7+TONTAOUT22!P7+TONTSEPT22!P7+TONTOCT22!P7+TONTNOV22!P7+TONTDEC22!P7</f>
        <v>95000</v>
      </c>
      <c r="Q7" s="8">
        <f>TONTOCT21!T7+TONTNOV21!T7+TONTDEC21!T7+TONTJANV22!Q7+TONTFEV22!Q7+TONTMARS22!Q7+TONTAVRIL22!Q7+TONTMAI22!Q7+TONTJUIN22!Q7+TONTJUIL22!Q7+TONTAOUT22!Q7+TONTSEPT22!Q7+TONTOCT22!Q7+TONTNOV22!Q7+TONTDEC22!Q7</f>
        <v>20000</v>
      </c>
      <c r="R7" s="44">
        <v>44562</v>
      </c>
      <c r="U7" s="47">
        <f t="shared" ref="U7:U15" si="0">$Q$30</f>
        <v>0</v>
      </c>
      <c r="V7" s="36">
        <v>44501</v>
      </c>
      <c r="W7" s="2">
        <f>TONTNOV21!T24</f>
        <v>10000</v>
      </c>
    </row>
    <row r="8" spans="1:24" ht="18.75" x14ac:dyDescent="0.3">
      <c r="A8" s="1" t="s">
        <v>38</v>
      </c>
      <c r="B8" s="8">
        <f>IF(D8=0,0,VLOOKUP($A8,[9]HISTOJANV22!$A$7:$BA$36,12,0))</f>
        <v>1</v>
      </c>
      <c r="C8" s="1" t="str">
        <f>VLOOKUP(A8,[6]LISTADHERENT!A$5:H$60,3,0)</f>
        <v>DJOUKWE NANGUEN GUY BLAISE</v>
      </c>
      <c r="D8" s="8">
        <f>TONTJANV22!D8+TONTFEV22!D8+TONTMARS22!D8+TONTAVRIL22!D8+TONTMAI22!D8+TONTJUIN22!D8+TONTJUIL22!D8+TONTAOUT22!D8+TONTSEPT22!D8+TONTOCT22!D8+TONTNOV22!D8+TONTDEC22!D8</f>
        <v>900000</v>
      </c>
      <c r="E8" s="8"/>
      <c r="F8" s="8">
        <f>TONTJANV22!F8+TONTFEV22!F8+TONTMARS22!F8+TONTAVRIL22!F8+TONTMAI22!F8+TONTJUIN22!F8+TONTJUIL22!F8+TONTAOUT22!F8+TONTSEPT22!F8+TONTOCT22!F8+TONTNOV22!F8+TONTDEC22!F8</f>
        <v>450000</v>
      </c>
      <c r="G8" s="8">
        <f>TONTJANV22!G8+TONTFEV22!G8+TONTMARS22!G8+TONTAVRIL22!G8+TONTMAI22!G8+TONTJUIN22!G8+TONTJUIL22!G8+TONTAOUT22!G8+TONTSEPT22!G8+TONTOCT22!G8+TONTNOV22!G8+TONTDEC22!G8</f>
        <v>7000</v>
      </c>
      <c r="H8" s="8"/>
      <c r="I8" s="8"/>
      <c r="J8" s="8">
        <f>TONTJANV22!J8+TONTFEV22!J8+TONTMARS22!J8+TONTAVRIL22!J8+TONTMAI22!J8+TONTJUIN22!J8+TONTJUIL22!J8+TONTAOUT22!J8+TONTSEPT22!J8+TONTOCT22!J8+TONTNOV22!J8+TONTDEC22!J8</f>
        <v>457000</v>
      </c>
      <c r="K8" s="8">
        <f>TONTJANV22!K8+TONTFEV22!K8+TONTMARS22!K8+TONTAVRIL22!K8+TONTMAI22!K8+TONTJUIN22!K8+TONTJUIL22!K8+TONTAOUT22!K8+TONTSEPT22!K8+TONTOCT22!K8+TONTNOV22!K8+TONTDEC22!K8</f>
        <v>457000</v>
      </c>
      <c r="L8" s="8"/>
      <c r="M8" s="8"/>
      <c r="N8" s="8">
        <f>TONTJANV22!N8+TONTFEV22!N8+TONTMARS22!N8+TONTAVRIL22!N8+TONTMAI22!N8+TONTJUIN22!N8+TONTJUIL22!N8+TONTAOUT22!N8+TONTSEPT22!N8+TONTOCT22!N8+TONTNOV22!N8+TONTDEC22!N8</f>
        <v>0</v>
      </c>
      <c r="O8" s="8">
        <f>TONTJANV22!O8+TONTFEV22!O8+TONTMARS22!O8+TONTAVRIL22!O8+TONTMAI22!O8+TONTJUIN22!O8+TONTJUIL22!O8+TONTAOUT22!O8+TONTSEPT22!O8+TONTOCT22!O8+TONTNOV22!O8+TONTDEC22!O8+1080000</f>
        <v>1080000</v>
      </c>
      <c r="P8" s="8">
        <f>TONTJANV22!P8+TONTFEV22!P8+TONTMARS22!P8+TONTAVRIL22!P8+TONTMAI22!P8+TONTJUIN22!P8+TONTJUIL22!P8+TONTAOUT22!P8+TONTSEPT22!P8+TONTOCT22!P8+TONTNOV22!P8+TONTDEC22!P8+120000</f>
        <v>120000</v>
      </c>
      <c r="Q8" s="8">
        <f>TONTOCT21!T8+TONTNOV21!T8+TONTDEC21!T8+TONTJANV22!Q8+TONTFEV22!Q8+TONTMARS22!Q8+TONTAVRIL22!Q8+TONTMAI22!Q8+TONTJUIN22!Q8+TONTJUIL22!Q8+TONTAOUT22!Q8+TONTSEPT22!Q8+TONTOCT22!Q8+TONTNOV22!Q8+TONTDEC22!Q8</f>
        <v>45000</v>
      </c>
      <c r="R8" s="44">
        <v>44531</v>
      </c>
      <c r="U8" s="47">
        <f>$Q$30*3</f>
        <v>0</v>
      </c>
      <c r="V8" s="36">
        <v>44531</v>
      </c>
      <c r="W8" s="2">
        <f>TONTDEC21!T24</f>
        <v>95000</v>
      </c>
    </row>
    <row r="9" spans="1:24" ht="18.75" x14ac:dyDescent="0.3">
      <c r="A9" s="1" t="s">
        <v>70</v>
      </c>
      <c r="B9" s="8">
        <f>IF(D9=0,0,VLOOKUP($A9,[9]HISTOJANV22!$A$7:$BA$36,12,0))</f>
        <v>1</v>
      </c>
      <c r="C9" s="1" t="str">
        <f>VLOOKUP(A9,[6]LISTADHERENT!A$5:H$60,3,0)</f>
        <v>DJUOMBESSY ANTOINE</v>
      </c>
      <c r="D9" s="8">
        <f>TONTJANV22!D9+TONTFEV22!D9+TONTMARS22!D9+TONTAVRIL22!D9+TONTMAI22!D9+TONTJUIN22!D9+TONTJUIL22!D9+TONTAOUT22!D9+TONTSEPT22!D9+TONTOCT22!D9+TONTNOV22!D9+TONTDEC22!D9</f>
        <v>900000</v>
      </c>
      <c r="E9" s="8"/>
      <c r="F9" s="8">
        <f>TONTJANV22!F9+TONTFEV22!F9+TONTMARS22!F9+TONTAVRIL22!F9+TONTMAI22!F9+TONTJUIN22!F9+TONTJUIL22!F9+TONTAOUT22!F9+TONTSEPT22!F9+TONTOCT22!F9+TONTNOV22!F9+TONTDEC22!F9</f>
        <v>200000</v>
      </c>
      <c r="G9" s="8">
        <f>TONTJANV22!G9+TONTFEV22!G9+TONTMARS22!G9+TONTAVRIL22!G9+TONTMAI22!G9+TONTJUIN22!G9+TONTJUIL22!G9+TONTAOUT22!G9+TONTSEPT22!G9+TONTOCT22!G9+TONTNOV22!G9+TONTDEC22!G9</f>
        <v>3000</v>
      </c>
      <c r="H9" s="8"/>
      <c r="I9" s="8"/>
      <c r="J9" s="8">
        <f>TONTJANV22!J9+TONTFEV22!J9+TONTMARS22!J9+TONTAVRIL22!J9+TONTMAI22!J9+TONTJUIN22!J9+TONTJUIL22!J9+TONTAOUT22!J9+TONTSEPT22!J9+TONTOCT22!J9+TONTNOV22!J9+TONTDEC22!J9</f>
        <v>203000</v>
      </c>
      <c r="K9" s="8">
        <f>TONTJANV22!K9+TONTFEV22!K9+TONTMARS22!K9+TONTAVRIL22!K9+TONTMAI22!K9+TONTJUIN22!K9+TONTJUIL22!K9+TONTAOUT22!K9+TONTSEPT22!K9+TONTOCT22!K9+TONTNOV22!K9+TONTDEC22!K9</f>
        <v>203000</v>
      </c>
      <c r="L9" s="8"/>
      <c r="M9" s="8"/>
      <c r="N9" s="8">
        <f>TONTJANV22!N9+TONTFEV22!N9+TONTMARS22!N9+TONTAVRIL22!N9+TONTMAI22!N9+TONTJUIN22!N9+TONTJUIL22!N9+TONTAOUT22!N9+TONTSEPT22!N9+TONTOCT22!N9+TONTNOV22!N9+TONTDEC22!N9</f>
        <v>0</v>
      </c>
      <c r="O9" s="8">
        <f>TONTJANV22!O9+TONTFEV22!O9+TONTMARS22!O9+TONTAVRIL22!O9+TONTMAI22!O9+TONTJUIN22!O9+TONTJUIL22!O9+TONTAOUT22!O9+TONTSEPT22!O9+TONTOCT22!O9+TONTNOV22!O9+TONTDEC22!O9</f>
        <v>1115000</v>
      </c>
      <c r="P9" s="8">
        <f>TONTJANV22!P9+TONTFEV22!P9+TONTMARS22!P9+TONTAVRIL22!P9+TONTMAI22!P9+TONTJUIN22!P9+TONTJUIL22!P9+TONTAOUT22!P9+TONTSEPT22!P9+TONTOCT22!P9+TONTNOV22!P9+TONTDEC22!P9</f>
        <v>85000</v>
      </c>
      <c r="Q9" s="8">
        <f>TONTOCT21!T9+TONTNOV21!T9+TONTDEC21!T9+TONTJANV22!Q9+TONTFEV22!Q9+TONTMARS22!Q9+TONTAVRIL22!Q9+TONTMAI22!Q9+TONTJUIN22!Q9+TONTJUIL22!Q9+TONTAOUT22!Q9+TONTSEPT22!Q9+TONTOCT22!Q9+TONTNOV22!Q9+TONTDEC22!Q9</f>
        <v>10000</v>
      </c>
      <c r="R9" s="44">
        <v>44743</v>
      </c>
      <c r="U9" s="47">
        <f t="shared" si="0"/>
        <v>0</v>
      </c>
      <c r="V9" s="36">
        <v>44562</v>
      </c>
      <c r="W9" s="2">
        <f>TONTJANV22!Q24</f>
        <v>20000</v>
      </c>
    </row>
    <row r="10" spans="1:24" ht="18.75" x14ac:dyDescent="0.3">
      <c r="A10" s="1" t="s">
        <v>29</v>
      </c>
      <c r="B10" s="8">
        <f>IF(D10=0,0,VLOOKUP($A10,[9]HISTOJANV22!$A$7:$BA$36,12,0))</f>
        <v>1</v>
      </c>
      <c r="C10" s="1" t="str">
        <f>VLOOKUP(A10,[6]LISTADHERENT!A$5:H$60,3,0)</f>
        <v>HOTCHO BENJAMIN</v>
      </c>
      <c r="D10" s="8">
        <f>TONTJANV22!D10+TONTFEV22!D10+TONTMARS22!D10+TONTAVRIL22!D10+TONTMAI22!D10+TONTJUIN22!D10+TONTJUIL22!D10+TONTAOUT22!D10+TONTSEPT22!D10+TONTOCT22!D10+TONTNOV22!D10+TONTDEC22!D10</f>
        <v>900000</v>
      </c>
      <c r="E10" s="8"/>
      <c r="F10" s="8">
        <f>TONTJANV22!F10+TONTFEV22!F10+TONTMARS22!F10+TONTAVRIL22!F10+TONTMAI22!F10+TONTJUIN22!F10+TONTJUIL22!F10+TONTAOUT22!F10+TONTSEPT22!F10+TONTOCT22!F10+TONTNOV22!F10+TONTDEC22!F10</f>
        <v>0</v>
      </c>
      <c r="G10" s="8">
        <f>TONTJANV22!G10+TONTFEV22!G10+TONTMARS22!G10+TONTAVRIL22!G10+TONTMAI22!G10+TONTJUIN22!G10+TONTJUIL22!G10+TONTAOUT22!G10+TONTSEPT22!G10+TONTOCT22!G10+TONTNOV22!G10+TONTDEC22!G10</f>
        <v>0</v>
      </c>
      <c r="H10" s="8"/>
      <c r="I10" s="8"/>
      <c r="J10" s="8">
        <f>TONTJANV22!J10+TONTFEV22!J10+TONTMARS22!J10+TONTAVRIL22!J10+TONTMAI22!J10+TONTJUIN22!J10+TONTJUIL22!J10+TONTAOUT22!J10+TONTSEPT22!J10+TONTOCT22!J10+TONTNOV22!J10+TONTDEC22!J10</f>
        <v>0</v>
      </c>
      <c r="K10" s="8">
        <f>TONTJANV22!K10+TONTFEV22!K10+TONTMARS22!K10+TONTAVRIL22!K10+TONTMAI22!K10+TONTJUIN22!K10+TONTJUIL22!K10+TONTAOUT22!K10+TONTSEPT22!K10+TONTOCT22!K10+TONTNOV22!K10+TONTDEC22!K10</f>
        <v>0</v>
      </c>
      <c r="L10" s="8"/>
      <c r="M10" s="8"/>
      <c r="N10" s="8">
        <f>TONTJANV22!N10+TONTFEV22!N10+TONTMARS22!N10+TONTAVRIL22!N10+TONTMAI22!N10+TONTJUIN22!N10+TONTJUIL22!N10+TONTAOUT22!N10+TONTSEPT22!N10+TONTOCT22!N10+TONTNOV22!N10+TONTDEC22!N10</f>
        <v>0</v>
      </c>
      <c r="O10" s="8">
        <f>TONTJANV22!O10+TONTFEV22!O10+TONTMARS22!O10+TONTAVRIL22!O10+TONTMAI22!O10+TONTJUIN22!O10+TONTJUIL22!O10+TONTAOUT22!O10+TONTSEPT22!O10+TONTOCT22!O10+TONTNOV22!O10+TONTDEC22!O10</f>
        <v>1110000</v>
      </c>
      <c r="P10" s="8">
        <f>TONTJANV22!P10+TONTFEV22!P10+TONTMARS22!P10+TONTAVRIL22!P10+TONTMAI22!P10+TONTJUIN22!P10+TONTJUIL22!P10+TONTAOUT22!P10+TONTSEPT22!P10+TONTOCT22!P10+TONTNOV22!P10+TONTDEC22!P10</f>
        <v>90000</v>
      </c>
      <c r="Q10" s="8">
        <f>TONTOCT21!T10+TONTNOV21!T10+TONTDEC21!T10+TONTJANV22!Q10+TONTFEV22!Q10+TONTMARS22!Q10+TONTAVRIL22!Q10+TONTMAI22!Q10+TONTJUIN22!Q10+TONTJUIL22!Q10+TONTAOUT22!Q10+TONTSEPT22!Q10+TONTOCT22!Q10+TONTNOV22!Q10+TONTDEC22!Q10</f>
        <v>15000</v>
      </c>
      <c r="R10" s="44">
        <v>44652</v>
      </c>
      <c r="U10" s="47">
        <f>$Q$30*2</f>
        <v>0</v>
      </c>
      <c r="V10" s="36">
        <v>44593</v>
      </c>
      <c r="W10" s="2">
        <f>TONTFEV22!Q24</f>
        <v>20000</v>
      </c>
    </row>
    <row r="11" spans="1:24" ht="18.75" x14ac:dyDescent="0.3">
      <c r="A11" s="1" t="s">
        <v>40</v>
      </c>
      <c r="B11" s="8">
        <f>IF(D11=0,0,VLOOKUP($A11,[9]HISTOJANV22!$A$7:$BA$36,12,0))</f>
        <v>1</v>
      </c>
      <c r="C11" s="1" t="str">
        <f>VLOOKUP(A11,[6]LISTADHERENT!A$5:H$60,3,0)</f>
        <v>HENGUE PAUL OMER</v>
      </c>
      <c r="D11" s="8">
        <f>TONTJANV22!D11+TONTFEV22!D11+TONTMARS22!D11+TONTAVRIL22!D11+TONTMAI22!D11+TONTJUIN22!D11+TONTJUIL22!D11+TONTAOUT22!D11+TONTSEPT22!D11+TONTOCT22!D11+TONTNOV22!D11+TONTDEC22!D11</f>
        <v>900000</v>
      </c>
      <c r="E11" s="8"/>
      <c r="F11" s="8">
        <f>TONTJANV22!F11+TONTFEV22!F11+TONTMARS22!F11+TONTAVRIL22!F11+TONTMAI22!F11+TONTJUIN22!F11+TONTJUIL22!F11+TONTAOUT22!F11+TONTSEPT22!F11+TONTOCT22!F11+TONTNOV22!F11+TONTDEC22!F11</f>
        <v>0</v>
      </c>
      <c r="G11" s="8">
        <f>TONTJANV22!G11+TONTFEV22!G11+TONTMARS22!G11+TONTAVRIL22!G11+TONTMAI22!G11+TONTJUIN22!G11+TONTJUIL22!G11+TONTAOUT22!G11+TONTSEPT22!G11+TONTOCT22!G11+TONTNOV22!G11+TONTDEC22!G11</f>
        <v>0</v>
      </c>
      <c r="H11" s="8"/>
      <c r="I11" s="8"/>
      <c r="J11" s="8">
        <f>TONTJANV22!J11+TONTFEV22!J11+TONTMARS22!J11+TONTAVRIL22!J11+TONTMAI22!J11+TONTJUIN22!J11+TONTJUIL22!J11+TONTAOUT22!J11+TONTSEPT22!J11+TONTOCT22!J11+TONTNOV22!J11+TONTDEC22!J11</f>
        <v>0</v>
      </c>
      <c r="K11" s="8">
        <f>TONTJANV22!K11+TONTFEV22!K11+TONTMARS22!K11+TONTAVRIL22!K11+TONTMAI22!K11+TONTJUIN22!K11+TONTJUIL22!K11+TONTAOUT22!K11+TONTSEPT22!K11+TONTOCT22!K11+TONTNOV22!K11+TONTDEC22!K11</f>
        <v>0</v>
      </c>
      <c r="L11" s="8"/>
      <c r="M11" s="8"/>
      <c r="N11" s="8">
        <f>TONTJANV22!N11+TONTFEV22!N11+TONTMARS22!N11+TONTAVRIL22!N11+TONTMAI22!N11+TONTJUIN22!N11+TONTJUIL22!N11+TONTAOUT22!N11+TONTSEPT22!N11+TONTOCT22!N11+TONTNOV22!N11+TONTDEC22!N11</f>
        <v>0</v>
      </c>
      <c r="O11" s="8">
        <f>TONTJANV22!O11+TONTFEV22!O11+TONTMARS22!O11+TONTAVRIL22!O11+TONTMAI22!O11+TONTJUIN22!O11+TONTJUIL22!O11+TONTAOUT22!O11+TONTSEPT22!O11+TONTOCT22!O11+TONTNOV22!O11+TONTDEC22!O11</f>
        <v>1125000</v>
      </c>
      <c r="P11" s="8">
        <f>TONTJANV22!P11+TONTFEV22!P11+TONTMARS22!P11+TONTAVRIL22!P11+TONTMAI22!P11+TONTJUIN22!P11+TONTJUIL22!P11+TONTAOUT22!P11+TONTSEPT22!P11+TONTOCT22!P11+TONTNOV22!P11+TONTDEC22!P11</f>
        <v>75000</v>
      </c>
      <c r="Q11" s="8">
        <f>TONTOCT21!T11+TONTNOV21!T11+TONTDEC21!T11+TONTJANV22!Q11+TONTFEV22!Q11+TONTMARS22!Q11+TONTAVRIL22!Q11+TONTMAI22!Q11+TONTJUIN22!Q11+TONTJUIL22!Q11+TONTAOUT22!Q11+TONTSEPT22!Q11+TONTOCT22!Q11+TONTNOV22!Q11+TONTDEC22!Q11</f>
        <v>0</v>
      </c>
      <c r="U11" s="47">
        <f t="shared" si="0"/>
        <v>0</v>
      </c>
      <c r="V11" s="36">
        <v>44621</v>
      </c>
      <c r="W11" s="2">
        <f>TONTMARS22!Q24</f>
        <v>10000</v>
      </c>
    </row>
    <row r="12" spans="1:24" ht="18.75" x14ac:dyDescent="0.3">
      <c r="A12" s="1" t="s">
        <v>10</v>
      </c>
      <c r="B12" s="8">
        <f>IF(D12=0,0,VLOOKUP($A12,[9]HISTOJANV22!$A$7:$BA$36,12,0))</f>
        <v>1</v>
      </c>
      <c r="C12" s="1" t="str">
        <f>VLOOKUP(A12,[6]LISTADHERENT!A$5:H$60,3,0)</f>
        <v>KOUATCHO MESSACK</v>
      </c>
      <c r="D12" s="8">
        <f>TONTJANV22!D12+TONTFEV22!D12+TONTMARS22!D12+TONTAVRIL22!D12+TONTMAI22!D12+TONTJUIN22!D12+TONTJUIL22!D12+TONTAOUT22!D12+TONTSEPT22!D12+TONTOCT22!D12+TONTNOV22!D12+TONTDEC22!D12</f>
        <v>900000</v>
      </c>
      <c r="E12" s="8"/>
      <c r="F12" s="8">
        <f>TONTJANV22!F12+TONTFEV22!F12+TONTMARS22!F12+TONTAVRIL22!F12+TONTMAI22!F12+TONTJUIN22!F12+TONTJUIL22!F12+TONTAOUT22!F12+TONTSEPT22!F12+TONTOCT22!F12+TONTNOV22!F12+TONTDEC22!F12</f>
        <v>973000</v>
      </c>
      <c r="G12" s="8">
        <f>TONTJANV22!G12+TONTFEV22!G12+TONTMARS22!G12+TONTAVRIL22!G12+TONTMAI22!G12+TONTJUIN22!G12+TONTJUIL22!G12+TONTAOUT22!G12+TONTSEPT22!G12+TONTOCT22!G12+TONTNOV22!G12+TONTDEC22!G12</f>
        <v>12000</v>
      </c>
      <c r="H12" s="8"/>
      <c r="I12" s="8"/>
      <c r="J12" s="8">
        <f>TONTJANV22!J12+TONTFEV22!J12+TONTMARS22!J12+TONTAVRIL22!J12+TONTMAI22!J12+TONTJUIN22!J12+TONTJUIL22!J12+TONTAOUT22!J12+TONTSEPT22!J12+TONTOCT22!J12+TONTNOV22!J12+TONTDEC22!J12</f>
        <v>1191000</v>
      </c>
      <c r="K12" s="8">
        <f>TONTJANV22!K12+TONTFEV22!K12+TONTMARS22!K12+TONTAVRIL22!K12+TONTMAI22!K12+TONTJUIN22!K12+TONTJUIL22!K12+TONTAOUT22!K12+TONTSEPT22!K12+TONTOCT22!K12+TONTNOV22!K12+TONTDEC22!K12</f>
        <v>1191000</v>
      </c>
      <c r="L12" s="8"/>
      <c r="M12" s="8"/>
      <c r="N12" s="8">
        <f>TONTJANV22!N12+TONTFEV22!N12+TONTMARS22!N12+TONTAVRIL22!N12+TONTMAI22!N12+TONTJUIN22!N12+TONTJUIL22!N12+TONTAOUT22!N12+TONTSEPT22!N12+TONTOCT22!N12+TONTNOV22!N12+TONTDEC22!N12</f>
        <v>0</v>
      </c>
      <c r="O12" s="8">
        <f>TONTJANV22!O12+TONTFEV22!O12+TONTMARS22!O12+TONTAVRIL22!O12+TONTMAI22!O12+TONTJUIN22!O12+TONTJUIL22!O12+TONTAOUT22!O12+TONTSEPT22!O12+TONTOCT22!O12+TONTNOV22!O12+TONTDEC22!O12</f>
        <v>1115000</v>
      </c>
      <c r="P12" s="8">
        <f>TONTJANV22!P12+TONTFEV22!P12+TONTMARS22!P12+TONTAVRIL22!P12+TONTMAI22!P12+TONTJUIN22!P12+TONTJUIL22!P12+TONTAOUT22!P12+TONTSEPT22!P12+TONTOCT22!P12+TONTNOV22!P12+TONTDEC22!P12</f>
        <v>85000</v>
      </c>
      <c r="Q12" s="8">
        <f>TONTOCT21!T12+TONTNOV21!T12+TONTDEC21!T12+TONTJANV22!Q12+TONTFEV22!Q12+TONTMARS22!Q12+TONTAVRIL22!Q12+TONTMAI22!Q12+TONTJUIN22!Q12+TONTJUIL22!Q12+TONTAOUT22!Q12+TONTSEPT22!Q12+TONTOCT22!Q12+TONTNOV22!Q12+TONTDEC22!Q12</f>
        <v>10000</v>
      </c>
      <c r="R12" s="44">
        <v>44621</v>
      </c>
      <c r="U12" s="47">
        <f t="shared" si="0"/>
        <v>0</v>
      </c>
      <c r="V12" s="36">
        <v>44652</v>
      </c>
      <c r="W12" s="2">
        <f>TONTAVRIL22!Q24</f>
        <v>15000</v>
      </c>
    </row>
    <row r="13" spans="1:24" ht="18.75" x14ac:dyDescent="0.3">
      <c r="A13" s="1" t="s">
        <v>32</v>
      </c>
      <c r="B13" s="8">
        <f>IF(D13=0,0,VLOOKUP($A13,[9]HISTOJANV22!$A$7:$BA$36,12,0))</f>
        <v>3</v>
      </c>
      <c r="C13" s="1" t="str">
        <f>VLOOKUP(A13,[6]LISTADHERENT!A$5:H$60,3,0)</f>
        <v>MBOGNING TUGMA GUY</v>
      </c>
      <c r="D13" s="8">
        <f>TONTJANV22!D13+TONTFEV22!D13+TONTMARS22!D13+TONTAVRIL22!D13+TONTMAI22!D13+TONTJUIN22!D13+TONTJUIL22!D13+TONTAOUT22!D13+TONTSEPT22!D13+TONTOCT22!D13+TONTNOV22!D13+TONTDEC22!D13</f>
        <v>2700000</v>
      </c>
      <c r="E13" s="8"/>
      <c r="F13" s="8">
        <f>TONTJANV22!F13+TONTFEV22!F13+TONTMARS22!F13+TONTAVRIL22!F13+TONTMAI22!F13+TONTJUIN22!F13+TONTJUIL22!F13+TONTAOUT22!F13+TONTSEPT22!F13+TONTOCT22!F13+TONTNOV22!F13+TONTDEC22!F13</f>
        <v>679000</v>
      </c>
      <c r="G13" s="8">
        <f>TONTJANV22!G13+TONTFEV22!G13+TONTMARS22!G13+TONTAVRIL22!G13+TONTMAI22!G13+TONTJUIN22!G13+TONTJUIL22!G13+TONTAOUT22!G13+TONTSEPT22!G13+TONTOCT22!G13+TONTNOV22!G13+TONTDEC22!G13</f>
        <v>7500</v>
      </c>
      <c r="H13" s="8"/>
      <c r="I13" s="8"/>
      <c r="J13" s="8">
        <f>TONTJANV22!J13+TONTFEV22!J13+TONTMARS22!J13+TONTAVRIL22!J13+TONTMAI22!J13+TONTJUIN22!J13+TONTJUIL22!J13+TONTAOUT22!J13+TONTSEPT22!J13+TONTOCT22!J13+TONTNOV22!J13+TONTDEC22!J13</f>
        <v>686500</v>
      </c>
      <c r="K13" s="8">
        <f>TONTJANV22!K13+TONTFEV22!K13+TONTMARS22!K13+TONTAVRIL22!K13+TONTMAI22!K13+TONTJUIN22!K13+TONTJUIL22!K13+TONTAOUT22!K13+TONTSEPT22!K13+TONTOCT22!K13+TONTNOV22!K13+TONTDEC22!K13</f>
        <v>686500</v>
      </c>
      <c r="L13" s="8"/>
      <c r="M13" s="8"/>
      <c r="N13" s="8">
        <f>TONTJANV22!N13+TONTFEV22!N13+TONTMARS22!N13+TONTAVRIL22!N13+TONTMAI22!N13+TONTJUIN22!N13+TONTJUIL22!N13+TONTAOUT22!N13+TONTSEPT22!N13+TONTOCT22!N13+TONTNOV22!N13+TONTDEC22!N13</f>
        <v>0</v>
      </c>
      <c r="O13" s="8">
        <f>TONTJANV22!O13+TONTFEV22!O13+TONTMARS22!O13+TONTAVRIL22!O13+TONTMAI22!O13+TONTJUIN22!O13+TONTJUIL22!O13+TONTAOUT22!O13+TONTSEPT22!O13+TONTOCT22!O13+TONTNOV22!O13+TONTDEC22!O13</f>
        <v>2250000</v>
      </c>
      <c r="P13" s="8">
        <f>TONTJANV22!P13+TONTFEV22!P13+TONTMARS22!P13+TONTAVRIL22!P13+TONTMAI22!P13+TONTJUIN22!P13+TONTJUIL22!P13+TONTAOUT22!P13+TONTSEPT22!P13+TONTOCT22!P13+TONTNOV22!P13+TONTDEC22!P13</f>
        <v>150000</v>
      </c>
      <c r="Q13" s="8">
        <f>TONTOCT21!T13+TONTNOV21!T13+TONTDEC21!T13+TONTJANV22!Q13+TONTFEV22!Q13+TONTMARS22!Q13+TONTAVRIL22!Q13+TONTMAI22!Q13+TONTJUIN22!Q13+TONTJUIL22!Q13+TONTAOUT22!Q13+TONTSEPT22!Q13+TONTOCT22!Q13+TONTNOV22!Q13+TONTDEC22!Q13</f>
        <v>10000</v>
      </c>
      <c r="R13" s="44">
        <v>44805</v>
      </c>
      <c r="S13" s="44">
        <v>44682</v>
      </c>
      <c r="T13" s="44">
        <v>44501</v>
      </c>
      <c r="U13" s="47">
        <f t="shared" si="0"/>
        <v>0</v>
      </c>
      <c r="V13" s="36">
        <v>44682</v>
      </c>
      <c r="W13" s="2">
        <f>TONTMAI22!Q24</f>
        <v>0</v>
      </c>
    </row>
    <row r="14" spans="1:24" ht="18.75" x14ac:dyDescent="0.3">
      <c r="A14" s="1" t="s">
        <v>11</v>
      </c>
      <c r="B14" s="8">
        <f>IF(D14=0,0,VLOOKUP($A14,[9]HISTOJANV22!$A$7:$BA$36,12,0))</f>
        <v>1</v>
      </c>
      <c r="C14" s="1" t="str">
        <f>VLOOKUP(A14,[6]LISTADHERENT!A$5:H$60,3,0)</f>
        <v>NANKAM APPOLINAIRE</v>
      </c>
      <c r="D14" s="8">
        <f>TONTJANV22!D14+TONTFEV22!D14+TONTMARS22!D14+TONTAVRIL22!D14+TONTMAI22!D14+TONTJUIN22!D14+TONTJUIL22!D14+TONTAOUT22!D14+TONTSEPT22!D14+TONTOCT22!D14+TONTNOV22!D14+TONTDEC22!D14</f>
        <v>900000</v>
      </c>
      <c r="E14" s="8"/>
      <c r="F14" s="8">
        <f>TONTJANV22!F14+TONTFEV22!F14+TONTMARS22!F14+TONTAVRIL22!F14+TONTMAI22!F14+TONTJUIN22!F14+TONTJUIL22!F14+TONTAOUT22!F14+TONTSEPT22!F14+TONTOCT22!F14+TONTNOV22!F14+TONTDEC22!F14</f>
        <v>0</v>
      </c>
      <c r="G14" s="8">
        <f>TONTJANV22!G14+TONTFEV22!G14+TONTMARS22!G14+TONTAVRIL22!G14+TONTMAI22!G14+TONTJUIN22!G14+TONTJUIL22!G14+TONTAOUT22!G14+TONTSEPT22!G14+TONTOCT22!G14+TONTNOV22!G14+TONTDEC22!G14</f>
        <v>0</v>
      </c>
      <c r="H14" s="8"/>
      <c r="I14" s="8"/>
      <c r="J14" s="8">
        <f>TONTJANV22!J14+TONTFEV22!J14+TONTMARS22!J14+TONTAVRIL22!J14+TONTMAI22!J14+TONTJUIN22!J14+TONTJUIL22!J14+TONTAOUT22!J14+TONTSEPT22!J14+TONTOCT22!J14+TONTNOV22!J14+TONTDEC22!J14</f>
        <v>0</v>
      </c>
      <c r="K14" s="8">
        <f>TONTJANV22!K14+TONTFEV22!K14+TONTMARS22!K14+TONTAVRIL22!K14+TONTMAI22!K14+TONTJUIN22!K14+TONTJUIL22!K14+TONTAOUT22!K14+TONTSEPT22!K14+TONTOCT22!K14+TONTNOV22!K14+TONTDEC22!K14</f>
        <v>0</v>
      </c>
      <c r="L14" s="8"/>
      <c r="M14" s="8"/>
      <c r="N14" s="8">
        <f>TONTJANV22!N14+TONTFEV22!N14+TONTMARS22!N14+TONTAVRIL22!N14+TONTMAI22!N14+TONTJUIN22!N14+TONTJUIL22!N14+TONTAOUT22!N14+TONTSEPT22!N14+TONTOCT22!N14+TONTNOV22!N14+TONTDEC22!N14</f>
        <v>0</v>
      </c>
      <c r="O14" s="8">
        <f>TONTJANV22!O14+TONTFEV22!O14+TONTMARS22!O14+TONTAVRIL22!O14+TONTMAI22!O14+TONTJUIN22!O14+TONTJUIL22!O14+TONTAOUT22!O14+TONTSEPT22!O14+TONTOCT22!O14+TONTNOV22!O14+TONTDEC22!O14</f>
        <v>1115000</v>
      </c>
      <c r="P14" s="8">
        <f>TONTJANV22!P14+TONTFEV22!P14+TONTMARS22!P14+TONTAVRIL22!P14+TONTMAI22!P14+TONTJUIN22!P14+TONTJUIL22!P14+TONTAOUT22!P14+TONTSEPT22!P14+TONTOCT22!P14+TONTNOV22!P14+TONTDEC22!P14</f>
        <v>85000</v>
      </c>
      <c r="Q14" s="8">
        <f>TONTOCT21!T14+TONTNOV21!T14+TONTDEC21!T14+TONTJANV22!Q14+TONTFEV22!Q14+TONTMARS22!Q14+TONTAVRIL22!Q14+TONTMAI22!Q14+TONTJUIN22!Q14+TONTJUIL22!Q14+TONTAOUT22!Q14+TONTSEPT22!Q14+TONTOCT22!Q14+TONTNOV22!Q14+TONTDEC22!Q14</f>
        <v>10000</v>
      </c>
      <c r="R14" s="44">
        <v>44593</v>
      </c>
      <c r="U14" s="47">
        <f t="shared" si="0"/>
        <v>0</v>
      </c>
      <c r="V14" s="36">
        <v>44713</v>
      </c>
      <c r="W14" s="2">
        <f>TONTJUIN22!Q24</f>
        <v>0</v>
      </c>
    </row>
    <row r="15" spans="1:24" s="13" customFormat="1" ht="18.75" x14ac:dyDescent="0.3">
      <c r="A15" s="40" t="s">
        <v>72</v>
      </c>
      <c r="B15" s="12">
        <f>IF(D15=0,0,VLOOKUP($A15,[9]HISTOJANV22!$A$7:$BA$36,12,0))</f>
        <v>1</v>
      </c>
      <c r="C15" s="40" t="str">
        <f>VLOOKUP(A15,[6]LISTADHERENT!A$5:H$60,3,0)</f>
        <v>NGONDIEP CLAUDE</v>
      </c>
      <c r="D15" s="12">
        <f>TONTJANV22!D15+TONTFEV22!D15+TONTMARS22!D15+TONTAVRIL22!D15+TONTMAI22!D15+TONTJUIN22!D15+TONTJUIL22!D15+TONTAOUT22!D15+TONTSEPT22!D15+TONTOCT22!D15+TONTNOV22!D15+TONTDEC22!D15</f>
        <v>900000</v>
      </c>
      <c r="E15" s="12"/>
      <c r="F15" s="12">
        <f>TONTJANV22!F15+TONTFEV22!F15+TONTMARS22!F15+TONTAVRIL22!F15+TONTMAI22!F15+TONTJUIN22!F15+TONTJUIL22!F15+TONTAOUT22!F15+TONTSEPT22!F15+TONTOCT22!F15+TONTNOV22!F15+TONTDEC22!F15</f>
        <v>550000</v>
      </c>
      <c r="G15" s="12">
        <f>TONTJANV22!G15+TONTFEV22!G15+TONTMARS22!G15+TONTAVRIL22!G15+TONTMAI22!G15+TONTJUIN22!G15+TONTJUIL22!G15+TONTAOUT22!G15+TONTSEPT22!G15+TONTOCT22!G15+TONTNOV22!G15+TONTDEC22!G15</f>
        <v>7000</v>
      </c>
      <c r="H15" s="12"/>
      <c r="I15" s="12"/>
      <c r="J15" s="12">
        <f>TONTJANV22!J15+TONTFEV22!J15+TONTMARS22!J15+TONTAVRIL22!J15+TONTMAI22!J15+TONTJUIN22!J15+TONTJUIL22!J15+TONTAOUT22!J15+TONTSEPT22!J15+TONTOCT22!J15+TONTNOV22!J15+TONTDEC22!J15</f>
        <v>557000</v>
      </c>
      <c r="K15" s="12">
        <f>TONTJANV22!K15+TONTFEV22!K15+TONTMARS22!K15+TONTAVRIL22!K15+TONTMAI22!K15+TONTJUIN22!K15+TONTJUIL22!K15+TONTAOUT22!K15+TONTSEPT22!K15+TONTOCT22!K15+TONTNOV22!K15+TONTDEC22!K15</f>
        <v>557000</v>
      </c>
      <c r="L15" s="12"/>
      <c r="M15" s="12"/>
      <c r="N15" s="12">
        <f>TONTJANV22!N15+TONTFEV22!N15+TONTMARS22!N15+TONTAVRIL22!N15+TONTMAI22!N15+TONTJUIN22!N15+TONTJUIL22!N15+TONTAOUT22!N15+TONTSEPT22!N15+TONTOCT22!N15+TONTNOV22!N15+TONTDEC22!N15</f>
        <v>0</v>
      </c>
      <c r="O15" s="12">
        <f>TONTJANV22!O15+TONTFEV22!O15+TONTMARS22!O15+TONTAVRIL22!O15+TONTMAI22!O15+TONTJUIN22!O15+TONTJUIL22!O15+TONTAOUT22!O15+TONTSEPT22!O15+TONTOCT22!O15+TONTNOV22!O15+TONTDEC22!O15</f>
        <v>1125000</v>
      </c>
      <c r="P15" s="12">
        <f>TONTJANV22!P15+TONTFEV22!P15+TONTMARS22!P15+TONTAVRIL22!P15+TONTMAI22!P15+TONTJUIN22!P15+TONTJUIL22!P15+TONTAOUT22!P15+TONTSEPT22!P15+TONTOCT22!P15+TONTNOV22!P15+TONTDEC22!P15+50000</f>
        <v>125000</v>
      </c>
      <c r="Q15" s="8">
        <f>TONTOCT21!T15+TONTNOV21!T15+TONTDEC21!T15+TONTJANV22!Q15+TONTFEV22!Q15+TONTMARS22!Q15+TONTAVRIL22!Q15+TONTMAI22!Q15+TONTJUIN22!Q15+TONTJUIL22!Q15+TONTAOUT22!Q15+TONTSEPT22!Q15+TONTOCT22!Q15+TONTNOV22!Q15+TONTDEC22!Q15</f>
        <v>50000</v>
      </c>
      <c r="R15" s="44">
        <v>44531</v>
      </c>
      <c r="S15" s="44"/>
      <c r="U15" s="47">
        <f t="shared" si="0"/>
        <v>0</v>
      </c>
      <c r="V15" s="36">
        <v>44743</v>
      </c>
      <c r="W15" s="46">
        <f>TONTJUIL22!Q24</f>
        <v>25000</v>
      </c>
    </row>
    <row r="16" spans="1:24" ht="18.75" x14ac:dyDescent="0.3">
      <c r="A16" s="1" t="s">
        <v>31</v>
      </c>
      <c r="B16" s="8">
        <f>IF(D16=0,0,VLOOKUP($A16,[9]HISTOJANV22!$A$7:$BA$36,12,0))</f>
        <v>2</v>
      </c>
      <c r="C16" s="1" t="str">
        <f>VLOOKUP(A16,[6]LISTADHERENT!A$5:H$60,3,0)</f>
        <v>NGUIEMEGNI MATHIEU BLAISE</v>
      </c>
      <c r="D16" s="8">
        <f>TONTJANV22!D16+TONTFEV22!D16+TONTMARS22!D16+TONTAVRIL22!D16+TONTMAI22!D16+TONTJUIN22!D16+TONTJUIL22!D16+TONTAOUT22!D16+TONTSEPT22!D16+TONTOCT22!D16+TONTNOV22!D16+TONTDEC22!D16</f>
        <v>1800000</v>
      </c>
      <c r="E16" s="8"/>
      <c r="F16" s="8">
        <f>TONTJANV22!F16+TONTFEV22!F16+TONTMARS22!F16+TONTAVRIL22!F16+TONTMAI22!F16+TONTJUIN22!F16+TONTJUIL22!F16+TONTAOUT22!F16+TONTSEPT22!F16+TONTOCT22!F16+TONTNOV22!F16+TONTDEC22!F16</f>
        <v>709500</v>
      </c>
      <c r="G16" s="8">
        <f>TONTJANV22!G16+TONTFEV22!G16+TONTMARS22!G16+TONTAVRIL22!G16+TONTMAI22!G16+TONTJUIN22!G16+TONTJUIL22!G16+TONTAOUT22!G16+TONTSEPT22!G16+TONTOCT22!G16+TONTNOV22!G16+TONTDEC22!G16</f>
        <v>14500</v>
      </c>
      <c r="H16" s="8"/>
      <c r="I16" s="8"/>
      <c r="J16" s="8">
        <f>TONTJANV22!J16+TONTFEV22!J16+TONTMARS22!J16+TONTAVRIL22!J16+TONTMAI22!J16+TONTJUIN22!J16+TONTJUIL22!J16+TONTAOUT22!J16+TONTSEPT22!J16+TONTOCT22!J16+TONTNOV22!J16+TONTDEC22!J16</f>
        <v>724000</v>
      </c>
      <c r="K16" s="8">
        <f>TONTJANV22!K16+TONTFEV22!K16+TONTMARS22!K16+TONTAVRIL22!K16+TONTMAI22!K16+TONTJUIN22!K16+TONTJUIL22!K16+TONTAOUT22!K16+TONTSEPT22!K16+TONTOCT22!K16+TONTNOV22!K16+TONTDEC22!K16</f>
        <v>724000</v>
      </c>
      <c r="L16" s="8"/>
      <c r="M16" s="8"/>
      <c r="N16" s="8">
        <f>TONTJANV22!N16+TONTFEV22!N16+TONTMARS22!N16+TONTAVRIL22!N16+TONTMAI22!N16+TONTJUIN22!N16+TONTJUIL22!N16+TONTAOUT22!N16+TONTSEPT22!N16+TONTOCT22!N16+TONTNOV22!N16+TONTDEC22!N16</f>
        <v>0</v>
      </c>
      <c r="O16" s="8">
        <f>TONTJANV22!O16+TONTFEV22!O16+TONTMARS22!O16+TONTAVRIL22!O16+TONTMAI22!O16+TONTJUIN22!O16+TONTJUIL22!O16+TONTAOUT22!O16+TONTSEPT22!O16+TONTOCT22!O16+TONTNOV22!O16+TONTDEC22!O16+1020000</f>
        <v>2130000</v>
      </c>
      <c r="P16" s="8">
        <f>TONTJANV22!P16+TONTFEV22!P16+TONTMARS22!P16+TONTAVRIL22!P16+TONTMAI22!P16+TONTJUIN22!P16+TONTJUIL22!P16+TONTAOUT22!P16+TONTSEPT22!P16+TONTOCT22!P16+TONTNOV22!P16+TONTDEC22!P16+180000</f>
        <v>270000</v>
      </c>
      <c r="Q16" s="8">
        <f>TONTOCT21!T16+TONTNOV21!T16+TONTDEC21!T16+TONTJANV22!Q16+TONTFEV22!Q16+TONTMARS22!Q16+TONTAVRIL22!Q16+TONTMAI22!Q16+TONTJUIN22!Q16+TONTJUIL22!Q16+TONTAOUT22!Q16+TONTSEPT22!Q16+TONTOCT22!Q16+TONTNOV22!Q16+TONTDEC22!Q16</f>
        <v>120000</v>
      </c>
      <c r="R16" s="44">
        <v>44470</v>
      </c>
      <c r="S16" s="44">
        <v>44743</v>
      </c>
      <c r="T16" s="44"/>
      <c r="U16" s="36"/>
      <c r="V16" s="36">
        <v>44774</v>
      </c>
      <c r="W16" s="2">
        <f>TONTAOUT22!Q24</f>
        <v>0</v>
      </c>
    </row>
    <row r="17" spans="1:23" ht="18.75" x14ac:dyDescent="0.3">
      <c r="A17" s="16" t="s">
        <v>12</v>
      </c>
      <c r="B17" s="8">
        <f>IF(D17=0,0,VLOOKUP($A17,[9]HISTOJANV22!$A$7:$BA$36,12,0))</f>
        <v>1</v>
      </c>
      <c r="C17" s="1" t="str">
        <f>VLOOKUP(A17,[6]LISTADHERENT!A$5:H$60,3,0)</f>
        <v>NKAMGANG JUSTIN DEJOLIE</v>
      </c>
      <c r="D17" s="8">
        <f>TONTJANV22!D17+TONTFEV22!D17+TONTMARS22!D17+TONTAVRIL22!D17+TONTMAI22!D17+TONTJUIN22!D17+TONTJUIL22!D17+TONTAOUT22!D17+TONTSEPT22!D17+TONTOCT22!D17+TONTNOV22!D17+TONTDEC22!D17</f>
        <v>900000</v>
      </c>
      <c r="E17" s="8"/>
      <c r="F17" s="8">
        <f>TONTJANV22!F17+TONTFEV22!F17+TONTMARS22!F17+TONTAVRIL22!F17+TONTMAI22!F17+TONTJUIN22!F17+TONTJUIL22!F17+TONTAOUT22!F17+TONTSEPT22!F17+TONTOCT22!F17+TONTNOV22!F17+TONTDEC22!F17</f>
        <v>1114000</v>
      </c>
      <c r="G17" s="8">
        <f>TONTJANV22!G17+TONTFEV22!G17+TONTMARS22!G17+TONTAVRIL22!G17+TONTMAI22!G17+TONTJUIN22!G17+TONTJUIL22!G17+TONTAOUT22!G17+TONTSEPT22!G17+TONTOCT22!G17+TONTNOV22!G17+TONTDEC22!G17</f>
        <v>16500</v>
      </c>
      <c r="H17" s="8"/>
      <c r="I17" s="8"/>
      <c r="J17" s="8">
        <f>TONTJANV22!J17+TONTFEV22!J17+TONTMARS22!J17+TONTAVRIL22!J17+TONTMAI22!J17+TONTJUIN22!J17+TONTJUIL22!J17+TONTAOUT22!J17+TONTSEPT22!J17+TONTOCT22!J17+TONTNOV22!J17+TONTDEC22!J17</f>
        <v>1160000</v>
      </c>
      <c r="K17" s="8">
        <f>TONTJANV22!K17+TONTFEV22!K17+TONTMARS22!K17+TONTAVRIL22!K17+TONTMAI22!K17+TONTJUIN22!K17+TONTJUIL22!K17+TONTAOUT22!K17+TONTSEPT22!K17+TONTOCT22!K17+TONTNOV22!K17+TONTDEC22!K17</f>
        <v>1160000</v>
      </c>
      <c r="L17" s="8"/>
      <c r="M17" s="8"/>
      <c r="N17" s="8">
        <f>TONTJANV22!N17+TONTFEV22!N17+TONTMARS22!N17+TONTAVRIL22!N17+TONTMAI22!N17+TONTJUIN22!N17+TONTJUIL22!N17+TONTAOUT22!N17+TONTSEPT22!N17+TONTOCT22!N17+TONTNOV22!N17+TONTDEC22!N17</f>
        <v>0</v>
      </c>
      <c r="O17" s="8">
        <f>TONTJANV22!O17+TONTFEV22!O17+TONTMARS22!O17+TONTAVRIL22!O17+TONTMAI22!O17+TONTJUIN22!O17+TONTJUIL22!O17+TONTAOUT22!O17+TONTSEPT22!O17+TONTOCT22!O17+TONTNOV22!O17+TONTDEC22!O17</f>
        <v>1125000</v>
      </c>
      <c r="P17" s="8">
        <f>TONTJANV22!P17+TONTFEV22!P17+TONTMARS22!P17+TONTAVRIL22!P17+TONTMAI22!P17+TONTJUIN22!P17+TONTJUIL22!P17+TONTAOUT22!P17+TONTSEPT22!P17+TONTOCT22!P17+TONTNOV22!P17+TONTDEC22!P17</f>
        <v>75000</v>
      </c>
      <c r="Q17" s="8">
        <f>TONTOCT21!T17+TONTNOV21!T17+TONTDEC21!T17+TONTJANV22!Q17+TONTFEV22!Q17+TONTMARS22!Q17+TONTAVRIL22!Q17+TONTMAI22!Q17+TONTJUIN22!Q17+TONTJUIL22!Q17+TONTAOUT22!Q17+TONTSEPT22!Q17+TONTOCT22!Q17+TONTNOV22!Q17+TONTDEC22!Q17</f>
        <v>0</v>
      </c>
      <c r="R17" s="44">
        <v>44713</v>
      </c>
      <c r="U17" s="36"/>
      <c r="V17" s="36">
        <v>44805</v>
      </c>
      <c r="W17" s="2">
        <f>TONTSEPT22!Q24</f>
        <v>0</v>
      </c>
    </row>
    <row r="18" spans="1:23" ht="18.75" x14ac:dyDescent="0.3">
      <c r="A18" s="1" t="s">
        <v>42</v>
      </c>
      <c r="B18" s="8">
        <f>IF(D18=0,0,VLOOKUP($A18,[9]HISTOJANV22!$A$7:$BA$36,12,0))</f>
        <v>1</v>
      </c>
      <c r="C18" s="1" t="str">
        <f>VLOOKUP(A18,[6]LISTADHERENT!A$5:H$60,3,0)</f>
        <v>PATEGO NJOSSU GUSTAVE</v>
      </c>
      <c r="D18" s="8">
        <f>TONTJANV22!D18+TONTFEV22!D18+TONTMARS22!D18+TONTAVRIL22!D18+TONTMAI22!D18+TONTJUIN22!D18+TONTJUIL22!D18+TONTAOUT22!D18+TONTSEPT22!D18+TONTOCT22!D18+TONTNOV22!D18+TONTDEC22!D18</f>
        <v>900000</v>
      </c>
      <c r="E18" s="8"/>
      <c r="F18" s="8">
        <f>TONTJANV22!F18+TONTFEV22!F18+TONTMARS22!F18+TONTAVRIL22!F18+TONTMAI22!F18+TONTJUIN22!F18+TONTJUIL22!F18+TONTAOUT22!F18+TONTSEPT22!F18+TONTOCT22!F18+TONTNOV22!F18+TONTDEC22!F18</f>
        <v>0</v>
      </c>
      <c r="G18" s="8">
        <f>TONTJANV22!G18+TONTFEV22!G18+TONTMARS22!G18+TONTAVRIL22!G18+TONTMAI22!G18+TONTJUIN22!G18+TONTJUIL22!G18+TONTAOUT22!G18+TONTSEPT22!G18+TONTOCT22!G18+TONTNOV22!G18+TONTDEC22!G18</f>
        <v>0</v>
      </c>
      <c r="H18" s="8"/>
      <c r="I18" s="8"/>
      <c r="J18" s="8">
        <f>TONTJANV22!J18+TONTFEV22!J18+TONTMARS22!J18+TONTAVRIL22!J18+TONTMAI22!J18+TONTJUIN22!J18+TONTJUIL22!J18+TONTAOUT22!J18+TONTSEPT22!J18+TONTOCT22!J18+TONTNOV22!J18+TONTDEC22!J18</f>
        <v>0</v>
      </c>
      <c r="K18" s="8">
        <f>TONTJANV22!K18+TONTFEV22!K18+TONTMARS22!K18+TONTAVRIL22!K18+TONTMAI22!K18+TONTJUIN22!K18+TONTJUIL22!K18+TONTAOUT22!K18+TONTSEPT22!K18+TONTOCT22!K18+TONTNOV22!K18+TONTDEC22!K18</f>
        <v>0</v>
      </c>
      <c r="L18" s="8"/>
      <c r="M18" s="8"/>
      <c r="N18" s="8">
        <f>TONTJANV22!N18+TONTFEV22!N18+TONTMARS22!N18+TONTAVRIL22!N18+TONTMAI22!N18+TONTJUIN22!N18+TONTJUIL22!N18+TONTAOUT22!N18+TONTSEPT22!N18+TONTOCT22!N18+TONTNOV22!N18+TONTDEC22!N18</f>
        <v>0</v>
      </c>
      <c r="O18" s="8">
        <f>TONTJANV22!O18+TONTFEV22!O18+TONTMARS22!O18+TONTAVRIL22!O18+TONTMAI22!O18+TONTJUIN22!O18+TONTJUIL22!O18+TONTAOUT22!O18+TONTSEPT22!O18+TONTOCT22!O18+TONTNOV22!O18+TONTDEC22!O18</f>
        <v>1125000</v>
      </c>
      <c r="P18" s="8">
        <f>TONTJANV22!P18+TONTFEV22!P18+TONTMARS22!P18+TONTAVRIL22!P18+TONTMAI22!P18+TONTJUIN22!P18+TONTJUIL22!P18+TONTAOUT22!P18+TONTSEPT22!P18+TONTOCT22!P18+TONTNOV22!P18+TONTDEC22!P18</f>
        <v>75000</v>
      </c>
      <c r="Q18" s="8">
        <f>TONTOCT21!T18+TONTNOV21!T18+TONTDEC21!T18+TONTJANV22!Q18+TONTFEV22!Q18+TONTMARS22!Q18+TONTAVRIL22!Q18+TONTMAI22!Q18+TONTJUIN22!Q18+TONTJUIL22!Q18+TONTAOUT22!Q18+TONTSEPT22!Q18+TONTOCT22!Q18+TONTNOV22!Q18+TONTDEC22!Q18</f>
        <v>0</v>
      </c>
      <c r="R18" s="44">
        <v>44835</v>
      </c>
      <c r="U18" s="36"/>
      <c r="V18" s="36">
        <v>44835</v>
      </c>
      <c r="W18" s="2">
        <f>TONTOCT22!Q24</f>
        <v>0</v>
      </c>
    </row>
    <row r="19" spans="1:23" ht="18.75" x14ac:dyDescent="0.3">
      <c r="A19" s="16" t="s">
        <v>71</v>
      </c>
      <c r="B19" s="8">
        <f>IF(D19=0,0,VLOOKUP($A19,[9]HISTOJANV22!$A$7:$BA$36,12,0))</f>
        <v>1</v>
      </c>
      <c r="C19" s="1" t="str">
        <f>VLOOKUP(A19,[6]LISTADHERENT!A$5:H$60,3,0)</f>
        <v>SIME BRICE</v>
      </c>
      <c r="D19" s="8">
        <f>TONTJANV22!D19+TONTFEV22!D19+TONTMARS22!D19+TONTAVRIL22!D19+TONTMAI22!D19+TONTJUIN22!D19+TONTJUIL22!D19+TONTAOUT22!D19+TONTSEPT22!D19+TONTOCT22!D19+TONTNOV22!D19+TONTDEC22!D19</f>
        <v>900000</v>
      </c>
      <c r="E19" s="8"/>
      <c r="F19" s="8">
        <f>TONTJANV22!F19+TONTFEV22!F19+TONTMARS22!F19+TONTAVRIL22!F19+TONTMAI22!F19+TONTJUIN22!F19+TONTJUIL22!F19+TONTAOUT22!F19+TONTSEPT22!F19+TONTOCT22!F19+TONTNOV22!F19+TONTDEC22!F19</f>
        <v>0</v>
      </c>
      <c r="G19" s="8">
        <f>TONTJANV22!G19+TONTFEV22!G19+TONTMARS22!G19+TONTAVRIL22!G19+TONTMAI22!G19+TONTJUIN22!G19+TONTJUIL22!G19+TONTAOUT22!G19+TONTSEPT22!G19+TONTOCT22!G19+TONTNOV22!G19+TONTDEC22!G19</f>
        <v>0</v>
      </c>
      <c r="H19" s="8"/>
      <c r="I19" s="8"/>
      <c r="J19" s="8">
        <f>TONTJANV22!J19+TONTFEV22!J19+TONTMARS22!J19+TONTAVRIL22!J19+TONTMAI22!J19+TONTJUIN22!J19+TONTJUIL22!J19+TONTAOUT22!J19+TONTSEPT22!J19+TONTOCT22!J19+TONTNOV22!J19+TONTDEC22!J19</f>
        <v>0</v>
      </c>
      <c r="K19" s="8">
        <f>TONTJANV22!K19+TONTFEV22!K19+TONTMARS22!K19+TONTAVRIL22!K19+TONTMAI22!K19+TONTJUIN22!K19+TONTJUIL22!K19+TONTAOUT22!K19+TONTSEPT22!K19+TONTOCT22!K19+TONTNOV22!K19+TONTDEC22!K19</f>
        <v>0</v>
      </c>
      <c r="L19" s="8"/>
      <c r="M19" s="8"/>
      <c r="N19" s="8">
        <f>TONTJANV22!N19+TONTFEV22!N19+TONTMARS22!N19+TONTAVRIL22!N19+TONTMAI22!N19+TONTJUIN22!N19+TONTJUIL22!N19+TONTAOUT22!N19+TONTSEPT22!N19+TONTOCT22!N19+TONTNOV22!N19+TONTDEC22!N19</f>
        <v>0</v>
      </c>
      <c r="O19" s="8">
        <f>TONTJANV22!O19+TONTFEV22!O19+TONTMARS22!O19+TONTAVRIL22!O19+TONTMAI22!O19+TONTJUIN22!O19+TONTJUIL22!O19+TONTAOUT22!O19+TONTSEPT22!O19+TONTOCT22!O19+TONTNOV22!O19+TONTDEC22!O19</f>
        <v>1125000</v>
      </c>
      <c r="P19" s="8">
        <f>TONTJANV22!P19+TONTFEV22!P19+TONTMARS22!P19+TONTAVRIL22!P19+TONTMAI22!P19+TONTJUIN22!P19+TONTJUIL22!P19+TONTAOUT22!P19+TONTSEPT22!P19+TONTOCT22!P19+TONTNOV22!P19+TONTDEC22!P19</f>
        <v>75000</v>
      </c>
      <c r="Q19" s="8">
        <f>TONTOCT21!T19+TONTNOV21!T19+TONTDEC21!T19+TONTJANV22!Q19+TONTFEV22!Q19+TONTMARS22!Q19+TONTAVRIL22!Q19+TONTMAI22!Q19+TONTJUIN22!Q19+TONTJUIL22!Q19+TONTAOUT22!Q19+TONTSEPT22!Q19+TONTOCT22!Q19+TONTNOV22!Q19+TONTDEC22!Q19</f>
        <v>0</v>
      </c>
      <c r="R19" s="44">
        <v>44805</v>
      </c>
      <c r="U19" s="36"/>
      <c r="V19" s="36">
        <v>44866</v>
      </c>
      <c r="W19" s="2">
        <f>TONTNOV22!Q24</f>
        <v>0</v>
      </c>
    </row>
    <row r="20" spans="1:23" ht="18.75" x14ac:dyDescent="0.3">
      <c r="A20" s="16" t="s">
        <v>43</v>
      </c>
      <c r="B20" s="8">
        <f>IF(D20=0,0,VLOOKUP($A20,[9]HISTOJANV22!$A$7:$BA$36,12,0))</f>
        <v>1</v>
      </c>
      <c r="C20" s="1" t="str">
        <f>VLOOKUP(A20,[6]LISTADHERENT!A$5:H$60,3,0)</f>
        <v>SIMO PIERRE</v>
      </c>
      <c r="D20" s="8">
        <f>TONTJANV22!D20+TONTFEV22!D20+TONTMARS22!D20+TONTAVRIL22!D20+TONTMAI22!D20+TONTJUIN22!D20+TONTJUIL22!D20+TONTAOUT22!D20+TONTSEPT22!D20+TONTOCT22!D20+TONTNOV22!D20+TONTDEC22!D20</f>
        <v>900000</v>
      </c>
      <c r="E20" s="8"/>
      <c r="F20" s="8">
        <f>TONTJANV22!F20+TONTFEV22!F20+TONTMARS22!F20+TONTAVRIL22!F20+TONTMAI22!F20+TONTJUIN22!F20+TONTJUIL22!F20+TONTAOUT22!F20+TONTSEPT22!F20+TONTOCT22!F20+TONTNOV22!F20+TONTDEC22!F20</f>
        <v>48000</v>
      </c>
      <c r="G20" s="8">
        <f>TONTJANV22!G20+TONTFEV22!G20+TONTMARS22!G20+TONTAVRIL22!G20+TONTMAI22!G20+TONTJUIN22!G20+TONTJUIL22!G20+TONTAOUT22!G20+TONTSEPT22!G20+TONTOCT22!G20+TONTNOV22!G20+TONTDEC22!G20</f>
        <v>500</v>
      </c>
      <c r="H20" s="8"/>
      <c r="I20" s="8"/>
      <c r="J20" s="8">
        <f>TONTJANV22!J20+TONTFEV22!J20+TONTMARS22!J20+TONTAVRIL22!J20+TONTMAI22!J20+TONTJUIN22!J20+TONTJUIL22!J20+TONTAOUT22!J20+TONTSEPT22!J20+TONTOCT22!J20+TONTNOV22!J20+TONTDEC22!J20</f>
        <v>48500</v>
      </c>
      <c r="K20" s="8">
        <f>TONTJANV22!K20+TONTFEV22!K20+TONTMARS22!K20+TONTAVRIL22!K20+TONTMAI22!K20+TONTJUIN22!K20+TONTJUIL22!K20+TONTAOUT22!K20+TONTSEPT22!K20+TONTOCT22!K20+TONTNOV22!K20+TONTDEC22!K20</f>
        <v>48500</v>
      </c>
      <c r="L20" s="8"/>
      <c r="M20" s="8"/>
      <c r="N20" s="8">
        <f>TONTJANV22!N20+TONTFEV22!N20+TONTMARS22!N20+TONTAVRIL22!N20+TONTMAI22!N20+TONTJUIN22!N20+TONTJUIL22!N20+TONTAOUT22!N20+TONTSEPT22!N20+TONTOCT22!N20+TONTNOV22!N20+TONTDEC22!N20</f>
        <v>0</v>
      </c>
      <c r="O20" s="8">
        <f>TONTJANV22!O20+TONTFEV22!O20+TONTMARS22!O20+TONTAVRIL22!O20+TONTMAI22!O20+TONTJUIN22!O20+TONTJUIL22!O20+TONTAOUT22!O20+TONTSEPT22!O20+TONTOCT22!O20+TONTNOV22!O20+TONTDEC22!O20</f>
        <v>1115000</v>
      </c>
      <c r="P20" s="8">
        <f>TONTJANV22!P20+TONTFEV22!P20+TONTMARS22!P20+TONTAVRIL22!P20+TONTMAI22!P20+TONTJUIN22!P20+TONTJUIL22!P20+TONTAOUT22!P20+TONTSEPT22!P20+TONTOCT22!P20+TONTNOV22!P20+TONTDEC22!P20</f>
        <v>85000</v>
      </c>
      <c r="Q20" s="8">
        <f>TONTOCT21!T20+TONTNOV21!T20+TONTDEC21!T20+TONTJANV22!Q20+TONTFEV22!Q20+TONTMARS22!Q20+TONTAVRIL22!Q20+TONTMAI22!Q20+TONTJUIN22!Q20+TONTJUIL22!Q20+TONTAOUT22!Q20+TONTSEPT22!Q20+TONTOCT22!Q20+TONTNOV22!Q20+TONTDEC22!Q20</f>
        <v>10000</v>
      </c>
      <c r="R20" s="44">
        <v>44593</v>
      </c>
      <c r="U20" s="36"/>
      <c r="V20" s="36">
        <v>44896</v>
      </c>
      <c r="W20" s="2">
        <f>TONTDEC22!Q24</f>
        <v>0</v>
      </c>
    </row>
    <row r="21" spans="1:23" ht="18.75" x14ac:dyDescent="0.3">
      <c r="A21" s="1" t="s">
        <v>30</v>
      </c>
      <c r="B21" s="8">
        <f>IF(D21=0,0,VLOOKUP($A21,[9]HISTOJANV22!$A$7:$BA$36,12,0))</f>
        <v>2</v>
      </c>
      <c r="C21" s="1" t="str">
        <f>VLOOKUP(A21,[6]LISTADHERENT!A$5:H$60,3,0)</f>
        <v>YOUMBI EMMANUEL</v>
      </c>
      <c r="D21" s="8">
        <f>TONTJANV22!D21+TONTFEV22!D21+TONTMARS22!D21+TONTAVRIL22!D21+TONTMAI22!D21+TONTJUIN22!D21+TONTJUIL22!D21+TONTAOUT22!D21+TONTSEPT22!D21+TONTOCT22!D21+TONTNOV22!D21+TONTDEC22!D21</f>
        <v>1800000</v>
      </c>
      <c r="E21" s="8"/>
      <c r="F21" s="8">
        <f>TONTJANV22!F21+TONTFEV22!F21+TONTMARS22!F21+TONTAVRIL22!F21+TONTMAI22!F21+TONTJUIN22!F21+TONTJUIL22!F21+TONTAOUT22!F21+TONTSEPT22!F21+TONTOCT22!F21+TONTNOV22!F21+TONTDEC22!F21</f>
        <v>0</v>
      </c>
      <c r="G21" s="8">
        <f>TONTJANV22!G21+TONTFEV22!G21+TONTMARS22!G21+TONTAVRIL22!G21+TONTMAI22!G21+TONTJUIN22!G21+TONTJUIL22!G21+TONTAOUT22!G21+TONTSEPT22!G21+TONTOCT22!G21+TONTNOV22!G21+TONTDEC22!G21</f>
        <v>0</v>
      </c>
      <c r="H21" s="8"/>
      <c r="I21" s="8"/>
      <c r="J21" s="8">
        <f>TONTJANV22!J21+TONTFEV22!J21+TONTMARS22!J21+TONTAVRIL22!J21+TONTMAI22!J21+TONTJUIN22!J21+TONTJUIL22!J21+TONTAOUT22!J21+TONTSEPT22!J21+TONTOCT22!J21+TONTNOV22!J21+TONTDEC22!J21</f>
        <v>0</v>
      </c>
      <c r="K21" s="8">
        <f>TONTJANV22!K21+TONTFEV22!K21+TONTMARS22!K21+TONTAVRIL22!K21+TONTMAI22!K21+TONTJUIN22!K21+TONTJUIL22!K21+TONTAOUT22!K21+TONTSEPT22!K21+TONTOCT22!K21+TONTNOV22!K21+TONTDEC22!K21</f>
        <v>0</v>
      </c>
      <c r="L21" s="8"/>
      <c r="M21" s="8"/>
      <c r="N21" s="8">
        <f>TONTJANV22!N21+TONTFEV22!N21+TONTMARS22!N21+TONTAVRIL22!N21+TONTMAI22!N21+TONTJUIN22!N21+TONTJUIL22!N21+TONTAOUT22!N21+TONTSEPT22!N21+TONTOCT22!N21+TONTNOV22!N21+TONTDEC22!N21</f>
        <v>0</v>
      </c>
      <c r="O21" s="8">
        <f>TONTJANV22!O21+TONTFEV22!O21+TONTMARS22!O21+TONTAVRIL22!O21+TONTMAI22!O21+TONTJUIN22!O21+TONTJUIL22!O21+TONTAOUT22!O21+TONTSEPT22!O21+TONTOCT22!O21+TONTNOV22!O21+TONTDEC22!O21</f>
        <v>2250000</v>
      </c>
      <c r="P21" s="8">
        <f>TONTJANV22!P21+TONTFEV22!P21+TONTMARS22!P21+TONTAVRIL22!P21+TONTMAI22!P21+TONTJUIN22!P21+TONTJUIL22!P21+TONTAOUT22!P21+TONTSEPT22!P21+TONTOCT22!P21+TONTNOV22!P21+TONTDEC22!P21</f>
        <v>150000</v>
      </c>
      <c r="Q21" s="8">
        <f>TONTOCT21!T21+TONTNOV21!T21+TONTDEC21!T21+TONTJANV22!Q21+TONTFEV22!Q21+TONTMARS22!Q21+TONTAVRIL22!Q21+TONTMAI22!Q21+TONTJUIN22!Q21+TONTJUIL22!Q21+TONTAOUT22!Q21+TONTSEPT22!Q21+TONTOCT22!Q21+TONTNOV22!Q21+TONTDEC22!Q21</f>
        <v>0</v>
      </c>
      <c r="R21" s="44">
        <v>44866</v>
      </c>
      <c r="S21" s="44">
        <v>44866</v>
      </c>
    </row>
    <row r="22" spans="1:23" x14ac:dyDescent="0.25">
      <c r="A22" s="1"/>
      <c r="B22" s="8"/>
      <c r="C22" s="1"/>
      <c r="D22" s="8"/>
      <c r="E22" s="8"/>
      <c r="F22" s="8"/>
      <c r="G22" s="8"/>
      <c r="H22" s="8"/>
      <c r="I22" s="8"/>
      <c r="J22"/>
      <c r="K22" s="8"/>
      <c r="L22" s="8"/>
      <c r="M22" s="8"/>
      <c r="N22" s="8"/>
      <c r="O22" s="8"/>
      <c r="P22" s="8"/>
      <c r="Q22" s="8"/>
      <c r="W22" s="2">
        <f>SUM(W6:W21)</f>
        <v>300000</v>
      </c>
    </row>
    <row r="23" spans="1:23" ht="18" x14ac:dyDescent="0.25">
      <c r="A23" s="1" t="s">
        <v>73</v>
      </c>
      <c r="B23" s="9">
        <f>SUM(B6:B22)</f>
        <v>20</v>
      </c>
      <c r="G23" s="32"/>
    </row>
    <row r="24" spans="1:23" ht="18" x14ac:dyDescent="0.25">
      <c r="A24" s="1" t="s">
        <v>74</v>
      </c>
      <c r="B24" s="43">
        <f>COUNT(D6:D18)</f>
        <v>13</v>
      </c>
      <c r="C24" s="9"/>
      <c r="D24" s="9">
        <f>SUM(D6:D23)</f>
        <v>18000000</v>
      </c>
      <c r="E24" s="9"/>
      <c r="F24" s="9">
        <f t="shared" ref="F24:Q24" si="1">SUM(F6:F23)</f>
        <v>5123500</v>
      </c>
      <c r="G24" s="9">
        <f t="shared" si="1"/>
        <v>87500</v>
      </c>
      <c r="H24" s="9">
        <f t="shared" si="1"/>
        <v>0</v>
      </c>
      <c r="I24" s="9">
        <f t="shared" si="1"/>
        <v>0</v>
      </c>
      <c r="J24" s="9">
        <f t="shared" si="1"/>
        <v>5446500</v>
      </c>
      <c r="K24" s="9">
        <f t="shared" si="1"/>
        <v>5446500</v>
      </c>
      <c r="L24" s="9">
        <f t="shared" si="1"/>
        <v>0</v>
      </c>
      <c r="M24" s="9">
        <f t="shared" si="1"/>
        <v>0</v>
      </c>
      <c r="N24" s="9">
        <f t="shared" si="1"/>
        <v>0</v>
      </c>
      <c r="O24" s="9">
        <f t="shared" si="1"/>
        <v>21135000</v>
      </c>
      <c r="P24" s="9">
        <f t="shared" si="1"/>
        <v>1715000</v>
      </c>
      <c r="Q24" s="9">
        <f t="shared" si="1"/>
        <v>300000</v>
      </c>
    </row>
    <row r="25" spans="1:23" s="2" customFormat="1" ht="29.25" x14ac:dyDescent="0.25">
      <c r="B25"/>
      <c r="C25"/>
      <c r="D25"/>
      <c r="E25"/>
      <c r="F25"/>
      <c r="G25" s="32"/>
      <c r="H25" s="3"/>
      <c r="I25" s="3"/>
      <c r="J25" s="3"/>
      <c r="L25" s="6" t="s">
        <v>61</v>
      </c>
      <c r="M25" s="6" t="s">
        <v>80</v>
      </c>
      <c r="N25" s="3"/>
      <c r="P25" s="9">
        <v>1275000</v>
      </c>
    </row>
    <row r="26" spans="1:23" s="2" customFormat="1" ht="29.25" x14ac:dyDescent="0.25">
      <c r="D26" s="6" t="s">
        <v>6</v>
      </c>
      <c r="E26" s="6" t="s">
        <v>22</v>
      </c>
      <c r="F26" s="6" t="s">
        <v>25</v>
      </c>
      <c r="G26" s="6" t="s">
        <v>27</v>
      </c>
      <c r="H26" s="6" t="s">
        <v>28</v>
      </c>
      <c r="I26" s="6"/>
      <c r="J26" s="9" t="s">
        <v>35</v>
      </c>
      <c r="K26" s="9">
        <f>D30+E30+P24</f>
        <v>1715000</v>
      </c>
      <c r="L26" s="6"/>
      <c r="M26"/>
      <c r="N26" s="6"/>
    </row>
    <row r="27" spans="1:23" s="2" customFormat="1" ht="18" x14ac:dyDescent="0.25">
      <c r="D27" s="9">
        <f>SUMIFS(D6:D23,E6:E23,"ESPECES")</f>
        <v>0</v>
      </c>
      <c r="E27" s="9">
        <f>SUMIFS(K6:K18,L6:L18,"ESPECES")</f>
        <v>0</v>
      </c>
      <c r="F27" s="9">
        <f>SUMIFS(F6:F23,H6:H23,"ESPECES")</f>
        <v>0</v>
      </c>
      <c r="G27" s="9">
        <f>SUMIFS(O6:O23,M6:M23,"ESPECES")</f>
        <v>0</v>
      </c>
      <c r="H27" s="9">
        <f>D27+E27-F27-G27</f>
        <v>0</v>
      </c>
      <c r="I27" s="9"/>
      <c r="J27" s="9" t="s">
        <v>60</v>
      </c>
      <c r="K27" s="9">
        <f>C3*COUNTIF(O6:O23,"&gt;0")</f>
        <v>19200000</v>
      </c>
      <c r="L27" s="9">
        <f>D3</f>
        <v>1</v>
      </c>
      <c r="M27" s="9">
        <f>COUNTIF(O6:O18,"&gt;0")</f>
        <v>13</v>
      </c>
      <c r="N27" s="9"/>
      <c r="O27" s="2" t="s">
        <v>86</v>
      </c>
    </row>
    <row r="28" spans="1:23" s="2" customFormat="1" ht="18" x14ac:dyDescent="0.25">
      <c r="D28" s="9">
        <f>SUMIFS(D6:D23,E6:E23,"BANQUE")</f>
        <v>0</v>
      </c>
      <c r="E28" s="9">
        <f>SUMIFS(K6:K18,L6:L18,"BANQUE")</f>
        <v>0</v>
      </c>
      <c r="F28" s="9">
        <f>SUMIFS(F6:F23,H6:H23,"BANQUE")</f>
        <v>0</v>
      </c>
      <c r="G28" s="9">
        <f>SUMIFS(O6:O23,M6:M23,"BANQUE")</f>
        <v>0</v>
      </c>
      <c r="H28" s="9">
        <f>D28+E28-F28-G28</f>
        <v>0</v>
      </c>
      <c r="I28" s="9"/>
      <c r="K28" s="9"/>
      <c r="L28" s="9"/>
      <c r="M28" s="9"/>
      <c r="N28" s="9"/>
      <c r="O28" s="2" t="s">
        <v>87</v>
      </c>
    </row>
    <row r="29" spans="1:23" s="2" customFormat="1" ht="18" x14ac:dyDescent="0.25">
      <c r="D29" s="9"/>
      <c r="E29" s="9"/>
      <c r="F29" s="9"/>
      <c r="G29" s="9"/>
      <c r="I29" s="9"/>
      <c r="J29" s="9" t="s">
        <v>33</v>
      </c>
      <c r="K29" s="9">
        <f>K26-K27</f>
        <v>-17485000</v>
      </c>
      <c r="L29" s="9"/>
      <c r="M29" s="9"/>
      <c r="N29" s="9"/>
    </row>
    <row r="30" spans="1:23" s="2" customFormat="1" ht="18" x14ac:dyDescent="0.25">
      <c r="D30" s="9">
        <f>D27+D28</f>
        <v>0</v>
      </c>
      <c r="E30" s="9">
        <f>E27+E28</f>
        <v>0</v>
      </c>
      <c r="F30" s="9">
        <f>F27+F28</f>
        <v>0</v>
      </c>
      <c r="G30" s="9">
        <f t="shared" ref="G30:H30" si="2">G27+G28</f>
        <v>0</v>
      </c>
      <c r="H30" s="9">
        <f t="shared" si="2"/>
        <v>0</v>
      </c>
      <c r="I30" s="9"/>
      <c r="K30" s="9"/>
      <c r="L30" s="9"/>
      <c r="M30" s="9"/>
      <c r="N30" s="9"/>
      <c r="P30" s="2">
        <f>P27-P28</f>
        <v>0</v>
      </c>
    </row>
    <row r="31" spans="1:23" s="2" customFormat="1" ht="18" x14ac:dyDescent="0.25">
      <c r="D31" s="9"/>
      <c r="E31"/>
      <c r="F31"/>
      <c r="G31" s="3"/>
      <c r="H31" s="3"/>
      <c r="I31" s="3"/>
      <c r="J31" s="9" t="s">
        <v>56</v>
      </c>
      <c r="K31" s="9">
        <f>K29-F24</f>
        <v>-22608500</v>
      </c>
      <c r="L31"/>
      <c r="M31" s="9">
        <f>K31</f>
        <v>-22608500</v>
      </c>
      <c r="N31" s="9" t="s">
        <v>57</v>
      </c>
    </row>
    <row r="32" spans="1:23" s="2" customFormat="1" x14ac:dyDescent="0.25">
      <c r="D32" s="6"/>
      <c r="E32"/>
      <c r="F32"/>
      <c r="G32" s="3"/>
      <c r="H32" s="3"/>
      <c r="I32" s="3"/>
      <c r="L32"/>
      <c r="M32" s="3"/>
      <c r="N32" s="3"/>
    </row>
    <row r="33" spans="10:14" ht="18" x14ac:dyDescent="0.25">
      <c r="J33" s="9" t="s">
        <v>81</v>
      </c>
      <c r="K33" s="9">
        <f>B23*B3-D30</f>
        <v>1500000</v>
      </c>
      <c r="M33" s="9"/>
      <c r="N33" s="9" t="s">
        <v>57</v>
      </c>
    </row>
    <row r="34" spans="10:14" ht="18" x14ac:dyDescent="0.25">
      <c r="J34" s="9" t="s">
        <v>82</v>
      </c>
      <c r="K34" s="9">
        <f>J24-E30</f>
        <v>5446500</v>
      </c>
      <c r="M34" s="9"/>
      <c r="N34" s="9" t="s">
        <v>57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pane xSplit="2" ySplit="5" topLeftCell="C18" activePane="bottomRight" state="frozen"/>
      <selection activeCell="K6" sqref="K6"/>
      <selection pane="topRight" activeCell="K6" sqref="K6"/>
      <selection pane="bottomLeft" activeCell="K6" sqref="K6"/>
      <selection pane="bottomRight" activeCell="A22" sqref="A22:XFD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8.28515625" customWidth="1"/>
    <col min="6" max="6" width="16.7109375" customWidth="1"/>
    <col min="7" max="8" width="17.42578125" customWidth="1"/>
    <col min="9" max="9" width="17.5703125" style="3" customWidth="1"/>
    <col min="10" max="10" width="26.7109375" bestFit="1" customWidth="1"/>
    <col min="12" max="12" width="17.5703125" bestFit="1" customWidth="1"/>
    <col min="13" max="13" width="17.140625" customWidth="1"/>
    <col min="14" max="15" width="13.42578125" bestFit="1" customWidth="1"/>
    <col min="17" max="17" width="16.85546875" bestFit="1" customWidth="1"/>
    <col min="18" max="18" width="18.85546875" customWidth="1"/>
    <col min="22" max="22" width="12.42578125" bestFit="1" customWidth="1"/>
  </cols>
  <sheetData>
    <row r="1" spans="1:22" x14ac:dyDescent="0.25">
      <c r="A1" s="1" t="s">
        <v>0</v>
      </c>
      <c r="B1" s="1" t="s">
        <v>1</v>
      </c>
      <c r="C1"/>
      <c r="D1" s="1"/>
      <c r="E1" s="1"/>
      <c r="G1" s="3"/>
      <c r="H1" s="3"/>
      <c r="J1" s="3"/>
      <c r="K1" s="2"/>
      <c r="L1" s="1"/>
      <c r="M1" s="1"/>
      <c r="N1" s="3"/>
      <c r="O1" s="2"/>
      <c r="P1" s="2"/>
    </row>
    <row r="2" spans="1:22" x14ac:dyDescent="0.25">
      <c r="A2" s="1" t="s">
        <v>2</v>
      </c>
      <c r="B2" s="1">
        <v>2021</v>
      </c>
      <c r="C2" s="1" t="s">
        <v>58</v>
      </c>
      <c r="D2" s="1" t="s">
        <v>61</v>
      </c>
      <c r="E2" s="1"/>
      <c r="G2" s="3"/>
      <c r="H2" s="3"/>
      <c r="J2" s="3"/>
      <c r="K2" s="2"/>
      <c r="L2" s="1"/>
      <c r="M2" s="1"/>
      <c r="N2" s="3"/>
      <c r="O2" s="2"/>
      <c r="P2" s="2"/>
    </row>
    <row r="3" spans="1:22" x14ac:dyDescent="0.25">
      <c r="A3" s="1" t="s">
        <v>59</v>
      </c>
      <c r="B3" s="4">
        <v>75000</v>
      </c>
      <c r="C3" s="4">
        <f>B3*16</f>
        <v>1200000</v>
      </c>
      <c r="D3" s="1" t="e">
        <f>ROUNDDOWN(#REF!/C3,0)</f>
        <v>#REF!</v>
      </c>
      <c r="E3" s="1"/>
      <c r="G3" s="3"/>
      <c r="H3" s="3"/>
      <c r="J3" s="3"/>
      <c r="K3" s="2"/>
      <c r="L3" s="1"/>
      <c r="M3" s="1"/>
      <c r="N3" s="3"/>
      <c r="O3" s="2"/>
      <c r="P3" s="2"/>
    </row>
    <row r="4" spans="1:22" s="37" customFormat="1" ht="18" x14ac:dyDescent="0.25">
      <c r="B4" s="38"/>
      <c r="C4" s="54">
        <v>2021</v>
      </c>
      <c r="D4" s="55"/>
      <c r="E4" s="55"/>
      <c r="F4" s="55"/>
      <c r="G4" s="55"/>
      <c r="H4" s="55"/>
      <c r="I4" s="55"/>
      <c r="J4" s="55"/>
      <c r="K4" s="55"/>
      <c r="L4" s="55"/>
      <c r="N4" s="39"/>
      <c r="O4" s="39"/>
      <c r="P4" s="39"/>
      <c r="Q4" s="39"/>
    </row>
    <row r="5" spans="1:22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20</v>
      </c>
      <c r="F5" s="6" t="s">
        <v>54</v>
      </c>
      <c r="G5" s="6" t="s">
        <v>26</v>
      </c>
      <c r="H5" s="6" t="s">
        <v>25</v>
      </c>
      <c r="I5" s="6" t="s">
        <v>18</v>
      </c>
      <c r="J5" s="18" t="s">
        <v>26</v>
      </c>
      <c r="K5" s="18" t="s">
        <v>34</v>
      </c>
      <c r="L5" s="18" t="s">
        <v>47</v>
      </c>
      <c r="M5" s="18" t="s">
        <v>45</v>
      </c>
      <c r="N5" s="18" t="s">
        <v>19</v>
      </c>
      <c r="O5" s="6" t="s">
        <v>21</v>
      </c>
      <c r="P5" s="18" t="s">
        <v>34</v>
      </c>
      <c r="Q5" s="6" t="s">
        <v>23</v>
      </c>
      <c r="R5" s="6" t="s">
        <v>24</v>
      </c>
      <c r="S5" s="6" t="s">
        <v>62</v>
      </c>
      <c r="T5" s="6" t="s">
        <v>63</v>
      </c>
      <c r="U5" s="6" t="s">
        <v>64</v>
      </c>
    </row>
    <row r="6" spans="1:22" s="17" customFormat="1" x14ac:dyDescent="0.25">
      <c r="A6" s="1" t="s">
        <v>36</v>
      </c>
      <c r="B6" s="1" t="str">
        <f>VLOOKUP(A6,[6]LISTADHERENT!A$5:H$60,3,0)</f>
        <v>BOUTCHOUANG WILLIAM</v>
      </c>
      <c r="C6" s="8">
        <f>TONTJUIL!C6+TONTAOUT!C6+TONTSEPT!C6+TONTOCT!C6+TONTNOV!C6+TONTDEC!C6+TONTJANV!C6+TONTFEV!C6+TONTMARS!C6+TONTAVRIL!C6+TONTMAI!C6+TONTJUIN!C6+TONTJUIL21!C6+TONTAOUT21!C6+TONTSEPT21!C6</f>
        <v>1125000</v>
      </c>
      <c r="D6" s="8">
        <f>TONTJUIL!D6+TONTAOUT!D6+TONTSEPT!D6+TONTOCT!D6+TONTNOV!D6+TONTDEC!D6+TONTJANV!D6+TONTFEV!D6+TONTMARS!D6+TONTAVRIL!D6+TONTMAI!D6+TONTJUIN!D6+TONTJUIL21!D6+TONTAOUT21!D6+TONTSEPT21!D6</f>
        <v>0</v>
      </c>
      <c r="E6" s="8"/>
      <c r="F6" s="8">
        <f>TONTJUIL!F6+TONTAOUT!F6+TONTSEPT!F6+TONTOCT!F6+TONTNOV!F6+TONTDEC!F6+TONTJANV!F6+TONTFEV!F6+TONTMARS!F6+TONTAVRIL!F6+TONTMAI!F6+TONTJUIN!F6+TONTJUIL21!F6+TONTAOUT21!F6+TONTSEPT21!F6</f>
        <v>0</v>
      </c>
      <c r="G6" s="8"/>
      <c r="H6" s="8">
        <f>TONTJUIL!H6+TONTAOUT!H6+TONTSEPT!H6+TONTOCT!H6+TONTNOV!H6+TONTDEC!H6+TONTJANV!H6+TONTFEV!H6+TONTMARS!H6+TONTAVRIL!H6+TONTMAI!H6+TONTJUIN!H6+TONTJUIL21!H6+TONTAOUT21!H6+TONTSEPT21!H6</f>
        <v>0</v>
      </c>
      <c r="I6" s="8">
        <f>TONTJUIL!I6+TONTAOUT!I6+TONTSEPT!I6+TONTOCT!I6+TONTNOV!I6+TONTDEC!I6+TONTJANV!I6+TONTFEV!I6+TONTMARS!I6+TONTAVRIL!I6+TONTMAI!I6+TONTJUIN!I6+TONTJUIL21!I6+TONTAOUT21!I6+TONTSEPT21!I6</f>
        <v>0</v>
      </c>
      <c r="J6" s="8"/>
      <c r="K6" s="8"/>
      <c r="L6" s="8">
        <f>TONTJUIL!L6+TONTAOUT!L6+TONTSEPT!L6+TONTOCT!L6+TONTNOV!L6+TONTDEC!L6+TONTJANV!L6+TONTFEV!L6+TONTMARS!L6+TONTAVRIL!L6+TONTMAI!L6+TONTJUIN!L6+TONTJUIL21!L6+TONTAOUT21!L6+TONTSEPT21!L6</f>
        <v>0</v>
      </c>
      <c r="M6" s="8">
        <f>TONTJUIL!M6+TONTAOUT!M6+TONTSEPT!M6+TONTOCT!M6+TONTNOV!M6+TONTDEC!M6+TONTJANV!M6+TONTFEV!M6+TONTMARS!M6+TONTAVRIL!M6+TONTMAI!M6+TONTJUIN!M6+TONTJUIL21!M6+TONTAOUT21!M6+TONTSEPT21!M6</f>
        <v>0</v>
      </c>
      <c r="N6" s="8"/>
      <c r="O6" s="8"/>
      <c r="P6" s="8">
        <f>TONTJUIL!P6+TONTAOUT!P6+TONTSEPT!P6+TONTOCT!P6+TONTNOV!P6+TONTDEC!P6+TONTJANV!P6+TONTFEV!P6+TONTMARS!P6+TONTAVRIL!P6+TONTMAI!P6+TONTJUIN!P6+TONTJUIL21!P6+TONTAOUT21!P6+TONTSEPT21!P6</f>
        <v>0</v>
      </c>
      <c r="Q6" s="8">
        <f>TONTJUIL!Q6+TONTAOUT!Q6+TONTSEPT!Q6+TONTOCT!Q6+TONTNOV!Q6+TONTDEC!Q6+TONTJANV!Q6+TONTFEV!Q6+TONTMARS!Q6+TONTAVRIL!Q6+TONTMAI!Q6+TONTJUIN!Q6+TONTJUIL21!Q6+TONTAOUT21!Q6+TONTSEPT21!Q6</f>
        <v>1125000</v>
      </c>
      <c r="R6" s="8">
        <f>TONTJUIL!R6+TONTAOUT!R6+TONTSEPT!R6+TONTOCT!R6+TONTNOV!R6+TONTDEC!R6+TONTJANV!R6+TONTFEV!R6+TONTMARS!R6+TONTAVRIL!R6+TONTMAI!R6+TONTJUIN!R6+TONTJUIL21!R6+TONTAOUT21!R6+TONTSEPT21!R6</f>
        <v>75000</v>
      </c>
      <c r="S6" s="36">
        <v>44287</v>
      </c>
      <c r="T6"/>
      <c r="V6" s="22">
        <f>R6-75000</f>
        <v>0</v>
      </c>
    </row>
    <row r="7" spans="1:22" s="13" customFormat="1" x14ac:dyDescent="0.25">
      <c r="A7" s="40" t="s">
        <v>50</v>
      </c>
      <c r="B7" s="40" t="str">
        <f>VLOOKUP(A7,[6]LISTADHERENT!A$5:H$60,3,0)</f>
        <v>CHINGUE FABRICE</v>
      </c>
      <c r="C7" s="12">
        <f>TONTJUIL!C7+TONTAOUT!C7+TONTSEPT!C7+TONTOCT!C7+TONTNOV!C7+TONTDEC!C7+TONTJANV!C7+TONTFEV!C7+TONTMARS!C7+TONTAVRIL!C7+TONTMAI!C7+TONTJUIN!C7+TONTJUIL21!C7+TONTAOUT21!C7+TONTSEPT21!C7</f>
        <v>75000</v>
      </c>
      <c r="D7" s="12">
        <f>TONTJUIL!D7+TONTAOUT!D7+TONTSEPT!D7+TONTOCT!D7+TONTNOV!D7+TONTDEC!D7+TONTJANV!D7+TONTFEV!D7+TONTMARS!D7+TONTAVRIL!D7+TONTMAI!D7+TONTJUIN!D7+TONTJUIL21!D7+TONTAOUT21!D7+TONTSEPT21!D7</f>
        <v>0</v>
      </c>
      <c r="E7" s="12"/>
      <c r="F7" s="12">
        <f>TONTJUIL!F7+TONTAOUT!F7+TONTSEPT!F7+TONTOCT!F7+TONTNOV!F7+TONTDEC!F7+TONTJANV!F7+TONTFEV!F7+TONTMARS!F7+TONTAVRIL!F7+TONTMAI!F7+TONTJUIN!F7+TONTJUIL21!F7+TONTAOUT21!F7+TONTSEPT21!F7</f>
        <v>0</v>
      </c>
      <c r="G7" s="12"/>
      <c r="H7" s="12">
        <f>TONTJUIL!H7+TONTAOUT!H7+TONTSEPT!H7+TONTOCT!H7+TONTNOV!H7+TONTDEC!H7+TONTJANV!H7+TONTFEV!H7+TONTMARS!H7+TONTAVRIL!H7+TONTMAI!H7+TONTJUIN!H7+TONTJUIL21!H7+TONTAOUT21!H7+TONTSEPT21!H7</f>
        <v>0</v>
      </c>
      <c r="I7" s="12">
        <f>TONTJUIL!I7+TONTAOUT!I7+TONTSEPT!I7+TONTOCT!I7+TONTNOV!I7+TONTDEC!I7+TONTJANV!I7+TONTFEV!I7+TONTMARS!I7+TONTAVRIL!I7+TONTMAI!I7+TONTJUIN!I7+TONTJUIL21!I7+TONTAOUT21!I7+TONTSEPT21!I7</f>
        <v>0</v>
      </c>
      <c r="J7" s="12"/>
      <c r="K7" s="12"/>
      <c r="L7" s="12">
        <f>TONTJUIL!L7+TONTAOUT!L7+TONTSEPT!L7+TONTOCT!L7+TONTNOV!L7+TONTDEC!L7+TONTJANV!L7+TONTFEV!L7+TONTMARS!L7+TONTAVRIL!L7+TONTMAI!L7+TONTJUIN!L7+TONTJUIL21!L7+TONTAOUT21!L7+TONTSEPT21!L7</f>
        <v>0</v>
      </c>
      <c r="M7" s="12">
        <f>TONTJUIL!M7+TONTAOUT!M7+TONTSEPT!M7+TONTOCT!M7+TONTNOV!M7+TONTDEC!M7+TONTJANV!M7+TONTFEV!M7+TONTMARS!M7+TONTAVRIL!M7+TONTMAI!M7+TONTJUIN!M7+TONTJUIL21!M7+TONTAOUT21!M7+TONTSEPT21!M7</f>
        <v>0</v>
      </c>
      <c r="N7" s="12"/>
      <c r="O7" s="12"/>
      <c r="P7" s="12">
        <f>TONTJUIL!P7+TONTAOUT!P7+TONTSEPT!P7+TONTOCT!P7+TONTNOV!P7+TONTDEC!P7+TONTJANV!P7+TONTFEV!P7+TONTMARS!P7+TONTAVRIL!P7+TONTMAI!P7+TONTJUIN!P7+TONTJUIL21!P7+TONTAOUT21!P7+TONTSEPT21!P7</f>
        <v>0</v>
      </c>
      <c r="Q7" s="12">
        <f>TONTJUIL!Q7+TONTAOUT!Q7+TONTSEPT!Q7+TONTOCT!Q7+TONTNOV!Q7+TONTDEC!Q7+TONTJANV!Q7+TONTFEV!Q7+TONTMARS!Q7+TONTAVRIL!Q7+TONTMAI!Q7+TONTJUIN!Q7+TONTJUIL21!Q7+TONTAOUT21!Q7+TONTSEPT21!Q7</f>
        <v>0</v>
      </c>
      <c r="R7" s="12">
        <v>0</v>
      </c>
      <c r="V7" s="22"/>
    </row>
    <row r="8" spans="1:22" s="17" customFormat="1" x14ac:dyDescent="0.25">
      <c r="A8" s="1" t="s">
        <v>37</v>
      </c>
      <c r="B8" s="1" t="str">
        <f>VLOOKUP(A8,[6]LISTADHERENT!A$5:H$60,3,0)</f>
        <v xml:space="preserve">DJOMO JEAN PAUL </v>
      </c>
      <c r="C8" s="8">
        <f>TONTJUIL!C8+TONTAOUT!C8+TONTSEPT!C8+TONTOCT!C8+TONTNOV!C8+TONTDEC!C8+TONTJANV!C8+TONTFEV!C8+TONTMARS!C8+TONTAVRIL!C8+TONTMAI!C8+TONTJUIN!C8+TONTJUIL21!C8+TONTAOUT21!C8+TONTSEPT21!C8</f>
        <v>1125000</v>
      </c>
      <c r="D8" s="8">
        <f>TONTJUIL!D8+TONTAOUT!D8+TONTSEPT!D8+TONTOCT!D8+TONTNOV!D8+TONTDEC!D8+TONTJANV!D8+TONTFEV!D8+TONTMARS!D8+TONTAVRIL!D8+TONTMAI!D8+TONTJUIN!D8+TONTJUIL21!D8+TONTAOUT21!D8+TONTSEPT21!D8</f>
        <v>0</v>
      </c>
      <c r="E8" s="8"/>
      <c r="F8" s="8">
        <f>TONTJUIL!F8+TONTAOUT!F8+TONTSEPT!F8+TONTOCT!F8+TONTNOV!F8+TONTDEC!F8+TONTJANV!F8+TONTFEV!F8+TONTMARS!F8+TONTAVRIL!F8+TONTMAI!F8+TONTJUIN!F8+TONTJUIL21!F8+TONTAOUT21!F8+TONTSEPT21!F8</f>
        <v>0</v>
      </c>
      <c r="G8" s="8"/>
      <c r="H8" s="8">
        <f>TONTJUIL!H8+TONTAOUT!H8+TONTSEPT!H8+TONTOCT!H8+TONTNOV!H8+TONTDEC!H8+TONTJANV!H8+TONTFEV!H8+TONTMARS!H8+TONTAVRIL!H8+TONTMAI!H8+TONTJUIN!H8+TONTJUIL21!H8+TONTAOUT21!H8+TONTSEPT21!H8</f>
        <v>1276000</v>
      </c>
      <c r="I8" s="8">
        <f>TONTJUIL!I8+TONTAOUT!I8+TONTSEPT!I8+TONTOCT!I8+TONTNOV!I8+TONTDEC!I8+TONTJANV!I8+TONTFEV!I8+TONTMARS!I8+TONTAVRIL!I8+TONTMAI!I8+TONTJUIN!I8+TONTJUIL21!I8+TONTAOUT21!I8+TONTSEPT21!I8</f>
        <v>24500</v>
      </c>
      <c r="J8" s="8"/>
      <c r="K8" s="8"/>
      <c r="L8" s="8">
        <f>TONTJUIL!L8+TONTAOUT!L8+TONTSEPT!L8+TONTOCT!L8+TONTNOV!L8+TONTDEC!L8+TONTJANV!L8+TONTFEV!L8+TONTMARS!L8+TONTAVRIL!L8+TONTMAI!L8+TONTJUIN!L8+TONTJUIL21!L8+TONTAOUT21!L8+TONTSEPT21!L8</f>
        <v>1300500</v>
      </c>
      <c r="M8" s="8">
        <f>TONTJUIL!M8+TONTAOUT!M8+TONTSEPT!M8+TONTOCT!M8+TONTNOV!M8+TONTDEC!M8+TONTJANV!M8+TONTFEV!M8+TONTMARS!M8+TONTAVRIL!M8+TONTMAI!M8+TONTJUIN!M8+TONTJUIL21!M8+TONTAOUT21!M8+TONTSEPT21!M8</f>
        <v>1300500</v>
      </c>
      <c r="N8" s="8"/>
      <c r="O8" s="8"/>
      <c r="P8" s="8">
        <f>TONTJUIL!P8+TONTAOUT!P8+TONTSEPT!P8+TONTOCT!P8+TONTNOV!P8+TONTDEC!P8+TONTJANV!P8+TONTFEV!P8+TONTMARS!P8+TONTAVRIL!P8+TONTMAI!P8+TONTJUIN!P8+TONTJUIL21!P8+TONTAOUT21!P8+TONTSEPT21!P8</f>
        <v>0</v>
      </c>
      <c r="Q8" s="8">
        <f>TONTJUIL!Q8+TONTAOUT!Q8+TONTSEPT!Q8+TONTOCT!Q8+TONTNOV!Q8+TONTDEC!Q8+TONTJANV!Q8+TONTFEV!Q8+TONTMARS!Q8+TONTAVRIL!Q8+TONTMAI!Q8+TONTJUIN!Q8+TONTJUIL21!Q8+TONTAOUT21!Q8+TONTSEPT21!Q8</f>
        <v>1000000</v>
      </c>
      <c r="R8" s="8">
        <f>TONTJUIL!R8+TONTAOUT!R8+TONTSEPT!R8+TONTOCT!R8+TONTNOV!R8+TONTDEC!R8+TONTJANV!R8+TONTFEV!R8+TONTMARS!R8+TONTAVRIL!R8+TONTMAI!R8+TONTJUIN!R8+TONTJUIL21!R8+TONTAOUT21!R8+TONTSEPT21!R8</f>
        <v>200000</v>
      </c>
      <c r="S8" s="36">
        <v>44013</v>
      </c>
      <c r="T8"/>
      <c r="V8" s="22">
        <f t="shared" ref="V8:V21" si="0">R8-75000</f>
        <v>125000</v>
      </c>
    </row>
    <row r="9" spans="1:22" s="13" customFormat="1" x14ac:dyDescent="0.25">
      <c r="A9" s="1" t="s">
        <v>38</v>
      </c>
      <c r="B9" s="1" t="str">
        <f>VLOOKUP(A9,[6]LISTADHERENT!A$5:H$60,3,0)</f>
        <v>DJOUKWE NANGUEN GUY BLAISE</v>
      </c>
      <c r="C9" s="8">
        <f>TONTJUIL!C9+TONTAOUT!C9+TONTSEPT!C9+TONTOCT!C9+TONTNOV!C9+TONTDEC!C9+TONTJANV!C9+TONTFEV!C9+TONTMARS!C9+TONTAVRIL!C9+TONTMAI!C9+TONTJUIN!C9+TONTJUIL21!C9+TONTAOUT21!C9+TONTSEPT21!C9</f>
        <v>1125000</v>
      </c>
      <c r="D9" s="8">
        <f>TONTJUIL!D9+TONTAOUT!D9+TONTSEPT!D9+TONTOCT!D9+TONTNOV!D9+TONTDEC!D9+TONTJANV!D9+TONTFEV!D9+TONTMARS!D9+TONTAVRIL!D9+TONTMAI!D9+TONTJUIN!D9+TONTJUIL21!D9+TONTAOUT21!D9+TONTSEPT21!D9</f>
        <v>0</v>
      </c>
      <c r="E9" s="8"/>
      <c r="F9" s="8">
        <f>TONTJUIL!F9+TONTAOUT!F9+TONTSEPT!F9+TONTOCT!F9+TONTNOV!F9+TONTDEC!F9+TONTJANV!F9+TONTFEV!F9+TONTMARS!F9+TONTAVRIL!F9+TONTMAI!F9+TONTJUIN!F9+TONTJUIL21!F9+TONTAOUT21!F9+TONTSEPT21!F9</f>
        <v>0</v>
      </c>
      <c r="G9" s="8"/>
      <c r="H9" s="8">
        <f>TONTJUIL!H9+TONTAOUT!H9+TONTSEPT!H9+TONTOCT!H9+TONTNOV!H9+TONTDEC!H9+TONTJANV!H9+TONTFEV!H9+TONTMARS!H9+TONTAVRIL!H9+TONTMAI!H9+TONTJUIN!H9+TONTJUIL21!H9+TONTAOUT21!H9+TONTSEPT21!H9</f>
        <v>1287000</v>
      </c>
      <c r="I9" s="8">
        <f>TONTJUIL!I9+TONTAOUT!I9+TONTSEPT!I9+TONTOCT!I9+TONTNOV!I9+TONTDEC!I9+TONTJANV!I9+TONTFEV!I9+TONTMARS!I9+TONTAVRIL!I9+TONTMAI!I9+TONTJUIN!I9+TONTJUIL21!I9+TONTAOUT21!I9+TONTSEPT21!I9</f>
        <v>23000</v>
      </c>
      <c r="J9" s="8"/>
      <c r="K9" s="8"/>
      <c r="L9" s="8">
        <f>TONTJUIL!L9+TONTAOUT!L9+TONTSEPT!L9+TONTOCT!L9+TONTNOV!L9+TONTDEC!L9+TONTJANV!L9+TONTFEV!L9+TONTMARS!L9+TONTAVRIL!L9+TONTMAI!L9+TONTJUIN!L9+TONTJUIL21!L9+TONTAOUT21!L9+TONTSEPT21!L9</f>
        <v>1310000</v>
      </c>
      <c r="M9" s="8">
        <f>TONTJUIL!M9+TONTAOUT!M9+TONTSEPT!M9+TONTOCT!M9+TONTNOV!M9+TONTDEC!M9+TONTJANV!M9+TONTFEV!M9+TONTMARS!M9+TONTAVRIL!M9+TONTMAI!M9+TONTJUIN!M9+TONTJUIL21!M9+TONTAOUT21!M9+TONTSEPT21!M9</f>
        <v>1310000</v>
      </c>
      <c r="N9" s="8"/>
      <c r="O9" s="8"/>
      <c r="P9" s="8">
        <f>TONTJUIL!P9+TONTAOUT!P9+TONTSEPT!P9+TONTOCT!P9+TONTNOV!P9+TONTDEC!P9+TONTJANV!P9+TONTFEV!P9+TONTMARS!P9+TONTAVRIL!P9+TONTMAI!P9+TONTJUIN!P9+TONTJUIL21!P9+TONTAOUT21!P9+TONTSEPT21!P9</f>
        <v>0</v>
      </c>
      <c r="Q9" s="8">
        <f>TONTJUIL!Q9+TONTAOUT!Q9+TONTSEPT!Q9+TONTOCT!Q9+TONTNOV!Q9+TONTDEC!Q9+TONTJANV!Q9+TONTFEV!Q9+TONTMARS!Q9+TONTAVRIL!Q9+TONTMAI!Q9+TONTJUIN!Q9+TONTJUIL21!Q9+TONTAOUT21!Q9+TONTSEPT21!Q9</f>
        <v>1125000</v>
      </c>
      <c r="R9" s="8">
        <f>TONTJUIL!R9+TONTAOUT!R9+TONTSEPT!R9+TONTOCT!R9+TONTNOV!R9+TONTDEC!R9+TONTJANV!R9+TONTFEV!R9+TONTMARS!R9+TONTAVRIL!R9+TONTMAI!R9+TONTJUIN!R9+TONTJUIL21!R9+TONTAOUT21!R9+TONTSEPT21!R9</f>
        <v>75000</v>
      </c>
      <c r="S9" s="36">
        <v>44228</v>
      </c>
      <c r="T9"/>
      <c r="V9" s="22">
        <f t="shared" si="0"/>
        <v>0</v>
      </c>
    </row>
    <row r="10" spans="1:22" x14ac:dyDescent="0.25">
      <c r="A10" s="1" t="s">
        <v>29</v>
      </c>
      <c r="B10" s="1" t="str">
        <f>VLOOKUP(A10,[6]LISTADHERENT!A$5:H$60,3,0)</f>
        <v>HOTCHO BENJAMIN</v>
      </c>
      <c r="C10" s="8">
        <f>TONTJUIL!C10+TONTAOUT!C10+TONTSEPT!C10+TONTOCT!C10+TONTNOV!C10+TONTDEC!C10+TONTJANV!C10+TONTFEV!C10+TONTMARS!C10+TONTAVRIL!C10+TONTMAI!C10+TONTJUIN!C10+TONTJUIL21!C10+TONTAOUT21!C10+TONTSEPT21!C10</f>
        <v>1125000</v>
      </c>
      <c r="D10" s="8">
        <f>TONTJUIL!D10+TONTAOUT!D10+TONTSEPT!D10+TONTOCT!D10+TONTNOV!D10+TONTDEC!D10+TONTJANV!D10+TONTFEV!D10+TONTMARS!D10+TONTAVRIL!D10+TONTMAI!D10+TONTJUIN!D10+TONTJUIL21!D10+TONTAOUT21!D10+TONTSEPT21!D10</f>
        <v>0</v>
      </c>
      <c r="E10" s="8"/>
      <c r="F10" s="8">
        <f>TONTJUIL!F10+TONTAOUT!F10+TONTSEPT!F10+TONTOCT!F10+TONTNOV!F10+TONTDEC!F10+TONTJANV!F10+TONTFEV!F10+TONTMARS!F10+TONTAVRIL!F10+TONTMAI!F10+TONTJUIN!F10+TONTJUIL21!F10+TONTAOUT21!F10+TONTSEPT21!F10</f>
        <v>0</v>
      </c>
      <c r="G10" s="8"/>
      <c r="H10" s="8">
        <f>TONTJUIL!H10+TONTAOUT!H10+TONTSEPT!H10+TONTOCT!H10+TONTNOV!H10+TONTDEC!H10+TONTJANV!H10+TONTFEV!H10+TONTMARS!H10+TONTAVRIL!H10+TONTMAI!H10+TONTJUIN!H10+TONTJUIL21!H10+TONTAOUT21!H10+TONTSEPT21!H10</f>
        <v>0</v>
      </c>
      <c r="I10" s="8">
        <f>TONTJUIL!I10+TONTAOUT!I10+TONTSEPT!I10+TONTOCT!I10+TONTNOV!I10+TONTDEC!I10+TONTJANV!I10+TONTFEV!I10+TONTMARS!I10+TONTAVRIL!I10+TONTMAI!I10+TONTJUIN!I10+TONTJUIL21!I10+TONTAOUT21!I10+TONTSEPT21!I10</f>
        <v>0</v>
      </c>
      <c r="J10" s="8"/>
      <c r="K10" s="8"/>
      <c r="L10" s="8">
        <f>TONTJUIL!L10+TONTAOUT!L10+TONTSEPT!L10+TONTOCT!L10+TONTNOV!L10+TONTDEC!L10+TONTJANV!L10+TONTFEV!L10+TONTMARS!L10+TONTAVRIL!L10+TONTMAI!L10+TONTJUIN!L10+TONTJUIL21!L10+TONTAOUT21!L10+TONTSEPT21!L10</f>
        <v>0</v>
      </c>
      <c r="M10" s="8">
        <f>TONTJUIL!M10+TONTAOUT!M10+TONTSEPT!M10+TONTOCT!M10+TONTNOV!M10+TONTDEC!M10+TONTJANV!M10+TONTFEV!M10+TONTMARS!M10+TONTAVRIL!M10+TONTMAI!M10+TONTJUIN!M10+TONTJUIL21!M10+TONTAOUT21!M10+TONTSEPT21!M10</f>
        <v>0</v>
      </c>
      <c r="N10" s="8"/>
      <c r="O10" s="8"/>
      <c r="P10" s="8">
        <f>TONTJUIL!P10+TONTAOUT!P10+TONTSEPT!P10+TONTOCT!P10+TONTNOV!P10+TONTDEC!P10+TONTJANV!P10+TONTFEV!P10+TONTMARS!P10+TONTAVRIL!P10+TONTMAI!P10+TONTJUIN!P10+TONTJUIL21!P10+TONTAOUT21!P10+TONTSEPT21!P10</f>
        <v>0</v>
      </c>
      <c r="Q10" s="8">
        <f>TONTJUIL!Q10+TONTAOUT!Q10+TONTSEPT!Q10+TONTOCT!Q10+TONTNOV!Q10+TONTDEC!Q10+TONTJANV!Q10+TONTFEV!Q10+TONTMARS!Q10+TONTAVRIL!Q10+TONTMAI!Q10+TONTJUIN!Q10+TONTJUIL21!Q10+TONTAOUT21!Q10+TONTSEPT21!Q10</f>
        <v>1125000</v>
      </c>
      <c r="R10" s="8">
        <f>TONTJUIL!R10+TONTAOUT!R10+TONTSEPT!R10+TONTOCT!R10+TONTNOV!R10+TONTDEC!R10+TONTJANV!R10+TONTFEV!R10+TONTMARS!R10+TONTAVRIL!R10+TONTMAI!R10+TONTJUIN!R10+TONTJUIL21!R10+TONTAOUT21!R10+TONTSEPT21!R10</f>
        <v>75000</v>
      </c>
      <c r="S10" s="36">
        <v>44105</v>
      </c>
      <c r="V10" s="22">
        <f t="shared" si="0"/>
        <v>0</v>
      </c>
    </row>
    <row r="11" spans="1:22" x14ac:dyDescent="0.25">
      <c r="A11" s="1" t="s">
        <v>40</v>
      </c>
      <c r="B11" s="1" t="str">
        <f>VLOOKUP(A11,[6]LISTADHERENT!A$5:H$60,3,0)</f>
        <v>HENGUE PAUL OMER</v>
      </c>
      <c r="C11" s="8">
        <f>TONTJUIL!C11+TONTAOUT!C11+TONTSEPT!C11+TONTOCT!C11+TONTNOV!C11+TONTDEC!C11+TONTJANV!C11+TONTFEV!C11+TONTMARS!C11+TONTAVRIL!C11+TONTMAI!C11+TONTJUIN!C11+TONTJUIL21!C11+TONTAOUT21!C11+TONTSEPT21!C11</f>
        <v>1125000</v>
      </c>
      <c r="D11" s="8">
        <f>TONTJUIL!D11+TONTAOUT!D11+TONTSEPT!D11+TONTOCT!D11+TONTNOV!D11+TONTDEC!D11+TONTJANV!D11+TONTFEV!D11+TONTMARS!D11+TONTAVRIL!D11+TONTMAI!D11+TONTJUIN!D11+TONTJUIL21!D11+TONTAOUT21!D11+TONTSEPT21!D11</f>
        <v>0</v>
      </c>
      <c r="E11" s="8"/>
      <c r="F11" s="8">
        <f>TONTJUIL!F11+TONTAOUT!F11+TONTSEPT!F11+TONTOCT!F11+TONTNOV!F11+TONTDEC!F11+TONTJANV!F11+TONTFEV!F11+TONTMARS!F11+TONTAVRIL!F11+TONTMAI!F11+TONTJUIN!F11+TONTJUIL21!F11+TONTAOUT21!F11+TONTSEPT21!F11</f>
        <v>0</v>
      </c>
      <c r="G11" s="8"/>
      <c r="H11" s="8">
        <f>TONTJUIL!H11+TONTAOUT!H11+TONTSEPT!H11+TONTOCT!H11+TONTNOV!H11+TONTDEC!H11+TONTJANV!H11+TONTFEV!H11+TONTMARS!H11+TONTAVRIL!H11+TONTMAI!H11+TONTJUIN!H11+TONTJUIL21!H11+TONTAOUT21!H11+TONTSEPT21!H11</f>
        <v>0</v>
      </c>
      <c r="I11" s="8">
        <f>TONTJUIL!I11+TONTAOUT!I11+TONTSEPT!I11+TONTOCT!I11+TONTNOV!I11+TONTDEC!I11+TONTJANV!I11+TONTFEV!I11+TONTMARS!I11+TONTAVRIL!I11+TONTMAI!I11+TONTJUIN!I11+TONTJUIL21!I11+TONTAOUT21!I11+TONTSEPT21!I11</f>
        <v>0</v>
      </c>
      <c r="J11" s="8"/>
      <c r="K11" s="8"/>
      <c r="L11" s="8">
        <f>TONTJUIL!L11+TONTAOUT!L11+TONTSEPT!L11+TONTOCT!L11+TONTNOV!L11+TONTDEC!L11+TONTJANV!L11+TONTFEV!L11+TONTMARS!L11+TONTAVRIL!L11+TONTMAI!L11+TONTJUIN!L11+TONTJUIL21!L11+TONTAOUT21!L11+TONTSEPT21!L11</f>
        <v>0</v>
      </c>
      <c r="M11" s="8">
        <f>TONTJUIL!M11+TONTAOUT!M11+TONTSEPT!M11+TONTOCT!M11+TONTNOV!M11+TONTDEC!M11+TONTJANV!M11+TONTFEV!M11+TONTMARS!M11+TONTAVRIL!M11+TONTMAI!M11+TONTJUIN!M11+TONTJUIL21!M11+TONTAOUT21!M11+TONTSEPT21!M11</f>
        <v>0</v>
      </c>
      <c r="N11" s="8"/>
      <c r="O11" s="8"/>
      <c r="P11" s="8">
        <f>TONTJUIL!P11+TONTAOUT!P11+TONTSEPT!P11+TONTOCT!P11+TONTNOV!P11+TONTDEC!P11+TONTJANV!P11+TONTFEV!P11+TONTMARS!P11+TONTAVRIL!P11+TONTMAI!P11+TONTJUIN!P11+TONTJUIL21!P11+TONTAOUT21!P11+TONTSEPT21!P11</f>
        <v>0</v>
      </c>
      <c r="Q11" s="8">
        <f>TONTJUIL!Q11+TONTAOUT!Q11+TONTSEPT!Q11+TONTOCT!Q11+TONTNOV!Q11+TONTDEC!Q11+TONTJANV!Q11+TONTFEV!Q11+TONTMARS!Q11+TONTAVRIL!Q11+TONTMAI!Q11+TONTJUIN!Q11+TONTJUIL21!Q11+TONTAOUT21!Q11+TONTSEPT21!Q11</f>
        <v>1125000</v>
      </c>
      <c r="R11" s="8">
        <f>TONTJUIL!R11+TONTAOUT!R11+TONTSEPT!R11+TONTOCT!R11+TONTNOV!R11+TONTDEC!R11+TONTJANV!R11+TONTFEV!R11+TONTMARS!R11+TONTAVRIL!R11+TONTMAI!R11+TONTJUIN!R11+TONTJUIL21!R11+TONTAOUT21!R11+TONTSEPT21!R11</f>
        <v>75000</v>
      </c>
      <c r="S11" s="36">
        <v>44409</v>
      </c>
      <c r="V11" s="22">
        <f t="shared" si="0"/>
        <v>0</v>
      </c>
    </row>
    <row r="12" spans="1:22" x14ac:dyDescent="0.25">
      <c r="A12" s="1" t="s">
        <v>10</v>
      </c>
      <c r="B12" s="1" t="str">
        <f>VLOOKUP(A12,[6]LISTADHERENT!A$5:H$60,3,0)</f>
        <v>KOUATCHO MESSACK</v>
      </c>
      <c r="C12" s="8">
        <f>TONTJUIL!C12+TONTAOUT!C12+TONTSEPT!C12+TONTOCT!C12+TONTNOV!C12+TONTDEC!C12+TONTJANV!C12+TONTFEV!C12+TONTMARS!C12+TONTAVRIL!C12+TONTMAI!C12+TONTJUIN!C12+TONTJUIL21!C12+TONTAOUT21!C12+TONTSEPT21!C12</f>
        <v>1125000</v>
      </c>
      <c r="D12" s="8">
        <f>TONTJUIL!D12+TONTAOUT!D12+TONTSEPT!D12+TONTOCT!D12+TONTNOV!D12+TONTDEC!D12+TONTJANV!D12+TONTFEV!D12+TONTMARS!D12+TONTAVRIL!D12+TONTMAI!D12+TONTJUIN!D12+TONTJUIL21!D12+TONTAOUT21!D12+TONTSEPT21!D12</f>
        <v>0</v>
      </c>
      <c r="E12" s="8"/>
      <c r="F12" s="8">
        <f>TONTJUIL!F12+TONTAOUT!F12+TONTSEPT!F12+TONTOCT!F12+TONTNOV!F12+TONTDEC!F12+TONTJANV!F12+TONTFEV!F12+TONTMARS!F12+TONTAVRIL!F12+TONTMAI!F12+TONTJUIN!F12+TONTJUIL21!F12+TONTAOUT21!F12+TONTSEPT21!F12</f>
        <v>418000</v>
      </c>
      <c r="G12" s="8"/>
      <c r="H12" s="8">
        <f>TONTJUIL!H12+TONTAOUT!H12+TONTSEPT!H12+TONTOCT!H12+TONTNOV!H12+TONTDEC!H12+TONTJANV!H12+TONTFEV!H12+TONTMARS!H12+TONTAVRIL!H12+TONTMAI!H12+TONTJUIN!H12+TONTJUIL21!H12+TONTAOUT21!H12+TONTSEPT21!H12</f>
        <v>1170500</v>
      </c>
      <c r="I12" s="8">
        <f>TONTJUIL!I12+TONTAOUT!I12+TONTSEPT!I12+TONTOCT!I12+TONTNOV!I12+TONTDEC!I12+TONTJANV!I12+TONTFEV!I12+TONTMARS!I12+TONTAVRIL!I12+TONTMAI!I12+TONTJUIN!I12+TONTJUIL21!I12+TONTAOUT21!I12+TONTSEPT21!I12</f>
        <v>18500</v>
      </c>
      <c r="J12" s="8"/>
      <c r="K12" s="8"/>
      <c r="L12" s="8">
        <f>TONTJUIL!L12+TONTAOUT!L12+TONTSEPT!L12+TONTOCT!L12+TONTNOV!L12+TONTDEC!L12+TONTJANV!L12+TONTFEV!L12+TONTMARS!L12+TONTAVRIL!L12+TONTMAI!L12+TONTJUIN!L12+TONTJUIL21!L12+TONTAOUT21!L12+TONTSEPT21!L12</f>
        <v>1395000</v>
      </c>
      <c r="M12" s="8">
        <f>TONTJUIL!M12+TONTAOUT!M12+TONTSEPT!M12+TONTOCT!M12+TONTNOV!M12+TONTDEC!M12+TONTJANV!M12+TONTFEV!M12+TONTMARS!M12+TONTAVRIL!M12+TONTMAI!M12+TONTJUIN!M12+TONTJUIL21!M12+TONTAOUT21!M12+TONTSEPT21!M12</f>
        <v>1193000</v>
      </c>
      <c r="N12" s="8"/>
      <c r="O12" s="8"/>
      <c r="P12" s="8">
        <f>TONTJUIL!P12+TONTAOUT!P12+TONTSEPT!P12+TONTOCT!P12+TONTNOV!P12+TONTDEC!P12+TONTJANV!P12+TONTFEV!P12+TONTMARS!P12+TONTAVRIL!P12+TONTMAI!P12+TONTJUIN!P12+TONTJUIL21!P12+TONTAOUT21!P12+TONTSEPT21!P12</f>
        <v>0</v>
      </c>
      <c r="Q12" s="8">
        <f>TONTJUIL!Q12+TONTAOUT!Q12+TONTSEPT!Q12+TONTOCT!Q12+TONTNOV!Q12+TONTDEC!Q12+TONTJANV!Q12+TONTFEV!Q12+TONTMARS!Q12+TONTAVRIL!Q12+TONTMAI!Q12+TONTJUIN!Q12+TONTJUIL21!Q12+TONTAOUT21!Q12+TONTSEPT21!Q12</f>
        <v>1110000</v>
      </c>
      <c r="R12" s="8">
        <f>TONTJUIL!R12+TONTAOUT!R12+TONTSEPT!R12+TONTOCT!R12+TONTNOV!R12+TONTDEC!R12+TONTJANV!R12+TONTFEV!R12+TONTMARS!R12+TONTAVRIL!R12+TONTMAI!R12+TONTJUIN!R12+TONTJUIL21!R12+TONTAOUT21!R12+TONTSEPT21!R12</f>
        <v>90000</v>
      </c>
      <c r="S12" s="36">
        <v>44197</v>
      </c>
      <c r="V12" s="22">
        <f t="shared" si="0"/>
        <v>15000</v>
      </c>
    </row>
    <row r="13" spans="1:22" x14ac:dyDescent="0.25">
      <c r="A13" s="1" t="s">
        <v>11</v>
      </c>
      <c r="B13" s="1" t="str">
        <f>VLOOKUP(A13,[6]LISTADHERENT!A$5:H$60,3,0)</f>
        <v>NANKAM APPOLINAIRE</v>
      </c>
      <c r="C13" s="8">
        <f>TONTJUIL!C13+TONTAOUT!C13+TONTSEPT!C13+TONTOCT!C13+TONTNOV!C13+TONTDEC!C13+TONTJANV!C13+TONTFEV!C13+TONTMARS!C13+TONTAVRIL!C13+TONTMAI!C13+TONTJUIN!C13+TONTJUIL21!C13+TONTAOUT21!C13+TONTSEPT21!C13</f>
        <v>1275000</v>
      </c>
      <c r="D13" s="8">
        <f>TONTJUIL!D13+TONTAOUT!D13+TONTSEPT!D13+TONTOCT!D13+TONTNOV!D13+TONTDEC!D13+TONTJANV!D13+TONTFEV!D13+TONTMARS!D13+TONTAVRIL!D13+TONTMAI!D13+TONTJUIN!D13+TONTJUIL21!D13+TONTAOUT21!D13+TONTSEPT21!D13</f>
        <v>0</v>
      </c>
      <c r="E13" s="8"/>
      <c r="F13" s="8">
        <f>TONTJUIL!F13+TONTAOUT!F13+TONTSEPT!F13+TONTOCT!F13+TONTNOV!F13+TONTDEC!F13+TONTJANV!F13+TONTFEV!F13+TONTMARS!F13+TONTAVRIL!F13+TONTMAI!F13+TONTJUIN!F13+TONTJUIL21!F13+TONTAOUT21!F13+TONTSEPT21!F13</f>
        <v>0</v>
      </c>
      <c r="G13" s="8"/>
      <c r="H13" s="8">
        <f>TONTJUIL!H13+TONTAOUT!H13+TONTSEPT!H13+TONTOCT!H13+TONTNOV!H13+TONTDEC!H13+TONTJANV!H13+TONTFEV!H13+TONTMARS!H13+TONTAVRIL!H13+TONTMAI!H13+TONTJUIN!H13+TONTJUIL21!H13+TONTAOUT21!H13+TONTSEPT21!H13</f>
        <v>0</v>
      </c>
      <c r="I13" s="8">
        <f>TONTJUIL!I13+TONTAOUT!I13+TONTSEPT!I13+TONTOCT!I13+TONTNOV!I13+TONTDEC!I13+TONTJANV!I13+TONTFEV!I13+TONTMARS!I13+TONTAVRIL!I13+TONTMAI!I13+TONTJUIN!I13+TONTJUIL21!I13+TONTAOUT21!I13+TONTSEPT21!I13</f>
        <v>0</v>
      </c>
      <c r="J13" s="8"/>
      <c r="K13" s="8"/>
      <c r="L13" s="8">
        <f>TONTJUIL!L13+TONTAOUT!L13+TONTSEPT!L13+TONTOCT!L13+TONTNOV!L13+TONTDEC!L13+TONTJANV!L13+TONTFEV!L13+TONTMARS!L13+TONTAVRIL!L13+TONTMAI!L13+TONTJUIN!L13+TONTJUIL21!L13+TONTAOUT21!L13+TONTSEPT21!L13</f>
        <v>0</v>
      </c>
      <c r="M13" s="8">
        <f>TONTJUIL!M13+TONTAOUT!M13+TONTSEPT!M13+TONTOCT!M13+TONTNOV!M13+TONTDEC!M13+TONTJANV!M13+TONTFEV!M13+TONTMARS!M13+TONTAVRIL!M13+TONTMAI!M13+TONTJUIN!M13+TONTJUIL21!M13+TONTAOUT21!M13+TONTSEPT21!M13</f>
        <v>0</v>
      </c>
      <c r="N13" s="8"/>
      <c r="O13" s="8"/>
      <c r="P13" s="8">
        <f>TONTJUIL!P13+TONTAOUT!P13+TONTSEPT!P13+TONTOCT!P13+TONTNOV!P13+TONTDEC!P13+TONTJANV!P13+TONTFEV!P13+TONTMARS!P13+TONTAVRIL!P13+TONTMAI!P13+TONTJUIN!P13+TONTJUIL21!P13+TONTAOUT21!P13+TONTSEPT21!P13</f>
        <v>0</v>
      </c>
      <c r="Q13" s="8">
        <f>TONTJUIL!Q13+TONTAOUT!Q13+TONTSEPT!Q13+TONTOCT!Q13+TONTNOV!Q13+TONTDEC!Q13+TONTJANV!Q13+TONTFEV!Q13+TONTMARS!Q13+TONTAVRIL!Q13+TONTMAI!Q13+TONTJUIN!Q13+TONTJUIL21!Q13+TONTAOUT21!Q13+TONTSEPT21!Q13</f>
        <v>1125000</v>
      </c>
      <c r="R13" s="8">
        <f>TONTJUIL!R13+TONTAOUT!R13+TONTSEPT!R13+TONTOCT!R13+TONTNOV!R13+TONTDEC!R13+TONTJANV!R13+TONTFEV!R13+TONTMARS!R13+TONTAVRIL!R13+TONTMAI!R13+TONTJUIN!R13+TONTJUIL21!R13+TONTAOUT21!R13+TONTSEPT21!R13</f>
        <v>75000</v>
      </c>
      <c r="S13" s="36">
        <v>44409</v>
      </c>
      <c r="V13" s="22">
        <f t="shared" si="0"/>
        <v>0</v>
      </c>
    </row>
    <row r="14" spans="1:22" x14ac:dyDescent="0.25">
      <c r="A14" s="1" t="s">
        <v>32</v>
      </c>
      <c r="B14" s="1" t="str">
        <f>VLOOKUP(A14,[6]LISTADHERENT!A$5:H$60,3,0)</f>
        <v>MBOGNING TUGMA GUY</v>
      </c>
      <c r="C14" s="8">
        <f>TONTJUIL!C14+TONTAOUT!C14+TONTSEPT!C14+TONTOCT!C14+TONTNOV!C14+TONTDEC!C14+TONTJANV!C14+TONTFEV!C14+TONTMARS!C14+TONTAVRIL!C14+TONTMAI!C14+TONTJUIN!C14+TONTJUIL21!C14+TONTAOUT21!C14+TONTSEPT21!C14</f>
        <v>3225000</v>
      </c>
      <c r="D14" s="8">
        <f>TONTJUIL!D14+TONTAOUT!D14+TONTSEPT!D14+TONTOCT!D14+TONTNOV!D14+TONTDEC!D14+TONTJANV!D14+TONTFEV!D14+TONTMARS!D14+TONTAVRIL!D14+TONTMAI!D14+TONTJUIN!D14+TONTJUIL21!D14+TONTAOUT21!D14+TONTSEPT21!D14</f>
        <v>0</v>
      </c>
      <c r="E14" s="8"/>
      <c r="F14" s="8">
        <f>TONTJUIL!F14+TONTAOUT!F14+TONTSEPT!F14+TONTOCT!F14+TONTNOV!F14+TONTDEC!F14+TONTJANV!F14+TONTFEV!F14+TONTMARS!F14+TONTAVRIL!F14+TONTMAI!F14+TONTJUIN!F14+TONTJUIL21!F14+TONTAOUT21!F14+TONTSEPT21!F14</f>
        <v>0</v>
      </c>
      <c r="G14" s="8"/>
      <c r="H14" s="8">
        <f>TONTJUIL!H14+TONTAOUT!H14+TONTSEPT!H14+TONTOCT!H14+TONTNOV!H14+TONTDEC!H14+TONTJANV!H14+TONTFEV!H14+TONTMARS!H14+TONTAVRIL!H14+TONTMAI!H14+TONTJUIN!H14+TONTJUIL21!H14+TONTAOUT21!H14+TONTSEPT21!H14</f>
        <v>1286000</v>
      </c>
      <c r="I14" s="8">
        <f>TONTJUIL!I14+TONTAOUT!I14+TONTSEPT!I14+TONTOCT!I14+TONTNOV!I14+TONTDEC!I14+TONTJANV!I14+TONTFEV!I14+TONTMARS!I14+TONTAVRIL!I14+TONTMAI!I14+TONTJUIN!I14+TONTJUIL21!I14+TONTAOUT21!I14+TONTSEPT21!I14</f>
        <v>21500</v>
      </c>
      <c r="J14" s="8"/>
      <c r="K14" s="8"/>
      <c r="L14" s="8">
        <f>TONTJUIL!L14+TONTAOUT!L14+TONTSEPT!L14+TONTOCT!L14+TONTNOV!L14+TONTDEC!L14+TONTJANV!L14+TONTFEV!L14+TONTMARS!L14+TONTAVRIL!L14+TONTMAI!L14+TONTJUIN!L14+TONTJUIL21!L14+TONTAOUT21!L14+TONTSEPT21!L14</f>
        <v>1307500</v>
      </c>
      <c r="M14" s="8">
        <f>TONTJUIL!M14+TONTAOUT!M14+TONTSEPT!M14+TONTOCT!M14+TONTNOV!M14+TONTDEC!M14+TONTJANV!M14+TONTFEV!M14+TONTMARS!M14+TONTAVRIL!M14+TONTMAI!M14+TONTJUIN!M14+TONTJUIL21!M14+TONTAOUT21!M14+TONTSEPT21!M14</f>
        <v>1307500</v>
      </c>
      <c r="N14" s="8"/>
      <c r="O14" s="8"/>
      <c r="P14" s="8">
        <f>TONTJUIL!P14+TONTAOUT!P14+TONTSEPT!P14+TONTOCT!P14+TONTNOV!P14+TONTDEC!P14+TONTJANV!P14+TONTFEV!P14+TONTMARS!P14+TONTAVRIL!P14+TONTMAI!P14+TONTJUIN!P14+TONTJUIL21!P14+TONTAOUT21!P14+TONTSEPT21!P14</f>
        <v>0</v>
      </c>
      <c r="Q14" s="8">
        <f>TONTJUIL!Q14+TONTAOUT!Q14+TONTSEPT!Q14+TONTOCT!Q14+TONTNOV!Q14+TONTDEC!Q14+TONTJANV!Q14+TONTFEV!Q14+TONTMARS!Q14+TONTAVRIL!Q14+TONTMAI!Q14+TONTJUIN!Q14+TONTJUIL21!Q14+TONTAOUT21!Q14+TONTSEPT21!Q14</f>
        <v>3215000</v>
      </c>
      <c r="R14" s="8">
        <f>TONTJUIL!R14+TONTAOUT!R14+TONTSEPT!R14+TONTOCT!R14+TONTNOV!R14+TONTDEC!R14+TONTJANV!R14+TONTFEV!R14+TONTMARS!R14+TONTAVRIL!R14+TONTMAI!R14+TONTJUIN!R14+TONTJUIL21!R14+TONTAOUT21!R14+TONTSEPT21!R14</f>
        <v>385000</v>
      </c>
      <c r="S14" s="36">
        <v>44317</v>
      </c>
      <c r="T14" s="36">
        <v>44166</v>
      </c>
      <c r="U14" s="36">
        <v>44044</v>
      </c>
      <c r="V14" s="22">
        <f>R14-75000-75000-75000</f>
        <v>160000</v>
      </c>
    </row>
    <row r="15" spans="1:22" x14ac:dyDescent="0.25">
      <c r="A15" s="1" t="s">
        <v>32</v>
      </c>
      <c r="B15" s="1" t="str">
        <f>VLOOKUP(A15,[6]LISTADHERENT!A$5:H$60,3,0)</f>
        <v>MBOGNING TUGMA GUY</v>
      </c>
      <c r="C15" s="8">
        <f>TONTJUIL!C15+TONTAOUT!C15+TONTSEPT!C15+TONTOCT!C15+TONTNOV!C15+TONTDEC!C15+TONTJANV!C15+TONTFEV!C15+TONTMARS!C15+TONTAVRIL!C15+TONTMAI!C15+TONTJUIN!C15+TONTJUIL21!C15+TONTAOUT21!C15+TONTSEPT21!C15</f>
        <v>0</v>
      </c>
      <c r="D15" s="8">
        <f>TONTJUIL!D15+TONTAOUT!D15+TONTSEPT!D15+TONTOCT!D15+TONTNOV!D15+TONTDEC!D15+TONTJANV!D15+TONTFEV!D15+TONTMARS!D15+TONTAVRIL!D15+TONTMAI!D15+TONTJUIN!D15+TONTJUIL21!D15+TONTAOUT21!D15+TONTSEPT21!D15</f>
        <v>0</v>
      </c>
      <c r="E15" s="8"/>
      <c r="F15" s="8">
        <f>TONTJUIL!F15+TONTAOUT!F15+TONTSEPT!F15+TONTOCT!F15+TONTNOV!F15+TONTDEC!F15+TONTJANV!F15+TONTFEV!F15+TONTMARS!F15+TONTAVRIL!F15+TONTMAI!F15+TONTJUIN!F15+TONTJUIL21!F15+TONTAOUT21!F15+TONTSEPT21!F15</f>
        <v>0</v>
      </c>
      <c r="G15" s="8"/>
      <c r="H15" s="8">
        <f>TONTJUIL!H15+TONTAOUT!H15+TONTSEPT!H15+TONTOCT!H15+TONTNOV!H15+TONTDEC!H15+TONTJANV!H15+TONTFEV!H15+TONTMARS!H15+TONTAVRIL!H15+TONTMAI!H15+TONTJUIN!H15+TONTJUIL21!H15+TONTAOUT21!H15+TONTSEPT21!H15</f>
        <v>0</v>
      </c>
      <c r="I15" s="8">
        <f>TONTJUIL!I15+TONTAOUT!I15+TONTSEPT!I15+TONTOCT!I15+TONTNOV!I15+TONTDEC!I15+TONTJANV!I15+TONTFEV!I15+TONTMARS!I15+TONTAVRIL!I15+TONTMAI!I15+TONTJUIN!I15+TONTJUIL21!I15+TONTAOUT21!I15+TONTSEPT21!I15</f>
        <v>0</v>
      </c>
      <c r="J15" s="8"/>
      <c r="K15" s="8"/>
      <c r="L15" s="8">
        <f>TONTJUIL!L15+TONTAOUT!L15+TONTSEPT!L15+TONTOCT!L15+TONTNOV!L15+TONTDEC!L15+TONTJANV!L15+TONTFEV!L15+TONTMARS!L15+TONTAVRIL!L15+TONTMAI!L15+TONTJUIN!L15+TONTJUIL21!L15+TONTAOUT21!L15+TONTSEPT21!L15</f>
        <v>0</v>
      </c>
      <c r="M15" s="8">
        <f>TONTJUIL!M15+TONTAOUT!M15+TONTSEPT!M15+TONTOCT!M15+TONTNOV!M15+TONTDEC!M15+TONTJANV!M15+TONTFEV!M15+TONTMARS!M15+TONTAVRIL!M15+TONTMAI!M15+TONTJUIN!M15+TONTJUIL21!M15+TONTAOUT21!M15+TONTSEPT21!M15</f>
        <v>0</v>
      </c>
      <c r="N15" s="8"/>
      <c r="O15" s="8"/>
      <c r="P15" s="8">
        <f>TONTJUIL!P15+TONTAOUT!P15+TONTSEPT!P15+TONTOCT!P15+TONTNOV!P15+TONTDEC!P15+TONTJANV!P15+TONTFEV!P15+TONTMARS!P15+TONTAVRIL!P15+TONTMAI!P15+TONTJUIN!P15+TONTJUIL21!P15+TONTAOUT21!P15+TONTSEPT21!P15</f>
        <v>0</v>
      </c>
      <c r="Q15" s="8">
        <f>TONTJUIL!Q15+TONTAOUT!Q15+TONTSEPT!Q15+TONTOCT!Q15+TONTNOV!Q15+TONTDEC!Q15+TONTJANV!Q15+TONTFEV!Q15+TONTMARS!Q15+TONTAVRIL!Q15+TONTMAI!Q15+TONTJUIN!Q15+TONTJUIL21!Q15+TONTAOUT21!Q15+TONTSEPT21!Q15</f>
        <v>0</v>
      </c>
      <c r="R15" s="8"/>
      <c r="S15" s="36">
        <v>44317</v>
      </c>
      <c r="V15" s="22"/>
    </row>
    <row r="16" spans="1:22" x14ac:dyDescent="0.25">
      <c r="A16" s="1" t="s">
        <v>32</v>
      </c>
      <c r="B16" s="1" t="str">
        <f>VLOOKUP(A16,[6]LISTADHERENT!A$5:H$60,3,0)</f>
        <v>MBOGNING TUGMA GUY</v>
      </c>
      <c r="C16" s="8">
        <f>TONTJUIL!C16+TONTAOUT!C16+TONTSEPT!C16+TONTOCT!C16+TONTNOV!C16+TONTDEC!C16+TONTJANV!C16+TONTFEV!C16+TONTMARS!C16+TONTAVRIL!C16+TONTMAI!C16+TONTJUIN!C16+TONTJUIL21!C16+TONTAOUT21!C16+TONTSEPT21!C16</f>
        <v>0</v>
      </c>
      <c r="D16" s="8">
        <f>TONTJUIL!D16+TONTAOUT!D16+TONTSEPT!D16+TONTOCT!D16+TONTNOV!D16+TONTDEC!D16+TONTJANV!D16+TONTFEV!D16+TONTMARS!D16+TONTAVRIL!D16+TONTMAI!D16+TONTJUIN!D16+TONTJUIL21!D16+TONTAOUT21!D16+TONTSEPT21!D16</f>
        <v>0</v>
      </c>
      <c r="E16" s="8"/>
      <c r="F16" s="8">
        <f>TONTJUIL!F16+TONTAOUT!F16+TONTSEPT!F16+TONTOCT!F16+TONTNOV!F16+TONTDEC!F16+TONTJANV!F16+TONTFEV!F16+TONTMARS!F16+TONTAVRIL!F16+TONTMAI!F16+TONTJUIN!F16+TONTJUIL21!F16+TONTAOUT21!F16+TONTSEPT21!F16</f>
        <v>0</v>
      </c>
      <c r="G16" s="8"/>
      <c r="H16" s="8">
        <f>TONTJUIL!H16+TONTAOUT!H16+TONTSEPT!H16+TONTOCT!H16+TONTNOV!H16+TONTDEC!H16+TONTJANV!H16+TONTFEV!H16+TONTMARS!H16+TONTAVRIL!H16+TONTMAI!H16+TONTJUIN!H16+TONTJUIL21!H16+TONTAOUT21!H16+TONTSEPT21!H16</f>
        <v>0</v>
      </c>
      <c r="I16" s="8">
        <f>TONTJUIL!I16+TONTAOUT!I16+TONTSEPT!I16+TONTOCT!I16+TONTNOV!I16+TONTDEC!I16+TONTJANV!I16+TONTFEV!I16+TONTMARS!I16+TONTAVRIL!I16+TONTMAI!I16+TONTJUIN!I16+TONTJUIL21!I16+TONTAOUT21!I16+TONTSEPT21!I16</f>
        <v>0</v>
      </c>
      <c r="J16" s="8"/>
      <c r="K16" s="8"/>
      <c r="L16" s="8">
        <f>TONTJUIL!L16+TONTAOUT!L16+TONTSEPT!L16+TONTOCT!L16+TONTNOV!L16+TONTDEC!L16+TONTJANV!L16+TONTFEV!L16+TONTMARS!L16+TONTAVRIL!L16+TONTMAI!L16+TONTJUIN!L16+TONTJUIL21!L16+TONTAOUT21!L16+TONTSEPT21!L16</f>
        <v>0</v>
      </c>
      <c r="M16" s="8">
        <f>TONTJUIL!M16+TONTAOUT!M16+TONTSEPT!M16+TONTOCT!M16+TONTNOV!M16+TONTDEC!M16+TONTJANV!M16+TONTFEV!M16+TONTMARS!M16+TONTAVRIL!M16+TONTMAI!M16+TONTJUIN!M16+TONTJUIL21!M16+TONTAOUT21!M16+TONTSEPT21!M16</f>
        <v>0</v>
      </c>
      <c r="N16" s="8"/>
      <c r="O16" s="8"/>
      <c r="P16" s="8">
        <f>TONTJUIL!P16+TONTAOUT!P16+TONTSEPT!P16+TONTOCT!P16+TONTNOV!P16+TONTDEC!P16+TONTJANV!P16+TONTFEV!P16+TONTMARS!P16+TONTAVRIL!P16+TONTMAI!P16+TONTJUIN!P16+TONTJUIL21!P16+TONTAOUT21!P16+TONTSEPT21!P16</f>
        <v>0</v>
      </c>
      <c r="Q16" s="8">
        <f>TONTJUIL!Q16+TONTAOUT!Q16+TONTSEPT!Q16+TONTOCT!Q16+TONTNOV!Q16+TONTDEC!Q16+TONTJANV!Q16+TONTFEV!Q16+TONTMARS!Q16+TONTAVRIL!Q16+TONTMAI!Q16+TONTJUIN!Q16+TONTJUIL21!Q16+TONTAOUT21!Q16+TONTSEPT21!Q16</f>
        <v>0</v>
      </c>
      <c r="R16" s="8"/>
      <c r="S16" s="36">
        <v>44317</v>
      </c>
      <c r="V16" s="22"/>
    </row>
    <row r="17" spans="1:24" x14ac:dyDescent="0.25">
      <c r="A17" s="1" t="s">
        <v>31</v>
      </c>
      <c r="B17" s="1" t="str">
        <f>VLOOKUP(A17,[6]LISTADHERENT!A$5:H$60,3,0)</f>
        <v>NGUIEMEGNI MATHIEU BLAISE</v>
      </c>
      <c r="C17" s="8">
        <f>TONTJUIL!C17+TONTAOUT!C17+TONTSEPT!C17+TONTOCT!C17+TONTNOV!C17+TONTDEC!C17+TONTJANV!C17+TONTFEV!C17+TONTMARS!C17+TONTAVRIL!C17+TONTMAI!C17+TONTJUIN!C17+TONTJUIL21!C17+TONTAOUT21!C17+TONTSEPT21!C17</f>
        <v>2250000</v>
      </c>
      <c r="D17" s="8">
        <f>TONTJUIL!D17+TONTAOUT!D17+TONTSEPT!D17+TONTOCT!D17+TONTNOV!D17+TONTDEC!D17+TONTJANV!D17+TONTFEV!D17+TONTMARS!D17+TONTAVRIL!D17+TONTMAI!D17+TONTJUIN!D17+TONTJUIL21!D17+TONTAOUT21!D17+TONTSEPT21!D17</f>
        <v>0</v>
      </c>
      <c r="E17" s="8"/>
      <c r="F17" s="8">
        <f>TONTJUIL!F17+TONTAOUT!F17+TONTSEPT!F17+TONTOCT!F17+TONTNOV!F17+TONTDEC!F17+TONTJANV!F17+TONTFEV!F17+TONTMARS!F17+TONTAVRIL!F17+TONTMAI!F17+TONTJUIN!F17+TONTJUIL21!F17+TONTAOUT21!F17+TONTSEPT21!F17</f>
        <v>212000</v>
      </c>
      <c r="G17" s="8"/>
      <c r="H17" s="8">
        <f>TONTJUIL!H17+TONTAOUT!H17+TONTSEPT!H17+TONTOCT!H17+TONTNOV!H17+TONTDEC!H17+TONTJANV!H17+TONTFEV!H17+TONTMARS!H17+TONTAVRIL!H17+TONTMAI!H17+TONTJUIN!H17+TONTJUIL21!H17+TONTAOUT21!H17+TONTSEPT21!H17</f>
        <v>300000</v>
      </c>
      <c r="I17" s="8">
        <f>TONTJUIL!I17+TONTAOUT!I17+TONTSEPT!I17+TONTOCT!I17+TONTNOV!I17+TONTDEC!I17+TONTJANV!I17+TONTFEV!I17+TONTMARS!I17+TONTAVRIL!I17+TONTMAI!I17+TONTJUIN!I17+TONTJUIL21!I17+TONTAOUT21!I17+TONTSEPT21!I17</f>
        <v>5000</v>
      </c>
      <c r="J17" s="8"/>
      <c r="K17" s="8"/>
      <c r="L17" s="8">
        <f>TONTJUIL!L17+TONTAOUT!L17+TONTSEPT!L17+TONTOCT!L17+TONTNOV!L17+TONTDEC!L17+TONTJANV!L17+TONTFEV!L17+TONTMARS!L17+TONTAVRIL!L17+TONTMAI!L17+TONTJUIN!L17+TONTJUIL21!L17+TONTAOUT21!L17+TONTSEPT21!L17</f>
        <v>305000</v>
      </c>
      <c r="M17" s="8">
        <f>TONTJUIL!M17+TONTAOUT!M17+TONTSEPT!M17+TONTOCT!M17+TONTNOV!M17+TONTDEC!M17+TONTJANV!M17+TONTFEV!M17+TONTMARS!M17+TONTAVRIL!M17+TONTMAI!M17+TONTJUIN!M17+TONTJUIL21!M17+TONTAOUT21!M17+TONTSEPT21!M17</f>
        <v>305000</v>
      </c>
      <c r="N17" s="8"/>
      <c r="O17" s="8"/>
      <c r="P17" s="8">
        <f>TONTJUIL!P17+TONTAOUT!P17+TONTSEPT!P17+TONTOCT!P17+TONTNOV!P17+TONTDEC!P17+TONTJANV!P17+TONTFEV!P17+TONTMARS!P17+TONTAVRIL!P17+TONTMAI!P17+TONTJUIN!P17+TONTJUIL21!P17+TONTAOUT21!P17+TONTSEPT21!P17</f>
        <v>0</v>
      </c>
      <c r="Q17" s="8">
        <f>TONTJUIL!Q17+TONTAOUT!Q17+TONTSEPT!Q17+TONTOCT!Q17+TONTNOV!Q17+TONTDEC!Q17+TONTJANV!Q17+TONTFEV!Q17+TONTMARS!Q17+TONTAVRIL!Q17+TONTMAI!Q17+TONTJUIN!Q17+TONTJUIL21!Q17+TONTAOUT21!Q17+TONTSEPT21!Q17</f>
        <v>2140000</v>
      </c>
      <c r="R17" s="8">
        <f>TONTJUIL!R17+TONTAOUT!R17+TONTSEPT!R17+TONTOCT!R17+TONTNOV!R17+TONTDEC!R17+TONTJANV!R17+TONTFEV!R17+TONTMARS!R17+TONTAVRIL!R17+TONTMAI!R17+TONTJUIN!R17+TONTJUIL21!R17+TONTAOUT21!R17+TONTSEPT21!R17</f>
        <v>260000</v>
      </c>
      <c r="S17" s="36">
        <v>44348</v>
      </c>
      <c r="T17" s="36">
        <v>44136</v>
      </c>
      <c r="V17" s="22">
        <f>R17-75000-75000</f>
        <v>110000</v>
      </c>
    </row>
    <row r="18" spans="1:24" s="13" customFormat="1" x14ac:dyDescent="0.25">
      <c r="A18" s="1" t="s">
        <v>31</v>
      </c>
      <c r="B18" s="1" t="str">
        <f>VLOOKUP(A18,[6]LISTADHERENT!A$5:H$60,3,0)</f>
        <v>NGUIEMEGNI MATHIEU BLAISE</v>
      </c>
      <c r="C18" s="8">
        <f>TONTJUIL!C18+TONTAOUT!C18+TONTSEPT!C18+TONTOCT!C18+TONTNOV!C18+TONTDEC!C18+TONTJANV!C18+TONTFEV!C18+TONTMARS!C18+TONTAVRIL!C18+TONTMAI!C18+TONTJUIN!C18+TONTJUIL21!C18+TONTAOUT21!C18+TONTSEPT21!C18</f>
        <v>0</v>
      </c>
      <c r="D18" s="8">
        <f>TONTJUIL!D18+TONTAOUT!D18+TONTSEPT!D18+TONTOCT!D18+TONTNOV!D18+TONTDEC!D18+TONTJANV!D18+TONTFEV!D18+TONTMARS!D18+TONTAVRIL!D18+TONTMAI!D18+TONTJUIN!D18+TONTJUIL21!D18+TONTAOUT21!D18+TONTSEPT21!D18</f>
        <v>0</v>
      </c>
      <c r="E18" s="8"/>
      <c r="F18" s="8">
        <f>TONTJUIL!F18+TONTAOUT!F18+TONTSEPT!F18+TONTOCT!F18+TONTNOV!F18+TONTDEC!F18+TONTJANV!F18+TONTFEV!F18+TONTMARS!F18+TONTAVRIL!F18+TONTMAI!F18+TONTJUIN!F18+TONTJUIL21!F18+TONTAOUT21!F18+TONTSEPT21!F18</f>
        <v>0</v>
      </c>
      <c r="G18" s="8"/>
      <c r="H18" s="8">
        <f>TONTJUIL!H18+TONTAOUT!H18+TONTSEPT!H18+TONTOCT!H18+TONTNOV!H18+TONTDEC!H18+TONTJANV!H18+TONTFEV!H18+TONTMARS!H18+TONTAVRIL!H18+TONTMAI!H18+TONTJUIN!H18+TONTJUIL21!H18+TONTAOUT21!H18+TONTSEPT21!H18</f>
        <v>0</v>
      </c>
      <c r="I18" s="8">
        <f>TONTJUIL!I18+TONTAOUT!I18+TONTSEPT!I18+TONTOCT!I18+TONTNOV!I18+TONTDEC!I18+TONTJANV!I18+TONTFEV!I18+TONTMARS!I18+TONTAVRIL!I18+TONTMAI!I18+TONTJUIN!I18+TONTJUIL21!I18+TONTAOUT21!I18+TONTSEPT21!I18</f>
        <v>0</v>
      </c>
      <c r="J18" s="8"/>
      <c r="K18" s="8"/>
      <c r="L18" s="8">
        <f>TONTJUIL!L18+TONTAOUT!L18+TONTSEPT!L18+TONTOCT!L18+TONTNOV!L18+TONTDEC!L18+TONTJANV!L18+TONTFEV!L18+TONTMARS!L18+TONTAVRIL!L18+TONTMAI!L18+TONTJUIN!L18+TONTJUIL21!L18+TONTAOUT21!L18+TONTSEPT21!L18</f>
        <v>0</v>
      </c>
      <c r="M18" s="8">
        <f>TONTJUIL!M18+TONTAOUT!M18+TONTSEPT!M18+TONTOCT!M18+TONTNOV!M18+TONTDEC!M18+TONTJANV!M18+TONTFEV!M18+TONTMARS!M18+TONTAVRIL!M18+TONTMAI!M18+TONTJUIN!M18+TONTJUIL21!M18+TONTAOUT21!M18+TONTSEPT21!M18</f>
        <v>0</v>
      </c>
      <c r="N18" s="8"/>
      <c r="O18" s="8"/>
      <c r="P18" s="8">
        <f>TONTJUIL!P18+TONTAOUT!P18+TONTSEPT!P18+TONTOCT!P18+TONTNOV!P18+TONTDEC!P18+TONTJANV!P18+TONTFEV!P18+TONTMARS!P18+TONTAVRIL!P18+TONTMAI!P18+TONTJUIN!P18+TONTJUIL21!P18+TONTAOUT21!P18+TONTSEPT21!P18</f>
        <v>0</v>
      </c>
      <c r="Q18" s="8">
        <f>TONTJUIL!Q18+TONTAOUT!Q18+TONTSEPT!Q18+TONTOCT!Q18+TONTNOV!Q18+TONTDEC!Q18+TONTJANV!Q18+TONTFEV!Q18+TONTMARS!Q18+TONTAVRIL!Q18+TONTMAI!Q18+TONTJUIN!Q18+TONTJUIL21!Q18+TONTAOUT21!Q18+TONTSEPT21!Q18</f>
        <v>0</v>
      </c>
      <c r="R18" s="8"/>
      <c r="S18" s="36">
        <v>44348</v>
      </c>
      <c r="T18"/>
      <c r="V18" s="22"/>
    </row>
    <row r="19" spans="1:24" x14ac:dyDescent="0.25">
      <c r="A19" s="16" t="s">
        <v>12</v>
      </c>
      <c r="B19" s="1" t="str">
        <f>VLOOKUP(A19,[6]LISTADHERENT!A$5:H$60,3,0)</f>
        <v>NKAMGANG JUSTIN DEJOLIE</v>
      </c>
      <c r="C19" s="8">
        <f>TONTJUIL!C19+TONTAOUT!C19+TONTSEPT!C19+TONTOCT!C19+TONTNOV!C19+TONTDEC!C19+TONTJANV!C19+TONTFEV!C19+TONTMARS!C19+TONTAVRIL!C19+TONTMAI!C19+TONTJUIN!C19+TONTJUIL21!C19+TONTAOUT21!C19+TONTSEPT21!C19</f>
        <v>1125000</v>
      </c>
      <c r="D19" s="8">
        <f>TONTJUIL!D19+TONTAOUT!D19+TONTSEPT!D19+TONTOCT!D19+TONTNOV!D19+TONTDEC!D19+TONTJANV!D19+TONTFEV!D19+TONTMARS!D19+TONTAVRIL!D19+TONTMAI!D19+TONTJUIN!D19+TONTJUIL21!D19+TONTAOUT21!D19+TONTSEPT21!D19</f>
        <v>0</v>
      </c>
      <c r="E19" s="8"/>
      <c r="F19" s="8">
        <f>TONTJUIL!F19+TONTAOUT!F19+TONTSEPT!F19+TONTOCT!F19+TONTNOV!F19+TONTDEC!F19+TONTJANV!F19+TONTFEV!F19+TONTMARS!F19+TONTAVRIL!F19+TONTMAI!F19+TONTJUIN!F19+TONTJUIL21!F19+TONTAOUT21!F19+TONTSEPT21!F19</f>
        <v>0</v>
      </c>
      <c r="G19" s="8"/>
      <c r="H19" s="8">
        <f>TONTJUIL!H19+TONTAOUT!H19+TONTSEPT!H19+TONTOCT!H19+TONTNOV!H19+TONTDEC!H19+TONTJANV!H19+TONTFEV!H19+TONTMARS!H19+TONTAVRIL!H19+TONTMAI!H19+TONTJUIN!H19+TONTJUIL21!H19+TONTAOUT21!H19+TONTSEPT21!H19</f>
        <v>1500000</v>
      </c>
      <c r="I19" s="8">
        <f>TONTJUIL!I19+TONTAOUT!I19+TONTSEPT!I19+TONTOCT!I19+TONTNOV!I19+TONTDEC!I19+TONTJANV!I19+TONTFEV!I19+TONTMARS!I19+TONTAVRIL!I19+TONTMAI!I19+TONTJUIN!I19+TONTJUIL21!I19+TONTAOUT21!I19+TONTSEPT21!I19</f>
        <v>24000</v>
      </c>
      <c r="J19" s="8"/>
      <c r="K19" s="8"/>
      <c r="L19" s="8">
        <f>TONTJUIL!L19+TONTAOUT!L19+TONTSEPT!L19+TONTOCT!L19+TONTNOV!L19+TONTDEC!L19+TONTJANV!L19+TONTFEV!L19+TONTMARS!L19+TONTAVRIL!L19+TONTMAI!L19+TONTJUIN!L19+TONTJUIL21!L19+TONTAOUT21!L19+TONTSEPT21!L19</f>
        <v>1524000</v>
      </c>
      <c r="M19" s="8">
        <f>TONTJUIL!M19+TONTAOUT!M19+TONTSEPT!M19+TONTOCT!M19+TONTNOV!M19+TONTDEC!M19+TONTJANV!M19+TONTFEV!M19+TONTMARS!M19+TONTAVRIL!M19+TONTMAI!M19+TONTJUIN!M19+TONTJUIL21!M19+TONTAOUT21!M19+TONTSEPT21!M19</f>
        <v>1524000</v>
      </c>
      <c r="N19" s="8"/>
      <c r="O19" s="8"/>
      <c r="P19" s="8">
        <f>TONTJUIL!P19+TONTAOUT!P19+TONTSEPT!P19+TONTOCT!P19+TONTNOV!P19+TONTDEC!P19+TONTJANV!P19+TONTFEV!P19+TONTMARS!P19+TONTAVRIL!P19+TONTMAI!P19+TONTJUIN!P19+TONTJUIL21!P19+TONTAOUT21!P19+TONTSEPT21!P19</f>
        <v>0</v>
      </c>
      <c r="Q19" s="8">
        <f>TONTJUIL!Q19+TONTAOUT!Q19+TONTSEPT!Q19+TONTOCT!Q19+TONTNOV!Q19+TONTDEC!Q19+TONTJANV!Q19+TONTFEV!Q19+TONTMARS!Q19+TONTAVRIL!Q19+TONTMAI!Q19+TONTJUIN!Q19+TONTJUIL21!Q19+TONTAOUT21!Q19+TONTSEPT21!Q19</f>
        <v>1115000</v>
      </c>
      <c r="R19" s="8">
        <f>TONTJUIL!R19+TONTAOUT!R19+TONTSEPT!R19+TONTOCT!R19+TONTNOV!R19+TONTDEC!R19+TONTJANV!R19+TONTFEV!R19+TONTMARS!R19+TONTAVRIL!R19+TONTMAI!R19+TONTJUIN!R19+TONTJUIL21!R19+TONTAOUT21!R19+TONTSEPT21!R19</f>
        <v>85000</v>
      </c>
      <c r="S19" s="36">
        <v>44075</v>
      </c>
      <c r="V19" s="22">
        <f t="shared" si="0"/>
        <v>10000</v>
      </c>
    </row>
    <row r="20" spans="1:24" x14ac:dyDescent="0.25">
      <c r="A20" s="1" t="s">
        <v>42</v>
      </c>
      <c r="B20" s="1" t="str">
        <f>VLOOKUP(A20,[6]LISTADHERENT!A$5:H$60,3,0)</f>
        <v>PATEGO NJOSSU GUSTAVE</v>
      </c>
      <c r="C20" s="8">
        <f>TONTJUIL!C20+TONTAOUT!C20+TONTSEPT!C20+TONTOCT!C20+TONTNOV!C20+TONTDEC!C20+TONTJANV!C20+TONTFEV!C20+TONTMARS!C20+TONTAVRIL!C20+TONTMAI!C20+TONTJUIN!C20+TONTJUIL21!C20+TONTAOUT21!C20+TONTSEPT21!C20</f>
        <v>1125000</v>
      </c>
      <c r="D20" s="8">
        <f>TONTJUIL!D20+TONTAOUT!D20+TONTSEPT!D20+TONTOCT!D20+TONTNOV!D20+TONTDEC!D20+TONTJANV!D20+TONTFEV!D20+TONTMARS!D20+TONTAVRIL!D20+TONTMAI!D20+TONTJUIN!D20+TONTJUIL21!D20+TONTAOUT21!D20+TONTSEPT21!D20</f>
        <v>0</v>
      </c>
      <c r="E20" s="8"/>
      <c r="F20" s="8">
        <f>TONTJUIL!F20+TONTAOUT!F20+TONTSEPT!F20+TONTOCT!F20+TONTNOV!F20+TONTDEC!F20+TONTJANV!F20+TONTFEV!F20+TONTMARS!F20+TONTAVRIL!F20+TONTMAI!F20+TONTJUIN!F20+TONTJUIL21!F20+TONTAOUT21!F20+TONTSEPT21!F20</f>
        <v>0</v>
      </c>
      <c r="G20" s="8"/>
      <c r="H20" s="8">
        <f>TONTJUIL!H20+TONTAOUT!H20+TONTSEPT!H20+TONTOCT!H20+TONTNOV!H20+TONTDEC!H20+TONTJANV!H20+TONTFEV!H20+TONTMARS!H20+TONTAVRIL!H20+TONTMAI!H20+TONTJUIN!H20+TONTJUIL21!H20+TONTAOUT21!H20+TONTSEPT21!H20</f>
        <v>0</v>
      </c>
      <c r="I20" s="8">
        <f>TONTJUIL!I20+TONTAOUT!I20+TONTSEPT!I20+TONTOCT!I20+TONTNOV!I20+TONTDEC!I20+TONTJANV!I20+TONTFEV!I20+TONTMARS!I20+TONTAVRIL!I20+TONTMAI!I20+TONTJUIN!I20+TONTJUIL21!I20+TONTAOUT21!I20+TONTSEPT21!I20</f>
        <v>0</v>
      </c>
      <c r="J20" s="8"/>
      <c r="K20" s="8"/>
      <c r="L20" s="8">
        <f>TONTJUIL!L20+TONTAOUT!L20+TONTSEPT!L20+TONTOCT!L20+TONTNOV!L20+TONTDEC!L20+TONTJANV!L20+TONTFEV!L20+TONTMARS!L20+TONTAVRIL!L20+TONTMAI!L20+TONTJUIN!L20+TONTJUIL21!L20+TONTAOUT21!L20+TONTSEPT21!L20</f>
        <v>0</v>
      </c>
      <c r="M20" s="8">
        <f>TONTJUIL!M20+TONTAOUT!M20+TONTSEPT!M20+TONTOCT!M20+TONTNOV!M20+TONTDEC!M20+TONTJANV!M20+TONTFEV!M20+TONTMARS!M20+TONTAVRIL!M20+TONTMAI!M20+TONTJUIN!M20+TONTJUIL21!M20+TONTAOUT21!M20+TONTSEPT21!M20</f>
        <v>0</v>
      </c>
      <c r="N20" s="8"/>
      <c r="O20" s="8"/>
      <c r="P20" s="8">
        <f>TONTJUIL!P20+TONTAOUT!P20+TONTSEPT!P20+TONTOCT!P20+TONTNOV!P20+TONTDEC!P20+TONTJANV!P20+TONTFEV!P20+TONTMARS!P20+TONTAVRIL!P20+TONTMAI!P20+TONTJUIN!P20+TONTJUIL21!P20+TONTAOUT21!P20+TONTSEPT21!P20</f>
        <v>0</v>
      </c>
      <c r="Q20" s="8">
        <f>TONTJUIL!Q20+TONTAOUT!Q20+TONTSEPT!Q20+TONTOCT!Q20+TONTNOV!Q20+TONTDEC!Q20+TONTJANV!Q20+TONTFEV!Q20+TONTMARS!Q20+TONTAVRIL!Q20+TONTMAI!Q20+TONTJUIN!Q20+TONTJUIL21!Q20+TONTAOUT21!Q20+TONTSEPT21!Q20</f>
        <v>1125000</v>
      </c>
      <c r="R20" s="8">
        <f>TONTJUIL!R20+TONTAOUT!R20+TONTSEPT!R20+TONTOCT!R20+TONTNOV!R20+TONTDEC!R20+TONTJANV!R20+TONTFEV!R20+TONTMARS!R20+TONTAVRIL!R20+TONTMAI!R20+TONTJUIN!R20+TONTJUIL21!R20+TONTAOUT21!R20+TONTSEPT21!R20</f>
        <v>75000</v>
      </c>
      <c r="S20" s="36">
        <v>44378</v>
      </c>
      <c r="V20" s="22">
        <f t="shared" si="0"/>
        <v>0</v>
      </c>
    </row>
    <row r="21" spans="1:24" x14ac:dyDescent="0.25">
      <c r="A21" s="16" t="s">
        <v>43</v>
      </c>
      <c r="B21" s="1" t="str">
        <f>VLOOKUP(A21,[6]LISTADHERENT!A$5:H$60,3,0)</f>
        <v>SIMO PIERRE</v>
      </c>
      <c r="C21" s="8">
        <f>TONTJUIL!C21+TONTAOUT!C21+TONTSEPT!C21+TONTOCT!C21+TONTNOV!C21+TONTDEC!C21+TONTJANV!C21+TONTFEV!C21+TONTMARS!C21+TONTAVRIL!C21+TONTMAI!C21+TONTJUIN!C21+TONTJUIL21!C21+TONTAOUT21!C21+TONTSEPT21!C21</f>
        <v>1125000</v>
      </c>
      <c r="D21" s="8">
        <f>TONTJUIL!D21+TONTAOUT!D21+TONTSEPT!D21+TONTOCT!D21+TONTNOV!D21+TONTDEC!D21+TONTJANV!D21+TONTFEV!D21+TONTMARS!D21+TONTAVRIL!D21+TONTMAI!D21+TONTJUIN!D21+TONTJUIL21!D21+TONTAOUT21!D21+TONTSEPT21!D21</f>
        <v>0</v>
      </c>
      <c r="E21" s="8"/>
      <c r="F21" s="8">
        <f>TONTJUIL!F21+TONTAOUT!F21+TONTSEPT!F21+TONTOCT!F21+TONTNOV!F21+TONTDEC!F21+TONTJANV!F21+TONTFEV!F21+TONTMARS!F21+TONTAVRIL!F21+TONTMAI!F21+TONTJUIN!F21+TONTJUIL21!F21+TONTAOUT21!F21+TONTSEPT21!F21</f>
        <v>0</v>
      </c>
      <c r="G21" s="8"/>
      <c r="H21" s="8">
        <f>TONTJUIL!H21+TONTAOUT!H21+TONTSEPT!H21+TONTOCT!H21+TONTNOV!H21+TONTDEC!H21+TONTJANV!H21+TONTFEV!H21+TONTMARS!H21+TONTAVRIL!H21+TONTMAI!H21+TONTJUIN!H21+TONTJUIL21!H21+TONTAOUT21!H21+TONTSEPT21!H21</f>
        <v>0</v>
      </c>
      <c r="I21" s="8">
        <f>TONTJUIL!I21+TONTAOUT!I21+TONTSEPT!I21+TONTOCT!I21+TONTNOV!I21+TONTDEC!I21+TONTJANV!I21+TONTFEV!I21+TONTMARS!I21+TONTAVRIL!I21+TONTMAI!I21+TONTJUIN!I21+TONTJUIL21!I21+TONTAOUT21!I21+TONTSEPT21!I21</f>
        <v>0</v>
      </c>
      <c r="J21" s="8"/>
      <c r="K21" s="8"/>
      <c r="L21" s="8">
        <f>TONTJUIL!L21+TONTAOUT!L21+TONTSEPT!L21+TONTOCT!L21+TONTNOV!L21+TONTDEC!L21+TONTJANV!L21+TONTFEV!L21+TONTMARS!L21+TONTAVRIL!L21+TONTMAI!L21+TONTJUIN!L21+TONTJUIL21!L21+TONTAOUT21!L21+TONTSEPT21!L21</f>
        <v>0</v>
      </c>
      <c r="M21" s="8">
        <f>TONTJUIL!M21+TONTAOUT!M21+TONTSEPT!M21+TONTOCT!M21+TONTNOV!M21+TONTDEC!M21+TONTJANV!M21+TONTFEV!M21+TONTMARS!M21+TONTAVRIL!M21+TONTMAI!M21+TONTJUIN!M21+TONTJUIL21!M21+TONTAOUT21!M21+TONTSEPT21!M21</f>
        <v>0</v>
      </c>
      <c r="N21" s="8"/>
      <c r="O21" s="8"/>
      <c r="P21" s="8">
        <f>TONTJUIL!P21+TONTAOUT!P21+TONTSEPT!P21+TONTOCT!P21+TONTNOV!P21+TONTDEC!P21+TONTJANV!P21+TONTFEV!P21+TONTMARS!P21+TONTAVRIL!P21+TONTMAI!P21+TONTJUIN!P21+TONTJUIL21!P21+TONTAOUT21!P21+TONTSEPT21!P21</f>
        <v>0</v>
      </c>
      <c r="Q21" s="8">
        <f>TONTJUIL!Q21+TONTAOUT!Q21+TONTSEPT!Q21+TONTOCT!Q21+TONTNOV!Q21+TONTDEC!Q21+TONTJANV!Q21+TONTFEV!Q21+TONTMARS!Q21+TONTAVRIL!Q21+TONTMAI!Q21+TONTJUIN!Q21+TONTJUIL21!Q21+TONTAOUT21!Q21+TONTSEPT21!Q21</f>
        <v>1125000</v>
      </c>
      <c r="R21" s="8">
        <f>TONTJUIL!R21+TONTAOUT!R21+TONTSEPT!R21+TONTOCT!R21+TONTNOV!R21+TONTDEC!R21+TONTJANV!R21+TONTFEV!R21+TONTMARS!R21+TONTAVRIL!R21+TONTMAI!R21+TONTJUIN!R21+TONTJUIL21!R21+TONTAOUT21!R21+TONTSEPT21!R21</f>
        <v>75000</v>
      </c>
      <c r="S21" s="36">
        <v>44256</v>
      </c>
      <c r="V21" s="22">
        <f t="shared" si="0"/>
        <v>0</v>
      </c>
    </row>
    <row r="22" spans="1:24" s="13" customFormat="1" x14ac:dyDescent="0.25">
      <c r="A22" s="40" t="s">
        <v>51</v>
      </c>
      <c r="B22" s="40" t="str">
        <f>VLOOKUP(A22,[6]LISTADHERENT!A$5:H$60,3,0)</f>
        <v>TCHEMHOU EMMANUEL</v>
      </c>
      <c r="C22" s="12">
        <f>TONTJUIL!C22+TONTAOUT!C22+TONTSEPT!C22+TONTOCT!C22+TONTNOV!C22+TONTDEC!C22+TONTJANV!C22+TONTFEV!C22+TONTMARS!C22+TONTAVRIL!C22+TONTMAI!C22+TONTJUIN!C22+TONTJUIL21!C22+TONTAOUT21!C22+TONTSEPT21!C22</f>
        <v>536000</v>
      </c>
      <c r="D22" s="12">
        <f>TONTJUIL!D22+TONTAOUT!D22+TONTSEPT!D22+TONTOCT!D22+TONTNOV!D22+TONTDEC!D22+TONTJANV!D22+TONTFEV!D22+TONTMARS!D22+TONTAVRIL!D22+TONTMAI!D22+TONTJUIN!D22+TONTJUIL21!D22+TONTAOUT21!D22+TONTSEPT21!D22</f>
        <v>0</v>
      </c>
      <c r="E22" s="12"/>
      <c r="F22" s="12">
        <f>TONTJUIL!F22+TONTAOUT!F22+TONTSEPT!F22+TONTOCT!F22+TONTNOV!F22+TONTDEC!F22+TONTJANV!F22+TONTFEV!F22+TONTMARS!F22+TONTAVRIL!F22+TONTMAI!F22+TONTJUIN!F22+TONTJUIL21!F22+TONTAOUT21!F22+TONTSEPT21!F22</f>
        <v>0</v>
      </c>
      <c r="G22" s="12"/>
      <c r="H22" s="12">
        <f>TONTJUIL!H22+TONTAOUT!H22+TONTSEPT!H22+TONTOCT!H22+TONTNOV!H22+TONTDEC!H22+TONTJANV!H22+TONTFEV!H22+TONTMARS!H22+TONTAVRIL!H22+TONTMAI!H22+TONTJUIN!H22+TONTJUIL21!H22+TONTAOUT21!H22+TONTSEPT21!H22</f>
        <v>0</v>
      </c>
      <c r="I22" s="12">
        <f>TONTJUIL!I22+TONTAOUT!I22+TONTSEPT!I22+TONTOCT!I22+TONTNOV!I22+TONTDEC!I22+TONTJANV!I22+TONTFEV!I22+TONTMARS!I22+TONTAVRIL!I22+TONTMAI!I22+TONTJUIN!I22+TONTJUIL21!I22+TONTAOUT21!I22+TONTSEPT21!I22</f>
        <v>0</v>
      </c>
      <c r="J22" s="12"/>
      <c r="K22" s="12"/>
      <c r="L22" s="12">
        <f>TONTJUIL!L22+TONTAOUT!L22+TONTSEPT!L22+TONTOCT!L22+TONTNOV!L22+TONTDEC!L22+TONTJANV!L22+TONTFEV!L22+TONTMARS!L22+TONTAVRIL!L22+TONTMAI!L22+TONTJUIN!L22+TONTJUIL21!L22+TONTAOUT21!L22+TONTSEPT21!L22</f>
        <v>0</v>
      </c>
      <c r="M22" s="12">
        <f>TONTJUIL!M22+TONTAOUT!M22+TONTSEPT!M22+TONTOCT!M22+TONTNOV!M22+TONTDEC!M22+TONTJANV!M22+TONTFEV!M22+TONTMARS!M22+TONTAVRIL!M22+TONTMAI!M22+TONTJUIN!M22+TONTJUIL21!M22+TONTAOUT21!M22+TONTSEPT21!M22</f>
        <v>0</v>
      </c>
      <c r="N22" s="12"/>
      <c r="O22" s="12"/>
      <c r="P22" s="12">
        <f>TONTJUIL!P22+TONTAOUT!P22+TONTSEPT!P22+TONTOCT!P22+TONTNOV!P22+TONTDEC!P22+TONTJANV!P22+TONTFEV!P22+TONTMARS!P22+TONTAVRIL!P22+TONTMAI!P22+TONTJUIN!P22+TONTJUIL21!P22+TONTAOUT21!P22+TONTSEPT21!P22</f>
        <v>0</v>
      </c>
      <c r="Q22" s="12">
        <f>TONTJUIL!Q22+TONTAOUT!Q22+TONTSEPT!Q22+TONTOCT!Q22+TONTNOV!Q22+TONTDEC!Q22+TONTJANV!Q22+TONTFEV!Q22+TONTMARS!Q22+TONTAVRIL!Q22+TONTMAI!Q22+TONTJUIN!Q22+TONTJUIL21!Q22+TONTAOUT21!Q22+TONTSEPT21!Q22</f>
        <v>0</v>
      </c>
      <c r="R22" s="12">
        <f>TONTJUIL!R22+TONTAOUT!R22+TONTSEPT!R22+TONTOCT!R22+TONTNOV!R22+TONTDEC!R22+TONTJANV!R22+TONTFEV!R22+TONTMARS!R22+TONTAVRIL!R22+TONTMAI!R22+TONTJUIN!R22+TONTJUIL21!R22+TONTAOUT21!R22+TONTSEPT21!R22</f>
        <v>0</v>
      </c>
      <c r="V22" s="22"/>
    </row>
    <row r="23" spans="1:24" x14ac:dyDescent="0.25">
      <c r="A23" s="1" t="s">
        <v>30</v>
      </c>
      <c r="B23" s="1" t="str">
        <f>VLOOKUP(A23,[6]LISTADHERENT!A$5:H$60,3,0)</f>
        <v>YOUMBI EMMANUEL</v>
      </c>
      <c r="C23" s="8">
        <f>TONTJUIL!C23+TONTAOUT!C23+TONTSEPT!C23+TONTOCT!C23+TONTNOV!C23+TONTDEC!C23+TONTJANV!C23+TONTFEV!C23+TONTMARS!C23+TONTAVRIL!C23+TONTMAI!C23+TONTJUIN!C23+TONTJUIL21!C23+TONTAOUT21!C23+TONTSEPT21!C23</f>
        <v>2250000</v>
      </c>
      <c r="D23" s="8">
        <f>TONTJUIL!D23+TONTAOUT!D23+TONTSEPT!D23+TONTOCT!D23+TONTNOV!D23+TONTDEC!D23+TONTJANV!D23+TONTFEV!D23+TONTMARS!D23+TONTAVRIL!D23+TONTMAI!D23+TONTJUIN!D23+TONTJUIL21!D23+TONTAOUT21!D23+TONTSEPT21!D23</f>
        <v>0</v>
      </c>
      <c r="E23" s="8"/>
      <c r="F23" s="8">
        <f>TONTJUIL!F23+TONTAOUT!F23+TONTSEPT!F23+TONTOCT!F23+TONTNOV!F23+TONTDEC!F23+TONTJANV!F23+TONTFEV!F23+TONTMARS!F23+TONTAVRIL!F23+TONTMAI!F23+TONTJUIN!F23+TONTJUIL21!F23+TONTAOUT21!F23+TONTSEPT21!F23</f>
        <v>0</v>
      </c>
      <c r="G23" s="8"/>
      <c r="H23" s="8">
        <f>TONTJUIL!H23+TONTAOUT!H23+TONTSEPT!H23+TONTOCT!H23+TONTNOV!H23+TONTDEC!H23+TONTJANV!H23+TONTFEV!H23+TONTMARS!H23+TONTAVRIL!H23+TONTMAI!H23+TONTJUIN!H23+TONTJUIL21!H23+TONTAOUT21!H23+TONTSEPT21!H23</f>
        <v>0</v>
      </c>
      <c r="I23" s="8">
        <f>TONTJUIL!I23+TONTAOUT!I23+TONTSEPT!I23+TONTOCT!I23+TONTNOV!I23+TONTDEC!I23+TONTJANV!I23+TONTFEV!I23+TONTMARS!I23+TONTAVRIL!I23+TONTMAI!I23+TONTJUIN!I23+TONTJUIL21!I23+TONTAOUT21!I23+TONTSEPT21!I23</f>
        <v>0</v>
      </c>
      <c r="J23" s="8"/>
      <c r="K23" s="8"/>
      <c r="L23" s="8">
        <f>TONTJUIL!L23+TONTAOUT!L23+TONTSEPT!L23+TONTOCT!L23+TONTNOV!L23+TONTDEC!L23+TONTJANV!L23+TONTFEV!L23+TONTMARS!L23+TONTAVRIL!L23+TONTMAI!L23+TONTJUIN!L23+TONTJUIL21!L23+TONTAOUT21!L23+TONTSEPT21!L23</f>
        <v>0</v>
      </c>
      <c r="M23" s="8">
        <f>TONTJUIL!M23+TONTAOUT!M23+TONTSEPT!M23+TONTOCT!M23+TONTNOV!M23+TONTDEC!M23+TONTJANV!M23+TONTFEV!M23+TONTMARS!M23+TONTAVRIL!M23+TONTMAI!M23+TONTJUIN!M23+TONTJUIL21!M23+TONTAOUT21!M23+TONTSEPT21!M23</f>
        <v>0</v>
      </c>
      <c r="N23" s="8"/>
      <c r="O23" s="8"/>
      <c r="P23" s="8">
        <f>TONTJUIL!P23+TONTAOUT!P23+TONTSEPT!P23+TONTOCT!P23+TONTNOV!P23+TONTDEC!P23+TONTJANV!P23+TONTFEV!P23+TONTMARS!P23+TONTAVRIL!P23+TONTMAI!P23+TONTJUIN!P23+TONTJUIL21!P23+TONTAOUT21!P23+TONTSEPT21!P23</f>
        <v>0</v>
      </c>
      <c r="Q23" s="8">
        <f>TONTJUIL!Q23+TONTAOUT!Q23+TONTSEPT!Q23+TONTOCT!Q23+TONTNOV!Q23+TONTDEC!Q23+TONTJANV!Q23+TONTFEV!Q23+TONTMARS!Q23+TONTAVRIL!Q23+TONTMAI!Q23+TONTJUIN!Q23+TONTJUIL21!Q23+TONTAOUT21!Q23+TONTSEPT21!Q23</f>
        <v>2250000</v>
      </c>
      <c r="R23" s="8">
        <f>TONTJUIL!R23+TONTAOUT!R23+TONTSEPT!R23+TONTOCT!R23+TONTNOV!R23+TONTDEC!R23+TONTJANV!R23+TONTFEV!R23+TONTMARS!R23+TONTAVRIL!R23+TONTMAI!R23+TONTJUIN!R23+TONTJUIL21!R23+TONTAOUT21!R23+TONTSEPT21!R23</f>
        <v>150000</v>
      </c>
      <c r="S23" s="36">
        <v>44256</v>
      </c>
      <c r="T23" s="36">
        <v>44105</v>
      </c>
      <c r="V23" s="22">
        <f>R23-75000-75000</f>
        <v>0</v>
      </c>
    </row>
    <row r="24" spans="1:24" x14ac:dyDescent="0.25">
      <c r="A24" s="1" t="s">
        <v>30</v>
      </c>
      <c r="B24" s="1" t="str">
        <f>VLOOKUP(A24,[6]LISTADHERENT!A$5:H$60,3,0)</f>
        <v>YOUMBI EMMANUEL</v>
      </c>
      <c r="C24" s="8">
        <f>TONTJUIL!C24+TONTAOUT!C24+TONTSEPT!C24+TONTOCT!C24+TONTNOV!C24+TONTDEC!C24+TONTJANV!C24+TONTFEV!C24+TONTMARS!C24+TONTAVRIL!C24+TONTMAI!C24+TONTJUIN!C24+TONTJUIL21!C24+TONTAOUT21!C24+TONTSEPT21!C24</f>
        <v>0</v>
      </c>
      <c r="D24" s="8">
        <f>TONTJUIL!D24+TONTAOUT!D24+TONTSEPT!D24+TONTOCT!D24+TONTNOV!D24+TONTDEC!D24+TONTJANV!D24+TONTFEV!D24+TONTMARS!D24+TONTAVRIL!D24+TONTMAI!D24+TONTJUIN!D24+TONTJUIL21!D24+TONTAOUT21!D24+TONTSEPT21!D24</f>
        <v>0</v>
      </c>
      <c r="E24" s="8"/>
      <c r="F24" s="8">
        <f>TONTJUIL!F24+TONTAOUT!F24+TONTSEPT!F24+TONTOCT!F24+TONTNOV!F24+TONTDEC!F24+TONTJANV!F24+TONTFEV!F24+TONTMARS!F24+TONTAVRIL!F24+TONTMAI!F24+TONTJUIN!F24+TONTJUIL21!F24+TONTAOUT21!F24+TONTSEPT21!F24</f>
        <v>0</v>
      </c>
      <c r="G24" s="8"/>
      <c r="H24" s="8">
        <f>TONTJUIL!H24+TONTAOUT!H24+TONTSEPT!H24+TONTOCT!H24+TONTNOV!H24+TONTDEC!H24+TONTJANV!H24+TONTFEV!H24+TONTMARS!H24+TONTAVRIL!H24+TONTMAI!H24+TONTJUIN!H24+TONTJUIL21!H24+TONTAOUT21!H24+TONTSEPT21!H24</f>
        <v>0</v>
      </c>
      <c r="I24" s="8">
        <f>TONTJUIL!I24+TONTAOUT!I24+TONTSEPT!I24+TONTOCT!I24+TONTNOV!I24+TONTDEC!I24+TONTJANV!I24+TONTFEV!I24+TONTMARS!I24+TONTAVRIL!I24+TONTMAI!I24+TONTJUIN!I24+TONTJUIL21!I24+TONTAOUT21!I24+TONTSEPT21!I24</f>
        <v>0</v>
      </c>
      <c r="J24" s="8"/>
      <c r="K24" s="8"/>
      <c r="L24" s="8">
        <f>TONTJUIL!L24+TONTAOUT!L24+TONTSEPT!L24+TONTOCT!L24+TONTNOV!L24+TONTDEC!L24+TONTJANV!L24+TONTFEV!L24+TONTMARS!L24+TONTAVRIL!L24+TONTMAI!L24+TONTJUIN!L24+TONTJUIL21!L24+TONTAOUT21!L24+TONTSEPT21!L24</f>
        <v>0</v>
      </c>
      <c r="M24" s="8">
        <f>TONTJUIL!M24+TONTAOUT!M24+TONTSEPT!M24+TONTOCT!M24+TONTNOV!M24+TONTDEC!M24+TONTJANV!M24+TONTFEV!M24+TONTMARS!M24+TONTAVRIL!M24+TONTMAI!M24+TONTJUIN!M24+TONTJUIL21!M24+TONTAOUT21!M24+TONTSEPT21!M24</f>
        <v>0</v>
      </c>
      <c r="N24" s="8"/>
      <c r="O24" s="8"/>
      <c r="P24" s="8">
        <f>TONTJUIL!P24+TONTAOUT!P24+TONTSEPT!P24+TONTOCT!P24+TONTNOV!P24+TONTDEC!P24+TONTJANV!P24+TONTFEV!P24+TONTMARS!P24+TONTAVRIL!P24+TONTMAI!P24+TONTJUIN!P24+TONTJUIL21!P24+TONTAOUT21!P24+TONTSEPT21!P24</f>
        <v>0</v>
      </c>
      <c r="Q24" s="8">
        <f>TONTJUIL!Q24+TONTAOUT!Q24+TONTSEPT!Q24+TONTOCT!Q24+TONTNOV!Q24+TONTDEC!Q24+TONTJANV!Q24+TONTFEV!Q24+TONTMARS!Q24+TONTAVRIL!Q24+TONTMAI!Q24+TONTJUIN!Q24+TONTJUIL21!Q24+TONTAOUT21!Q24+TONTSEPT21!Q24</f>
        <v>0</v>
      </c>
      <c r="R24" s="8"/>
      <c r="S24" s="36">
        <v>44256</v>
      </c>
      <c r="V24" s="22"/>
    </row>
    <row r="25" spans="1:24" x14ac:dyDescent="0.25">
      <c r="A25" s="1"/>
      <c r="C25"/>
      <c r="G25" s="3"/>
      <c r="H25" s="3"/>
      <c r="J25" s="3"/>
      <c r="K25" s="2"/>
      <c r="N25" s="3"/>
      <c r="O25" s="2"/>
      <c r="P25" s="2"/>
    </row>
    <row r="26" spans="1:24" x14ac:dyDescent="0.25">
      <c r="A26" s="1"/>
      <c r="C26"/>
      <c r="G26" s="32"/>
      <c r="H26" s="3"/>
      <c r="J26" s="3"/>
      <c r="K26" s="2"/>
      <c r="N26" s="3"/>
      <c r="O26" s="2"/>
      <c r="P26" s="2"/>
    </row>
    <row r="27" spans="1:24" ht="18" x14ac:dyDescent="0.25">
      <c r="A27" s="1"/>
      <c r="B27" s="9" t="s">
        <v>13</v>
      </c>
      <c r="C27" s="9">
        <f t="shared" ref="C27:R27" si="1">SUM(C6:C26)</f>
        <v>19736000</v>
      </c>
      <c r="D27" s="9">
        <f t="shared" si="1"/>
        <v>0</v>
      </c>
      <c r="E27" s="9">
        <f t="shared" si="1"/>
        <v>0</v>
      </c>
      <c r="F27" s="9">
        <f t="shared" si="1"/>
        <v>630000</v>
      </c>
      <c r="G27" s="9">
        <f t="shared" si="1"/>
        <v>0</v>
      </c>
      <c r="H27" s="9">
        <f t="shared" si="1"/>
        <v>6819500</v>
      </c>
      <c r="I27" s="9">
        <f t="shared" si="1"/>
        <v>116500</v>
      </c>
      <c r="J27" s="9">
        <f t="shared" si="1"/>
        <v>0</v>
      </c>
      <c r="K27" s="9">
        <f t="shared" si="1"/>
        <v>0</v>
      </c>
      <c r="L27" s="9">
        <f>SUM(L6:L26)</f>
        <v>7142000</v>
      </c>
      <c r="M27" s="9">
        <f t="shared" si="1"/>
        <v>6940000</v>
      </c>
      <c r="N27" s="9">
        <f t="shared" si="1"/>
        <v>0</v>
      </c>
      <c r="O27" s="9">
        <f t="shared" si="1"/>
        <v>0</v>
      </c>
      <c r="P27" s="9">
        <f t="shared" si="1"/>
        <v>0</v>
      </c>
      <c r="Q27" s="9">
        <f t="shared" si="1"/>
        <v>18705000</v>
      </c>
      <c r="R27" s="9">
        <f t="shared" si="1"/>
        <v>1695000</v>
      </c>
      <c r="U27" s="17"/>
      <c r="V27" s="9">
        <f t="shared" ref="V27" si="2">SUM(V6:V26)</f>
        <v>420000</v>
      </c>
      <c r="W27" s="17"/>
      <c r="X27" s="17"/>
    </row>
    <row r="28" spans="1:24" ht="18" x14ac:dyDescent="0.25">
      <c r="A28" s="2"/>
      <c r="C28"/>
      <c r="G28" s="32"/>
      <c r="H28" s="3"/>
      <c r="J28" s="3"/>
      <c r="K28" s="2"/>
      <c r="N28" s="3"/>
      <c r="O28" s="2"/>
      <c r="P28" s="2"/>
      <c r="Q28" s="2"/>
      <c r="R28" s="9">
        <v>1200000</v>
      </c>
      <c r="S28" s="2"/>
      <c r="T28" s="2"/>
    </row>
    <row r="29" spans="1:24" ht="18" x14ac:dyDescent="0.25">
      <c r="B29" s="9"/>
      <c r="C29" s="9"/>
      <c r="D29" s="9"/>
      <c r="E29" s="3"/>
      <c r="F29" s="3"/>
      <c r="G29" s="3"/>
      <c r="I29"/>
      <c r="J29" s="3"/>
      <c r="K29" s="3"/>
      <c r="N29" s="3"/>
      <c r="O29" s="3"/>
      <c r="P29" s="3"/>
      <c r="Q29" s="3"/>
    </row>
    <row r="30" spans="1:24" ht="18" x14ac:dyDescent="0.25">
      <c r="B30" s="9"/>
      <c r="C30" s="9"/>
      <c r="E30" s="3"/>
      <c r="F30" s="3"/>
      <c r="G30" s="3"/>
      <c r="I30"/>
      <c r="J30" s="3"/>
      <c r="K30" s="3"/>
      <c r="N30" s="3"/>
      <c r="O30" s="3"/>
      <c r="P30" s="3"/>
      <c r="Q30" s="3"/>
      <c r="R30" s="9">
        <f>R27-R28</f>
        <v>495000</v>
      </c>
    </row>
    <row r="31" spans="1:24" ht="18" x14ac:dyDescent="0.25">
      <c r="B31" s="9"/>
      <c r="C31" s="9"/>
      <c r="E31" s="3"/>
      <c r="F31" s="3"/>
      <c r="G31" s="3"/>
      <c r="I31"/>
      <c r="J31" s="3"/>
      <c r="K31" s="3"/>
      <c r="N31" s="3"/>
      <c r="O31" s="3"/>
      <c r="P31" s="3"/>
      <c r="Q31" s="3"/>
    </row>
    <row r="32" spans="1:24" x14ac:dyDescent="0.25">
      <c r="E32" s="3"/>
      <c r="F32" s="3"/>
      <c r="G32" s="3"/>
      <c r="I32"/>
      <c r="J32" s="3"/>
      <c r="K32" s="3"/>
      <c r="N32" s="3"/>
      <c r="O32" s="3"/>
      <c r="P32" s="3"/>
      <c r="Q32" s="3"/>
    </row>
    <row r="33" spans="2:17" ht="18" x14ac:dyDescent="0.25">
      <c r="B33" s="6"/>
      <c r="C33" s="9"/>
      <c r="E33" s="3"/>
      <c r="F33" s="3"/>
      <c r="G33" s="3"/>
      <c r="I33"/>
      <c r="J33" s="3"/>
      <c r="K33" s="3"/>
      <c r="N33" s="3"/>
      <c r="O33" s="3"/>
      <c r="P33" s="3"/>
      <c r="Q33" s="3"/>
    </row>
  </sheetData>
  <autoFilter ref="A5:U24"/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2" ySplit="5" topLeftCell="G12" activePane="bottomRight" state="frozen"/>
      <selection activeCell="K6" sqref="K6"/>
      <selection pane="topRight" activeCell="K6" sqref="K6"/>
      <selection pane="bottomLeft" activeCell="K6" sqref="K6"/>
      <selection pane="bottomRight" activeCell="K6" sqref="K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8.28515625" customWidth="1"/>
    <col min="6" max="6" width="16.7109375" customWidth="1"/>
    <col min="7" max="8" width="17.42578125" customWidth="1"/>
    <col min="9" max="9" width="17.5703125" style="3" customWidth="1"/>
    <col min="10" max="10" width="19" bestFit="1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s="1" t="s">
        <v>2</v>
      </c>
      <c r="B2" s="1" t="s">
        <v>44</v>
      </c>
    </row>
    <row r="3" spans="1:13" x14ac:dyDescent="0.25">
      <c r="A3" s="1" t="s">
        <v>3</v>
      </c>
      <c r="B3" s="4">
        <v>75000</v>
      </c>
    </row>
    <row r="4" spans="1:13" ht="18" x14ac:dyDescent="0.25">
      <c r="B4" s="5"/>
      <c r="C4" s="52">
        <v>44003</v>
      </c>
      <c r="D4" s="52"/>
      <c r="E4" s="53"/>
      <c r="F4" s="53"/>
      <c r="G4" s="53"/>
      <c r="H4" s="31"/>
      <c r="I4" s="31"/>
    </row>
    <row r="5" spans="1:13" ht="43.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25</v>
      </c>
      <c r="F5" s="6" t="s">
        <v>18</v>
      </c>
      <c r="G5" s="18" t="s">
        <v>45</v>
      </c>
      <c r="H5" s="18" t="s">
        <v>47</v>
      </c>
      <c r="I5" s="6" t="s">
        <v>23</v>
      </c>
      <c r="J5" s="4" t="s">
        <v>24</v>
      </c>
      <c r="K5" s="4" t="s">
        <v>15</v>
      </c>
      <c r="L5" s="4" t="s">
        <v>49</v>
      </c>
    </row>
    <row r="6" spans="1:13" s="17" customFormat="1" x14ac:dyDescent="0.25">
      <c r="A6" s="1" t="s">
        <v>36</v>
      </c>
      <c r="B6" s="1" t="str">
        <f>VLOOKUP(A6,[6]LISTADHERENT!A$5:H$60,3,0)</f>
        <v>BOUTCHOUANG WILLIAM</v>
      </c>
      <c r="C6" s="8" t="e">
        <f>TONTJUIL!C6+TONTAOUT!C6+#REF!+TONTOCT!C6+#REF!+#REF!+#REF!+#REF!+#REF!+#REF!+#REF!+#REF!</f>
        <v>#REF!</v>
      </c>
      <c r="D6" s="8" t="e">
        <f>TONTJUIL!D6+TONTAOUT!D6+#REF!+TONTOCT!D6+#REF!+#REF!+#REF!+#REF!+#REF!+#REF!+#REF!+#REF!</f>
        <v>#REF!</v>
      </c>
      <c r="E6" s="8" t="e">
        <f>TONTJUIL!H6+TONTAOUT!H6+#REF!+TONTOCT!H6+#REF!+#REF!+#REF!+#REF!+#REF!+#REF!+#REF!+#REF!</f>
        <v>#REF!</v>
      </c>
      <c r="F6" s="8" t="e">
        <f>TONTJUIL!I6+TONTAOUT!I6+#REF!+TONTOCT!I6+#REF!+#REF!+#REF!+#REF!+#REF!+#REF!+#REF!+#REF!</f>
        <v>#REF!</v>
      </c>
      <c r="G6" s="8" t="e">
        <f>TONTJUIL!L6+TONTAOUT!L6+#REF!+TONTOCT!L6+#REF!+#REF!+#REF!+#REF!+#REF!+#REF!+#REF!+#REF!</f>
        <v>#REF!</v>
      </c>
      <c r="H6" s="8" t="e">
        <f>TONTJUIL!M6+TONTAOUT!M6+#REF!+TONTOCT!M6+#REF!+#REF!+#REF!+#REF!+#REF!+#REF!+#REF!+#REF!</f>
        <v>#REF!</v>
      </c>
      <c r="I6" s="8" t="e">
        <f>TONTJUIL!Q6+TONTAOUT!Q6+#REF!+TONTOCT!Q6+#REF!+#REF!+#REF!+#REF!+#REF!+#REF!+#REF!+#REF!</f>
        <v>#REF!</v>
      </c>
      <c r="J6" s="8" t="e">
        <f>TONTJUIL!R6+TONTAOUT!R6+#REF!+TONTOCT!R6+#REF!+#REF!+#REF!+#REF!+#REF!+#REF!+#REF!+#REF!</f>
        <v>#REF!</v>
      </c>
      <c r="K6" s="29">
        <v>43968</v>
      </c>
      <c r="L6" s="8">
        <v>75000</v>
      </c>
      <c r="M6" s="8" t="e">
        <f>J6-L6</f>
        <v>#REF!</v>
      </c>
    </row>
    <row r="7" spans="1:13" s="13" customFormat="1" x14ac:dyDescent="0.25">
      <c r="A7" s="1" t="s">
        <v>37</v>
      </c>
      <c r="B7" s="1" t="str">
        <f>VLOOKUP(A7,[6]LISTADHERENT!A$5:H$60,3,0)</f>
        <v xml:space="preserve">DJOMO JEAN PAUL </v>
      </c>
      <c r="C7" s="8" t="e">
        <f>TONTJUIL!C8+TONTAOUT!C8+#REF!+TONTOCT!C8+#REF!+#REF!+#REF!+#REF!+#REF!+#REF!+#REF!+#REF!</f>
        <v>#REF!</v>
      </c>
      <c r="D7" s="8" t="e">
        <f>TONTJUIL!D8+TONTAOUT!D8+#REF!+TONTOCT!D8+#REF!+#REF!+#REF!+#REF!+#REF!+#REF!+#REF!+#REF!</f>
        <v>#REF!</v>
      </c>
      <c r="E7" s="8" t="e">
        <f>TONTJUIL!H8+TONTAOUT!H8+#REF!+TONTOCT!H8+#REF!+#REF!+#REF!+#REF!+#REF!+#REF!+#REF!+#REF!</f>
        <v>#REF!</v>
      </c>
      <c r="F7" s="8" t="e">
        <f>TONTJUIL!I8+TONTAOUT!I8+#REF!+TONTOCT!I8+#REF!+#REF!+#REF!+#REF!+#REF!+#REF!+#REF!+#REF!</f>
        <v>#REF!</v>
      </c>
      <c r="G7" s="8" t="e">
        <f>TONTJUIL!L8+TONTAOUT!L8+#REF!+TONTOCT!L8+#REF!+#REF!+#REF!+#REF!+#REF!+#REF!+#REF!+#REF!</f>
        <v>#REF!</v>
      </c>
      <c r="H7" s="8" t="e">
        <f>TONTJUIL!M8+TONTAOUT!M8+#REF!+TONTOCT!M8+#REF!+#REF!+#REF!+#REF!+#REF!+#REF!+#REF!+#REF!</f>
        <v>#REF!</v>
      </c>
      <c r="I7" s="8" t="e">
        <f>TONTJUIL!Q8+TONTAOUT!Q8+#REF!+TONTOCT!Q8+#REF!+#REF!+#REF!+#REF!+#REF!+#REF!+#REF!+#REF!</f>
        <v>#REF!</v>
      </c>
      <c r="J7" s="8" t="e">
        <f>TONTJUIL!R8+TONTAOUT!R8+#REF!+TONTOCT!R8+#REF!+#REF!+#REF!+#REF!+#REF!+#REF!+#REF!+#REF!</f>
        <v>#REF!</v>
      </c>
      <c r="K7" s="27">
        <v>43758</v>
      </c>
      <c r="L7" s="8">
        <v>75000</v>
      </c>
      <c r="M7" s="8" t="e">
        <f t="shared" ref="M7:M25" si="0">J7-L7</f>
        <v>#REF!</v>
      </c>
    </row>
    <row r="8" spans="1:13" x14ac:dyDescent="0.25">
      <c r="A8" s="1" t="s">
        <v>38</v>
      </c>
      <c r="B8" s="1" t="str">
        <f>VLOOKUP(A8,[6]LISTADHERENT!A$5:H$60,3,0)</f>
        <v>DJOUKWE NANGUEN GUY BLAISE</v>
      </c>
      <c r="C8" s="8" t="e">
        <f>TONTJUIL!C9+TONTAOUT!C9+#REF!+TONTOCT!C9+#REF!+#REF!+#REF!+#REF!+#REF!+#REF!+#REF!+#REF!</f>
        <v>#REF!</v>
      </c>
      <c r="D8" s="8" t="e">
        <f>TONTJUIL!D9+TONTAOUT!D9+#REF!+TONTOCT!D9+#REF!+#REF!+#REF!+#REF!+#REF!+#REF!+#REF!+#REF!</f>
        <v>#REF!</v>
      </c>
      <c r="E8" s="8" t="e">
        <f>TONTJUIL!H9+TONTAOUT!H9+#REF!+TONTOCT!H9+#REF!+#REF!+#REF!+#REF!+#REF!+#REF!+#REF!+#REF!</f>
        <v>#REF!</v>
      </c>
      <c r="F8" s="8" t="e">
        <f>TONTJUIL!I9+TONTAOUT!I9+#REF!+TONTOCT!I9+#REF!+#REF!+#REF!+#REF!+#REF!+#REF!+#REF!+#REF!</f>
        <v>#REF!</v>
      </c>
      <c r="G8" s="8" t="e">
        <f>TONTJUIL!L9+TONTAOUT!L9+#REF!+TONTOCT!L9+#REF!+#REF!+#REF!+#REF!+#REF!+#REF!+#REF!+#REF!</f>
        <v>#REF!</v>
      </c>
      <c r="H8" s="8" t="e">
        <f>TONTJUIL!M9+TONTAOUT!M9+#REF!+TONTOCT!M9+#REF!+#REF!+#REF!+#REF!+#REF!+#REF!+#REF!+#REF!</f>
        <v>#REF!</v>
      </c>
      <c r="I8" s="8" t="e">
        <f>TONTJUIL!Q9+TONTAOUT!Q9+#REF!+TONTOCT!Q9+#REF!+#REF!+#REF!+#REF!+#REF!+#REF!+#REF!+#REF!</f>
        <v>#REF!</v>
      </c>
      <c r="J8" s="8" t="e">
        <f>TONTJUIL!R9+TONTAOUT!R9+#REF!+TONTOCT!R9+#REF!+#REF!+#REF!+#REF!+#REF!+#REF!+#REF!+#REF!</f>
        <v>#REF!</v>
      </c>
      <c r="K8" s="28">
        <v>43912</v>
      </c>
      <c r="L8" s="8">
        <v>75000</v>
      </c>
      <c r="M8" s="8" t="e">
        <f t="shared" si="0"/>
        <v>#REF!</v>
      </c>
    </row>
    <row r="9" spans="1:13" x14ac:dyDescent="0.25">
      <c r="A9" s="1" t="s">
        <v>39</v>
      </c>
      <c r="B9" s="1" t="str">
        <f>VLOOKUP(A9,[6]LISTADHERENT!A$5:H$60,3,0)</f>
        <v>FOTSO THOMAS</v>
      </c>
      <c r="C9" s="8" t="e">
        <f>TONTJUIL!#REF!+TONTAOUT!#REF!+#REF!+TONTOCT!#REF!+#REF!+#REF!+#REF!+#REF!+#REF!+#REF!+#REF!+#REF!</f>
        <v>#REF!</v>
      </c>
      <c r="D9" s="8" t="e">
        <f>TONTJUIL!#REF!+TONTAOUT!#REF!+#REF!+TONTOCT!#REF!+#REF!+#REF!+#REF!+#REF!+#REF!+#REF!+#REF!+#REF!</f>
        <v>#REF!</v>
      </c>
      <c r="E9" s="8" t="e">
        <f>TONTJUIL!#REF!+TONTAOUT!#REF!+#REF!+TONTOCT!#REF!+#REF!+#REF!+#REF!+#REF!+#REF!+#REF!+#REF!+#REF!</f>
        <v>#REF!</v>
      </c>
      <c r="F9" s="8" t="e">
        <f>TONTJUIL!#REF!+TONTAOUT!#REF!+#REF!+TONTOCT!#REF!+#REF!+#REF!+#REF!+#REF!+#REF!+#REF!+#REF!+#REF!</f>
        <v>#REF!</v>
      </c>
      <c r="G9" s="8" t="e">
        <f>TONTJUIL!#REF!+TONTAOUT!#REF!+#REF!+TONTOCT!#REF!+#REF!+#REF!+#REF!+#REF!+#REF!+#REF!+#REF!+#REF!</f>
        <v>#REF!</v>
      </c>
      <c r="H9" s="8" t="e">
        <f>TONTJUIL!#REF!+TONTAOUT!#REF!+#REF!+TONTOCT!#REF!+#REF!+#REF!+#REF!+#REF!+#REF!+#REF!+#REF!+#REF!</f>
        <v>#REF!</v>
      </c>
      <c r="I9" s="8" t="e">
        <f>TONTJUIL!#REF!+TONTAOUT!#REF!+#REF!+TONTOCT!#REF!+#REF!+#REF!+#REF!+#REF!+#REF!+#REF!+#REF!+#REF!</f>
        <v>#REF!</v>
      </c>
      <c r="J9" s="8" t="e">
        <f>TONTJUIL!#REF!+TONTAOUT!#REF!+#REF!+TONTOCT!#REF!+#REF!+#REF!+#REF!+#REF!+#REF!+#REF!+#REF!+#REF!</f>
        <v>#REF!</v>
      </c>
      <c r="K9" s="28">
        <v>43358</v>
      </c>
      <c r="L9" s="8">
        <v>75000</v>
      </c>
      <c r="M9" s="8" t="e">
        <f t="shared" si="0"/>
        <v>#REF!</v>
      </c>
    </row>
    <row r="10" spans="1:13" x14ac:dyDescent="0.25">
      <c r="A10" s="1" t="s">
        <v>29</v>
      </c>
      <c r="B10" s="1" t="str">
        <f>VLOOKUP(A10,[6]LISTADHERENT!A$5:H$60,3,0)</f>
        <v>HOTCHO BENJAMIN</v>
      </c>
      <c r="C10" s="8" t="e">
        <f>TONTJUIL!C10+TONTAOUT!C10+#REF!+TONTOCT!C10+#REF!+#REF!+#REF!+#REF!+#REF!+#REF!+#REF!+#REF!</f>
        <v>#REF!</v>
      </c>
      <c r="D10" s="8" t="e">
        <f>TONTJUIL!D10+TONTAOUT!D10+#REF!+TONTOCT!D10+#REF!+#REF!+#REF!+#REF!+#REF!+#REF!+#REF!+#REF!</f>
        <v>#REF!</v>
      </c>
      <c r="E10" s="8" t="e">
        <f>TONTJUIL!H10+TONTAOUT!H10+#REF!+TONTOCT!H10+#REF!+#REF!+#REF!+#REF!+#REF!+#REF!+#REF!+#REF!</f>
        <v>#REF!</v>
      </c>
      <c r="F10" s="8" t="e">
        <f>TONTJUIL!I10+TONTAOUT!I10+#REF!+TONTOCT!I10+#REF!+#REF!+#REF!+#REF!+#REF!+#REF!+#REF!+#REF!</f>
        <v>#REF!</v>
      </c>
      <c r="G10" s="8" t="e">
        <f>TONTJUIL!L10+TONTAOUT!L10+#REF!+TONTOCT!L10+#REF!+#REF!+#REF!+#REF!+#REF!+#REF!+#REF!+#REF!</f>
        <v>#REF!</v>
      </c>
      <c r="H10" s="8" t="e">
        <f>TONTJUIL!M10+TONTAOUT!M10+#REF!+TONTOCT!M10+#REF!+#REF!+#REF!+#REF!+#REF!+#REF!+#REF!+#REF!</f>
        <v>#REF!</v>
      </c>
      <c r="I10" s="8" t="e">
        <f>TONTJUIL!Q10+TONTAOUT!Q10+#REF!+TONTOCT!Q10+#REF!+#REF!+#REF!+#REF!+#REF!+#REF!+#REF!+#REF!</f>
        <v>#REF!</v>
      </c>
      <c r="J10" s="8" t="e">
        <f>TONTJUIL!R10+TONTAOUT!R10+#REF!+TONTOCT!R10+#REF!+#REF!+#REF!+#REF!+#REF!+#REF!+#REF!+#REF!</f>
        <v>#REF!</v>
      </c>
      <c r="K10" s="28">
        <v>43849</v>
      </c>
      <c r="L10" s="8">
        <v>75000</v>
      </c>
      <c r="M10" s="8" t="e">
        <f t="shared" si="0"/>
        <v>#REF!</v>
      </c>
    </row>
    <row r="11" spans="1:13" x14ac:dyDescent="0.25">
      <c r="A11" s="1" t="s">
        <v>40</v>
      </c>
      <c r="B11" s="1" t="str">
        <f>VLOOKUP(A11,[6]LISTADHERENT!A$5:H$60,3,0)</f>
        <v>HENGUE PAUL OMER</v>
      </c>
      <c r="C11" s="8" t="e">
        <f>TONTJUIL!C11+TONTAOUT!C11+#REF!+TONTOCT!C11+#REF!+#REF!+#REF!+#REF!+#REF!+#REF!+#REF!+#REF!</f>
        <v>#REF!</v>
      </c>
      <c r="D11" s="8" t="e">
        <f>TONTJUIL!D11+TONTAOUT!D11+#REF!+TONTOCT!D11+#REF!+#REF!+#REF!+#REF!+#REF!+#REF!+#REF!+#REF!</f>
        <v>#REF!</v>
      </c>
      <c r="E11" s="8" t="e">
        <f>TONTJUIL!H11+TONTAOUT!H11+#REF!+TONTOCT!H11+#REF!+#REF!+#REF!+#REF!+#REF!+#REF!+#REF!+#REF!</f>
        <v>#REF!</v>
      </c>
      <c r="F11" s="8" t="e">
        <f>TONTJUIL!I11+TONTAOUT!I11+#REF!+TONTOCT!I11+#REF!+#REF!+#REF!+#REF!+#REF!+#REF!+#REF!+#REF!</f>
        <v>#REF!</v>
      </c>
      <c r="G11" s="8" t="e">
        <f>TONTJUIL!L11+TONTAOUT!L11+#REF!+TONTOCT!L11+#REF!+#REF!+#REF!+#REF!+#REF!+#REF!+#REF!+#REF!</f>
        <v>#REF!</v>
      </c>
      <c r="H11" s="8" t="e">
        <f>TONTJUIL!M11+TONTAOUT!M11+#REF!+TONTOCT!M11+#REF!+#REF!+#REF!+#REF!+#REF!+#REF!+#REF!+#REF!</f>
        <v>#REF!</v>
      </c>
      <c r="I11" s="8" t="e">
        <f>TONTJUIL!Q11+TONTAOUT!Q11+#REF!+TONTOCT!Q11+#REF!+#REF!+#REF!+#REF!+#REF!+#REF!+#REF!+#REF!</f>
        <v>#REF!</v>
      </c>
      <c r="J11" s="8" t="e">
        <f>TONTJUIL!R11+TONTAOUT!R11+#REF!+TONTOCT!R11+#REF!+#REF!+#REF!+#REF!+#REF!+#REF!+#REF!+#REF!</f>
        <v>#REF!</v>
      </c>
      <c r="K11" s="28">
        <v>43877</v>
      </c>
      <c r="L11" s="8">
        <v>75000</v>
      </c>
      <c r="M11" s="8" t="e">
        <f t="shared" si="0"/>
        <v>#REF!</v>
      </c>
    </row>
    <row r="12" spans="1:13" x14ac:dyDescent="0.25">
      <c r="A12" s="1" t="s">
        <v>41</v>
      </c>
      <c r="B12" s="1" t="str">
        <f>VLOOKUP(A12,[6]LISTADHERENT!A$5:H$60,3,0)</f>
        <v>KOUAMO VICTOR PEGUY</v>
      </c>
      <c r="C12" s="8" t="e">
        <f>TONTJUIL!#REF!+TONTAOUT!#REF!+#REF!+TONTOCT!#REF!+#REF!+#REF!+#REF!+#REF!+#REF!+#REF!+#REF!+#REF!</f>
        <v>#REF!</v>
      </c>
      <c r="D12" s="8" t="e">
        <f>TONTJUIL!#REF!+TONTAOUT!#REF!+#REF!+TONTOCT!#REF!+#REF!+#REF!+#REF!+#REF!+#REF!+#REF!+#REF!+#REF!</f>
        <v>#REF!</v>
      </c>
      <c r="E12" s="8" t="e">
        <f>TONTJUIL!#REF!+TONTAOUT!#REF!+#REF!+TONTOCT!#REF!+#REF!+#REF!+#REF!+#REF!+#REF!+#REF!+#REF!+#REF!</f>
        <v>#REF!</v>
      </c>
      <c r="F12" s="8" t="e">
        <f>TONTJUIL!#REF!+TONTAOUT!#REF!+#REF!+TONTOCT!#REF!+#REF!+#REF!+#REF!+#REF!+#REF!+#REF!+#REF!+#REF!</f>
        <v>#REF!</v>
      </c>
      <c r="G12" s="8" t="e">
        <f>TONTJUIL!#REF!+TONTAOUT!#REF!+#REF!+TONTOCT!#REF!+#REF!+#REF!+#REF!+#REF!+#REF!+#REF!+#REF!+#REF!</f>
        <v>#REF!</v>
      </c>
      <c r="H12" s="8" t="e">
        <f>TONTJUIL!#REF!+TONTAOUT!#REF!+#REF!+TONTOCT!#REF!+#REF!+#REF!+#REF!+#REF!+#REF!+#REF!+#REF!+#REF!</f>
        <v>#REF!</v>
      </c>
      <c r="I12" s="8" t="e">
        <f>TONTJUIL!#REF!+TONTAOUT!#REF!+#REF!+TONTOCT!#REF!+#REF!+#REF!+#REF!+#REF!+#REF!+#REF!+#REF!+#REF!</f>
        <v>#REF!</v>
      </c>
      <c r="J12" s="8" t="e">
        <f>TONTJUIL!#REF!+TONTAOUT!#REF!+#REF!+TONTOCT!#REF!+#REF!+#REF!+#REF!+#REF!+#REF!+#REF!+#REF!+#REF!</f>
        <v>#REF!</v>
      </c>
      <c r="K12" s="28">
        <v>43667</v>
      </c>
      <c r="L12" s="8">
        <v>75000</v>
      </c>
      <c r="M12" s="8" t="e">
        <f t="shared" si="0"/>
        <v>#REF!</v>
      </c>
    </row>
    <row r="13" spans="1:13" x14ac:dyDescent="0.25">
      <c r="A13" s="1" t="s">
        <v>41</v>
      </c>
      <c r="B13" s="1" t="str">
        <f>VLOOKUP(A13,[6]LISTADHERENT!A$5:H$60,3,0)</f>
        <v>KOUAMO VICTOR PEGUY</v>
      </c>
      <c r="C13" s="8" t="e">
        <f>TONTJUIL!#REF!+TONTAOUT!#REF!+#REF!+TONTOCT!#REF!+#REF!+#REF!+#REF!+#REF!+#REF!+#REF!+#REF!+#REF!</f>
        <v>#REF!</v>
      </c>
      <c r="D13" s="8" t="e">
        <f>TONTJUIL!#REF!+TONTAOUT!#REF!+#REF!+TONTOCT!#REF!+#REF!+#REF!+#REF!+#REF!+#REF!+#REF!+#REF!+#REF!</f>
        <v>#REF!</v>
      </c>
      <c r="E13" s="8" t="e">
        <f>TONTJUIL!#REF!+TONTAOUT!#REF!+#REF!+TONTOCT!#REF!+#REF!+#REF!+#REF!+#REF!+#REF!+#REF!+#REF!+#REF!</f>
        <v>#REF!</v>
      </c>
      <c r="F13" s="8" t="e">
        <f>TONTJUIL!#REF!+TONTAOUT!#REF!+#REF!+TONTOCT!#REF!+#REF!+#REF!+#REF!+#REF!+#REF!+#REF!+#REF!+#REF!</f>
        <v>#REF!</v>
      </c>
      <c r="G13" s="8" t="e">
        <f>TONTJUIL!#REF!+TONTAOUT!#REF!+#REF!+TONTOCT!#REF!+#REF!+#REF!+#REF!+#REF!+#REF!+#REF!+#REF!+#REF!</f>
        <v>#REF!</v>
      </c>
      <c r="H13" s="8" t="e">
        <f>TONTJUIL!#REF!+TONTAOUT!#REF!+#REF!+TONTOCT!#REF!+#REF!+#REF!+#REF!+#REF!+#REF!+#REF!+#REF!+#REF!</f>
        <v>#REF!</v>
      </c>
      <c r="I13" s="8" t="e">
        <f>TONTJUIL!#REF!+TONTAOUT!#REF!+#REF!+TONTOCT!#REF!+#REF!+#REF!+#REF!+#REF!+#REF!+#REF!+#REF!+#REF!</f>
        <v>#REF!</v>
      </c>
      <c r="J13" s="8" t="e">
        <f>TONTJUIL!#REF!+TONTAOUT!#REF!+#REF!+TONTOCT!#REF!+#REF!+#REF!+#REF!+#REF!+#REF!+#REF!+#REF!+#REF!</f>
        <v>#REF!</v>
      </c>
      <c r="L13" s="8">
        <v>75000</v>
      </c>
      <c r="M13" s="8">
        <v>0</v>
      </c>
    </row>
    <row r="14" spans="1:13" x14ac:dyDescent="0.25">
      <c r="A14" s="1" t="s">
        <v>10</v>
      </c>
      <c r="B14" s="1" t="str">
        <f>VLOOKUP(A14,[6]LISTADHERENT!A$5:H$60,3,0)</f>
        <v>KOUATCHO MESSACK</v>
      </c>
      <c r="C14" s="8" t="e">
        <f>TONTJUIL!C12+TONTAOUT!C12+#REF!+TONTOCT!C12+#REF!+#REF!+#REF!+#REF!+#REF!+#REF!+#REF!+#REF!</f>
        <v>#REF!</v>
      </c>
      <c r="D14" s="8" t="e">
        <f>TONTJUIL!D12+TONTAOUT!D12+#REF!+TONTOCT!D12+#REF!+#REF!+#REF!+#REF!+#REF!+#REF!+#REF!+#REF!</f>
        <v>#REF!</v>
      </c>
      <c r="E14" s="8" t="e">
        <f>TONTJUIL!H12+TONTAOUT!H12+#REF!+TONTOCT!H12+#REF!+#REF!+#REF!+#REF!+#REF!+#REF!+#REF!+#REF!</f>
        <v>#REF!</v>
      </c>
      <c r="F14" s="8" t="e">
        <f>TONTJUIL!I12+TONTAOUT!I12+#REF!+TONTOCT!I12+#REF!+#REF!+#REF!+#REF!+#REF!+#REF!+#REF!+#REF!</f>
        <v>#REF!</v>
      </c>
      <c r="G14" s="8" t="e">
        <f>TONTJUIL!L12+TONTAOUT!L12+#REF!+TONTOCT!L12+#REF!+#REF!+#REF!+#REF!+#REF!+#REF!+#REF!+#REF!</f>
        <v>#REF!</v>
      </c>
      <c r="H14" s="8" t="e">
        <f>TONTJUIL!M12+TONTAOUT!M12+#REF!+TONTOCT!M12+#REF!+#REF!+#REF!+#REF!+#REF!+#REF!+#REF!+#REF!</f>
        <v>#REF!</v>
      </c>
      <c r="I14" s="8" t="e">
        <f>TONTJUIL!Q12+TONTAOUT!Q12+#REF!+TONTOCT!Q12+#REF!+#REF!+#REF!+#REF!+#REF!+#REF!+#REF!+#REF!</f>
        <v>#REF!</v>
      </c>
      <c r="J14" s="8" t="e">
        <f>TONTJUIL!R12+TONTAOUT!R12+#REF!+TONTOCT!R12+#REF!+#REF!+#REF!+#REF!+#REF!+#REF!+#REF!+#REF!</f>
        <v>#REF!</v>
      </c>
      <c r="K14" s="28">
        <v>43358</v>
      </c>
      <c r="L14" s="8">
        <v>75000</v>
      </c>
      <c r="M14" s="8" t="e">
        <f t="shared" si="0"/>
        <v>#REF!</v>
      </c>
    </row>
    <row r="15" spans="1:13" x14ac:dyDescent="0.25">
      <c r="A15" s="1" t="s">
        <v>11</v>
      </c>
      <c r="B15" s="1" t="str">
        <f>VLOOKUP(A15,[6]LISTADHERENT!A$5:H$60,3,0)</f>
        <v>NANKAM APPOLINAIRE</v>
      </c>
      <c r="C15" s="8" t="e">
        <f>TONTJUIL!C13+TONTAOUT!C13+#REF!+TONTOCT!C13+#REF!+#REF!+#REF!+#REF!+#REF!+#REF!+#REF!+#REF!</f>
        <v>#REF!</v>
      </c>
      <c r="D15" s="8" t="e">
        <f>TONTJUIL!D13+TONTAOUT!D13+#REF!+TONTOCT!D13+#REF!+#REF!+#REF!+#REF!+#REF!+#REF!+#REF!+#REF!</f>
        <v>#REF!</v>
      </c>
      <c r="E15" s="8" t="e">
        <f>TONTJUIL!H13+TONTAOUT!H13+#REF!+TONTOCT!H13+#REF!+#REF!+#REF!+#REF!+#REF!+#REF!+#REF!+#REF!</f>
        <v>#REF!</v>
      </c>
      <c r="F15" s="8" t="e">
        <f>TONTJUIL!I13+TONTAOUT!I13+#REF!+TONTOCT!I13+#REF!+#REF!+#REF!+#REF!+#REF!+#REF!+#REF!+#REF!</f>
        <v>#REF!</v>
      </c>
      <c r="G15" s="8" t="e">
        <f>TONTJUIL!L13+TONTAOUT!L13+#REF!+TONTOCT!L13+#REF!+#REF!+#REF!+#REF!+#REF!+#REF!+#REF!+#REF!</f>
        <v>#REF!</v>
      </c>
      <c r="H15" s="8" t="e">
        <f>TONTJUIL!M13+TONTAOUT!M13+#REF!+TONTOCT!M13+#REF!+#REF!+#REF!+#REF!+#REF!+#REF!+#REF!+#REF!</f>
        <v>#REF!</v>
      </c>
      <c r="I15" s="8" t="e">
        <f>TONTJUIL!Q13+TONTAOUT!Q13+#REF!+TONTOCT!Q13+#REF!+#REF!+#REF!+#REF!+#REF!+#REF!+#REF!+#REF!</f>
        <v>#REF!</v>
      </c>
      <c r="J15" s="8" t="e">
        <f>TONTJUIL!R13+TONTAOUT!R13+#REF!+TONTOCT!R13+#REF!+#REF!+#REF!+#REF!+#REF!+#REF!+#REF!+#REF!</f>
        <v>#REF!</v>
      </c>
      <c r="K15" s="28">
        <v>44003</v>
      </c>
      <c r="L15" s="8">
        <v>75000</v>
      </c>
      <c r="M15" s="8" t="e">
        <f t="shared" si="0"/>
        <v>#REF!</v>
      </c>
    </row>
    <row r="16" spans="1:13" x14ac:dyDescent="0.25">
      <c r="A16" s="1" t="s">
        <v>32</v>
      </c>
      <c r="B16" s="1" t="str">
        <f>VLOOKUP(A16,[6]LISTADHERENT!A$5:H$60,3,0)</f>
        <v>MBOGNING TUGMA GUY</v>
      </c>
      <c r="C16" s="8" t="e">
        <f>TONTJUIL!C14+TONTAOUT!C14+#REF!+TONTOCT!C14+#REF!+#REF!+#REF!+#REF!+#REF!+#REF!+#REF!+#REF!</f>
        <v>#REF!</v>
      </c>
      <c r="D16" s="8" t="e">
        <f>TONTJUIL!D14+TONTAOUT!D14+#REF!+TONTOCT!D14+#REF!+#REF!+#REF!+#REF!+#REF!+#REF!+#REF!+#REF!</f>
        <v>#REF!</v>
      </c>
      <c r="E16" s="8" t="e">
        <f>TONTJUIL!H14+TONTAOUT!H14+#REF!+TONTOCT!H14+#REF!+#REF!+#REF!+#REF!+#REF!+#REF!+#REF!+#REF!</f>
        <v>#REF!</v>
      </c>
      <c r="F16" s="8" t="e">
        <f>TONTJUIL!I14+TONTAOUT!I14+#REF!+TONTOCT!I14+#REF!+#REF!+#REF!+#REF!+#REF!+#REF!+#REF!+#REF!</f>
        <v>#REF!</v>
      </c>
      <c r="G16" s="8" t="e">
        <f>TONTJUIL!L14+TONTAOUT!L14+#REF!+TONTOCT!L14+#REF!+#REF!+#REF!+#REF!+#REF!+#REF!+#REF!+#REF!</f>
        <v>#REF!</v>
      </c>
      <c r="H16" s="8" t="e">
        <f>TONTJUIL!M14+TONTAOUT!M14+#REF!+TONTOCT!M14+#REF!+#REF!+#REF!+#REF!+#REF!+#REF!+#REF!+#REF!</f>
        <v>#REF!</v>
      </c>
      <c r="I16" s="8" t="e">
        <f>TONTJUIL!Q14+TONTAOUT!Q14+#REF!+TONTOCT!Q14+#REF!+#REF!+#REF!+#REF!+#REF!+#REF!+#REF!+#REF!</f>
        <v>#REF!</v>
      </c>
      <c r="J16" s="8" t="e">
        <f>TONTJUIL!R14+TONTAOUT!R14+#REF!+TONTOCT!R14+#REF!+#REF!+#REF!+#REF!+#REF!+#REF!+#REF!+#REF!</f>
        <v>#REF!</v>
      </c>
      <c r="K16" s="28">
        <v>43695</v>
      </c>
      <c r="L16" s="8">
        <v>75000</v>
      </c>
      <c r="M16" s="8" t="e">
        <f t="shared" si="0"/>
        <v>#REF!</v>
      </c>
    </row>
    <row r="17" spans="1:16" x14ac:dyDescent="0.25">
      <c r="A17" s="1" t="s">
        <v>32</v>
      </c>
      <c r="B17" s="1" t="str">
        <f>VLOOKUP(A17,[6]LISTADHERENT!A$5:H$60,3,0)</f>
        <v>MBOGNING TUGMA GUY</v>
      </c>
      <c r="C17" s="8" t="e">
        <f>TONTJUIL!C15+TONTAOUT!C15+#REF!+TONTOCT!C15+#REF!+#REF!+#REF!+#REF!+#REF!+#REF!+#REF!+#REF!</f>
        <v>#REF!</v>
      </c>
      <c r="D17" s="8" t="e">
        <f>TONTJUIL!D15+TONTAOUT!D15+#REF!+TONTOCT!D15+#REF!+#REF!+#REF!+#REF!+#REF!+#REF!+#REF!+#REF!</f>
        <v>#REF!</v>
      </c>
      <c r="E17" s="8" t="e">
        <f>TONTJUIL!H15+TONTAOUT!H15+#REF!+TONTOCT!H15+#REF!+#REF!+#REF!+#REF!+#REF!+#REF!+#REF!+#REF!</f>
        <v>#REF!</v>
      </c>
      <c r="F17" s="8" t="e">
        <f>TONTJUIL!I15+TONTAOUT!I15+#REF!+TONTOCT!I15+#REF!+#REF!+#REF!+#REF!+#REF!+#REF!+#REF!+#REF!</f>
        <v>#REF!</v>
      </c>
      <c r="G17" s="8" t="e">
        <f>TONTJUIL!L15+TONTAOUT!L15+#REF!+TONTOCT!L15+#REF!+#REF!+#REF!+#REF!+#REF!+#REF!+#REF!+#REF!</f>
        <v>#REF!</v>
      </c>
      <c r="H17" s="8" t="e">
        <f>TONTJUIL!M15+TONTAOUT!M15+#REF!+TONTOCT!M15+#REF!+#REF!+#REF!+#REF!+#REF!+#REF!+#REF!+#REF!</f>
        <v>#REF!</v>
      </c>
      <c r="I17" s="8" t="e">
        <f>TONTJUIL!Q15+TONTAOUT!Q15+#REF!+TONTOCT!Q15+#REF!+#REF!+#REF!+#REF!+#REF!+#REF!+#REF!+#REF!</f>
        <v>#REF!</v>
      </c>
      <c r="J17" s="8" t="e">
        <f>TONTJUIL!R15+TONTAOUT!R15+#REF!+TONTOCT!R15+#REF!+#REF!+#REF!+#REF!+#REF!+#REF!+#REF!+#REF!</f>
        <v>#REF!</v>
      </c>
      <c r="K17" s="28">
        <v>43814</v>
      </c>
      <c r="L17" s="8">
        <v>75000</v>
      </c>
      <c r="M17" s="8" t="e">
        <f t="shared" si="0"/>
        <v>#REF!</v>
      </c>
    </row>
    <row r="18" spans="1:16" x14ac:dyDescent="0.25">
      <c r="A18" s="1" t="s">
        <v>32</v>
      </c>
      <c r="B18" s="1" t="str">
        <f>VLOOKUP(A18,[6]LISTADHERENT!A$5:H$60,3,0)</f>
        <v>MBOGNING TUGMA GUY</v>
      </c>
      <c r="C18" s="8" t="e">
        <f>TONTJUIL!C16+TONTAOUT!C16+#REF!+TONTOCT!C16+#REF!+#REF!+#REF!+#REF!+#REF!+#REF!+#REF!+#REF!</f>
        <v>#REF!</v>
      </c>
      <c r="D18" s="8" t="e">
        <f>TONTJUIL!D16+TONTAOUT!D16+#REF!+TONTOCT!D16+#REF!+#REF!+#REF!+#REF!+#REF!+#REF!+#REF!+#REF!</f>
        <v>#REF!</v>
      </c>
      <c r="E18" s="8" t="e">
        <f>TONTJUIL!H16+TONTAOUT!H16+#REF!+TONTOCT!H16+#REF!+#REF!+#REF!+#REF!+#REF!+#REF!+#REF!+#REF!</f>
        <v>#REF!</v>
      </c>
      <c r="F18" s="8" t="e">
        <f>TONTJUIL!I16+TONTAOUT!I16+#REF!+TONTOCT!I16+#REF!+#REF!+#REF!+#REF!+#REF!+#REF!+#REF!+#REF!</f>
        <v>#REF!</v>
      </c>
      <c r="G18" s="8" t="e">
        <f>TONTJUIL!L16+TONTAOUT!L16+#REF!+TONTOCT!L16+#REF!+#REF!+#REF!+#REF!+#REF!+#REF!+#REF!+#REF!</f>
        <v>#REF!</v>
      </c>
      <c r="H18" s="8" t="e">
        <f>TONTJUIL!M16+TONTAOUT!M16+#REF!+TONTOCT!M16+#REF!+#REF!+#REF!+#REF!+#REF!+#REF!+#REF!+#REF!</f>
        <v>#REF!</v>
      </c>
      <c r="I18" s="8" t="e">
        <f>TONTJUIL!Q16+TONTAOUT!Q16+#REF!+TONTOCT!Q16+#REF!+#REF!+#REF!+#REF!+#REF!+#REF!+#REF!+#REF!</f>
        <v>#REF!</v>
      </c>
      <c r="J18" s="8" t="e">
        <f>TONTJUIL!R16+TONTAOUT!R16+#REF!+TONTOCT!R16+#REF!+#REF!+#REF!+#REF!+#REF!+#REF!+#REF!+#REF!</f>
        <v>#REF!</v>
      </c>
      <c r="K18" s="28">
        <v>43940</v>
      </c>
      <c r="L18" s="8">
        <v>75000</v>
      </c>
      <c r="M18" s="8" t="e">
        <f t="shared" si="0"/>
        <v>#REF!</v>
      </c>
    </row>
    <row r="19" spans="1:16" s="13" customFormat="1" x14ac:dyDescent="0.25">
      <c r="A19" s="1" t="s">
        <v>31</v>
      </c>
      <c r="B19" s="1" t="str">
        <f>VLOOKUP(A19,[6]LISTADHERENT!A$5:H$60,3,0)</f>
        <v>NGUIEMEGNI MATHIEU BLAISE</v>
      </c>
      <c r="C19" s="8" t="e">
        <f>TONTJUIL!C17+TONTAOUT!C17+#REF!+TONTOCT!C17+#REF!+#REF!+#REF!+#REF!+#REF!+#REF!+#REF!+#REF!</f>
        <v>#REF!</v>
      </c>
      <c r="D19" s="8" t="e">
        <f>TONTJUIL!D17+TONTAOUT!D17+#REF!+TONTOCT!D17+#REF!+#REF!+#REF!+#REF!+#REF!+#REF!+#REF!+#REF!</f>
        <v>#REF!</v>
      </c>
      <c r="E19" s="8" t="e">
        <f>TONTJUIL!H17+TONTAOUT!H17+#REF!+TONTOCT!H17+#REF!+#REF!+#REF!+#REF!+#REF!+#REF!+#REF!+#REF!</f>
        <v>#REF!</v>
      </c>
      <c r="F19" s="8" t="e">
        <f>TONTJUIL!I17+TONTAOUT!I17+#REF!+TONTOCT!I17+#REF!+#REF!+#REF!+#REF!+#REF!+#REF!+#REF!+#REF!</f>
        <v>#REF!</v>
      </c>
      <c r="G19" s="8" t="e">
        <f>TONTJUIL!L17+TONTAOUT!L17+#REF!+TONTOCT!L17+#REF!+#REF!+#REF!+#REF!+#REF!+#REF!+#REF!+#REF!</f>
        <v>#REF!</v>
      </c>
      <c r="H19" s="8" t="e">
        <f>TONTJUIL!M17+TONTAOUT!M17+#REF!+TONTOCT!M17+#REF!+#REF!+#REF!+#REF!+#REF!+#REF!+#REF!+#REF!</f>
        <v>#REF!</v>
      </c>
      <c r="I19" s="8" t="e">
        <f>TONTJUIL!Q17+TONTAOUT!Q17+#REF!+TONTOCT!Q17+#REF!+#REF!+#REF!+#REF!+#REF!+#REF!+#REF!+#REF!</f>
        <v>#REF!</v>
      </c>
      <c r="J19" s="8" t="e">
        <f>TONTJUIL!R17+TONTAOUT!R17+#REF!+TONTOCT!R17+#REF!+#REF!+#REF!+#REF!+#REF!+#REF!+#REF!+#REF!</f>
        <v>#REF!</v>
      </c>
      <c r="K19" s="27">
        <v>43758</v>
      </c>
      <c r="L19" s="8">
        <v>75000</v>
      </c>
      <c r="M19" s="8" t="e">
        <f t="shared" si="0"/>
        <v>#REF!</v>
      </c>
    </row>
    <row r="20" spans="1:16" x14ac:dyDescent="0.25">
      <c r="A20" s="1" t="s">
        <v>31</v>
      </c>
      <c r="B20" s="1" t="str">
        <f>VLOOKUP(A20,[6]LISTADHERENT!A$5:H$60,3,0)</f>
        <v>NGUIEMEGNI MATHIEU BLAISE</v>
      </c>
      <c r="C20" s="8" t="e">
        <f>TONTJUIL!C18+TONTAOUT!C18+#REF!+TONTOCT!C18+#REF!+#REF!+#REF!+#REF!+#REF!+#REF!+#REF!+#REF!</f>
        <v>#REF!</v>
      </c>
      <c r="D20" s="8" t="e">
        <f>TONTJUIL!D18+TONTAOUT!D18+#REF!+TONTOCT!D18+#REF!+#REF!+#REF!+#REF!+#REF!+#REF!+#REF!+#REF!</f>
        <v>#REF!</v>
      </c>
      <c r="E20" s="8" t="e">
        <f>TONTJUIL!H18+TONTAOUT!H18+#REF!+TONTOCT!H18+#REF!+#REF!+#REF!+#REF!+#REF!+#REF!+#REF!+#REF!</f>
        <v>#REF!</v>
      </c>
      <c r="F20" s="8" t="e">
        <f>TONTJUIL!I18+TONTAOUT!I18+#REF!+TONTOCT!I18+#REF!+#REF!+#REF!+#REF!+#REF!+#REF!+#REF!+#REF!</f>
        <v>#REF!</v>
      </c>
      <c r="G20" s="8" t="e">
        <f>TONTJUIL!L18+TONTAOUT!L18+#REF!+TONTOCT!L18+#REF!+#REF!+#REF!+#REF!+#REF!+#REF!+#REF!+#REF!</f>
        <v>#REF!</v>
      </c>
      <c r="H20" s="8" t="e">
        <f>TONTJUIL!M18+TONTAOUT!M18+#REF!+TONTOCT!M18+#REF!+#REF!+#REF!+#REF!+#REF!+#REF!+#REF!+#REF!</f>
        <v>#REF!</v>
      </c>
      <c r="I20" s="8" t="e">
        <f>TONTJUIL!Q18+TONTAOUT!Q18+#REF!+TONTOCT!Q18+#REF!+#REF!+#REF!+#REF!+#REF!+#REF!+#REF!+#REF!</f>
        <v>#REF!</v>
      </c>
      <c r="J20" s="8" t="e">
        <f>TONTJUIL!R18+TONTAOUT!R18+#REF!+TONTOCT!R18+#REF!+#REF!+#REF!+#REF!+#REF!+#REF!+#REF!+#REF!</f>
        <v>#REF!</v>
      </c>
      <c r="K20" s="28">
        <v>43849</v>
      </c>
      <c r="L20" s="8">
        <v>75000</v>
      </c>
      <c r="M20" s="8" t="e">
        <f t="shared" si="0"/>
        <v>#REF!</v>
      </c>
    </row>
    <row r="21" spans="1:16" x14ac:dyDescent="0.25">
      <c r="A21" s="16" t="s">
        <v>12</v>
      </c>
      <c r="B21" s="1" t="str">
        <f>VLOOKUP(A21,[6]LISTADHERENT!A$5:H$60,3,0)</f>
        <v>NKAMGANG JUSTIN DEJOLIE</v>
      </c>
      <c r="C21" s="8" t="e">
        <f>TONTJUIL!C19+TONTAOUT!C19+#REF!+TONTOCT!C19+#REF!+#REF!+#REF!+#REF!+#REF!+#REF!+#REF!+#REF!</f>
        <v>#REF!</v>
      </c>
      <c r="D21" s="8" t="e">
        <f>TONTJUIL!D19+TONTAOUT!D19+#REF!+TONTOCT!D19+#REF!+#REF!+#REF!+#REF!+#REF!+#REF!+#REF!+#REF!</f>
        <v>#REF!</v>
      </c>
      <c r="E21" s="8" t="e">
        <f>TONTJUIL!H19+TONTAOUT!H19+#REF!+TONTOCT!H19+#REF!+#REF!+#REF!+#REF!+#REF!+#REF!+#REF!+#REF!</f>
        <v>#REF!</v>
      </c>
      <c r="F21" s="8" t="e">
        <f>TONTJUIL!I19+TONTAOUT!I19+#REF!+TONTOCT!I19+#REF!+#REF!+#REF!+#REF!+#REF!+#REF!+#REF!+#REF!</f>
        <v>#REF!</v>
      </c>
      <c r="G21" s="8" t="e">
        <f>TONTJUIL!L19+TONTAOUT!L19+#REF!+TONTOCT!L19+#REF!+#REF!+#REF!+#REF!+#REF!+#REF!+#REF!+#REF!</f>
        <v>#REF!</v>
      </c>
      <c r="H21" s="8" t="e">
        <f>TONTJUIL!M19+TONTAOUT!M19+#REF!+TONTOCT!M19+#REF!+#REF!+#REF!+#REF!+#REF!+#REF!+#REF!+#REF!</f>
        <v>#REF!</v>
      </c>
      <c r="I21" s="8" t="e">
        <f>TONTJUIL!Q19+TONTAOUT!Q19+#REF!+TONTOCT!Q19+#REF!+#REF!+#REF!+#REF!+#REF!+#REF!+#REF!+#REF!</f>
        <v>#REF!</v>
      </c>
      <c r="J21" s="8" t="e">
        <f>TONTJUIL!R19+TONTAOUT!R19+#REF!+TONTOCT!R19+#REF!+#REF!+#REF!+#REF!+#REF!+#REF!+#REF!+#REF!</f>
        <v>#REF!</v>
      </c>
      <c r="K21" s="28">
        <v>43695</v>
      </c>
      <c r="L21" s="8">
        <v>75000</v>
      </c>
      <c r="M21" s="8" t="e">
        <f t="shared" si="0"/>
        <v>#REF!</v>
      </c>
    </row>
    <row r="22" spans="1:16" x14ac:dyDescent="0.25">
      <c r="A22" s="1" t="s">
        <v>42</v>
      </c>
      <c r="B22" s="1" t="str">
        <f>VLOOKUP(A22,[6]LISTADHERENT!A$5:H$60,3,0)</f>
        <v>PATEGO NJOSSU GUSTAVE</v>
      </c>
      <c r="C22" s="8" t="e">
        <f>TONTJUIL!C20+TONTAOUT!C20+#REF!+TONTOCT!C20+#REF!+#REF!+#REF!+#REF!+#REF!+#REF!+#REF!+#REF!</f>
        <v>#REF!</v>
      </c>
      <c r="D22" s="8" t="e">
        <f>TONTJUIL!D20+TONTAOUT!D20+#REF!+TONTOCT!D20+#REF!+#REF!+#REF!+#REF!+#REF!+#REF!+#REF!+#REF!</f>
        <v>#REF!</v>
      </c>
      <c r="E22" s="8" t="e">
        <f>TONTJUIL!H20+TONTAOUT!H20+#REF!+TONTOCT!H20+#REF!+#REF!+#REF!+#REF!+#REF!+#REF!+#REF!+#REF!</f>
        <v>#REF!</v>
      </c>
      <c r="F22" s="8" t="e">
        <f>TONTJUIL!I20+TONTAOUT!I20+#REF!+TONTOCT!I20+#REF!+#REF!+#REF!+#REF!+#REF!+#REF!+#REF!+#REF!</f>
        <v>#REF!</v>
      </c>
      <c r="G22" s="8" t="e">
        <f>TONTJUIL!L20+TONTAOUT!L20+#REF!+TONTOCT!L20+#REF!+#REF!+#REF!+#REF!+#REF!+#REF!+#REF!+#REF!</f>
        <v>#REF!</v>
      </c>
      <c r="H22" s="8" t="e">
        <f>TONTJUIL!M20+TONTAOUT!M20+#REF!+TONTOCT!M20+#REF!+#REF!+#REF!+#REF!+#REF!+#REF!+#REF!+#REF!</f>
        <v>#REF!</v>
      </c>
      <c r="I22" s="8" t="e">
        <f>TONTJUIL!Q20+TONTAOUT!Q20+#REF!+TONTOCT!Q20+#REF!+#REF!+#REF!+#REF!+#REF!+#REF!+#REF!+#REF!</f>
        <v>#REF!</v>
      </c>
      <c r="J22" s="8" t="e">
        <f>TONTJUIL!R20+TONTAOUT!R20+#REF!+TONTOCT!R20+#REF!+#REF!+#REF!+#REF!+#REF!+#REF!+#REF!+#REF!</f>
        <v>#REF!</v>
      </c>
      <c r="K22" s="28">
        <v>43940</v>
      </c>
      <c r="L22" s="8">
        <v>75000</v>
      </c>
      <c r="M22" s="8" t="e">
        <f t="shared" si="0"/>
        <v>#REF!</v>
      </c>
    </row>
    <row r="23" spans="1:16" x14ac:dyDescent="0.25">
      <c r="A23" s="16" t="s">
        <v>43</v>
      </c>
      <c r="B23" s="1" t="str">
        <f>VLOOKUP(A23,[6]LISTADHERENT!A$5:H$60,3,0)</f>
        <v>SIMO PIERRE</v>
      </c>
      <c r="C23" s="8" t="e">
        <f>TONTJUIL!C21+TONTAOUT!C21+#REF!+TONTOCT!C21+#REF!+#REF!+#REF!+#REF!+#REF!+#REF!+#REF!+#REF!</f>
        <v>#REF!</v>
      </c>
      <c r="D23" s="8" t="e">
        <f>TONTJUIL!D21+TONTAOUT!D21+#REF!+TONTOCT!D21+#REF!+#REF!+#REF!+#REF!+#REF!+#REF!+#REF!+#REF!</f>
        <v>#REF!</v>
      </c>
      <c r="E23" s="8" t="e">
        <f>TONTJUIL!H21+TONTAOUT!H21+#REF!+TONTOCT!H21+#REF!+#REF!+#REF!+#REF!+#REF!+#REF!+#REF!+#REF!</f>
        <v>#REF!</v>
      </c>
      <c r="F23" s="8" t="e">
        <f>TONTJUIL!I21+TONTAOUT!I21+#REF!+TONTOCT!I21+#REF!+#REF!+#REF!+#REF!+#REF!+#REF!+#REF!+#REF!</f>
        <v>#REF!</v>
      </c>
      <c r="G23" s="8" t="e">
        <f>TONTJUIL!L21+TONTAOUT!L21+#REF!+TONTOCT!L21+#REF!+#REF!+#REF!+#REF!+#REF!+#REF!+#REF!+#REF!</f>
        <v>#REF!</v>
      </c>
      <c r="H23" s="8" t="e">
        <f>TONTJUIL!M21+TONTAOUT!M21+#REF!+TONTOCT!M21+#REF!+#REF!+#REF!+#REF!+#REF!+#REF!+#REF!+#REF!</f>
        <v>#REF!</v>
      </c>
      <c r="I23" s="8" t="e">
        <f>TONTJUIL!Q21+TONTAOUT!Q21+#REF!+TONTOCT!Q21+#REF!+#REF!+#REF!+#REF!+#REF!+#REF!+#REF!+#REF!</f>
        <v>#REF!</v>
      </c>
      <c r="J23" s="8" t="e">
        <f>TONTJUIL!R21+TONTAOUT!R21+#REF!+TONTOCT!R21+#REF!+#REF!+#REF!+#REF!+#REF!+#REF!+#REF!+#REF!</f>
        <v>#REF!</v>
      </c>
      <c r="K23" s="28">
        <v>43793</v>
      </c>
      <c r="L23" s="8">
        <v>75000</v>
      </c>
      <c r="M23" s="8" t="e">
        <f t="shared" si="0"/>
        <v>#REF!</v>
      </c>
    </row>
    <row r="24" spans="1:16" x14ac:dyDescent="0.25">
      <c r="A24" s="1" t="s">
        <v>30</v>
      </c>
      <c r="B24" s="1" t="str">
        <f>VLOOKUP(A24,[6]LISTADHERENT!A$5:H$60,3,0)</f>
        <v>YOUMBI EMMANUEL</v>
      </c>
      <c r="C24" s="8" t="e">
        <f>TONTJUIL!C23+TONTAOUT!C23+#REF!+TONTOCT!C23+#REF!+#REF!+#REF!+#REF!+#REF!+#REF!+#REF!+#REF!</f>
        <v>#REF!</v>
      </c>
      <c r="D24" s="8" t="e">
        <f>TONTJUIL!D23+TONTAOUT!D23+#REF!+TONTOCT!D23+#REF!+#REF!+#REF!+#REF!+#REF!+#REF!+#REF!+#REF!</f>
        <v>#REF!</v>
      </c>
      <c r="E24" s="8" t="e">
        <f>TONTJUIL!H23+TONTAOUT!H23+#REF!+TONTOCT!H23+#REF!+#REF!+#REF!+#REF!+#REF!+#REF!+#REF!+#REF!</f>
        <v>#REF!</v>
      </c>
      <c r="F24" s="8" t="e">
        <f>TONTJUIL!I23+TONTAOUT!I23+#REF!+TONTOCT!I23+#REF!+#REF!+#REF!+#REF!+#REF!+#REF!+#REF!+#REF!</f>
        <v>#REF!</v>
      </c>
      <c r="G24" s="8" t="e">
        <f>TONTJUIL!L23+TONTAOUT!L23+#REF!+TONTOCT!L23+#REF!+#REF!+#REF!+#REF!+#REF!+#REF!+#REF!+#REF!</f>
        <v>#REF!</v>
      </c>
      <c r="H24" s="8" t="e">
        <f>TONTJUIL!M23+TONTAOUT!M23+#REF!+TONTOCT!M23+#REF!+#REF!+#REF!+#REF!+#REF!+#REF!+#REF!+#REF!</f>
        <v>#REF!</v>
      </c>
      <c r="I24" s="8" t="e">
        <f>TONTJUIL!Q23+TONTAOUT!Q23+#REF!+TONTOCT!Q23+#REF!+#REF!+#REF!+#REF!+#REF!+#REF!+#REF!+#REF!</f>
        <v>#REF!</v>
      </c>
      <c r="J24" s="8" t="e">
        <f>TONTJUIL!R23+TONTAOUT!R23+#REF!+TONTOCT!R23+#REF!+#REF!+#REF!+#REF!+#REF!+#REF!+#REF!+#REF!</f>
        <v>#REF!</v>
      </c>
      <c r="K24" s="28">
        <v>43877</v>
      </c>
      <c r="L24" s="8">
        <v>75000</v>
      </c>
      <c r="M24" s="8" t="e">
        <f t="shared" si="0"/>
        <v>#REF!</v>
      </c>
    </row>
    <row r="25" spans="1:16" x14ac:dyDescent="0.25">
      <c r="A25" s="1" t="s">
        <v>30</v>
      </c>
      <c r="B25" s="1" t="str">
        <f>VLOOKUP(A25,[6]LISTADHERENT!A$5:H$60,3,0)</f>
        <v>YOUMBI EMMANUEL</v>
      </c>
      <c r="C25" s="8" t="e">
        <f>TONTJUIL!C24+TONTAOUT!C24+#REF!+TONTOCT!C24+#REF!+#REF!+#REF!+#REF!+#REF!+#REF!+#REF!+#REF!</f>
        <v>#REF!</v>
      </c>
      <c r="D25" s="8" t="e">
        <f>TONTJUIL!D24+TONTAOUT!D24+#REF!+TONTOCT!D24+#REF!+#REF!+#REF!+#REF!+#REF!+#REF!+#REF!+#REF!</f>
        <v>#REF!</v>
      </c>
      <c r="E25" s="8" t="e">
        <f>TONTJUIL!H24+TONTAOUT!H24+#REF!+TONTOCT!H24+#REF!+#REF!+#REF!+#REF!+#REF!+#REF!+#REF!+#REF!</f>
        <v>#REF!</v>
      </c>
      <c r="F25" s="8" t="e">
        <f>TONTJUIL!I24+TONTAOUT!I24+#REF!+TONTOCT!I24+#REF!+#REF!+#REF!+#REF!+#REF!+#REF!+#REF!+#REF!</f>
        <v>#REF!</v>
      </c>
      <c r="G25" s="8" t="e">
        <f>TONTJUIL!L24+TONTAOUT!L24+#REF!+TONTOCT!L24+#REF!+#REF!+#REF!+#REF!+#REF!+#REF!+#REF!+#REF!</f>
        <v>#REF!</v>
      </c>
      <c r="H25" s="8" t="e">
        <f>TONTJUIL!M24+TONTAOUT!M24+#REF!+TONTOCT!M24+#REF!+#REF!+#REF!+#REF!+#REF!+#REF!+#REF!+#REF!</f>
        <v>#REF!</v>
      </c>
      <c r="I25" s="8" t="e">
        <f>TONTJUIL!Q24+TONTAOUT!Q24+#REF!+TONTOCT!Q24+#REF!+#REF!+#REF!+#REF!+#REF!+#REF!+#REF!+#REF!</f>
        <v>#REF!</v>
      </c>
      <c r="J25" s="8" t="e">
        <f>TONTJUIL!R24+TONTAOUT!R24+#REF!+TONTOCT!R24+#REF!+#REF!+#REF!+#REF!+#REF!+#REF!+#REF!+#REF!</f>
        <v>#REF!</v>
      </c>
      <c r="K25" s="28">
        <v>44003</v>
      </c>
      <c r="L25" s="8">
        <v>75000</v>
      </c>
      <c r="M25" s="8" t="e">
        <f t="shared" si="0"/>
        <v>#REF!</v>
      </c>
      <c r="O25">
        <v>1000000</v>
      </c>
    </row>
    <row r="26" spans="1:16" ht="18" x14ac:dyDescent="0.25">
      <c r="B26" s="9"/>
      <c r="C26" s="9"/>
      <c r="D26" s="9"/>
      <c r="E26" s="9"/>
      <c r="F26" s="9"/>
      <c r="M26" s="2" t="e">
        <f>SUM(M6:M25)</f>
        <v>#REF!</v>
      </c>
      <c r="O26">
        <f>75000*13</f>
        <v>975000</v>
      </c>
      <c r="P26">
        <f>(O25-O26)*12</f>
        <v>300000</v>
      </c>
    </row>
    <row r="27" spans="1:16" ht="18" x14ac:dyDescent="0.25">
      <c r="A27" s="20" t="s">
        <v>13</v>
      </c>
      <c r="B27" s="20"/>
      <c r="C27" s="21" t="e">
        <f>SUM(C6:C25)</f>
        <v>#REF!</v>
      </c>
      <c r="D27" s="21" t="e">
        <f>SUM(D6:D25)</f>
        <v>#REF!</v>
      </c>
      <c r="E27" s="21" t="e">
        <f t="shared" ref="E27:J27" si="1">SUM(E6:E25)</f>
        <v>#REF!</v>
      </c>
      <c r="F27" s="21" t="e">
        <f t="shared" si="1"/>
        <v>#REF!</v>
      </c>
      <c r="G27" s="21" t="e">
        <f t="shared" si="1"/>
        <v>#REF!</v>
      </c>
      <c r="H27" s="21" t="e">
        <f t="shared" si="1"/>
        <v>#REF!</v>
      </c>
      <c r="I27" s="21" t="e">
        <f t="shared" si="1"/>
        <v>#REF!</v>
      </c>
      <c r="J27" s="21" t="e">
        <f t="shared" si="1"/>
        <v>#REF!</v>
      </c>
      <c r="K27" s="17"/>
      <c r="L27" s="21">
        <f>COUNTIFS(J6:J25,"&lt;&gt;0")</f>
        <v>20</v>
      </c>
      <c r="M27" s="21" t="s">
        <v>48</v>
      </c>
      <c r="N27" s="17"/>
      <c r="O27" s="17"/>
      <c r="P27" s="17"/>
    </row>
    <row r="28" spans="1:16" x14ac:dyDescent="0.25">
      <c r="C28" s="22" t="s">
        <v>16</v>
      </c>
      <c r="G28" s="3"/>
      <c r="H28" s="3"/>
      <c r="I28"/>
      <c r="O28">
        <v>656441329</v>
      </c>
    </row>
    <row r="30" spans="1:16" ht="18" x14ac:dyDescent="0.25">
      <c r="E30" s="2"/>
      <c r="J30" s="21" t="e">
        <f>J27-(75000*L27)</f>
        <v>#REF!</v>
      </c>
    </row>
    <row r="32" spans="1:16" ht="18" x14ac:dyDescent="0.25">
      <c r="J32" s="21" t="e">
        <f>J30-P26</f>
        <v>#REF!</v>
      </c>
    </row>
  </sheetData>
  <autoFilter ref="A5:J25">
    <sortState ref="A6:P32">
      <sortCondition ref="B6:B32"/>
    </sortState>
  </autoFilter>
  <mergeCells count="1">
    <mergeCell ref="C4:G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2</vt:i4>
      </vt:variant>
    </vt:vector>
  </HeadingPairs>
  <TitlesOfParts>
    <vt:vector size="36" baseType="lpstr">
      <vt:lpstr>MODEPAID</vt:lpstr>
      <vt:lpstr>TONTJUIL</vt:lpstr>
      <vt:lpstr>TONTAOUT</vt:lpstr>
      <vt:lpstr>TONTSEPT</vt:lpstr>
      <vt:lpstr>TONTOCT</vt:lpstr>
      <vt:lpstr>TONTNOV</vt:lpstr>
      <vt:lpstr>TONTDEC</vt:lpstr>
      <vt:lpstr>TONTJANV</vt:lpstr>
      <vt:lpstr>TONTFEV</vt:lpstr>
      <vt:lpstr>TONTMARS</vt:lpstr>
      <vt:lpstr>TONTAVRIL</vt:lpstr>
      <vt:lpstr>TONTMAI</vt:lpstr>
      <vt:lpstr>TONTJUIN</vt:lpstr>
      <vt:lpstr>TONTJUIL21</vt:lpstr>
      <vt:lpstr>TONTAOUT21</vt:lpstr>
      <vt:lpstr>TONTSEPT21</vt:lpstr>
      <vt:lpstr>TONTOCT21</vt:lpstr>
      <vt:lpstr>TONTNOV21</vt:lpstr>
      <vt:lpstr>TONTDEC21</vt:lpstr>
      <vt:lpstr>TONTJANV22</vt:lpstr>
      <vt:lpstr>TONTFEV22</vt:lpstr>
      <vt:lpstr>TONTMARS22</vt:lpstr>
      <vt:lpstr>TONTAVRIL22</vt:lpstr>
      <vt:lpstr>TONTMAI22</vt:lpstr>
      <vt:lpstr>TONTJUIN22</vt:lpstr>
      <vt:lpstr>TONTJUIL22</vt:lpstr>
      <vt:lpstr>TONTAOUT22</vt:lpstr>
      <vt:lpstr>TONTSEPT22</vt:lpstr>
      <vt:lpstr>TONTOCT22</vt:lpstr>
      <vt:lpstr>TONTNOV22</vt:lpstr>
      <vt:lpstr>TONTDEC22</vt:lpstr>
      <vt:lpstr>TONTRESUME22</vt:lpstr>
      <vt:lpstr>TONTRESUME</vt:lpstr>
      <vt:lpstr>TONTRESUME (2)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2023-01-11T16:27:44Z</dcterms:modified>
</cp:coreProperties>
</file>