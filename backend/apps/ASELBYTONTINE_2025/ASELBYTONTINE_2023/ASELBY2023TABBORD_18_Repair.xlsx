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<sst xmlns="http://schemas.openxmlformats.org/spreadsheetml/2006/main" count="4724" uniqueCount="206">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</sst>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VLOOKUP(A6,[12]HISTOBQUESEPT24!$A$6:$G$46,3,0)</f>
        <v>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0</v>
      </c>
      <c r="F7" s="9">
        <f>VLOOKUP(A7,[12]HISTOBQUESEPT24!$A$6:$G$41,5,0)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VLOOKUP(A8,[12]HISTOBQUESEPT24!$A$6:$G$46,3,0)</f>
        <v>0</v>
      </c>
      <c r="E8" s="9">
        <f>VLOOKUP(A8,[12]HISTOBQUESEPT24!$A$6:$G$41,4,0)</f>
        <v>0</v>
      </c>
      <c r="F8" s="9">
        <f>VLOOKUP(A8,[12]HISTOBQUESEPT24!$A$6:$G$41,5,0)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</f>
        <v>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0</v>
      </c>
      <c r="F10" s="9">
        <f>VLOOKUP(A10,[12]HISTOBQUESEPT24!$A$6:$G$41,5,0)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</f>
        <v>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</f>
        <v>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</f>
        <v>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</f>
        <v>0</v>
      </c>
      <c r="E17" s="9">
        <f>VLOOKUP(A17,[12]HISTOBQUESEPT24!$A$6:$G$41,4,0)</f>
        <v>0</v>
      </c>
      <c r="F17" s="9">
        <f>VLOOKUP(A17,[12]HISTOBQUESEPT24!$A$6:$G$41,5,0)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</f>
        <v>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</f>
        <v>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</f>
        <v>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</f>
        <v>0</v>
      </c>
      <c r="E24" s="9">
        <f>VLOOKUP(A24,[12]HISTOBQUESEPT24!$A$6:$G$41,4,0)</f>
        <v>0</v>
      </c>
      <c r="F24" s="9">
        <f>VLOOKUP(A24,[12]HISTOBQUESEPT24!$A$6:$G$41,5,0)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</f>
        <v>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</f>
        <v>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</f>
        <v>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</f>
        <v>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VLOOKUP(A33,[12]HISTOBQUESEPT24!$A$6:$G$46,3,0)</f>
        <v>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VLOOKUP(A34,[12]HISTOBQUESEPT24!$A$6:$G$46,3,0)</f>
        <v>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VLOOKUP(A37,[12]HISTOBQUESEPT24!$A$6:$G$46,3,0)</f>
        <v>0</v>
      </c>
      <c r="E37" s="9">
        <f>VLOOKUP(A37,[12]HISTOBQUESEPT24!$A$6:$G$41,4,0)</f>
        <v>0</v>
      </c>
      <c r="F37" s="9">
        <f>VLOOKUP(A37,[12]HISTOBQUESEPT24!$A$6:$G$41,5,0)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VLOOKUP(A6,[12]HISTOBQUEOCT24!$A$6:$G$46,3,0)</f>
        <v>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VLOOKUP(A7,[12]HISTOBQUEOCT24!$A$6:$G$46,3,0)</f>
        <v>0</v>
      </c>
      <c r="E7" s="9">
        <f>VLOOKUP(A7,[12]HISTOBQUEOCT24!$A$6:$G$41,4,0)</f>
        <v>0</v>
      </c>
      <c r="F7" s="9">
        <f>VLOOKUP(A7,[12]HISTOBQUEOCT24!$A$6:$G$41,5,0)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VLOOKUP(A8,[12]HISTOBQUEOCT24!$A$6:$G$46,3,0)</f>
        <v>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VLOOKUP(A9,[12]HISTOBQUEOCT24!$A$6:$G$46,3,0)</f>
        <v>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VLOOKUP(A10,[12]HISTOBQUEOCT24!$A$6:$G$46,3,0)</f>
        <v>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VLOOKUP(A11,[12]HISTOBQUEOCT24!$A$6:$G$46,3,0)</f>
        <v>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VLOOKUP(A12,[12]HISTOBQUEOCT24!$A$6:$G$46,3,0)</f>
        <v>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VLOOKUP(A13,[12]HISTOBQUEOCT24!$A$6:$G$46,3,0)</f>
        <v>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VLOOKUP(A14,[12]HISTOBQUEOCT24!$A$6:$G$46,3,0)</f>
        <v>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VLOOKUP(A15,[12]HISTOBQUEOCT24!$A$6:$G$46,3,0)</f>
        <v>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VLOOKUP(A16,[12]HISTOBQUEOCT24!$A$6:$G$46,3,0)</f>
        <v>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VLOOKUP(A17,[12]HISTOBQUEOCT24!$A$6:$G$46,3,0)</f>
        <v>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VLOOKUP(A18,[12]HISTOBQUEOCT24!$A$6:$G$46,3,0)</f>
        <v>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VLOOKUP(A19,[12]HISTOBQUEOCT24!$A$6:$G$46,3,0)</f>
        <v>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VLOOKUP(A20,[12]HISTOBQUEOCT24!$A$6:$G$46,3,0)</f>
        <v>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VLOOKUP(A21,[12]HISTOBQUEOCT24!$A$6:$G$46,3,0)</f>
        <v>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VLOOKUP(A22,[12]HISTOBQUEOCT24!$A$6:$G$46,3,0)</f>
        <v>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VLOOKUP(A23,[12]HISTOBQUEOCT24!$A$6:$G$46,3,0)</f>
        <v>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VLOOKUP(A24,[12]HISTOBQUEOCT24!$A$6:$G$46,3,0)</f>
        <v>0</v>
      </c>
      <c r="E24" s="9">
        <f>VLOOKUP(A24,[12]HISTOBQUEOCT24!$A$6:$G$41,4,0)</f>
        <v>0</v>
      </c>
      <c r="F24" s="9">
        <f>VLOOKUP(A24,[12]HISTOBQUEOCT24!$A$6:$G$41,5,0)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VLOOKUP(A25,[12]HISTOBQUEOCT24!$A$6:$G$46,3,0)</f>
        <v>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VLOOKUP(A26,[12]HISTOBQUEOCT24!$A$6:$G$46,3,0)</f>
        <v>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VLOOKUP(A27,[12]HISTOBQUEOCT24!$A$6:$G$46,3,0)</f>
        <v>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VLOOKUP(A28,[12]HISTOBQUEOCT24!$A$6:$G$46,3,0)</f>
        <v>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VLOOKUP(A29,[12]HISTOBQUEOCT24!$A$6:$G$46,3,0)</f>
        <v>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VLOOKUP(A30,[12]HISTOBQUEOCT24!$A$6:$G$46,3,0)</f>
        <v>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VLOOKUP(A31,[12]HISTOBQUEOCT24!$A$6:$G$46,3,0)</f>
        <v>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VLOOKUP(A32,[12]HISTOBQUEOCT24!$A$6:$G$46,3,0)</f>
        <v>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VLOOKUP(A33,[12]HISTOBQUEOCT24!$A$6:$G$46,3,0)</f>
        <v>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VLOOKUP(A34,[12]HISTOBQUEOCT24!$A$6:$G$46,3,0)</f>
        <v>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VLOOKUP(A35,[12]HISTOBQUEOCT24!$A$6:$G$46,3,0)</f>
        <v>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VLOOKUP(A36,[12]HISTOBQUEOCT24!$A$6:$G$46,3,0)</f>
        <v>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VLOOKUP(A37,[12]HISTOBQUEOCT24!$A$6:$G$46,3,0)</f>
        <v>0</v>
      </c>
      <c r="E37" s="9">
        <f>VLOOKUP(A37,[12]HISTOBQUEOCT24!$A$6:$G$41,4,0)</f>
        <v>0</v>
      </c>
      <c r="F37" s="9">
        <f>VLOOKUP(A37,[12]HISTOBQUEOCT24!$A$6:$G$41,5,0)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VLOOKUP(A38,[12]HISTOBQUEOCT24!$A$6:$G$46,3,0)</f>
        <v>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VLOOKUP(A6,[12]HISTOBQUEDEC24!$A$6:$G$46,3,0)</f>
        <v>0</v>
      </c>
      <c r="E6" s="9">
        <f>VLOOKUP(A6,[12]HISTOBQUEDEC24!$A$6:$G$41,4,0)</f>
        <v>0</v>
      </c>
      <c r="F6" s="9">
        <f>VLOOKUP(A6,[12]HISTOBQUEDEC24!$A$6:$G$41,5,0)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VLOOKUP(A7,[12]HISTOBQUEDEC24!$A$6:$G$46,3,0)</f>
        <v>0</v>
      </c>
      <c r="E7" s="9">
        <f>VLOOKUP(A7,[12]HISTOBQUEDEC24!$A$6:$G$41,4,0)</f>
        <v>0</v>
      </c>
      <c r="F7" s="9">
        <f>VLOOKUP(A7,[12]HISTOBQUEDEC24!$A$6:$G$41,5,0)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VLOOKUP(A8,[12]HISTOBQUEDEC24!$A$6:$G$46,3,0)</f>
        <v>0</v>
      </c>
      <c r="E8" s="9">
        <f>VLOOKUP(A8,[12]HISTOBQUEDEC24!$A$6:$G$41,4,0)</f>
        <v>0</v>
      </c>
      <c r="F8" s="9">
        <f>VLOOKUP(A8,[12]HISTOBQUEDEC24!$A$6:$G$41,5,0)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VLOOKUP(A9,[12]HISTOBQUEDEC24!$A$6:$G$46,3,0)</f>
        <v>0</v>
      </c>
      <c r="E9" s="9">
        <f>VLOOKUP(A9,[12]HISTOBQUEDEC24!$A$6:$G$41,4,0)</f>
        <v>0</v>
      </c>
      <c r="F9" s="9">
        <f>VLOOKUP(A9,[12]HISTOBQUEDEC24!$A$6:$G$41,5,0)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VLOOKUP(A10,[12]HISTOBQUEDEC24!$A$6:$G$46,3,0)</f>
        <v>0</v>
      </c>
      <c r="E10" s="9">
        <f>VLOOKUP(A10,[12]HISTOBQUEDEC24!$A$6:$G$41,4,0)</f>
        <v>0</v>
      </c>
      <c r="F10" s="9">
        <f>VLOOKUP(A10,[12]HISTOBQUEDEC24!$A$6:$G$41,5,0)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VLOOKUP(A11,[12]HISTOBQUEDEC24!$A$6:$G$46,3,0)</f>
        <v>0</v>
      </c>
      <c r="E11" s="9">
        <f>VLOOKUP(A11,[12]HISTOBQUEDEC24!$A$6:$G$41,4,0)</f>
        <v>0</v>
      </c>
      <c r="F11" s="9">
        <f>VLOOKUP(A11,[12]HISTOBQUEDEC24!$A$6:$G$41,5,0)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VLOOKUP(A12,[12]HISTOBQUEDEC24!$A$6:$G$46,3,0)</f>
        <v>0</v>
      </c>
      <c r="E12" s="9">
        <f>VLOOKUP(A12,[12]HISTOBQUEDEC24!$A$6:$G$41,4,0)</f>
        <v>0</v>
      </c>
      <c r="F12" s="9">
        <f>VLOOKUP(A12,[12]HISTOBQUEDEC24!$A$6:$G$41,5,0)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VLOOKUP(A13,[12]HISTOBQUEDEC24!$A$6:$G$46,3,0)</f>
        <v>0</v>
      </c>
      <c r="E13" s="9">
        <f>VLOOKUP(A13,[12]HISTOBQUEDEC24!$A$6:$G$41,4,0)</f>
        <v>0</v>
      </c>
      <c r="F13" s="9">
        <f>VLOOKUP(A13,[12]HISTOBQUEDEC24!$A$6:$G$41,5,0)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VLOOKUP(A14,[12]HISTOBQUEDEC24!$A$6:$G$46,3,0)</f>
        <v>0</v>
      </c>
      <c r="E14" s="9">
        <f>VLOOKUP(A14,[12]HISTOBQUEDEC24!$A$6:$G$41,4,0)</f>
        <v>0</v>
      </c>
      <c r="F14" s="9">
        <f>VLOOKUP(A14,[12]HISTOBQUEDEC24!$A$6:$G$41,5,0)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VLOOKUP(A15,[12]HISTOBQUEDEC24!$A$6:$G$46,3,0)</f>
        <v>0</v>
      </c>
      <c r="E15" s="9">
        <f>VLOOKUP(A15,[12]HISTOBQUEDEC24!$A$6:$G$41,4,0)</f>
        <v>0</v>
      </c>
      <c r="F15" s="9">
        <f>VLOOKUP(A15,[12]HISTOBQUEDEC24!$A$6:$G$41,5,0)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VLOOKUP(A16,[12]HISTOBQUEDEC24!$A$6:$G$46,3,0)</f>
        <v>0</v>
      </c>
      <c r="E16" s="9">
        <f>VLOOKUP(A16,[12]HISTOBQUEDEC24!$A$6:$G$41,4,0)</f>
        <v>0</v>
      </c>
      <c r="F16" s="9">
        <f>VLOOKUP(A16,[12]HISTOBQUEDEC24!$A$6:$G$41,5,0)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VLOOKUP(A17,[12]HISTOBQUEDEC24!$A$6:$G$46,3,0)</f>
        <v>0</v>
      </c>
      <c r="E17" s="9">
        <f>VLOOKUP(A17,[12]HISTOBQUEDEC24!$A$6:$G$41,4,0)</f>
        <v>0</v>
      </c>
      <c r="F17" s="9">
        <f>VLOOKUP(A17,[12]HISTOBQUEDEC24!$A$6:$G$41,5,0)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VLOOKUP(A18,[12]HISTOBQUEDEC24!$A$6:$G$46,3,0)</f>
        <v>0</v>
      </c>
      <c r="E18" s="9">
        <f>VLOOKUP(A18,[12]HISTOBQUEDEC24!$A$6:$G$41,4,0)</f>
        <v>0</v>
      </c>
      <c r="F18" s="9">
        <f>VLOOKUP(A18,[12]HISTOBQUEDEC24!$A$6:$G$41,5,0)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VLOOKUP(A19,[12]HISTOBQUEDEC24!$A$6:$G$46,3,0)</f>
        <v>0</v>
      </c>
      <c r="E19" s="9">
        <f>VLOOKUP(A19,[12]HISTOBQUEDEC24!$A$6:$G$41,4,0)</f>
        <v>0</v>
      </c>
      <c r="F19" s="9">
        <f>VLOOKUP(A19,[12]HISTOBQUEDEC24!$A$6:$G$41,5,0)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VLOOKUP(A20,[12]HISTOBQUEDEC24!$A$6:$G$46,3,0)</f>
        <v>0</v>
      </c>
      <c r="E20" s="9">
        <f>VLOOKUP(A20,[12]HISTOBQUEDEC24!$A$6:$G$41,4,0)</f>
        <v>0</v>
      </c>
      <c r="F20" s="9">
        <f>VLOOKUP(A20,[12]HISTOBQUEDEC24!$A$6:$G$41,5,0)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VLOOKUP(A21,[12]HISTOBQUEDEC24!$A$6:$G$46,3,0)</f>
        <v>0</v>
      </c>
      <c r="E21" s="9">
        <f>VLOOKUP(A21,[12]HISTOBQUEDEC24!$A$6:$G$41,4,0)</f>
        <v>0</v>
      </c>
      <c r="F21" s="9">
        <f>VLOOKUP(A21,[12]HISTOBQUEDEC24!$A$6:$G$41,5,0)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VLOOKUP(A22,[12]HISTOBQUEDEC24!$A$6:$G$46,3,0)</f>
        <v>0</v>
      </c>
      <c r="E22" s="9">
        <f>VLOOKUP(A22,[12]HISTOBQUEDEC24!$A$6:$G$41,4,0)</f>
        <v>0</v>
      </c>
      <c r="F22" s="9">
        <f>VLOOKUP(A22,[12]HISTOBQUEDEC24!$A$6:$G$41,5,0)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VLOOKUP(A23,[12]HISTOBQUEDEC24!$A$6:$G$46,3,0)</f>
        <v>0</v>
      </c>
      <c r="E23" s="9">
        <f>VLOOKUP(A23,[12]HISTOBQUEDEC24!$A$6:$G$41,4,0)</f>
        <v>0</v>
      </c>
      <c r="F23" s="9">
        <f>VLOOKUP(A23,[12]HISTOBQUEDEC24!$A$6:$G$41,5,0)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VLOOKUP(A24,[12]HISTOBQUEDEC24!$A$6:$G$46,3,0)</f>
        <v>0</v>
      </c>
      <c r="E24" s="9">
        <f>VLOOKUP(A24,[12]HISTOBQUEDEC24!$A$6:$G$41,4,0)</f>
        <v>0</v>
      </c>
      <c r="F24" s="9">
        <f>VLOOKUP(A24,[12]HISTOBQUEDEC24!$A$6:$G$41,5,0)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VLOOKUP(A25,[12]HISTOBQUEDEC24!$A$6:$G$46,3,0)</f>
        <v>0</v>
      </c>
      <c r="E25" s="9">
        <f>VLOOKUP(A25,[12]HISTOBQUEDEC24!$A$6:$G$41,4,0)</f>
        <v>0</v>
      </c>
      <c r="F25" s="9">
        <f>VLOOKUP(A25,[12]HISTOBQUEDEC24!$A$6:$G$41,5,0)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VLOOKUP(A26,[12]HISTOBQUEDEC24!$A$6:$G$46,3,0)</f>
        <v>0</v>
      </c>
      <c r="E26" s="9">
        <f>VLOOKUP(A26,[12]HISTOBQUEDEC24!$A$6:$G$41,4,0)</f>
        <v>0</v>
      </c>
      <c r="F26" s="9">
        <f>VLOOKUP(A26,[12]HISTOBQUEDEC24!$A$6:$G$41,5,0)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VLOOKUP(A27,[12]HISTOBQUEDEC24!$A$6:$G$46,3,0)</f>
        <v>0</v>
      </c>
      <c r="E27" s="9">
        <f>VLOOKUP(A27,[12]HISTOBQUEDEC24!$A$6:$G$41,4,0)</f>
        <v>0</v>
      </c>
      <c r="F27" s="9">
        <f>VLOOKUP(A27,[12]HISTOBQUEDEC24!$A$6:$G$41,5,0)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VLOOKUP(A28,[12]HISTOBQUEDEC24!$A$6:$G$46,3,0)</f>
        <v>0</v>
      </c>
      <c r="E28" s="9">
        <f>VLOOKUP(A28,[12]HISTOBQUEDEC24!$A$6:$G$41,4,0)</f>
        <v>0</v>
      </c>
      <c r="F28" s="9">
        <f>VLOOKUP(A28,[12]HISTOBQUEDEC24!$A$6:$G$41,5,0)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VLOOKUP(A29,[12]HISTOBQUEDEC24!$A$6:$G$46,3,0)</f>
        <v>0</v>
      </c>
      <c r="E29" s="9">
        <f>VLOOKUP(A29,[12]HISTOBQUEDEC24!$A$6:$G$41,4,0)</f>
        <v>0</v>
      </c>
      <c r="F29" s="9">
        <f>VLOOKUP(A29,[12]HISTOBQUEDEC24!$A$6:$G$41,5,0)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VLOOKUP(A30,[12]HISTOBQUEDEC24!$A$6:$G$46,3,0)</f>
        <v>0</v>
      </c>
      <c r="E30" s="9">
        <f>VLOOKUP(A30,[12]HISTOBQUEDEC24!$A$6:$G$41,4,0)</f>
        <v>0</v>
      </c>
      <c r="F30" s="9">
        <f>VLOOKUP(A30,[12]HISTOBQUEDEC24!$A$6:$G$41,5,0)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VLOOKUP(A31,[12]HISTOBQUEDEC24!$A$6:$G$46,3,0)</f>
        <v>0</v>
      </c>
      <c r="E31" s="9">
        <f>VLOOKUP(A31,[12]HISTOBQUEDEC24!$A$6:$G$41,4,0)</f>
        <v>0</v>
      </c>
      <c r="F31" s="9">
        <f>VLOOKUP(A31,[12]HISTOBQUEDEC24!$A$6:$G$41,5,0)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VLOOKUP(A32,[12]HISTOBQUEDEC24!$A$6:$G$46,3,0)</f>
        <v>0</v>
      </c>
      <c r="E32" s="9">
        <f>VLOOKUP(A32,[12]HISTOBQUEDEC24!$A$6:$G$41,4,0)</f>
        <v>0</v>
      </c>
      <c r="F32" s="9">
        <f>VLOOKUP(A32,[12]HISTOBQUEDEC24!$A$6:$G$41,5,0)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VLOOKUP(A33,[12]HISTOBQUEDEC24!$A$6:$G$46,3,0)</f>
        <v>0</v>
      </c>
      <c r="E33" s="9">
        <f>VLOOKUP(A33,[12]HISTOBQUEDEC24!$A$6:$G$41,4,0)</f>
        <v>0</v>
      </c>
      <c r="F33" s="9">
        <f>VLOOKUP(A33,[12]HISTOBQUEDEC24!$A$6:$G$41,5,0)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VLOOKUP(A34,[12]HISTOBQUEDEC24!$A$6:$G$46,3,0)</f>
        <v>0</v>
      </c>
      <c r="E34" s="9">
        <f>VLOOKUP(A34,[12]HISTOBQUEDEC24!$A$6:$G$41,4,0)</f>
        <v>0</v>
      </c>
      <c r="F34" s="9">
        <f>VLOOKUP(A34,[12]HISTOBQUEDEC24!$A$6:$G$41,5,0)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VLOOKUP(A35,[12]HISTOBQUEDEC24!$A$6:$G$46,3,0)</f>
        <v>0</v>
      </c>
      <c r="E35" s="9">
        <f>VLOOKUP(A35,[12]HISTOBQUEDEC24!$A$6:$G$41,4,0)</f>
        <v>0</v>
      </c>
      <c r="F35" s="9">
        <f>VLOOKUP(A35,[12]HISTOBQUEDEC24!$A$6:$G$41,5,0)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VLOOKUP(A36,[12]HISTOBQUEDEC24!$A$6:$G$46,3,0)</f>
        <v>0</v>
      </c>
      <c r="E36" s="9">
        <f>VLOOKUP(A36,[12]HISTOBQUEDEC24!$A$6:$G$41,4,0)</f>
        <v>0</v>
      </c>
      <c r="F36" s="9">
        <f>VLOOKUP(A36,[12]HISTOBQUEDEC24!$A$6:$G$41,5,0)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VLOOKUP(A37,[12]HISTOBQUEDEC24!$A$6:$G$46,3,0)</f>
        <v>0</v>
      </c>
      <c r="E37" s="9">
        <f>VLOOKUP(A37,[12]HISTOBQUEDEC24!$A$6:$G$41,4,0)</f>
        <v>0</v>
      </c>
      <c r="F37" s="9">
        <f>VLOOKUP(A37,[12]HISTOBQUEDEC24!$A$6:$G$41,5,0)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VLOOKUP(A38,[12]HISTOBQUEDEC24!$A$6:$G$46,3,0)</f>
        <v>0</v>
      </c>
      <c r="E38" s="9">
        <f>VLOOKUP(A38,[12]HISTOBQUEDEC24!$A$6:$G$41,4,0)</f>
        <v>0</v>
      </c>
      <c r="F38" s="9">
        <f>VLOOKUP(A38,[12]HISTOBQUEDEC24!$A$6:$G$41,5,0)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13" sqref="C1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700000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111000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3000</v>
      </c>
      <c r="H7" s="10"/>
      <c r="I7" s="9">
        <f>HISTOJANV24!I7+HISTOFEV24!I7+HISTOMARS24!I7+HISTOAVRIL24!I7+HISTOMAI24!I7+HISTOJUIN24!I7+HISTOJUIL24!I7+HISTOAOUT24!I7+HISTOSEPT24!I7+HISTOOCT24!I7+HISTONOV24!I7+HISTODEC24!I7</f>
        <v>19000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44000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1205000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-2500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455000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22500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595000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101000</v>
      </c>
      <c r="Q10" s="9">
        <f>HISTOJANV24!Q10+HISTOFEV24!Q10+HISTOMARS24!Q10+HISTOAVRIL24!Q10+HISTOMAI24!Q10+HISTOJUIN24!Q10+HISTOJUIL24!Q10+HISTOAOUT24!Q10+HISTOSEPT24!Q10+HISTOOCT24!Q10+HISTONOV24!Q10+HISTODEC24!Q10</f>
        <v>206000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429000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99000</v>
      </c>
      <c r="AJ10" s="9">
        <f>HISTOJANV24!AJ10+HISTOFEV24!AJ10+HISTOMARS24!AJ10+HISTOAVRIL24!AJ10+HISTOMAI24!AJ10+HISTOJUIN24!AJ10+HISTOJUIL24!AJ10+HISTOAOUT24!AJ10+HISTOSEPT24!AJ10+HISTOOCT24!AJ10+HISTONOV24!AJ10+HISTODEC24!AJ10</f>
        <v>201500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4500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99000</v>
      </c>
      <c r="AX10" s="9">
        <f>HISTOJANV24!AX10+HISTOFEV24!AX10+HISTOMARS24!AX10+HISTOAVRIL24!AX10+HISTOMAI24!AX10+HISTOJUIN24!AX10+HISTOJUIL24!AX10+HISTOAOUT24!AX10+HISTOSEPT24!AX10+HISTOOCT24!AX10+HISTONOV24!AX10+HISTODEC24!AX10</f>
        <v>1073500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1172500</v>
      </c>
      <c r="BA10" s="9">
        <f>HISTOJANV24!BA10+HISTOFEV24!BA10+HISTOMARS24!BA10+HISTOAVRIL24!BA10+HISTOMAI24!BA10+HISTOJUIN24!BA10+HISTOJUIL24!BA10+HISTOAOUT24!BA10+HISTOSEPT24!BA10+HISTOOCT24!BA10+HISTONOV24!BA10+HISTODEC24!BA10</f>
        <v>139000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1033500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715000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10000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84000</v>
      </c>
      <c r="Q11" s="9">
        <f>HISTOJANV24!Q11+HISTOFEV24!Q11+HISTOMARS24!Q11+HISTOAVRIL24!Q11+HISTOMAI24!Q11+HISTOJUIN24!Q11+HISTOJUIL24!Q11+HISTOAOUT24!Q11+HISTOSEPT24!Q11+HISTOOCT24!Q11+HISTONOV24!Q11+HISTODEC24!Q11</f>
        <v>408000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1627000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81000</v>
      </c>
      <c r="AJ11" s="9">
        <f>HISTOJANV24!AJ11+HISTOFEV24!AJ11+HISTOMARS24!AJ11+HISTOAVRIL24!AJ11+HISTOMAI24!AJ11+HISTOJUIN24!AJ11+HISTOJUIL24!AJ11+HISTOAOUT24!AJ11+HISTOSEPT24!AJ11+HISTOOCT24!AJ11+HISTONOV24!AJ11+HISTODEC24!AJ11</f>
        <v>400000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3000</v>
      </c>
      <c r="AM11" s="9">
        <f>HISTOJANV24!AM11+HISTOFEV24!AM11+HISTOMARS24!AM11+HISTOAVRIL24!AM11+HISTOMAI24!AM11+HISTOJUIN24!AM11+HISTOJUIL24!AM11+HISTOAOUT24!AM11+HISTOSEPT24!AM11+HISTOOCT24!AM11+HISTONOV24!AM11+HISTODEC24!AM11</f>
        <v>8000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35000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365000</v>
      </c>
      <c r="AX11" s="9">
        <f>HISTOJANV24!AX11+HISTOFEV24!AX11+HISTOMARS24!AX11+HISTOAVRIL24!AX11+HISTOMAI24!AX11+HISTOJUIN24!AX11+HISTOJUIL24!AX11+HISTOAOUT24!AX11+HISTOSEPT24!AX11+HISTOOCT24!AX11+HISTONOV24!AX11+HISTODEC24!AX11</f>
        <v>1284000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1629000</v>
      </c>
      <c r="BA11" s="9">
        <f>HISTOJANV24!BA11+HISTOFEV24!BA11+HISTOMARS24!BA11+HISTOAVRIL24!BA11+HISTOMAI24!BA11+HISTOJUIN24!BA11+HISTOJUIL24!BA11+HISTOAOUT24!BA11+HISTOSEPT24!BA11+HISTOOCT24!BA11+HISTONOV24!BA11+HISTODEC24!BA11</f>
        <v>568000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959000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1452000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200000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150000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10000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290000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290000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290000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1040000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15000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1185000</v>
      </c>
      <c r="AZ16" s="9">
        <f>HISTOJANV24!AZ16+HISTOFEV24!AZ16+HISTOMARS24!AZ16+HISTOAVRIL24!AZ16+HISTOMAI24!AZ16+HISTOJUIN24!AZ16+HISTOJUIL24!AZ16+HISTOAOUT24!AZ16+HISTOSEPT24!AZ16+HISTOOCT24!AZ16+HISTONOV24!AZ16+HISTODEC24!AZ16</f>
        <v>1473000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1473000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701000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832000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30000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407000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587000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400000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7000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55000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1560000</v>
      </c>
      <c r="AZ18" s="9">
        <f>HISTOJANV24!AZ18+HISTOFEV24!AZ18+HISTOMARS24!AZ18+HISTOAVRIL24!AZ18+HISTOMAI24!AZ18+HISTOJUIN24!AZ18+HISTOJUIL24!AZ18+HISTOAOUT24!AZ18+HISTOSEPT24!AZ18+HISTOOCT24!AZ18+HISTONOV24!AZ18+HISTODEC24!AZ18</f>
        <v>1847000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1847000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200000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1394000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-1000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192500</v>
      </c>
      <c r="R20" s="9">
        <f>HISTOJANV24!R20+HISTOFEV24!R20+HISTOMARS24!R20+HISTOAVRIL24!R20+HISTOMAI24!R20+HISTOJUIN24!R20+HISTOJUIL24!R20+HISTOAOUT24!R20+HISTOSEPT24!R20+HISTOOCT24!R20+HISTONOV24!R20+HISTODEC24!R20</f>
        <v>475000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891500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189000</v>
      </c>
      <c r="AK20" s="9">
        <f>HISTOJANV24!AK20+HISTOFEV24!AK20+HISTOMARS24!AK20+HISTOAVRIL24!AK20+HISTOMAI24!AK20+HISTOJUIN24!AK20+HISTOJUIL24!AK20+HISTOAOUT24!AK20+HISTOSEPT24!AK20+HISTOOCT24!AK20+HISTONOV24!AK20+HISTODEC24!AK20</f>
        <v>470000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3500</v>
      </c>
      <c r="AN20" s="9">
        <f>HISTOJANV24!AN20+HISTOFEV24!AN20+HISTOMARS24!AN20+HISTOAVRIL24!AN20+HISTOMAI24!AN20+HISTOJUIN24!AN20+HISTOJUIL24!AN20+HISTOAOUT24!AN20+HISTOSEPT24!AN20+HISTOOCT24!AN20+HISTONOV24!AN20+HISTODEC24!AN20</f>
        <v>5000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24000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1073000</v>
      </c>
      <c r="AY20" s="9">
        <f>HISTOJANV24!AY20+HISTOFEV24!AY20+HISTOMARS24!AY20+HISTOAVRIL24!AY20+HISTOMAI24!AY20+HISTOJUIN24!AY20+HISTOJUIL24!AY20+HISTOAOUT24!AY20+HISTOSEPT24!AY20+HISTOOCT24!AY20+HISTONOV24!AY20+HISTODEC24!AY20</f>
        <v>1555000</v>
      </c>
      <c r="AZ20" s="9">
        <f>HISTOJANV24!AZ20+HISTOFEV24!AZ20+HISTOMARS24!AZ20+HISTOAVRIL24!AZ20+HISTOMAI24!AZ20+HISTOJUIN24!AZ20+HISTOJUIL24!AZ20+HISTOAOUT24!AZ20+HISTOSEPT24!AZ20+HISTOOCT24!AZ20+HISTONOV24!AZ20+HISTODEC24!AZ20</f>
        <v>2628000</v>
      </c>
      <c r="BA20" s="9">
        <f>HISTOJANV24!BA20+HISTOFEV24!BA20+HISTOMARS24!BA20+HISTOAVRIL24!BA20+HISTOMAI24!BA20+HISTOJUIN24!BA20+HISTOJUIL24!BA20+HISTOAOUT24!BA20+HISTOSEPT24!BA20+HISTOOCT24!BA20+HISTONOV24!BA20+HISTODEC24!BA20</f>
        <v>425500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2202500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200000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1242000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250000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3000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205000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463000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201000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4000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201000</v>
      </c>
      <c r="AZ24" s="9">
        <f>HISTOJANV24!AZ24+HISTOFEV24!AZ24+HISTOMARS24!AZ24+HISTOAVRIL24!AZ24+HISTOMAI24!AZ24+HISTOJUIN24!AZ24+HISTOJUIL24!AZ24+HISTOAOUT24!AZ24+HISTOSEPT24!AZ24+HISTOOCT24!AZ24+HISTONOV24!AZ24+HISTODEC24!AZ24</f>
        <v>201000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201000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1700000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-2000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509000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885000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11000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500000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9000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23000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289000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1575000</v>
      </c>
      <c r="AZ25" s="9">
        <f>HISTOJANV24!AZ25+HISTOFEV24!AZ25+HISTOMARS24!AZ25+HISTOAVRIL24!AZ25+HISTOMAI24!AZ25+HISTOJUIN24!AZ25+HISTOJUIL24!AZ25+HISTOAOUT24!AZ25+HISTOSEPT24!AZ25+HISTOOCT24!AZ25+HISTONOV24!AZ25+HISTODEC24!AZ25</f>
        <v>2699000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2599000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150000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200000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744500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1000000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850000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40000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1160000</v>
      </c>
      <c r="AZ31" s="9">
        <f>HISTOJANV24!AZ31+HISTOFEV24!AZ31+HISTOMARS24!AZ31+HISTOAVRIL24!AZ31+HISTOMAI24!AZ31+HISTOJUIN24!AZ31+HISTOJUIL24!AZ31+HISTOAOUT24!AZ31+HISTOSEPT24!AZ31+HISTOOCT24!AZ31+HISTONOV24!AZ31+HISTODEC24!AZ31</f>
        <v>2160000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2130000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101000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226000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10500</v>
      </c>
      <c r="AD32" s="9">
        <f>HISTOJANV24!AD32+HISTOFEV24!AD32+HISTOMARS24!AD32+HISTOAVRIL24!AD32+HISTOMAI24!AD32+HISTOJUIN24!AD32+HISTOJUIL24!AD32+HISTOAOUT24!AD32+HISTOSEPT24!AD32+HISTOOCT24!AD32+HISTONOV24!AD32+HISTODEC24!AD32</f>
        <v>7500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100000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1000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289500</v>
      </c>
      <c r="AX32" s="9">
        <f>HISTOJANV24!AX32+HISTOFEV24!AX32+HISTOMARS24!AX32+HISTOAVRIL24!AX32+HISTOMAI24!AX32+HISTOJUIN24!AX32+HISTOJUIL24!AX32+HISTOAOUT24!AX32+HISTOSEPT24!AX32+HISTOOCT24!AX32+HISTONOV24!AX32+HISTODEC24!AX32</f>
        <v>992500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2222000</v>
      </c>
      <c r="BA32" s="9">
        <f>HISTOJANV24!BA32+HISTOFEV24!BA32+HISTOMARS24!BA32+HISTOAVRIL24!BA32+HISTOMAI24!BA32+HISTOJUIN24!BA32+HISTOJUIL24!BA32+HISTOAOUT24!BA32+HISTOSEPT24!BA32+HISTOOCT24!BA32+HISTONOV24!BA32+HISTODEC24!BA32</f>
        <v>20000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2202000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1150000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405000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580000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430000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50000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3000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-3000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22000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240000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40000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90000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65000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103000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3000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53000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300000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21105500</v>
      </c>
      <c r="E40" s="5">
        <f t="shared" si="7"/>
        <v>1204500</v>
      </c>
      <c r="F40" s="5">
        <f t="shared" si="7"/>
        <v>1500000</v>
      </c>
      <c r="G40" s="5">
        <f t="shared" si="7"/>
        <v>24000</v>
      </c>
      <c r="H40" s="5">
        <f t="shared" si="7"/>
        <v>0</v>
      </c>
      <c r="I40" s="5">
        <f t="shared" si="7"/>
        <v>1166500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340500</v>
      </c>
      <c r="Q40" s="5">
        <f t="shared" si="7"/>
        <v>907500</v>
      </c>
      <c r="R40" s="5">
        <f t="shared" si="7"/>
        <v>2238500</v>
      </c>
      <c r="S40" s="5">
        <f t="shared" si="7"/>
        <v>1750000</v>
      </c>
      <c r="T40" s="5"/>
      <c r="U40" s="5">
        <f t="shared" ref="U40:AA40" si="8">SUM(U6:U39)</f>
        <v>11102000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147500</v>
      </c>
      <c r="AD40" s="5">
        <f>SUM(AD6:AD39)</f>
        <v>192500</v>
      </c>
      <c r="AE40" s="5">
        <f>SUM(AE6:AE39)</f>
        <v>555000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331000</v>
      </c>
      <c r="AJ40" s="5">
        <f t="shared" si="9"/>
        <v>890500</v>
      </c>
      <c r="AK40" s="5">
        <f t="shared" si="9"/>
        <v>2207500</v>
      </c>
      <c r="AL40" s="5">
        <f t="shared" si="9"/>
        <v>9500</v>
      </c>
      <c r="AM40" s="5">
        <f t="shared" si="9"/>
        <v>17000</v>
      </c>
      <c r="AN40" s="5">
        <f t="shared" si="9"/>
        <v>31000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1966500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3483500</v>
      </c>
      <c r="AX40" s="5">
        <f t="shared" si="9"/>
        <v>6098000</v>
      </c>
      <c r="AY40" s="5">
        <f t="shared" si="9"/>
        <v>11252500</v>
      </c>
      <c r="AZ40" s="5">
        <f t="shared" si="9"/>
        <v>24448500</v>
      </c>
      <c r="BA40" s="5">
        <f t="shared" si="9"/>
        <v>2331200</v>
      </c>
      <c r="BB40" s="5">
        <f t="shared" si="9"/>
        <v>0</v>
      </c>
      <c r="BC40" s="5">
        <f t="shared" si="9"/>
        <v>0</v>
      </c>
      <c r="BD40" s="5">
        <f t="shared" si="9"/>
        <v>22022300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24448500</v>
      </c>
      <c r="D47" s="9">
        <f>SUMIFS(D8:D40,H8:H40,"BANQUE")</f>
        <v>0</v>
      </c>
      <c r="F47" s="9">
        <f>E40</f>
        <v>1204500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47451000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2024-04-22T09:01:07Z</dcterms:modified>
</cp:coreProperties>
</file>