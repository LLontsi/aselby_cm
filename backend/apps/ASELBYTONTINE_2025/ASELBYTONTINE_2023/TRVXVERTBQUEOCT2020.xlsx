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709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I2" i="1" s="1"/>
  <c r="C29" i="1"/>
  <c r="D29" i="1"/>
  <c r="E29" i="1"/>
  <c r="H29" i="1"/>
  <c r="B29" i="1"/>
  <c r="F23" i="1"/>
  <c r="I23" i="1" s="1"/>
  <c r="F21" i="1"/>
  <c r="I21" i="1" s="1"/>
  <c r="F22" i="1"/>
  <c r="I22" i="1" s="1"/>
  <c r="F24" i="1"/>
  <c r="I24" i="1" s="1"/>
  <c r="F25" i="1"/>
  <c r="I25" i="1" s="1"/>
  <c r="F26" i="1"/>
  <c r="I26" i="1" s="1"/>
  <c r="F27" i="1"/>
  <c r="I27" i="1" s="1"/>
  <c r="F18" i="1"/>
  <c r="I18" i="1" s="1"/>
  <c r="F19" i="1"/>
  <c r="I19" i="1" s="1"/>
  <c r="F20" i="1"/>
  <c r="I20" i="1" s="1"/>
  <c r="F17" i="1"/>
  <c r="I17" i="1" s="1"/>
  <c r="G9" i="1"/>
  <c r="G29" i="1" s="1"/>
  <c r="F7" i="1"/>
  <c r="I7" i="1" s="1"/>
  <c r="F8" i="1"/>
  <c r="I8" i="1" s="1"/>
  <c r="F9" i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3" i="1"/>
  <c r="I3" i="1" s="1"/>
  <c r="F4" i="1"/>
  <c r="I4" i="1" s="1"/>
  <c r="F5" i="1"/>
  <c r="I5" i="1" s="1"/>
  <c r="F6" i="1"/>
  <c r="I6" i="1" s="1"/>
  <c r="F29" i="1" l="1"/>
  <c r="I9" i="1"/>
</calcChain>
</file>

<file path=xl/sharedStrings.xml><?xml version="1.0" encoding="utf-8"?>
<sst xmlns="http://schemas.openxmlformats.org/spreadsheetml/2006/main" count="34" uniqueCount="33">
  <si>
    <t>MBOGNING TUGMA GUY</t>
  </si>
  <si>
    <t>NANKAM APPOLINAIRE</t>
  </si>
  <si>
    <t>TONT3000</t>
  </si>
  <si>
    <t>TONT75000</t>
  </si>
  <si>
    <t>TONT100</t>
  </si>
  <si>
    <t>REMB</t>
  </si>
  <si>
    <t>TOT</t>
  </si>
  <si>
    <t>VERST BANQUE</t>
  </si>
  <si>
    <t>DOMOU FABIEN</t>
  </si>
  <si>
    <t>DOHOU DAVID</t>
  </si>
  <si>
    <t>KOUATCHO</t>
  </si>
  <si>
    <t>NKEPSEU DIEUDONNE</t>
  </si>
  <si>
    <t>ESPECES</t>
  </si>
  <si>
    <t>HOTCHO</t>
  </si>
  <si>
    <t>BOUTCHOUANG</t>
  </si>
  <si>
    <t>DJOUKWE</t>
  </si>
  <si>
    <t>KOUAMOU</t>
  </si>
  <si>
    <t>YOUMBI</t>
  </si>
  <si>
    <t>DJOMO JP</t>
  </si>
  <si>
    <t>NDJOMO ETIENNE</t>
  </si>
  <si>
    <t>NGUIEMENI</t>
  </si>
  <si>
    <t>PATEO</t>
  </si>
  <si>
    <t>ECART</t>
  </si>
  <si>
    <t>DJUOMBESSY</t>
  </si>
  <si>
    <t>NANGUEN</t>
  </si>
  <si>
    <t>TCHEMOU EMMANUEL</t>
  </si>
  <si>
    <t>TCHOUAMO</t>
  </si>
  <si>
    <t>DJOMO TCHANDA</t>
  </si>
  <si>
    <t>HENGUE</t>
  </si>
  <si>
    <t>SIME BRICE</t>
  </si>
  <si>
    <t>NGONDIEP</t>
  </si>
  <si>
    <t>SIME MATHIEU</t>
  </si>
  <si>
    <t>SIMO 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</si>
</sst>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M11" sqref="M11"/>
    </sheetView>
  </sheetViews>
  <sheetFormatPr baseColWidth="10" defaultRowHeight="15" x14ac:dyDescent="0.25"/>
  <cols>
    <col min="1" max="1" width="23" bestFit="1" customWidth="1"/>
    <col min="2" max="2" width="15.7109375" customWidth="1"/>
    <col min="3" max="5" width="11.5703125" bestFit="1" customWidth="1"/>
    <col min="6" max="6" width="8.85546875" bestFit="1" customWidth="1"/>
    <col min="7" max="7" width="11.5703125" bestFit="1" customWidth="1"/>
  </cols>
  <sheetData>
    <row r="1" spans="1:9" x14ac:dyDescent="0.25">
      <c r="B1" t="s">
        <v>2</v>
      </c>
      <c r="C1" t="s">
        <v>3</v>
      </c>
      <c r="D1" s="1" t="s">
        <v>4</v>
      </c>
      <c r="E1" t="s">
        <v>5</v>
      </c>
      <c r="F1" t="s">
        <v>6</v>
      </c>
      <c r="G1" t="s">
        <v>7</v>
      </c>
      <c r="H1" t="s">
        <v>12</v>
      </c>
      <c r="I1" t="s">
        <v>22</v>
      </c>
    </row>
    <row r="2" spans="1:9" x14ac:dyDescent="0.25">
      <c r="A2" t="s">
        <v>32</v>
      </c>
      <c r="B2">
        <v>30000</v>
      </c>
      <c r="C2">
        <v>75000</v>
      </c>
      <c r="D2" s="1"/>
      <c r="F2" s="1">
        <f t="shared" ref="F2:F27" si="0">SUM(B2:E2)</f>
        <v>105000</v>
      </c>
      <c r="G2">
        <v>110000</v>
      </c>
      <c r="I2" s="1">
        <f t="shared" ref="I2:I27" si="1">G2+H2-F2</f>
        <v>5000</v>
      </c>
    </row>
    <row r="3" spans="1:9" x14ac:dyDescent="0.25">
      <c r="A3" s="2" t="s">
        <v>11</v>
      </c>
      <c r="B3" s="1">
        <v>30500</v>
      </c>
      <c r="C3" s="1"/>
      <c r="D3" s="1">
        <v>100000</v>
      </c>
      <c r="E3" s="1">
        <v>30500</v>
      </c>
      <c r="F3" s="1">
        <f t="shared" si="0"/>
        <v>161000</v>
      </c>
      <c r="G3" s="1">
        <v>161000</v>
      </c>
      <c r="I3" s="1">
        <f t="shared" si="1"/>
        <v>0</v>
      </c>
    </row>
    <row r="4" spans="1:9" x14ac:dyDescent="0.25">
      <c r="A4" t="s">
        <v>13</v>
      </c>
      <c r="B4" s="1">
        <v>65000</v>
      </c>
      <c r="C4" s="1">
        <v>75000</v>
      </c>
      <c r="D4" s="1">
        <v>100000</v>
      </c>
      <c r="E4" s="1"/>
      <c r="F4" s="1">
        <f t="shared" si="0"/>
        <v>240000</v>
      </c>
      <c r="G4" s="1">
        <v>240000</v>
      </c>
      <c r="I4" s="1">
        <f t="shared" si="1"/>
        <v>0</v>
      </c>
    </row>
    <row r="5" spans="1:9" x14ac:dyDescent="0.25">
      <c r="A5" t="s">
        <v>14</v>
      </c>
      <c r="B5" s="1">
        <v>30000</v>
      </c>
      <c r="C5" s="1">
        <v>75000</v>
      </c>
      <c r="D5" s="1"/>
      <c r="E5" s="1"/>
      <c r="F5" s="1">
        <f t="shared" si="0"/>
        <v>105000</v>
      </c>
      <c r="G5" s="1">
        <v>105000</v>
      </c>
      <c r="I5" s="1">
        <f t="shared" si="1"/>
        <v>0</v>
      </c>
    </row>
    <row r="6" spans="1:9" x14ac:dyDescent="0.25">
      <c r="A6" t="s">
        <v>15</v>
      </c>
      <c r="B6" s="1">
        <v>30000</v>
      </c>
      <c r="C6" s="1"/>
      <c r="D6" s="1"/>
      <c r="E6" s="1"/>
      <c r="F6" s="1">
        <f t="shared" si="0"/>
        <v>30000</v>
      </c>
      <c r="G6" s="1">
        <v>85000</v>
      </c>
      <c r="I6" s="1">
        <f t="shared" si="1"/>
        <v>55000</v>
      </c>
    </row>
    <row r="7" spans="1:9" x14ac:dyDescent="0.25">
      <c r="A7" t="s">
        <v>16</v>
      </c>
      <c r="B7" s="1">
        <v>30000</v>
      </c>
      <c r="C7" s="1"/>
      <c r="D7" s="1">
        <v>100000</v>
      </c>
      <c r="E7" s="1"/>
      <c r="F7" s="1">
        <f t="shared" si="0"/>
        <v>130000</v>
      </c>
      <c r="G7" s="1">
        <v>130000</v>
      </c>
      <c r="I7" s="1">
        <f t="shared" si="1"/>
        <v>0</v>
      </c>
    </row>
    <row r="8" spans="1:9" x14ac:dyDescent="0.25">
      <c r="A8" t="s">
        <v>17</v>
      </c>
      <c r="B8" s="1">
        <v>30000</v>
      </c>
      <c r="C8" s="1">
        <v>150000</v>
      </c>
      <c r="D8" s="1">
        <v>100000</v>
      </c>
      <c r="E8" s="1"/>
      <c r="F8" s="1">
        <f t="shared" si="0"/>
        <v>280000</v>
      </c>
      <c r="G8" s="1">
        <v>280000</v>
      </c>
      <c r="I8" s="1">
        <f t="shared" si="1"/>
        <v>0</v>
      </c>
    </row>
    <row r="9" spans="1:9" x14ac:dyDescent="0.25">
      <c r="A9" t="s">
        <v>18</v>
      </c>
      <c r="B9" s="1">
        <v>30000</v>
      </c>
      <c r="C9" s="1">
        <v>75000</v>
      </c>
      <c r="D9" s="1"/>
      <c r="E9" s="1">
        <v>51000</v>
      </c>
      <c r="F9" s="1">
        <f t="shared" si="0"/>
        <v>156000</v>
      </c>
      <c r="G9" s="1">
        <f>55000+100000</f>
        <v>155000</v>
      </c>
      <c r="I9" s="1">
        <f t="shared" si="1"/>
        <v>-1000</v>
      </c>
    </row>
    <row r="10" spans="1:9" x14ac:dyDescent="0.25">
      <c r="A10" t="s">
        <v>19</v>
      </c>
      <c r="B10" s="1">
        <v>34000</v>
      </c>
      <c r="C10" s="1"/>
      <c r="D10" s="1">
        <v>100000</v>
      </c>
      <c r="E10" s="1">
        <v>24000</v>
      </c>
      <c r="F10" s="1">
        <f t="shared" si="0"/>
        <v>158000</v>
      </c>
      <c r="G10" s="1">
        <v>158000</v>
      </c>
      <c r="I10" s="1">
        <f t="shared" si="1"/>
        <v>0</v>
      </c>
    </row>
    <row r="11" spans="1:9" x14ac:dyDescent="0.25">
      <c r="A11" t="s">
        <v>20</v>
      </c>
      <c r="B11" s="1">
        <v>30000</v>
      </c>
      <c r="C11" s="1">
        <v>150000</v>
      </c>
      <c r="D11" s="1">
        <v>100000</v>
      </c>
      <c r="E11" s="1"/>
      <c r="F11" s="1">
        <f t="shared" si="0"/>
        <v>280000</v>
      </c>
      <c r="G11" s="1">
        <v>280000</v>
      </c>
      <c r="I11" s="1">
        <f t="shared" si="1"/>
        <v>0</v>
      </c>
    </row>
    <row r="12" spans="1:9" x14ac:dyDescent="0.25">
      <c r="A12" t="s">
        <v>21</v>
      </c>
      <c r="B12" s="1">
        <v>30000</v>
      </c>
      <c r="C12" s="1">
        <v>75000</v>
      </c>
      <c r="D12" s="1"/>
      <c r="E12" s="1"/>
      <c r="F12" s="1">
        <f t="shared" si="0"/>
        <v>105000</v>
      </c>
      <c r="G12" s="1">
        <v>105000</v>
      </c>
      <c r="I12" s="1">
        <f t="shared" si="1"/>
        <v>0</v>
      </c>
    </row>
    <row r="13" spans="1:9" x14ac:dyDescent="0.25">
      <c r="A13" t="s">
        <v>23</v>
      </c>
      <c r="B13" s="1">
        <v>30000</v>
      </c>
      <c r="C13" s="1"/>
      <c r="D13" s="1">
        <v>100000</v>
      </c>
      <c r="E13" s="1">
        <v>61500</v>
      </c>
      <c r="F13" s="1">
        <f t="shared" si="0"/>
        <v>191500</v>
      </c>
      <c r="G13" s="1">
        <v>190000</v>
      </c>
      <c r="H13" s="1">
        <v>1500</v>
      </c>
      <c r="I13" s="1">
        <f t="shared" si="1"/>
        <v>0</v>
      </c>
    </row>
    <row r="14" spans="1:9" x14ac:dyDescent="0.25">
      <c r="A14" t="s">
        <v>24</v>
      </c>
      <c r="B14" s="1">
        <v>30000</v>
      </c>
      <c r="C14" s="1"/>
      <c r="D14" s="1"/>
      <c r="E14" s="1"/>
      <c r="F14" s="1">
        <f t="shared" si="0"/>
        <v>30000</v>
      </c>
      <c r="G14" s="1">
        <v>30000</v>
      </c>
      <c r="I14" s="1">
        <f t="shared" si="1"/>
        <v>0</v>
      </c>
    </row>
    <row r="15" spans="1:9" x14ac:dyDescent="0.25">
      <c r="A15" t="s">
        <v>25</v>
      </c>
      <c r="B15" s="1">
        <v>30000</v>
      </c>
      <c r="F15" s="1">
        <f t="shared" si="0"/>
        <v>30000</v>
      </c>
      <c r="G15" s="1">
        <v>75000</v>
      </c>
      <c r="I15" s="1">
        <f t="shared" si="1"/>
        <v>45000</v>
      </c>
    </row>
    <row r="16" spans="1:9" x14ac:dyDescent="0.25">
      <c r="A16" t="s">
        <v>8</v>
      </c>
      <c r="B16" s="1">
        <v>30000</v>
      </c>
      <c r="F16" s="1">
        <f t="shared" si="0"/>
        <v>30000</v>
      </c>
      <c r="G16" s="1">
        <v>30000</v>
      </c>
      <c r="I16" s="1">
        <f t="shared" si="1"/>
        <v>0</v>
      </c>
    </row>
    <row r="17" spans="1:9" x14ac:dyDescent="0.25">
      <c r="A17" t="s">
        <v>26</v>
      </c>
      <c r="B17" s="1">
        <v>30000</v>
      </c>
      <c r="C17">
        <v>75000</v>
      </c>
      <c r="D17">
        <v>100000</v>
      </c>
      <c r="F17" s="1">
        <f t="shared" si="0"/>
        <v>205000</v>
      </c>
      <c r="G17" s="1">
        <v>205000</v>
      </c>
      <c r="I17" s="1">
        <f t="shared" si="1"/>
        <v>0</v>
      </c>
    </row>
    <row r="18" spans="1:9" x14ac:dyDescent="0.25">
      <c r="A18" t="s">
        <v>1</v>
      </c>
      <c r="B18" s="1">
        <v>30000</v>
      </c>
      <c r="C18">
        <v>75000</v>
      </c>
      <c r="F18" s="1">
        <f t="shared" si="0"/>
        <v>105000</v>
      </c>
      <c r="G18" s="1">
        <v>105000</v>
      </c>
      <c r="I18" s="1">
        <f t="shared" si="1"/>
        <v>0</v>
      </c>
    </row>
    <row r="19" spans="1:9" x14ac:dyDescent="0.25">
      <c r="A19" t="s">
        <v>27</v>
      </c>
      <c r="B19" s="1">
        <v>30000</v>
      </c>
      <c r="F19" s="1">
        <f t="shared" si="0"/>
        <v>30000</v>
      </c>
      <c r="G19" s="1">
        <v>30000</v>
      </c>
      <c r="I19" s="1">
        <f t="shared" si="1"/>
        <v>0</v>
      </c>
    </row>
    <row r="20" spans="1:9" x14ac:dyDescent="0.25">
      <c r="A20" t="s">
        <v>28</v>
      </c>
      <c r="B20" s="1">
        <v>30000</v>
      </c>
      <c r="C20">
        <v>75000</v>
      </c>
      <c r="F20" s="1">
        <f t="shared" si="0"/>
        <v>105000</v>
      </c>
      <c r="G20" s="1">
        <v>105000</v>
      </c>
      <c r="I20" s="1">
        <f t="shared" si="1"/>
        <v>0</v>
      </c>
    </row>
    <row r="21" spans="1:9" x14ac:dyDescent="0.25">
      <c r="A21" t="s">
        <v>0</v>
      </c>
      <c r="B21" s="1">
        <v>30000</v>
      </c>
      <c r="C21" s="1">
        <v>225000</v>
      </c>
      <c r="D21" s="1">
        <v>200000</v>
      </c>
      <c r="E21" s="1">
        <v>102000</v>
      </c>
      <c r="F21" s="1">
        <f t="shared" si="0"/>
        <v>557000</v>
      </c>
      <c r="G21" s="1">
        <v>608000</v>
      </c>
      <c r="I21" s="1">
        <f t="shared" si="1"/>
        <v>51000</v>
      </c>
    </row>
    <row r="22" spans="1:9" x14ac:dyDescent="0.25">
      <c r="A22" t="s">
        <v>29</v>
      </c>
      <c r="B22" s="1">
        <v>40000</v>
      </c>
      <c r="F22" s="1">
        <f t="shared" si="0"/>
        <v>40000</v>
      </c>
      <c r="G22" s="1">
        <v>40000</v>
      </c>
      <c r="I22" s="1">
        <f t="shared" si="1"/>
        <v>0</v>
      </c>
    </row>
    <row r="23" spans="1:9" x14ac:dyDescent="0.25">
      <c r="A23" t="s">
        <v>31</v>
      </c>
      <c r="B23" s="1">
        <v>30000</v>
      </c>
      <c r="D23">
        <v>200000</v>
      </c>
      <c r="F23" s="1">
        <f t="shared" si="0"/>
        <v>230000</v>
      </c>
      <c r="G23" s="1">
        <v>230000</v>
      </c>
      <c r="I23" s="1">
        <f t="shared" si="1"/>
        <v>0</v>
      </c>
    </row>
    <row r="24" spans="1:9" x14ac:dyDescent="0.25">
      <c r="A24" t="s">
        <v>30</v>
      </c>
      <c r="B24" s="1">
        <v>40000</v>
      </c>
      <c r="D24">
        <v>200000</v>
      </c>
      <c r="F24" s="1">
        <f t="shared" si="0"/>
        <v>240000</v>
      </c>
      <c r="G24" s="1">
        <v>140000</v>
      </c>
      <c r="I24" s="1">
        <f t="shared" si="1"/>
        <v>-100000</v>
      </c>
    </row>
    <row r="25" spans="1:9" x14ac:dyDescent="0.25">
      <c r="A25" t="s">
        <v>24</v>
      </c>
      <c r="D25">
        <v>200000</v>
      </c>
      <c r="F25" s="1">
        <f t="shared" si="0"/>
        <v>200000</v>
      </c>
      <c r="G25" s="1">
        <v>100000</v>
      </c>
      <c r="I25" s="1">
        <f t="shared" si="1"/>
        <v>-100000</v>
      </c>
    </row>
    <row r="26" spans="1:9" x14ac:dyDescent="0.25">
      <c r="A26" t="s">
        <v>9</v>
      </c>
      <c r="B26" s="1">
        <v>30000</v>
      </c>
      <c r="F26" s="1">
        <f t="shared" si="0"/>
        <v>30000</v>
      </c>
      <c r="G26" s="1">
        <v>30000</v>
      </c>
      <c r="I26" s="1">
        <f t="shared" si="1"/>
        <v>0</v>
      </c>
    </row>
    <row r="27" spans="1:9" x14ac:dyDescent="0.25">
      <c r="A27" t="s">
        <v>10</v>
      </c>
      <c r="B27" s="1">
        <v>30000</v>
      </c>
      <c r="C27" s="1">
        <v>75000</v>
      </c>
      <c r="D27" s="1">
        <v>100000</v>
      </c>
      <c r="E27" s="1">
        <v>243000</v>
      </c>
      <c r="F27" s="1">
        <f t="shared" si="0"/>
        <v>448000</v>
      </c>
      <c r="G27" s="1">
        <v>332000</v>
      </c>
      <c r="I27" s="1">
        <f t="shared" si="1"/>
        <v>-116000</v>
      </c>
    </row>
    <row r="28" spans="1:9" x14ac:dyDescent="0.25">
      <c r="F28" s="1"/>
      <c r="G28" s="1"/>
      <c r="I28" s="1"/>
    </row>
    <row r="29" spans="1:9" x14ac:dyDescent="0.25">
      <c r="B29" s="1">
        <f>SUM(B3:B28)</f>
        <v>779500</v>
      </c>
      <c r="C29" s="1">
        <f t="shared" ref="C29:H29" si="2">SUM(C3:C28)</f>
        <v>1125000</v>
      </c>
      <c r="D29" s="1">
        <f t="shared" si="2"/>
        <v>1700000</v>
      </c>
      <c r="E29" s="1">
        <f t="shared" si="2"/>
        <v>512000</v>
      </c>
      <c r="F29" s="1">
        <f t="shared" si="2"/>
        <v>4116500</v>
      </c>
      <c r="G29" s="1">
        <f t="shared" si="2"/>
        <v>3949000</v>
      </c>
      <c r="H29" s="1">
        <f t="shared" si="2"/>
        <v>1500</v>
      </c>
      <c r="I2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2020-11-02T10:22:29Z</dcterms:created>
  <dcterms:modified xsi:type="dcterms:W3CDTF">2020-11-02T11:57:52Z</dcterms:modified>
</cp:coreProperties>
</file>